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AI\รายงานการจัดระดับ\ข้อมูลทำ AI\"/>
    </mc:Choice>
  </mc:AlternateContent>
  <xr:revisionPtr revIDLastSave="0" documentId="13_ncr:1_{7A558883-537F-41ED-A00F-41DA028A3115}" xr6:coauthVersionLast="36" xr6:coauthVersionMax="36" xr10:uidLastSave="{00000000-0000-0000-0000-000000000000}"/>
  <bookViews>
    <workbookView xWindow="0" yWindow="0" windowWidth="19200" windowHeight="6810" xr2:uid="{02E0802B-C938-4E88-86AB-0BC454391AB2}"/>
  </bookViews>
  <sheets>
    <sheet name="Safety-Plant" sheetId="3" r:id="rId1"/>
    <sheet name="Safety-Truck" sheetId="5" r:id="rId2"/>
    <sheet name="DATA" sheetId="6" r:id="rId3"/>
  </sheets>
  <externalReferences>
    <externalReference r:id="rId4"/>
    <externalReference r:id="rId5"/>
    <externalReference r:id="rId6"/>
    <externalReference r:id="rId7"/>
    <externalReference r:id="rId8"/>
  </externalReferences>
  <definedNames>
    <definedName name="\a" localSheetId="0">[1]ยอดขาย!#REF!</definedName>
    <definedName name="\a" localSheetId="1">[1]ยอดขาย!#REF!</definedName>
    <definedName name="\a">[1]ยอดขาย!#REF!</definedName>
    <definedName name="_xlnm._FilterDatabase" localSheetId="2" hidden="1">DATA!$A$5:$AG$291</definedName>
    <definedName name="_xlnm._FilterDatabase" localSheetId="0" hidden="1">'Safety-Plant'!$A$1:$S$287</definedName>
    <definedName name="_xlnm._FilterDatabase" localSheetId="1" hidden="1">'Safety-Truck'!$A$1:$H$1</definedName>
    <definedName name="apr">[2]Apr!$G$3:$G$1505</definedName>
    <definedName name="aug">[2]Aug!$G$3:$G$1039</definedName>
    <definedName name="Choose" localSheetId="0">INDEX([3]STAR!$A$1:$F$1,1,[3]STAR!$A$1)</definedName>
    <definedName name="Choose" localSheetId="1">INDEX([3]STAR!$A$1:$F$1,1,[3]STAR!$A$1)</definedName>
    <definedName name="Choose">INDEX([4]STAR!$A$1:$F$1,1,[4]STAR!$A$1)</definedName>
    <definedName name="Choose1" localSheetId="0">INDEX([3]STAR!$A$1:$F$1,1,[3]STAR!$A$1)</definedName>
    <definedName name="Choose1" localSheetId="1">INDEX([3]STAR!$A$1:$F$1,1,[3]STAR!$A$1)</definedName>
    <definedName name="Choose1">INDEX([4]STAR!$A$1:$F$1,1,[4]STAR!$A$1)</definedName>
    <definedName name="Choose123" localSheetId="0">INDEX([3]STAR!$A$1:$F$1,1,[3]STAR!$C$4)</definedName>
    <definedName name="Choose123" localSheetId="1">INDEX([3]STAR!$A$1:$F$1,1,[3]STAR!$C$4)</definedName>
    <definedName name="Choose123">INDEX([4]STAR!$A$1:$F$1,1,[4]STAR!$C$4)</definedName>
    <definedName name="ChoosePic" localSheetId="0">INDEX('Safety-Plant'!PicTable,1,[3]STAR!$A$4)</definedName>
    <definedName name="ChoosePic" localSheetId="1">INDEX('Safety-Truck'!PicTable,1,[3]STAR!$A$4)</definedName>
    <definedName name="ChoosePic">INDEX(PicTable,1,[4]STAR!$A$4)</definedName>
    <definedName name="ChoosePic1" localSheetId="0">INDEX('Safety-Plant'!PicTable1,1,[3]STAR!$A$11)</definedName>
    <definedName name="ChoosePic1" localSheetId="1">INDEX('Safety-Truck'!PicTable1,1,[3]STAR!$A$11)</definedName>
    <definedName name="ChoosePic1">INDEX(PicTable1,1,[4]STAR!$A$11)</definedName>
    <definedName name="ChoosePic2" localSheetId="0">INDEX('Safety-Plant'!PicTable1,1,#REF!)</definedName>
    <definedName name="ChoosePic2" localSheetId="1">INDEX('Safety-Truck'!PicTable1,1,#REF!)</definedName>
    <definedName name="ChoosePic2">#N/A</definedName>
    <definedName name="ChoosePic3" localSheetId="0">INDEX('Safety-Plant'!PicTable1,1,#REF!)</definedName>
    <definedName name="ChoosePic3" localSheetId="1">INDEX('Safety-Truck'!PicTable1,1,#REF!)</definedName>
    <definedName name="ChoosePic3">#N/A</definedName>
    <definedName name="ChoosePic4" localSheetId="0">INDEX('Safety-Plant'!PicTable1,1,#REF!)</definedName>
    <definedName name="ChoosePic4" localSheetId="1">INDEX('Safety-Truck'!PicTable1,1,#REF!)</definedName>
    <definedName name="ChoosePic4">#N/A</definedName>
    <definedName name="ChoosePic5" localSheetId="0">INDEX('Safety-Plant'!PicTable1,1,#REF!)</definedName>
    <definedName name="ChoosePic5" localSheetId="1">INDEX('Safety-Truck'!PicTable1,1,#REF!)</definedName>
    <definedName name="ChoosePic5">#N/A</definedName>
    <definedName name="d" localSheetId="0">#REF!</definedName>
    <definedName name="d" localSheetId="1">#REF!</definedName>
    <definedName name="d">#REF!</definedName>
    <definedName name="Datalist">OFFSET('[5]Data-CPAC'!$A$1,0,0,COUNTA('[5]Data-CPAC'!$A:$A),COUNTA('[5]Data-CPAC'!$1:$1))</definedName>
    <definedName name="dec">[2]Dec2010!$G$3:$G$1678</definedName>
    <definedName name="feb">[2]Feb!$G$3:$G$314</definedName>
    <definedName name="jan">[2]Jan2011!$G$3:$G$62</definedName>
    <definedName name="jul">[2]Jul!$G$3:$G$748</definedName>
    <definedName name="jun">[2]Jun!$G$3:$G$572</definedName>
    <definedName name="mar">[2]Mar!$G$3:$G$1775</definedName>
    <definedName name="may">[2]May!$G$3:$G$826</definedName>
    <definedName name="mktsize" localSheetId="0">#REF!</definedName>
    <definedName name="mktsize" localSheetId="1">#REF!</definedName>
    <definedName name="mktsize">#REF!</definedName>
    <definedName name="nov">[2]Nov!$G$3:$G$1319</definedName>
    <definedName name="Num" localSheetId="0">#REF!</definedName>
    <definedName name="Num" localSheetId="1">#REF!</definedName>
    <definedName name="Num">#REF!</definedName>
    <definedName name="oct">[2]Oct!$G$3:$G$2211</definedName>
    <definedName name="PicTable" localSheetId="0">#REF!</definedName>
    <definedName name="PicTable" localSheetId="1">#REF!</definedName>
    <definedName name="PicTable">[4]STAR!$A$1:$F$1</definedName>
    <definedName name="PicTable1" localSheetId="0">#REF!</definedName>
    <definedName name="PicTable1" localSheetId="1">#REF!</definedName>
    <definedName name="PicTable1">[4]STAR!$A$11:$G$11</definedName>
    <definedName name="sep">[2]Sep!$G$3:$G$1470</definedName>
    <definedName name="แจ้ง___รอข้อมูล" localSheetId="0">#REF!</definedName>
    <definedName name="แจ้ง___รอข้อมูล" localSheetId="1">#REF!</definedName>
    <definedName name="แจ้ง___รอข้อมูล">#REF!</definedName>
    <definedName name="กำลังทำ" localSheetId="0">#REF!</definedName>
    <definedName name="กำลังทำ" localSheetId="1">#REF!</definedName>
    <definedName name="กำลังทำ">#REF!</definedName>
    <definedName name="กิจการ" localSheetId="0">#REF!</definedName>
    <definedName name="กิจการ" localSheetId="1">#REF!</definedName>
    <definedName name="กิจการ">#REF!</definedName>
    <definedName name="จังหวัด" localSheetId="0">#REF!</definedName>
    <definedName name="จังหวัด" localSheetId="1">#REF!</definedName>
    <definedName name="จังหวัด">#REF!</definedName>
    <definedName name="ชื่อโรงงาน" localSheetId="0">#REF!</definedName>
    <definedName name="ชื่อโรงงาน" localSheetId="1">#REF!</definedName>
    <definedName name="ชื่อโรงงาน">#REF!</definedName>
    <definedName name="ยังไม่แจ้งเจตจำนง" localSheetId="0">#REF!</definedName>
    <definedName name="ยังไม่แจ้งเจตจำนง" localSheetId="1">#REF!</definedName>
    <definedName name="ยังไม่แจ้งเจตจำนง">#REF!</definedName>
    <definedName name="รหัสโรงงาน" localSheetId="0">#REF!</definedName>
    <definedName name="รหัสโรงงาน" localSheetId="1">#REF!</definedName>
    <definedName name="รหัสโรงงาน">#REF!</definedName>
    <definedName name="รอลงนาม" localSheetId="0">#REF!</definedName>
    <definedName name="รอลงนาม" localSheetId="1">#REF!</definedName>
    <definedName name="รอลงนาม">#REF!</definedName>
    <definedName name="สมบูรณ์" localSheetId="0">#REF!</definedName>
    <definedName name="สมบูรณ์" localSheetId="1">#REF!</definedName>
    <definedName name="สมบูรณ์">#REF!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G7" i="6" l="1"/>
  <c r="AG8" i="6"/>
  <c r="AG9" i="6"/>
  <c r="AG10" i="6"/>
  <c r="AG11" i="6"/>
  <c r="AG12" i="6"/>
  <c r="AG13" i="6"/>
  <c r="AG14" i="6"/>
  <c r="AG15" i="6"/>
  <c r="AG16" i="6"/>
  <c r="AG17" i="6"/>
  <c r="AG18" i="6"/>
  <c r="AG19" i="6"/>
  <c r="AG20" i="6"/>
  <c r="AG21" i="6"/>
  <c r="AG22" i="6"/>
  <c r="AG23" i="6"/>
  <c r="AG24" i="6"/>
  <c r="AG25" i="6"/>
  <c r="AG26" i="6"/>
  <c r="AG27" i="6"/>
  <c r="AG28" i="6"/>
  <c r="AG29" i="6"/>
  <c r="AG30" i="6"/>
  <c r="AG31" i="6"/>
  <c r="AG32" i="6"/>
  <c r="AG33" i="6"/>
  <c r="AG34" i="6"/>
  <c r="AG35" i="6"/>
  <c r="AG36" i="6"/>
  <c r="AG37" i="6"/>
  <c r="AG38" i="6"/>
  <c r="AG39" i="6"/>
  <c r="AG40" i="6"/>
  <c r="AG41" i="6"/>
  <c r="AG42" i="6"/>
  <c r="AG43" i="6"/>
  <c r="AG44" i="6"/>
  <c r="AG45" i="6"/>
  <c r="AG46" i="6"/>
  <c r="AG47" i="6"/>
  <c r="AG48" i="6"/>
  <c r="AG49" i="6"/>
  <c r="AG50" i="6"/>
  <c r="AG51" i="6"/>
  <c r="AG52" i="6"/>
  <c r="AG53" i="6"/>
  <c r="AG54" i="6"/>
  <c r="AG55" i="6"/>
  <c r="AG56" i="6"/>
  <c r="AG57" i="6"/>
  <c r="AG58" i="6"/>
  <c r="AG59" i="6"/>
  <c r="AG60" i="6"/>
  <c r="AG61" i="6"/>
  <c r="AG62" i="6"/>
  <c r="AG63" i="6"/>
  <c r="AG64" i="6"/>
  <c r="AG65" i="6"/>
  <c r="AG66" i="6"/>
  <c r="AG67" i="6"/>
  <c r="AG68" i="6"/>
  <c r="AG69" i="6"/>
  <c r="AG70" i="6"/>
  <c r="AG71" i="6"/>
  <c r="AG72" i="6"/>
  <c r="AG73" i="6"/>
  <c r="AG74" i="6"/>
  <c r="AG75" i="6"/>
  <c r="AG76" i="6"/>
  <c r="AG77" i="6"/>
  <c r="AG78" i="6"/>
  <c r="AG79" i="6"/>
  <c r="AG80" i="6"/>
  <c r="AG81" i="6"/>
  <c r="AG82" i="6"/>
  <c r="AG83" i="6"/>
  <c r="AG84" i="6"/>
  <c r="AG85" i="6"/>
  <c r="AG86" i="6"/>
  <c r="AG87" i="6"/>
  <c r="AG88" i="6"/>
  <c r="AG89" i="6"/>
  <c r="AG90" i="6"/>
  <c r="AG91" i="6"/>
  <c r="AG92" i="6"/>
  <c r="AG93" i="6"/>
  <c r="AG94" i="6"/>
  <c r="AG95" i="6"/>
  <c r="AG96" i="6"/>
  <c r="AG97" i="6"/>
  <c r="AG98" i="6"/>
  <c r="AG99" i="6"/>
  <c r="AG100" i="6"/>
  <c r="AG101" i="6"/>
  <c r="AG102" i="6"/>
  <c r="AG103" i="6"/>
  <c r="AG104" i="6"/>
  <c r="AG105" i="6"/>
  <c r="AG106" i="6"/>
  <c r="AG107" i="6"/>
  <c r="AG108" i="6"/>
  <c r="AG109" i="6"/>
  <c r="AG110" i="6"/>
  <c r="AG111" i="6"/>
  <c r="AG112" i="6"/>
  <c r="AG113" i="6"/>
  <c r="AG114" i="6"/>
  <c r="AG115" i="6"/>
  <c r="AG116" i="6"/>
  <c r="AG117" i="6"/>
  <c r="AG118" i="6"/>
  <c r="AG119" i="6"/>
  <c r="AG120" i="6"/>
  <c r="AG121" i="6"/>
  <c r="AG122" i="6"/>
  <c r="AG123" i="6"/>
  <c r="AG124" i="6"/>
  <c r="AG125" i="6"/>
  <c r="AG126" i="6"/>
  <c r="AG127" i="6"/>
  <c r="AG128" i="6"/>
  <c r="AG129" i="6"/>
  <c r="AG130" i="6"/>
  <c r="AG131" i="6"/>
  <c r="AG132" i="6"/>
  <c r="AG133" i="6"/>
  <c r="AG134" i="6"/>
  <c r="AG135" i="6"/>
  <c r="AG136" i="6"/>
  <c r="AG137" i="6"/>
  <c r="AG138" i="6"/>
  <c r="AG139" i="6"/>
  <c r="AG140" i="6"/>
  <c r="AG141" i="6"/>
  <c r="AG142" i="6"/>
  <c r="AG143" i="6"/>
  <c r="AG144" i="6"/>
  <c r="AG145" i="6"/>
  <c r="AG146" i="6"/>
  <c r="AG147" i="6"/>
  <c r="AG148" i="6"/>
  <c r="AG149" i="6"/>
  <c r="AG150" i="6"/>
  <c r="AG151" i="6"/>
  <c r="AG152" i="6"/>
  <c r="AG153" i="6"/>
  <c r="AG154" i="6"/>
  <c r="AG155" i="6"/>
  <c r="AG156" i="6"/>
  <c r="AG157" i="6"/>
  <c r="AG158" i="6"/>
  <c r="AG159" i="6"/>
  <c r="AG160" i="6"/>
  <c r="AG161" i="6"/>
  <c r="AG162" i="6"/>
  <c r="AG163" i="6"/>
  <c r="AG164" i="6"/>
  <c r="AG165" i="6"/>
  <c r="AG166" i="6"/>
  <c r="AG167" i="6"/>
  <c r="AG168" i="6"/>
  <c r="AG169" i="6"/>
  <c r="AG170" i="6"/>
  <c r="AG171" i="6"/>
  <c r="AG172" i="6"/>
  <c r="AG173" i="6"/>
  <c r="AG174" i="6"/>
  <c r="AG175" i="6"/>
  <c r="AG176" i="6"/>
  <c r="AG177" i="6"/>
  <c r="AG178" i="6"/>
  <c r="AG179" i="6"/>
  <c r="AG180" i="6"/>
  <c r="AG181" i="6"/>
  <c r="AG182" i="6"/>
  <c r="AG183" i="6"/>
  <c r="AG184" i="6"/>
  <c r="AG185" i="6"/>
  <c r="AG186" i="6"/>
  <c r="AG187" i="6"/>
  <c r="AG188" i="6"/>
  <c r="AG189" i="6"/>
  <c r="AG190" i="6"/>
  <c r="AG191" i="6"/>
  <c r="AG192" i="6"/>
  <c r="AG193" i="6"/>
  <c r="AG194" i="6"/>
  <c r="AG195" i="6"/>
  <c r="AG196" i="6"/>
  <c r="AG197" i="6"/>
  <c r="AG198" i="6"/>
  <c r="AG199" i="6"/>
  <c r="AG200" i="6"/>
  <c r="AG201" i="6"/>
  <c r="AG202" i="6"/>
  <c r="AG203" i="6"/>
  <c r="AG204" i="6"/>
  <c r="AG205" i="6"/>
  <c r="AG206" i="6"/>
  <c r="AG207" i="6"/>
  <c r="AG208" i="6"/>
  <c r="AG209" i="6"/>
  <c r="AG210" i="6"/>
  <c r="AG211" i="6"/>
  <c r="AG212" i="6"/>
  <c r="AG213" i="6"/>
  <c r="AG214" i="6"/>
  <c r="AG215" i="6"/>
  <c r="AG216" i="6"/>
  <c r="AG217" i="6"/>
  <c r="AG218" i="6"/>
  <c r="AG219" i="6"/>
  <c r="AG220" i="6"/>
  <c r="AG221" i="6"/>
  <c r="AG222" i="6"/>
  <c r="AG223" i="6"/>
  <c r="AG224" i="6"/>
  <c r="AG225" i="6"/>
  <c r="AG226" i="6"/>
  <c r="AG227" i="6"/>
  <c r="AG228" i="6"/>
  <c r="AG229" i="6"/>
  <c r="AG230" i="6"/>
  <c r="AG231" i="6"/>
  <c r="AG232" i="6"/>
  <c r="AG233" i="6"/>
  <c r="AG234" i="6"/>
  <c r="AG235" i="6"/>
  <c r="AG236" i="6"/>
  <c r="AG237" i="6"/>
  <c r="AG238" i="6"/>
  <c r="AG239" i="6"/>
  <c r="AG240" i="6"/>
  <c r="AG241" i="6"/>
  <c r="AG242" i="6"/>
  <c r="AG243" i="6"/>
  <c r="AG244" i="6"/>
  <c r="AG245" i="6"/>
  <c r="AG246" i="6"/>
  <c r="AG247" i="6"/>
  <c r="AG248" i="6"/>
  <c r="AG249" i="6"/>
  <c r="AG250" i="6"/>
  <c r="AG251" i="6"/>
  <c r="AG252" i="6"/>
  <c r="AG253" i="6"/>
  <c r="AG254" i="6"/>
  <c r="AG255" i="6"/>
  <c r="AG256" i="6"/>
  <c r="AG257" i="6"/>
  <c r="AG258" i="6"/>
  <c r="AG259" i="6"/>
  <c r="AG260" i="6"/>
  <c r="AG261" i="6"/>
  <c r="AG262" i="6"/>
  <c r="AG263" i="6"/>
  <c r="AG264" i="6"/>
  <c r="AG265" i="6"/>
  <c r="AG266" i="6"/>
  <c r="AG267" i="6"/>
  <c r="AG268" i="6"/>
  <c r="AG269" i="6"/>
  <c r="AG270" i="6"/>
  <c r="AG271" i="6"/>
  <c r="AG272" i="6"/>
  <c r="AG273" i="6"/>
  <c r="AG274" i="6"/>
  <c r="AG275" i="6"/>
  <c r="AG276" i="6"/>
  <c r="AG277" i="6"/>
  <c r="AG278" i="6"/>
  <c r="AG279" i="6"/>
  <c r="AG280" i="6"/>
  <c r="AG281" i="6"/>
  <c r="AG282" i="6"/>
  <c r="AG283" i="6"/>
  <c r="AG284" i="6"/>
  <c r="AG285" i="6"/>
  <c r="AG286" i="6"/>
  <c r="AG287" i="6"/>
  <c r="AG288" i="6"/>
  <c r="AG289" i="6"/>
  <c r="AG290" i="6"/>
  <c r="AG291" i="6"/>
  <c r="AG6" i="6"/>
  <c r="J245" i="5"/>
  <c r="E245" i="5"/>
  <c r="I245" i="5" s="1"/>
  <c r="G245" i="5" s="1"/>
  <c r="J105" i="5"/>
  <c r="E105" i="5"/>
  <c r="I105" i="5" s="1"/>
  <c r="G105" i="5" s="1"/>
  <c r="S105" i="3"/>
  <c r="P105" i="3"/>
  <c r="O105" i="3"/>
  <c r="N105" i="3"/>
  <c r="M105" i="3"/>
  <c r="L105" i="3"/>
  <c r="K105" i="3"/>
  <c r="J105" i="3"/>
  <c r="I105" i="3"/>
  <c r="H105" i="3"/>
  <c r="G105" i="3"/>
  <c r="F105" i="3"/>
  <c r="E105" i="3"/>
  <c r="Q105" i="3" l="1"/>
  <c r="J284" i="5"/>
  <c r="E284" i="5"/>
  <c r="I284" i="5" s="1"/>
  <c r="G284" i="5" s="1"/>
  <c r="S286" i="3"/>
  <c r="P286" i="3"/>
  <c r="O286" i="3"/>
  <c r="N286" i="3"/>
  <c r="M286" i="3"/>
  <c r="L286" i="3"/>
  <c r="K286" i="3"/>
  <c r="J286" i="3"/>
  <c r="I286" i="3"/>
  <c r="H286" i="3"/>
  <c r="G286" i="3"/>
  <c r="F286" i="3"/>
  <c r="E286" i="3"/>
  <c r="J244" i="5"/>
  <c r="E244" i="5"/>
  <c r="I244" i="5" s="1"/>
  <c r="S246" i="3"/>
  <c r="P246" i="3"/>
  <c r="O246" i="3"/>
  <c r="N246" i="3"/>
  <c r="M246" i="3"/>
  <c r="L246" i="3"/>
  <c r="K246" i="3"/>
  <c r="J246" i="3"/>
  <c r="I246" i="3"/>
  <c r="H246" i="3"/>
  <c r="G246" i="3"/>
  <c r="F246" i="3"/>
  <c r="E246" i="3"/>
  <c r="S245" i="3"/>
  <c r="P245" i="3"/>
  <c r="O245" i="3"/>
  <c r="N245" i="3"/>
  <c r="M245" i="3"/>
  <c r="L245" i="3"/>
  <c r="K245" i="3"/>
  <c r="J245" i="3"/>
  <c r="I245" i="3"/>
  <c r="H245" i="3"/>
  <c r="G245" i="3"/>
  <c r="F245" i="3"/>
  <c r="E245" i="3"/>
  <c r="J3" i="5"/>
  <c r="J4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45" i="5"/>
  <c r="J46" i="5"/>
  <c r="J47" i="5"/>
  <c r="J48" i="5"/>
  <c r="J49" i="5"/>
  <c r="J50" i="5"/>
  <c r="J51" i="5"/>
  <c r="J52" i="5"/>
  <c r="J53" i="5"/>
  <c r="J54" i="5"/>
  <c r="J55" i="5"/>
  <c r="J56" i="5"/>
  <c r="J57" i="5"/>
  <c r="J58" i="5"/>
  <c r="J59" i="5"/>
  <c r="J60" i="5"/>
  <c r="J61" i="5"/>
  <c r="J62" i="5"/>
  <c r="J63" i="5"/>
  <c r="J64" i="5"/>
  <c r="J65" i="5"/>
  <c r="J66" i="5"/>
  <c r="J67" i="5"/>
  <c r="J68" i="5"/>
  <c r="J69" i="5"/>
  <c r="J70" i="5"/>
  <c r="J71" i="5"/>
  <c r="J72" i="5"/>
  <c r="J73" i="5"/>
  <c r="J74" i="5"/>
  <c r="J75" i="5"/>
  <c r="J76" i="5"/>
  <c r="J77" i="5"/>
  <c r="J78" i="5"/>
  <c r="J79" i="5"/>
  <c r="J80" i="5"/>
  <c r="J81" i="5"/>
  <c r="J82" i="5"/>
  <c r="J83" i="5"/>
  <c r="J84" i="5"/>
  <c r="J85" i="5"/>
  <c r="J86" i="5"/>
  <c r="J87" i="5"/>
  <c r="J88" i="5"/>
  <c r="J89" i="5"/>
  <c r="J90" i="5"/>
  <c r="J91" i="5"/>
  <c r="J92" i="5"/>
  <c r="J93" i="5"/>
  <c r="J94" i="5"/>
  <c r="J95" i="5"/>
  <c r="J96" i="5"/>
  <c r="J97" i="5"/>
  <c r="J98" i="5"/>
  <c r="J99" i="5"/>
  <c r="J100" i="5"/>
  <c r="J101" i="5"/>
  <c r="J102" i="5"/>
  <c r="J103" i="5"/>
  <c r="J104" i="5"/>
  <c r="J106" i="5"/>
  <c r="J107" i="5"/>
  <c r="J108" i="5"/>
  <c r="J109" i="5"/>
  <c r="J110" i="5"/>
  <c r="J111" i="5"/>
  <c r="J112" i="5"/>
  <c r="J113" i="5"/>
  <c r="J114" i="5"/>
  <c r="J115" i="5"/>
  <c r="J116" i="5"/>
  <c r="J117" i="5"/>
  <c r="J118" i="5"/>
  <c r="J119" i="5"/>
  <c r="J120" i="5"/>
  <c r="J121" i="5"/>
  <c r="J122" i="5"/>
  <c r="J123" i="5"/>
  <c r="J124" i="5"/>
  <c r="J125" i="5"/>
  <c r="J126" i="5"/>
  <c r="J127" i="5"/>
  <c r="J128" i="5"/>
  <c r="J129" i="5"/>
  <c r="J130" i="5"/>
  <c r="J131" i="5"/>
  <c r="J132" i="5"/>
  <c r="J133" i="5"/>
  <c r="J134" i="5"/>
  <c r="J135" i="5"/>
  <c r="J136" i="5"/>
  <c r="J137" i="5"/>
  <c r="J138" i="5"/>
  <c r="J139" i="5"/>
  <c r="J140" i="5"/>
  <c r="J141" i="5"/>
  <c r="J142" i="5"/>
  <c r="J143" i="5"/>
  <c r="J144" i="5"/>
  <c r="J145" i="5"/>
  <c r="J146" i="5"/>
  <c r="J147" i="5"/>
  <c r="J148" i="5"/>
  <c r="J149" i="5"/>
  <c r="J150" i="5"/>
  <c r="J151" i="5"/>
  <c r="J152" i="5"/>
  <c r="J153" i="5"/>
  <c r="J154" i="5"/>
  <c r="J155" i="5"/>
  <c r="J156" i="5"/>
  <c r="J157" i="5"/>
  <c r="J158" i="5"/>
  <c r="J159" i="5"/>
  <c r="J160" i="5"/>
  <c r="J161" i="5"/>
  <c r="J162" i="5"/>
  <c r="J163" i="5"/>
  <c r="J164" i="5"/>
  <c r="J165" i="5"/>
  <c r="J166" i="5"/>
  <c r="J167" i="5"/>
  <c r="J168" i="5"/>
  <c r="J169" i="5"/>
  <c r="J170" i="5"/>
  <c r="J171" i="5"/>
  <c r="J172" i="5"/>
  <c r="J173" i="5"/>
  <c r="J174" i="5"/>
  <c r="J175" i="5"/>
  <c r="J176" i="5"/>
  <c r="J177" i="5"/>
  <c r="J178" i="5"/>
  <c r="J179" i="5"/>
  <c r="J180" i="5"/>
  <c r="J181" i="5"/>
  <c r="J182" i="5"/>
  <c r="J183" i="5"/>
  <c r="J184" i="5"/>
  <c r="J185" i="5"/>
  <c r="J186" i="5"/>
  <c r="J187" i="5"/>
  <c r="J188" i="5"/>
  <c r="J189" i="5"/>
  <c r="J190" i="5"/>
  <c r="J191" i="5"/>
  <c r="J192" i="5"/>
  <c r="J193" i="5"/>
  <c r="J194" i="5"/>
  <c r="J195" i="5"/>
  <c r="J196" i="5"/>
  <c r="J197" i="5"/>
  <c r="J198" i="5"/>
  <c r="J199" i="5"/>
  <c r="J200" i="5"/>
  <c r="J201" i="5"/>
  <c r="J202" i="5"/>
  <c r="J203" i="5"/>
  <c r="J204" i="5"/>
  <c r="J205" i="5"/>
  <c r="J206" i="5"/>
  <c r="J207" i="5"/>
  <c r="J208" i="5"/>
  <c r="J209" i="5"/>
  <c r="J210" i="5"/>
  <c r="J211" i="5"/>
  <c r="J212" i="5"/>
  <c r="J213" i="5"/>
  <c r="J214" i="5"/>
  <c r="J215" i="5"/>
  <c r="J216" i="5"/>
  <c r="J217" i="5"/>
  <c r="J218" i="5"/>
  <c r="J219" i="5"/>
  <c r="J220" i="5"/>
  <c r="J221" i="5"/>
  <c r="J222" i="5"/>
  <c r="J223" i="5"/>
  <c r="J224" i="5"/>
  <c r="J225" i="5"/>
  <c r="J226" i="5"/>
  <c r="J227" i="5"/>
  <c r="J228" i="5"/>
  <c r="J229" i="5"/>
  <c r="J230" i="5"/>
  <c r="J231" i="5"/>
  <c r="J232" i="5"/>
  <c r="J233" i="5"/>
  <c r="J234" i="5"/>
  <c r="J235" i="5"/>
  <c r="J236" i="5"/>
  <c r="J237" i="5"/>
  <c r="J238" i="5"/>
  <c r="J239" i="5"/>
  <c r="J240" i="5"/>
  <c r="J241" i="5"/>
  <c r="J242" i="5"/>
  <c r="J243" i="5"/>
  <c r="J246" i="5"/>
  <c r="J247" i="5"/>
  <c r="J248" i="5"/>
  <c r="J249" i="5"/>
  <c r="J250" i="5"/>
  <c r="J251" i="5"/>
  <c r="J252" i="5"/>
  <c r="J253" i="5"/>
  <c r="J254" i="5"/>
  <c r="J255" i="5"/>
  <c r="J256" i="5"/>
  <c r="J257" i="5"/>
  <c r="J258" i="5"/>
  <c r="J259" i="5"/>
  <c r="J260" i="5"/>
  <c r="J261" i="5"/>
  <c r="J262" i="5"/>
  <c r="J263" i="5"/>
  <c r="J264" i="5"/>
  <c r="J265" i="5"/>
  <c r="J266" i="5"/>
  <c r="J267" i="5"/>
  <c r="J268" i="5"/>
  <c r="J269" i="5"/>
  <c r="J270" i="5"/>
  <c r="J271" i="5"/>
  <c r="J272" i="5"/>
  <c r="J273" i="5"/>
  <c r="J274" i="5"/>
  <c r="J275" i="5"/>
  <c r="J276" i="5"/>
  <c r="J277" i="5"/>
  <c r="J278" i="5"/>
  <c r="J279" i="5"/>
  <c r="J280" i="5"/>
  <c r="J281" i="5"/>
  <c r="J282" i="5"/>
  <c r="J283" i="5"/>
  <c r="J285" i="5"/>
  <c r="E3" i="5"/>
  <c r="I3" i="5" s="1"/>
  <c r="E4" i="5"/>
  <c r="I4" i="5" s="1"/>
  <c r="G4" i="5" s="1"/>
  <c r="E5" i="5"/>
  <c r="I5" i="5" s="1"/>
  <c r="G5" i="5" s="1"/>
  <c r="E6" i="5"/>
  <c r="I6" i="5" s="1"/>
  <c r="G6" i="5" s="1"/>
  <c r="E7" i="5"/>
  <c r="I7" i="5" s="1"/>
  <c r="G7" i="5" s="1"/>
  <c r="E8" i="5"/>
  <c r="I8" i="5" s="1"/>
  <c r="E9" i="5"/>
  <c r="I9" i="5" s="1"/>
  <c r="E10" i="5"/>
  <c r="I10" i="5" s="1"/>
  <c r="E11" i="5"/>
  <c r="I11" i="5" s="1"/>
  <c r="E12" i="5"/>
  <c r="I12" i="5" s="1"/>
  <c r="E13" i="5"/>
  <c r="I13" i="5" s="1"/>
  <c r="G13" i="5" s="1"/>
  <c r="E14" i="5"/>
  <c r="I14" i="5" s="1"/>
  <c r="G14" i="5" s="1"/>
  <c r="E15" i="5"/>
  <c r="I15" i="5" s="1"/>
  <c r="E16" i="5"/>
  <c r="I16" i="5" s="1"/>
  <c r="E17" i="5"/>
  <c r="I17" i="5" s="1"/>
  <c r="G17" i="5" s="1"/>
  <c r="E18" i="5"/>
  <c r="I18" i="5" s="1"/>
  <c r="G18" i="5" s="1"/>
  <c r="E19" i="5"/>
  <c r="I19" i="5" s="1"/>
  <c r="G19" i="5" s="1"/>
  <c r="E20" i="5"/>
  <c r="I20" i="5" s="1"/>
  <c r="E21" i="5"/>
  <c r="I21" i="5" s="1"/>
  <c r="E22" i="5"/>
  <c r="I22" i="5" s="1"/>
  <c r="E23" i="5"/>
  <c r="I23" i="5" s="1"/>
  <c r="G23" i="5" s="1"/>
  <c r="E24" i="5"/>
  <c r="I24" i="5" s="1"/>
  <c r="E25" i="5"/>
  <c r="I25" i="5" s="1"/>
  <c r="G25" i="5" s="1"/>
  <c r="E26" i="5"/>
  <c r="I26" i="5" s="1"/>
  <c r="G26" i="5" s="1"/>
  <c r="E27" i="5"/>
  <c r="I27" i="5" s="1"/>
  <c r="E28" i="5"/>
  <c r="I28" i="5" s="1"/>
  <c r="E29" i="5"/>
  <c r="I29" i="5" s="1"/>
  <c r="G29" i="5" s="1"/>
  <c r="E30" i="5"/>
  <c r="I30" i="5" s="1"/>
  <c r="G30" i="5" s="1"/>
  <c r="E31" i="5"/>
  <c r="I31" i="5" s="1"/>
  <c r="G31" i="5" s="1"/>
  <c r="E32" i="5"/>
  <c r="I32" i="5" s="1"/>
  <c r="E33" i="5"/>
  <c r="I33" i="5" s="1"/>
  <c r="E34" i="5"/>
  <c r="I34" i="5" s="1"/>
  <c r="E35" i="5"/>
  <c r="I35" i="5" s="1"/>
  <c r="G35" i="5" s="1"/>
  <c r="E36" i="5"/>
  <c r="I36" i="5" s="1"/>
  <c r="E37" i="5"/>
  <c r="I37" i="5" s="1"/>
  <c r="G37" i="5" s="1"/>
  <c r="E38" i="5"/>
  <c r="I38" i="5" s="1"/>
  <c r="G38" i="5" s="1"/>
  <c r="E39" i="5"/>
  <c r="I39" i="5" s="1"/>
  <c r="E40" i="5"/>
  <c r="I40" i="5" s="1"/>
  <c r="E41" i="5"/>
  <c r="I41" i="5" s="1"/>
  <c r="G41" i="5" s="1"/>
  <c r="E42" i="5"/>
  <c r="I42" i="5" s="1"/>
  <c r="G42" i="5" s="1"/>
  <c r="E43" i="5"/>
  <c r="I43" i="5" s="1"/>
  <c r="G43" i="5" s="1"/>
  <c r="E44" i="5"/>
  <c r="I44" i="5" s="1"/>
  <c r="E45" i="5"/>
  <c r="I45" i="5" s="1"/>
  <c r="E46" i="5"/>
  <c r="I46" i="5" s="1"/>
  <c r="E47" i="5"/>
  <c r="I47" i="5" s="1"/>
  <c r="G47" i="5" s="1"/>
  <c r="E48" i="5"/>
  <c r="I48" i="5" s="1"/>
  <c r="E49" i="5"/>
  <c r="I49" i="5" s="1"/>
  <c r="G49" i="5" s="1"/>
  <c r="E50" i="5"/>
  <c r="I50" i="5" s="1"/>
  <c r="G50" i="5" s="1"/>
  <c r="E51" i="5"/>
  <c r="I51" i="5" s="1"/>
  <c r="E52" i="5"/>
  <c r="I52" i="5" s="1"/>
  <c r="G52" i="5" s="1"/>
  <c r="E53" i="5"/>
  <c r="I53" i="5" s="1"/>
  <c r="G53" i="5" s="1"/>
  <c r="E54" i="5"/>
  <c r="I54" i="5" s="1"/>
  <c r="G54" i="5" s="1"/>
  <c r="E55" i="5"/>
  <c r="I55" i="5" s="1"/>
  <c r="G55" i="5" s="1"/>
  <c r="E56" i="5"/>
  <c r="I56" i="5" s="1"/>
  <c r="E57" i="5"/>
  <c r="I57" i="5" s="1"/>
  <c r="E58" i="5"/>
  <c r="I58" i="5" s="1"/>
  <c r="E59" i="5"/>
  <c r="I59" i="5" s="1"/>
  <c r="G59" i="5" s="1"/>
  <c r="E60" i="5"/>
  <c r="I60" i="5" s="1"/>
  <c r="E61" i="5"/>
  <c r="I61" i="5" s="1"/>
  <c r="G61" i="5" s="1"/>
  <c r="E62" i="5"/>
  <c r="I62" i="5" s="1"/>
  <c r="G62" i="5" s="1"/>
  <c r="E63" i="5"/>
  <c r="I63" i="5" s="1"/>
  <c r="E64" i="5"/>
  <c r="I64" i="5" s="1"/>
  <c r="E65" i="5"/>
  <c r="I65" i="5" s="1"/>
  <c r="G65" i="5" s="1"/>
  <c r="E66" i="5"/>
  <c r="I66" i="5" s="1"/>
  <c r="G66" i="5" s="1"/>
  <c r="E67" i="5"/>
  <c r="I67" i="5" s="1"/>
  <c r="G67" i="5" s="1"/>
  <c r="E68" i="5"/>
  <c r="I68" i="5" s="1"/>
  <c r="E69" i="5"/>
  <c r="I69" i="5" s="1"/>
  <c r="E70" i="5"/>
  <c r="I70" i="5" s="1"/>
  <c r="E71" i="5"/>
  <c r="I71" i="5" s="1"/>
  <c r="G71" i="5" s="1"/>
  <c r="E72" i="5"/>
  <c r="I72" i="5" s="1"/>
  <c r="E73" i="5"/>
  <c r="I73" i="5" s="1"/>
  <c r="G73" i="5" s="1"/>
  <c r="E74" i="5"/>
  <c r="I74" i="5" s="1"/>
  <c r="G74" i="5" s="1"/>
  <c r="E75" i="5"/>
  <c r="I75" i="5" s="1"/>
  <c r="E76" i="5"/>
  <c r="I76" i="5" s="1"/>
  <c r="E77" i="5"/>
  <c r="I77" i="5" s="1"/>
  <c r="G77" i="5" s="1"/>
  <c r="E78" i="5"/>
  <c r="I78" i="5" s="1"/>
  <c r="G78" i="5" s="1"/>
  <c r="E79" i="5"/>
  <c r="I79" i="5" s="1"/>
  <c r="G79" i="5" s="1"/>
  <c r="E80" i="5"/>
  <c r="I80" i="5" s="1"/>
  <c r="E81" i="5"/>
  <c r="I81" i="5" s="1"/>
  <c r="E82" i="5"/>
  <c r="I82" i="5" s="1"/>
  <c r="E83" i="5"/>
  <c r="I83" i="5" s="1"/>
  <c r="G83" i="5" s="1"/>
  <c r="E84" i="5"/>
  <c r="I84" i="5" s="1"/>
  <c r="E85" i="5"/>
  <c r="I85" i="5" s="1"/>
  <c r="G85" i="5" s="1"/>
  <c r="E86" i="5"/>
  <c r="I86" i="5" s="1"/>
  <c r="G86" i="5" s="1"/>
  <c r="E87" i="5"/>
  <c r="I87" i="5" s="1"/>
  <c r="E88" i="5"/>
  <c r="I88" i="5" s="1"/>
  <c r="E89" i="5"/>
  <c r="I89" i="5" s="1"/>
  <c r="G89" i="5" s="1"/>
  <c r="E90" i="5"/>
  <c r="I90" i="5" s="1"/>
  <c r="G90" i="5" s="1"/>
  <c r="E91" i="5"/>
  <c r="I91" i="5" s="1"/>
  <c r="G91" i="5" s="1"/>
  <c r="E92" i="5"/>
  <c r="I92" i="5" s="1"/>
  <c r="E93" i="5"/>
  <c r="I93" i="5" s="1"/>
  <c r="E94" i="5"/>
  <c r="I94" i="5" s="1"/>
  <c r="E95" i="5"/>
  <c r="I95" i="5" s="1"/>
  <c r="G95" i="5" s="1"/>
  <c r="E96" i="5"/>
  <c r="I96" i="5" s="1"/>
  <c r="E97" i="5"/>
  <c r="I97" i="5" s="1"/>
  <c r="G97" i="5" s="1"/>
  <c r="E98" i="5"/>
  <c r="I98" i="5" s="1"/>
  <c r="G98" i="5" s="1"/>
  <c r="E99" i="5"/>
  <c r="I99" i="5" s="1"/>
  <c r="E100" i="5"/>
  <c r="I100" i="5" s="1"/>
  <c r="G100" i="5" s="1"/>
  <c r="E101" i="5"/>
  <c r="I101" i="5" s="1"/>
  <c r="G101" i="5" s="1"/>
  <c r="E102" i="5"/>
  <c r="I102" i="5" s="1"/>
  <c r="G102" i="5" s="1"/>
  <c r="E103" i="5"/>
  <c r="I103" i="5" s="1"/>
  <c r="G103" i="5" s="1"/>
  <c r="E104" i="5"/>
  <c r="I104" i="5" s="1"/>
  <c r="E106" i="5"/>
  <c r="I106" i="5" s="1"/>
  <c r="E107" i="5"/>
  <c r="I107" i="5" s="1"/>
  <c r="E108" i="5"/>
  <c r="I108" i="5" s="1"/>
  <c r="G108" i="5" s="1"/>
  <c r="E109" i="5"/>
  <c r="I109" i="5" s="1"/>
  <c r="E110" i="5"/>
  <c r="I110" i="5" s="1"/>
  <c r="G110" i="5" s="1"/>
  <c r="E111" i="5"/>
  <c r="I111" i="5" s="1"/>
  <c r="G111" i="5" s="1"/>
  <c r="E112" i="5"/>
  <c r="I112" i="5" s="1"/>
  <c r="E113" i="5"/>
  <c r="I113" i="5" s="1"/>
  <c r="E114" i="5"/>
  <c r="I114" i="5" s="1"/>
  <c r="G114" i="5" s="1"/>
  <c r="E115" i="5"/>
  <c r="I115" i="5" s="1"/>
  <c r="G115" i="5" s="1"/>
  <c r="E116" i="5"/>
  <c r="I116" i="5" s="1"/>
  <c r="G116" i="5" s="1"/>
  <c r="E117" i="5"/>
  <c r="I117" i="5" s="1"/>
  <c r="E118" i="5"/>
  <c r="I118" i="5" s="1"/>
  <c r="E119" i="5"/>
  <c r="I119" i="5" s="1"/>
  <c r="E120" i="5"/>
  <c r="I120" i="5" s="1"/>
  <c r="G120" i="5" s="1"/>
  <c r="E121" i="5"/>
  <c r="I121" i="5" s="1"/>
  <c r="E122" i="5"/>
  <c r="I122" i="5" s="1"/>
  <c r="G122" i="5" s="1"/>
  <c r="E123" i="5"/>
  <c r="I123" i="5" s="1"/>
  <c r="G123" i="5" s="1"/>
  <c r="E124" i="5"/>
  <c r="I124" i="5" s="1"/>
  <c r="E125" i="5"/>
  <c r="I125" i="5" s="1"/>
  <c r="E126" i="5"/>
  <c r="I126" i="5" s="1"/>
  <c r="G126" i="5" s="1"/>
  <c r="E127" i="5"/>
  <c r="I127" i="5" s="1"/>
  <c r="G127" i="5" s="1"/>
  <c r="E128" i="5"/>
  <c r="I128" i="5" s="1"/>
  <c r="G128" i="5" s="1"/>
  <c r="E129" i="5"/>
  <c r="I129" i="5" s="1"/>
  <c r="E130" i="5"/>
  <c r="I130" i="5" s="1"/>
  <c r="E131" i="5"/>
  <c r="I131" i="5" s="1"/>
  <c r="E132" i="5"/>
  <c r="I132" i="5" s="1"/>
  <c r="G132" i="5" s="1"/>
  <c r="E133" i="5"/>
  <c r="I133" i="5" s="1"/>
  <c r="E134" i="5"/>
  <c r="I134" i="5" s="1"/>
  <c r="G134" i="5" s="1"/>
  <c r="E135" i="5"/>
  <c r="I135" i="5" s="1"/>
  <c r="G135" i="5" s="1"/>
  <c r="E136" i="5"/>
  <c r="I136" i="5" s="1"/>
  <c r="E137" i="5"/>
  <c r="I137" i="5" s="1"/>
  <c r="E138" i="5"/>
  <c r="I138" i="5" s="1"/>
  <c r="G138" i="5" s="1"/>
  <c r="E139" i="5"/>
  <c r="I139" i="5" s="1"/>
  <c r="G139" i="5" s="1"/>
  <c r="E140" i="5"/>
  <c r="I140" i="5" s="1"/>
  <c r="G140" i="5" s="1"/>
  <c r="E141" i="5"/>
  <c r="I141" i="5" s="1"/>
  <c r="E142" i="5"/>
  <c r="I142" i="5" s="1"/>
  <c r="E143" i="5"/>
  <c r="I143" i="5" s="1"/>
  <c r="E144" i="5"/>
  <c r="I144" i="5" s="1"/>
  <c r="G144" i="5" s="1"/>
  <c r="E145" i="5"/>
  <c r="I145" i="5" s="1"/>
  <c r="E146" i="5"/>
  <c r="I146" i="5" s="1"/>
  <c r="G146" i="5" s="1"/>
  <c r="E147" i="5"/>
  <c r="I147" i="5" s="1"/>
  <c r="G147" i="5" s="1"/>
  <c r="E148" i="5"/>
  <c r="I148" i="5" s="1"/>
  <c r="E149" i="5"/>
  <c r="I149" i="5" s="1"/>
  <c r="E150" i="5"/>
  <c r="I150" i="5" s="1"/>
  <c r="G150" i="5" s="1"/>
  <c r="E151" i="5"/>
  <c r="I151" i="5" s="1"/>
  <c r="G151" i="5" s="1"/>
  <c r="E152" i="5"/>
  <c r="I152" i="5" s="1"/>
  <c r="G152" i="5" s="1"/>
  <c r="E153" i="5"/>
  <c r="I153" i="5" s="1"/>
  <c r="E154" i="5"/>
  <c r="I154" i="5" s="1"/>
  <c r="E155" i="5"/>
  <c r="I155" i="5" s="1"/>
  <c r="E156" i="5"/>
  <c r="I156" i="5" s="1"/>
  <c r="G156" i="5" s="1"/>
  <c r="E157" i="5"/>
  <c r="I157" i="5" s="1"/>
  <c r="E158" i="5"/>
  <c r="I158" i="5" s="1"/>
  <c r="G158" i="5" s="1"/>
  <c r="E159" i="5"/>
  <c r="I159" i="5" s="1"/>
  <c r="G159" i="5" s="1"/>
  <c r="E160" i="5"/>
  <c r="I160" i="5" s="1"/>
  <c r="E161" i="5"/>
  <c r="I161" i="5" s="1"/>
  <c r="E162" i="5"/>
  <c r="I162" i="5" s="1"/>
  <c r="G162" i="5" s="1"/>
  <c r="E163" i="5"/>
  <c r="I163" i="5" s="1"/>
  <c r="G163" i="5" s="1"/>
  <c r="E164" i="5"/>
  <c r="I164" i="5" s="1"/>
  <c r="G164" i="5" s="1"/>
  <c r="E165" i="5"/>
  <c r="I165" i="5" s="1"/>
  <c r="E166" i="5"/>
  <c r="I166" i="5" s="1"/>
  <c r="E167" i="5"/>
  <c r="I167" i="5" s="1"/>
  <c r="E168" i="5"/>
  <c r="I168" i="5" s="1"/>
  <c r="G168" i="5" s="1"/>
  <c r="E169" i="5"/>
  <c r="I169" i="5" s="1"/>
  <c r="E170" i="5"/>
  <c r="I170" i="5" s="1"/>
  <c r="G170" i="5" s="1"/>
  <c r="E171" i="5"/>
  <c r="I171" i="5" s="1"/>
  <c r="G171" i="5" s="1"/>
  <c r="E172" i="5"/>
  <c r="I172" i="5" s="1"/>
  <c r="E173" i="5"/>
  <c r="I173" i="5" s="1"/>
  <c r="E174" i="5"/>
  <c r="I174" i="5" s="1"/>
  <c r="G174" i="5" s="1"/>
  <c r="E175" i="5"/>
  <c r="I175" i="5" s="1"/>
  <c r="G175" i="5" s="1"/>
  <c r="E176" i="5"/>
  <c r="I176" i="5" s="1"/>
  <c r="G176" i="5" s="1"/>
  <c r="E177" i="5"/>
  <c r="I177" i="5" s="1"/>
  <c r="E178" i="5"/>
  <c r="I178" i="5" s="1"/>
  <c r="E179" i="5"/>
  <c r="I179" i="5" s="1"/>
  <c r="E180" i="5"/>
  <c r="I180" i="5" s="1"/>
  <c r="G180" i="5" s="1"/>
  <c r="E181" i="5"/>
  <c r="I181" i="5" s="1"/>
  <c r="E182" i="5"/>
  <c r="I182" i="5" s="1"/>
  <c r="G182" i="5" s="1"/>
  <c r="E183" i="5"/>
  <c r="I183" i="5" s="1"/>
  <c r="G183" i="5" s="1"/>
  <c r="E184" i="5"/>
  <c r="I184" i="5" s="1"/>
  <c r="E185" i="5"/>
  <c r="I185" i="5" s="1"/>
  <c r="E186" i="5"/>
  <c r="I186" i="5" s="1"/>
  <c r="G186" i="5" s="1"/>
  <c r="E187" i="5"/>
  <c r="I187" i="5" s="1"/>
  <c r="G187" i="5" s="1"/>
  <c r="E188" i="5"/>
  <c r="I188" i="5" s="1"/>
  <c r="G188" i="5" s="1"/>
  <c r="E189" i="5"/>
  <c r="I189" i="5" s="1"/>
  <c r="E190" i="5"/>
  <c r="I190" i="5" s="1"/>
  <c r="E191" i="5"/>
  <c r="I191" i="5" s="1"/>
  <c r="E192" i="5"/>
  <c r="I192" i="5" s="1"/>
  <c r="G192" i="5" s="1"/>
  <c r="E193" i="5"/>
  <c r="I193" i="5" s="1"/>
  <c r="E194" i="5"/>
  <c r="I194" i="5" s="1"/>
  <c r="G194" i="5" s="1"/>
  <c r="E195" i="5"/>
  <c r="I195" i="5" s="1"/>
  <c r="G195" i="5" s="1"/>
  <c r="E196" i="5"/>
  <c r="I196" i="5" s="1"/>
  <c r="E197" i="5"/>
  <c r="I197" i="5" s="1"/>
  <c r="E198" i="5"/>
  <c r="I198" i="5" s="1"/>
  <c r="G198" i="5" s="1"/>
  <c r="E199" i="5"/>
  <c r="I199" i="5" s="1"/>
  <c r="G199" i="5" s="1"/>
  <c r="E200" i="5"/>
  <c r="I200" i="5" s="1"/>
  <c r="G200" i="5" s="1"/>
  <c r="E201" i="5"/>
  <c r="I201" i="5" s="1"/>
  <c r="E202" i="5"/>
  <c r="I202" i="5" s="1"/>
  <c r="E203" i="5"/>
  <c r="I203" i="5" s="1"/>
  <c r="E204" i="5"/>
  <c r="I204" i="5" s="1"/>
  <c r="G204" i="5" s="1"/>
  <c r="E205" i="5"/>
  <c r="I205" i="5" s="1"/>
  <c r="E206" i="5"/>
  <c r="I206" i="5" s="1"/>
  <c r="G206" i="5" s="1"/>
  <c r="E207" i="5"/>
  <c r="I207" i="5" s="1"/>
  <c r="G207" i="5" s="1"/>
  <c r="E208" i="5"/>
  <c r="I208" i="5" s="1"/>
  <c r="E209" i="5"/>
  <c r="I209" i="5" s="1"/>
  <c r="E210" i="5"/>
  <c r="I210" i="5" s="1"/>
  <c r="G210" i="5" s="1"/>
  <c r="E211" i="5"/>
  <c r="I211" i="5" s="1"/>
  <c r="G211" i="5" s="1"/>
  <c r="E212" i="5"/>
  <c r="I212" i="5" s="1"/>
  <c r="G212" i="5" s="1"/>
  <c r="E213" i="5"/>
  <c r="I213" i="5" s="1"/>
  <c r="E214" i="5"/>
  <c r="I214" i="5" s="1"/>
  <c r="E215" i="5"/>
  <c r="I215" i="5" s="1"/>
  <c r="E216" i="5"/>
  <c r="I216" i="5" s="1"/>
  <c r="G216" i="5" s="1"/>
  <c r="E217" i="5"/>
  <c r="I217" i="5" s="1"/>
  <c r="E218" i="5"/>
  <c r="I218" i="5" s="1"/>
  <c r="G218" i="5" s="1"/>
  <c r="E219" i="5"/>
  <c r="I219" i="5" s="1"/>
  <c r="G219" i="5" s="1"/>
  <c r="E220" i="5"/>
  <c r="I220" i="5" s="1"/>
  <c r="E221" i="5"/>
  <c r="I221" i="5" s="1"/>
  <c r="E222" i="5"/>
  <c r="I222" i="5" s="1"/>
  <c r="G222" i="5" s="1"/>
  <c r="E223" i="5"/>
  <c r="I223" i="5" s="1"/>
  <c r="G223" i="5" s="1"/>
  <c r="E224" i="5"/>
  <c r="I224" i="5" s="1"/>
  <c r="G224" i="5" s="1"/>
  <c r="E225" i="5"/>
  <c r="I225" i="5" s="1"/>
  <c r="E226" i="5"/>
  <c r="I226" i="5" s="1"/>
  <c r="E227" i="5"/>
  <c r="I227" i="5" s="1"/>
  <c r="E228" i="5"/>
  <c r="I228" i="5" s="1"/>
  <c r="G228" i="5" s="1"/>
  <c r="E229" i="5"/>
  <c r="I229" i="5" s="1"/>
  <c r="E230" i="5"/>
  <c r="I230" i="5" s="1"/>
  <c r="G230" i="5" s="1"/>
  <c r="E231" i="5"/>
  <c r="I231" i="5" s="1"/>
  <c r="G231" i="5" s="1"/>
  <c r="E232" i="5"/>
  <c r="I232" i="5" s="1"/>
  <c r="E233" i="5"/>
  <c r="I233" i="5" s="1"/>
  <c r="E234" i="5"/>
  <c r="I234" i="5" s="1"/>
  <c r="G234" i="5" s="1"/>
  <c r="E235" i="5"/>
  <c r="I235" i="5" s="1"/>
  <c r="G235" i="5" s="1"/>
  <c r="E236" i="5"/>
  <c r="I236" i="5" s="1"/>
  <c r="G236" i="5" s="1"/>
  <c r="E237" i="5"/>
  <c r="I237" i="5" s="1"/>
  <c r="E238" i="5"/>
  <c r="I238" i="5" s="1"/>
  <c r="E239" i="5"/>
  <c r="I239" i="5" s="1"/>
  <c r="E240" i="5"/>
  <c r="I240" i="5" s="1"/>
  <c r="G240" i="5" s="1"/>
  <c r="E241" i="5"/>
  <c r="I241" i="5" s="1"/>
  <c r="E242" i="5"/>
  <c r="I242" i="5" s="1"/>
  <c r="G242" i="5" s="1"/>
  <c r="E243" i="5"/>
  <c r="I243" i="5" s="1"/>
  <c r="G243" i="5" s="1"/>
  <c r="E246" i="5"/>
  <c r="I246" i="5" s="1"/>
  <c r="E247" i="5"/>
  <c r="I247" i="5" s="1"/>
  <c r="E248" i="5"/>
  <c r="I248" i="5" s="1"/>
  <c r="G248" i="5" s="1"/>
  <c r="E249" i="5"/>
  <c r="I249" i="5" s="1"/>
  <c r="G249" i="5" s="1"/>
  <c r="E250" i="5"/>
  <c r="I250" i="5" s="1"/>
  <c r="G250" i="5" s="1"/>
  <c r="E251" i="5"/>
  <c r="I251" i="5" s="1"/>
  <c r="E252" i="5"/>
  <c r="I252" i="5" s="1"/>
  <c r="E253" i="5"/>
  <c r="I253" i="5" s="1"/>
  <c r="E254" i="5"/>
  <c r="I254" i="5" s="1"/>
  <c r="G254" i="5" s="1"/>
  <c r="E255" i="5"/>
  <c r="I255" i="5" s="1"/>
  <c r="E256" i="5"/>
  <c r="I256" i="5" s="1"/>
  <c r="G256" i="5" s="1"/>
  <c r="E257" i="5"/>
  <c r="I257" i="5" s="1"/>
  <c r="G257" i="5" s="1"/>
  <c r="E258" i="5"/>
  <c r="I258" i="5" s="1"/>
  <c r="E259" i="5"/>
  <c r="I259" i="5" s="1"/>
  <c r="E260" i="5"/>
  <c r="I260" i="5" s="1"/>
  <c r="G260" i="5" s="1"/>
  <c r="E261" i="5"/>
  <c r="I261" i="5" s="1"/>
  <c r="G261" i="5" s="1"/>
  <c r="E262" i="5"/>
  <c r="I262" i="5" s="1"/>
  <c r="G262" i="5" s="1"/>
  <c r="E263" i="5"/>
  <c r="I263" i="5" s="1"/>
  <c r="E264" i="5"/>
  <c r="I264" i="5" s="1"/>
  <c r="E265" i="5"/>
  <c r="I265" i="5" s="1"/>
  <c r="E266" i="5"/>
  <c r="I266" i="5" s="1"/>
  <c r="G266" i="5" s="1"/>
  <c r="E267" i="5"/>
  <c r="I267" i="5" s="1"/>
  <c r="E268" i="5"/>
  <c r="I268" i="5" s="1"/>
  <c r="G268" i="5" s="1"/>
  <c r="E269" i="5"/>
  <c r="I269" i="5" s="1"/>
  <c r="G269" i="5" s="1"/>
  <c r="E270" i="5"/>
  <c r="I270" i="5" s="1"/>
  <c r="E271" i="5"/>
  <c r="I271" i="5" s="1"/>
  <c r="E272" i="5"/>
  <c r="I272" i="5" s="1"/>
  <c r="G272" i="5" s="1"/>
  <c r="E273" i="5"/>
  <c r="I273" i="5" s="1"/>
  <c r="G273" i="5" s="1"/>
  <c r="E274" i="5"/>
  <c r="I274" i="5" s="1"/>
  <c r="G274" i="5" s="1"/>
  <c r="E275" i="5"/>
  <c r="I275" i="5" s="1"/>
  <c r="E276" i="5"/>
  <c r="I276" i="5" s="1"/>
  <c r="E277" i="5"/>
  <c r="I277" i="5" s="1"/>
  <c r="E278" i="5"/>
  <c r="I278" i="5" s="1"/>
  <c r="G278" i="5" s="1"/>
  <c r="E279" i="5"/>
  <c r="I279" i="5" s="1"/>
  <c r="E280" i="5"/>
  <c r="I280" i="5" s="1"/>
  <c r="G280" i="5" s="1"/>
  <c r="E281" i="5"/>
  <c r="I281" i="5" s="1"/>
  <c r="G281" i="5" s="1"/>
  <c r="E282" i="5"/>
  <c r="I282" i="5" s="1"/>
  <c r="E283" i="5"/>
  <c r="I283" i="5" s="1"/>
  <c r="E285" i="5"/>
  <c r="I285" i="5" s="1"/>
  <c r="G285" i="5" s="1"/>
  <c r="F2" i="5"/>
  <c r="J2" i="5" s="1"/>
  <c r="E2" i="5"/>
  <c r="I2" i="5" s="1"/>
  <c r="G11" i="5" l="1"/>
  <c r="G277" i="5"/>
  <c r="G265" i="5"/>
  <c r="G253" i="5"/>
  <c r="G239" i="5"/>
  <c r="G227" i="5"/>
  <c r="G215" i="5"/>
  <c r="G203" i="5"/>
  <c r="G191" i="5"/>
  <c r="G179" i="5"/>
  <c r="G167" i="5"/>
  <c r="G155" i="5"/>
  <c r="G143" i="5"/>
  <c r="G131" i="5"/>
  <c r="G119" i="5"/>
  <c r="G107" i="5"/>
  <c r="G94" i="5"/>
  <c r="G82" i="5"/>
  <c r="G70" i="5"/>
  <c r="G58" i="5"/>
  <c r="G46" i="5"/>
  <c r="G34" i="5"/>
  <c r="G22" i="5"/>
  <c r="G10" i="5"/>
  <c r="G276" i="5"/>
  <c r="G264" i="5"/>
  <c r="G252" i="5"/>
  <c r="G238" i="5"/>
  <c r="G226" i="5"/>
  <c r="G214" i="5"/>
  <c r="G202" i="5"/>
  <c r="G190" i="5"/>
  <c r="G178" i="5"/>
  <c r="G166" i="5"/>
  <c r="G154" i="5"/>
  <c r="G142" i="5"/>
  <c r="G130" i="5"/>
  <c r="G118" i="5"/>
  <c r="G106" i="5"/>
  <c r="G93" i="5"/>
  <c r="G81" i="5"/>
  <c r="G69" i="5"/>
  <c r="G57" i="5"/>
  <c r="G45" i="5"/>
  <c r="G33" i="5"/>
  <c r="G21" i="5"/>
  <c r="G9" i="5"/>
  <c r="G275" i="5"/>
  <c r="G263" i="5"/>
  <c r="G251" i="5"/>
  <c r="G237" i="5"/>
  <c r="G225" i="5"/>
  <c r="G213" i="5"/>
  <c r="G201" i="5"/>
  <c r="G189" i="5"/>
  <c r="G177" i="5"/>
  <c r="G165" i="5"/>
  <c r="G153" i="5"/>
  <c r="G141" i="5"/>
  <c r="G129" i="5"/>
  <c r="G117" i="5"/>
  <c r="G104" i="5"/>
  <c r="G92" i="5"/>
  <c r="G80" i="5"/>
  <c r="G68" i="5"/>
  <c r="G56" i="5"/>
  <c r="G44" i="5"/>
  <c r="G32" i="5"/>
  <c r="G20" i="5"/>
  <c r="G8" i="5"/>
  <c r="G244" i="5"/>
  <c r="G283" i="5"/>
  <c r="G271" i="5"/>
  <c r="G259" i="5"/>
  <c r="G247" i="5"/>
  <c r="G233" i="5"/>
  <c r="G221" i="5"/>
  <c r="G209" i="5"/>
  <c r="G197" i="5"/>
  <c r="G185" i="5"/>
  <c r="G173" i="5"/>
  <c r="G161" i="5"/>
  <c r="G149" i="5"/>
  <c r="G137" i="5"/>
  <c r="G125" i="5"/>
  <c r="G113" i="5"/>
  <c r="G88" i="5"/>
  <c r="G76" i="5"/>
  <c r="G64" i="5"/>
  <c r="G40" i="5"/>
  <c r="G28" i="5"/>
  <c r="G16" i="5"/>
  <c r="G282" i="5"/>
  <c r="G270" i="5"/>
  <c r="G258" i="5"/>
  <c r="G246" i="5"/>
  <c r="G232" i="5"/>
  <c r="G220" i="5"/>
  <c r="G208" i="5"/>
  <c r="G196" i="5"/>
  <c r="G184" i="5"/>
  <c r="G172" i="5"/>
  <c r="G160" i="5"/>
  <c r="G148" i="5"/>
  <c r="G136" i="5"/>
  <c r="G124" i="5"/>
  <c r="G112" i="5"/>
  <c r="G99" i="5"/>
  <c r="G87" i="5"/>
  <c r="G75" i="5"/>
  <c r="G63" i="5"/>
  <c r="G51" i="5"/>
  <c r="G39" i="5"/>
  <c r="G27" i="5"/>
  <c r="G15" i="5"/>
  <c r="G3" i="5"/>
  <c r="Q286" i="3"/>
  <c r="G229" i="5"/>
  <c r="G12" i="5"/>
  <c r="Q246" i="3"/>
  <c r="G121" i="5"/>
  <c r="G193" i="5"/>
  <c r="G48" i="5"/>
  <c r="G267" i="5"/>
  <c r="G2" i="5"/>
  <c r="G157" i="5"/>
  <c r="G84" i="5"/>
  <c r="Q245" i="3"/>
  <c r="G279" i="5"/>
  <c r="G241" i="5"/>
  <c r="G205" i="5"/>
  <c r="G169" i="5"/>
  <c r="G133" i="5"/>
  <c r="G96" i="5"/>
  <c r="G60" i="5"/>
  <c r="G24" i="5"/>
  <c r="G255" i="5"/>
  <c r="G217" i="5"/>
  <c r="G181" i="5"/>
  <c r="G145" i="5"/>
  <c r="G109" i="5"/>
  <c r="G72" i="5"/>
  <c r="G36" i="5"/>
  <c r="S244" i="3"/>
  <c r="S247" i="3"/>
  <c r="S248" i="3"/>
  <c r="S249" i="3"/>
  <c r="S250" i="3"/>
  <c r="S251" i="3"/>
  <c r="S252" i="3"/>
  <c r="S253" i="3"/>
  <c r="S254" i="3"/>
  <c r="S255" i="3"/>
  <c r="S256" i="3"/>
  <c r="S257" i="3"/>
  <c r="S258" i="3"/>
  <c r="S259" i="3"/>
  <c r="S260" i="3"/>
  <c r="S261" i="3"/>
  <c r="S262" i="3"/>
  <c r="S263" i="3"/>
  <c r="S264" i="3"/>
  <c r="S265" i="3"/>
  <c r="S266" i="3"/>
  <c r="S267" i="3"/>
  <c r="S268" i="3"/>
  <c r="S269" i="3"/>
  <c r="S270" i="3"/>
  <c r="S271" i="3"/>
  <c r="S272" i="3"/>
  <c r="S273" i="3"/>
  <c r="S274" i="3"/>
  <c r="S275" i="3"/>
  <c r="S276" i="3"/>
  <c r="S277" i="3"/>
  <c r="S278" i="3"/>
  <c r="S279" i="3"/>
  <c r="S280" i="3"/>
  <c r="S281" i="3"/>
  <c r="S282" i="3"/>
  <c r="S283" i="3"/>
  <c r="S284" i="3"/>
  <c r="S285" i="3"/>
  <c r="S287" i="3"/>
  <c r="S179" i="3"/>
  <c r="S180" i="3"/>
  <c r="S181" i="3"/>
  <c r="S182" i="3"/>
  <c r="S183" i="3"/>
  <c r="S184" i="3"/>
  <c r="S185" i="3"/>
  <c r="S186" i="3"/>
  <c r="S187" i="3"/>
  <c r="S188" i="3"/>
  <c r="S189" i="3"/>
  <c r="S190" i="3"/>
  <c r="S191" i="3"/>
  <c r="S192" i="3"/>
  <c r="S193" i="3"/>
  <c r="S194" i="3"/>
  <c r="S195" i="3"/>
  <c r="S196" i="3"/>
  <c r="S197" i="3"/>
  <c r="S198" i="3"/>
  <c r="S199" i="3"/>
  <c r="S200" i="3"/>
  <c r="S201" i="3"/>
  <c r="S202" i="3"/>
  <c r="S203" i="3"/>
  <c r="S204" i="3"/>
  <c r="S205" i="3"/>
  <c r="S206" i="3"/>
  <c r="S207" i="3"/>
  <c r="S208" i="3"/>
  <c r="S209" i="3"/>
  <c r="S210" i="3"/>
  <c r="S211" i="3"/>
  <c r="S212" i="3"/>
  <c r="S213" i="3"/>
  <c r="S214" i="3"/>
  <c r="S215" i="3"/>
  <c r="S216" i="3"/>
  <c r="S217" i="3"/>
  <c r="S218" i="3"/>
  <c r="S219" i="3"/>
  <c r="S220" i="3"/>
  <c r="S221" i="3"/>
  <c r="S222" i="3"/>
  <c r="S223" i="3"/>
  <c r="S224" i="3"/>
  <c r="S225" i="3"/>
  <c r="S226" i="3"/>
  <c r="S227" i="3"/>
  <c r="S228" i="3"/>
  <c r="S229" i="3"/>
  <c r="S230" i="3"/>
  <c r="S231" i="3"/>
  <c r="S232" i="3"/>
  <c r="S233" i="3"/>
  <c r="S234" i="3"/>
  <c r="S235" i="3"/>
  <c r="S236" i="3"/>
  <c r="S237" i="3"/>
  <c r="S238" i="3"/>
  <c r="S239" i="3"/>
  <c r="S240" i="3"/>
  <c r="S241" i="3"/>
  <c r="S242" i="3"/>
  <c r="S243" i="3"/>
  <c r="S150" i="3"/>
  <c r="S151" i="3"/>
  <c r="S152" i="3"/>
  <c r="S153" i="3"/>
  <c r="S154" i="3"/>
  <c r="S155" i="3"/>
  <c r="S156" i="3"/>
  <c r="S157" i="3"/>
  <c r="S158" i="3"/>
  <c r="S159" i="3"/>
  <c r="S160" i="3"/>
  <c r="S161" i="3"/>
  <c r="S162" i="3"/>
  <c r="S163" i="3"/>
  <c r="S164" i="3"/>
  <c r="S165" i="3"/>
  <c r="S166" i="3"/>
  <c r="S167" i="3"/>
  <c r="S168" i="3"/>
  <c r="S169" i="3"/>
  <c r="S170" i="3"/>
  <c r="S171" i="3"/>
  <c r="S172" i="3"/>
  <c r="S173" i="3"/>
  <c r="S174" i="3"/>
  <c r="S175" i="3"/>
  <c r="S176" i="3"/>
  <c r="S177" i="3"/>
  <c r="S178" i="3"/>
  <c r="S130" i="3"/>
  <c r="S131" i="3"/>
  <c r="S132" i="3"/>
  <c r="S133" i="3"/>
  <c r="S134" i="3"/>
  <c r="S135" i="3"/>
  <c r="S136" i="3"/>
  <c r="S137" i="3"/>
  <c r="S138" i="3"/>
  <c r="S139" i="3"/>
  <c r="S140" i="3"/>
  <c r="S141" i="3"/>
  <c r="S142" i="3"/>
  <c r="S143" i="3"/>
  <c r="S144" i="3"/>
  <c r="S145" i="3"/>
  <c r="S146" i="3"/>
  <c r="S147" i="3"/>
  <c r="S148" i="3"/>
  <c r="S149" i="3"/>
  <c r="S111" i="3"/>
  <c r="S112" i="3"/>
  <c r="S113" i="3"/>
  <c r="S114" i="3"/>
  <c r="S115" i="3"/>
  <c r="S116" i="3"/>
  <c r="S117" i="3"/>
  <c r="S118" i="3"/>
  <c r="S119" i="3"/>
  <c r="S120" i="3"/>
  <c r="S121" i="3"/>
  <c r="S122" i="3"/>
  <c r="S123" i="3"/>
  <c r="S124" i="3"/>
  <c r="S125" i="3"/>
  <c r="S126" i="3"/>
  <c r="S127" i="3"/>
  <c r="S128" i="3"/>
  <c r="S129" i="3"/>
  <c r="S90" i="3"/>
  <c r="S91" i="3"/>
  <c r="S92" i="3"/>
  <c r="S93" i="3"/>
  <c r="S94" i="3"/>
  <c r="S95" i="3"/>
  <c r="S96" i="3"/>
  <c r="S97" i="3"/>
  <c r="S98" i="3"/>
  <c r="S99" i="3"/>
  <c r="S100" i="3"/>
  <c r="S101" i="3"/>
  <c r="S102" i="3"/>
  <c r="S103" i="3"/>
  <c r="S104" i="3"/>
  <c r="S106" i="3"/>
  <c r="S107" i="3"/>
  <c r="S108" i="3"/>
  <c r="S109" i="3"/>
  <c r="S110" i="3"/>
  <c r="S68" i="3"/>
  <c r="S69" i="3"/>
  <c r="S70" i="3"/>
  <c r="S71" i="3"/>
  <c r="S72" i="3"/>
  <c r="S73" i="3"/>
  <c r="S74" i="3"/>
  <c r="S75" i="3"/>
  <c r="S76" i="3"/>
  <c r="S77" i="3"/>
  <c r="S78" i="3"/>
  <c r="S79" i="3"/>
  <c r="S80" i="3"/>
  <c r="S81" i="3"/>
  <c r="S82" i="3"/>
  <c r="S83" i="3"/>
  <c r="S84" i="3"/>
  <c r="S85" i="3"/>
  <c r="S86" i="3"/>
  <c r="S87" i="3"/>
  <c r="S88" i="3"/>
  <c r="S89" i="3"/>
  <c r="S42" i="3"/>
  <c r="S43" i="3"/>
  <c r="S44" i="3"/>
  <c r="S45" i="3"/>
  <c r="S46" i="3"/>
  <c r="S47" i="3"/>
  <c r="S48" i="3"/>
  <c r="S49" i="3"/>
  <c r="S50" i="3"/>
  <c r="S51" i="3"/>
  <c r="S52" i="3"/>
  <c r="S53" i="3"/>
  <c r="S54" i="3"/>
  <c r="S55" i="3"/>
  <c r="S56" i="3"/>
  <c r="S57" i="3"/>
  <c r="S58" i="3"/>
  <c r="S59" i="3"/>
  <c r="S60" i="3"/>
  <c r="S61" i="3"/>
  <c r="S62" i="3"/>
  <c r="S63" i="3"/>
  <c r="S64" i="3"/>
  <c r="S65" i="3"/>
  <c r="S66" i="3"/>
  <c r="S67" i="3"/>
  <c r="S3" i="3"/>
  <c r="S4" i="3"/>
  <c r="S5" i="3"/>
  <c r="S6" i="3"/>
  <c r="S7" i="3"/>
  <c r="S8" i="3"/>
  <c r="S9" i="3"/>
  <c r="S10" i="3"/>
  <c r="S11" i="3"/>
  <c r="S12" i="3"/>
  <c r="S13" i="3"/>
  <c r="S14" i="3"/>
  <c r="S15" i="3"/>
  <c r="S16" i="3"/>
  <c r="S17" i="3"/>
  <c r="S18" i="3"/>
  <c r="S19" i="3"/>
  <c r="S20" i="3"/>
  <c r="S21" i="3"/>
  <c r="S22" i="3"/>
  <c r="S23" i="3"/>
  <c r="S24" i="3"/>
  <c r="S25" i="3"/>
  <c r="S26" i="3"/>
  <c r="S27" i="3"/>
  <c r="S28" i="3"/>
  <c r="S29" i="3"/>
  <c r="S30" i="3"/>
  <c r="S31" i="3"/>
  <c r="S32" i="3"/>
  <c r="S33" i="3"/>
  <c r="S34" i="3"/>
  <c r="S35" i="3"/>
  <c r="S36" i="3"/>
  <c r="S37" i="3"/>
  <c r="S38" i="3"/>
  <c r="S39" i="3"/>
  <c r="S40" i="3"/>
  <c r="S41" i="3"/>
  <c r="S2" i="3"/>
  <c r="P287" i="3"/>
  <c r="O287" i="3"/>
  <c r="N287" i="3"/>
  <c r="M287" i="3"/>
  <c r="L287" i="3"/>
  <c r="K287" i="3"/>
  <c r="J287" i="3"/>
  <c r="I287" i="3"/>
  <c r="H287" i="3"/>
  <c r="G287" i="3"/>
  <c r="F287" i="3"/>
  <c r="E287" i="3"/>
  <c r="P285" i="3"/>
  <c r="O285" i="3"/>
  <c r="N285" i="3"/>
  <c r="M285" i="3"/>
  <c r="L285" i="3"/>
  <c r="K285" i="3"/>
  <c r="J285" i="3"/>
  <c r="I285" i="3"/>
  <c r="H285" i="3"/>
  <c r="G285" i="3"/>
  <c r="F285" i="3"/>
  <c r="E285" i="3"/>
  <c r="P284" i="3"/>
  <c r="O284" i="3"/>
  <c r="N284" i="3"/>
  <c r="M284" i="3"/>
  <c r="L284" i="3"/>
  <c r="K284" i="3"/>
  <c r="J284" i="3"/>
  <c r="I284" i="3"/>
  <c r="H284" i="3"/>
  <c r="G284" i="3"/>
  <c r="F284" i="3"/>
  <c r="E284" i="3"/>
  <c r="P283" i="3"/>
  <c r="O283" i="3"/>
  <c r="N283" i="3"/>
  <c r="M283" i="3"/>
  <c r="L283" i="3"/>
  <c r="K283" i="3"/>
  <c r="J283" i="3"/>
  <c r="I283" i="3"/>
  <c r="H283" i="3"/>
  <c r="G283" i="3"/>
  <c r="F283" i="3"/>
  <c r="E283" i="3"/>
  <c r="P282" i="3"/>
  <c r="O282" i="3"/>
  <c r="N282" i="3"/>
  <c r="M282" i="3"/>
  <c r="L282" i="3"/>
  <c r="K282" i="3"/>
  <c r="J282" i="3"/>
  <c r="I282" i="3"/>
  <c r="H282" i="3"/>
  <c r="G282" i="3"/>
  <c r="F282" i="3"/>
  <c r="E282" i="3"/>
  <c r="P281" i="3"/>
  <c r="O281" i="3"/>
  <c r="N281" i="3"/>
  <c r="M281" i="3"/>
  <c r="L281" i="3"/>
  <c r="K281" i="3"/>
  <c r="J281" i="3"/>
  <c r="I281" i="3"/>
  <c r="H281" i="3"/>
  <c r="G281" i="3"/>
  <c r="F281" i="3"/>
  <c r="E281" i="3"/>
  <c r="P280" i="3"/>
  <c r="O280" i="3"/>
  <c r="N280" i="3"/>
  <c r="M280" i="3"/>
  <c r="L280" i="3"/>
  <c r="K280" i="3"/>
  <c r="J280" i="3"/>
  <c r="I280" i="3"/>
  <c r="H280" i="3"/>
  <c r="G280" i="3"/>
  <c r="F280" i="3"/>
  <c r="E280" i="3"/>
  <c r="P279" i="3"/>
  <c r="O279" i="3"/>
  <c r="N279" i="3"/>
  <c r="M279" i="3"/>
  <c r="L279" i="3"/>
  <c r="K279" i="3"/>
  <c r="J279" i="3"/>
  <c r="I279" i="3"/>
  <c r="H279" i="3"/>
  <c r="G279" i="3"/>
  <c r="F279" i="3"/>
  <c r="E279" i="3"/>
  <c r="P278" i="3"/>
  <c r="O278" i="3"/>
  <c r="N278" i="3"/>
  <c r="M278" i="3"/>
  <c r="L278" i="3"/>
  <c r="K278" i="3"/>
  <c r="J278" i="3"/>
  <c r="I278" i="3"/>
  <c r="H278" i="3"/>
  <c r="G278" i="3"/>
  <c r="F278" i="3"/>
  <c r="E278" i="3"/>
  <c r="P277" i="3"/>
  <c r="O277" i="3"/>
  <c r="N277" i="3"/>
  <c r="M277" i="3"/>
  <c r="L277" i="3"/>
  <c r="K277" i="3"/>
  <c r="J277" i="3"/>
  <c r="I277" i="3"/>
  <c r="H277" i="3"/>
  <c r="G277" i="3"/>
  <c r="F277" i="3"/>
  <c r="E277" i="3"/>
  <c r="P276" i="3"/>
  <c r="O276" i="3"/>
  <c r="N276" i="3"/>
  <c r="M276" i="3"/>
  <c r="L276" i="3"/>
  <c r="K276" i="3"/>
  <c r="J276" i="3"/>
  <c r="I276" i="3"/>
  <c r="H276" i="3"/>
  <c r="G276" i="3"/>
  <c r="F276" i="3"/>
  <c r="E276" i="3"/>
  <c r="P275" i="3"/>
  <c r="O275" i="3"/>
  <c r="N275" i="3"/>
  <c r="M275" i="3"/>
  <c r="L275" i="3"/>
  <c r="K275" i="3"/>
  <c r="J275" i="3"/>
  <c r="I275" i="3"/>
  <c r="H275" i="3"/>
  <c r="G275" i="3"/>
  <c r="F275" i="3"/>
  <c r="E275" i="3"/>
  <c r="P274" i="3"/>
  <c r="O274" i="3"/>
  <c r="N274" i="3"/>
  <c r="M274" i="3"/>
  <c r="L274" i="3"/>
  <c r="K274" i="3"/>
  <c r="J274" i="3"/>
  <c r="I274" i="3"/>
  <c r="H274" i="3"/>
  <c r="G274" i="3"/>
  <c r="F274" i="3"/>
  <c r="E274" i="3"/>
  <c r="P273" i="3"/>
  <c r="O273" i="3"/>
  <c r="N273" i="3"/>
  <c r="M273" i="3"/>
  <c r="L273" i="3"/>
  <c r="K273" i="3"/>
  <c r="J273" i="3"/>
  <c r="I273" i="3"/>
  <c r="H273" i="3"/>
  <c r="G273" i="3"/>
  <c r="F273" i="3"/>
  <c r="E273" i="3"/>
  <c r="P272" i="3"/>
  <c r="O272" i="3"/>
  <c r="N272" i="3"/>
  <c r="M272" i="3"/>
  <c r="L272" i="3"/>
  <c r="K272" i="3"/>
  <c r="J272" i="3"/>
  <c r="I272" i="3"/>
  <c r="H272" i="3"/>
  <c r="G272" i="3"/>
  <c r="F272" i="3"/>
  <c r="E272" i="3"/>
  <c r="P271" i="3"/>
  <c r="O271" i="3"/>
  <c r="N271" i="3"/>
  <c r="M271" i="3"/>
  <c r="L271" i="3"/>
  <c r="K271" i="3"/>
  <c r="J271" i="3"/>
  <c r="I271" i="3"/>
  <c r="H271" i="3"/>
  <c r="G271" i="3"/>
  <c r="F271" i="3"/>
  <c r="E271" i="3"/>
  <c r="P270" i="3"/>
  <c r="O270" i="3"/>
  <c r="N270" i="3"/>
  <c r="M270" i="3"/>
  <c r="L270" i="3"/>
  <c r="K270" i="3"/>
  <c r="J270" i="3"/>
  <c r="I270" i="3"/>
  <c r="H270" i="3"/>
  <c r="G270" i="3"/>
  <c r="F270" i="3"/>
  <c r="E270" i="3"/>
  <c r="P269" i="3"/>
  <c r="O269" i="3"/>
  <c r="N269" i="3"/>
  <c r="M269" i="3"/>
  <c r="L269" i="3"/>
  <c r="K269" i="3"/>
  <c r="J269" i="3"/>
  <c r="I269" i="3"/>
  <c r="H269" i="3"/>
  <c r="G269" i="3"/>
  <c r="F269" i="3"/>
  <c r="E269" i="3"/>
  <c r="P268" i="3"/>
  <c r="O268" i="3"/>
  <c r="N268" i="3"/>
  <c r="M268" i="3"/>
  <c r="L268" i="3"/>
  <c r="K268" i="3"/>
  <c r="J268" i="3"/>
  <c r="I268" i="3"/>
  <c r="H268" i="3"/>
  <c r="G268" i="3"/>
  <c r="F268" i="3"/>
  <c r="E268" i="3"/>
  <c r="P267" i="3"/>
  <c r="O267" i="3"/>
  <c r="N267" i="3"/>
  <c r="M267" i="3"/>
  <c r="L267" i="3"/>
  <c r="K267" i="3"/>
  <c r="J267" i="3"/>
  <c r="I267" i="3"/>
  <c r="H267" i="3"/>
  <c r="G267" i="3"/>
  <c r="F267" i="3"/>
  <c r="E267" i="3"/>
  <c r="P266" i="3"/>
  <c r="O266" i="3"/>
  <c r="N266" i="3"/>
  <c r="M266" i="3"/>
  <c r="L266" i="3"/>
  <c r="K266" i="3"/>
  <c r="J266" i="3"/>
  <c r="I266" i="3"/>
  <c r="H266" i="3"/>
  <c r="G266" i="3"/>
  <c r="F266" i="3"/>
  <c r="E266" i="3"/>
  <c r="P265" i="3"/>
  <c r="O265" i="3"/>
  <c r="N265" i="3"/>
  <c r="M265" i="3"/>
  <c r="L265" i="3"/>
  <c r="K265" i="3"/>
  <c r="J265" i="3"/>
  <c r="I265" i="3"/>
  <c r="H265" i="3"/>
  <c r="G265" i="3"/>
  <c r="F265" i="3"/>
  <c r="E265" i="3"/>
  <c r="P264" i="3"/>
  <c r="O264" i="3"/>
  <c r="N264" i="3"/>
  <c r="M264" i="3"/>
  <c r="L264" i="3"/>
  <c r="K264" i="3"/>
  <c r="J264" i="3"/>
  <c r="I264" i="3"/>
  <c r="H264" i="3"/>
  <c r="G264" i="3"/>
  <c r="F264" i="3"/>
  <c r="E264" i="3"/>
  <c r="P263" i="3"/>
  <c r="O263" i="3"/>
  <c r="N263" i="3"/>
  <c r="M263" i="3"/>
  <c r="L263" i="3"/>
  <c r="K263" i="3"/>
  <c r="J263" i="3"/>
  <c r="I263" i="3"/>
  <c r="H263" i="3"/>
  <c r="G263" i="3"/>
  <c r="F263" i="3"/>
  <c r="E263" i="3"/>
  <c r="P262" i="3"/>
  <c r="O262" i="3"/>
  <c r="N262" i="3"/>
  <c r="M262" i="3"/>
  <c r="L262" i="3"/>
  <c r="K262" i="3"/>
  <c r="J262" i="3"/>
  <c r="I262" i="3"/>
  <c r="H262" i="3"/>
  <c r="G262" i="3"/>
  <c r="F262" i="3"/>
  <c r="E262" i="3"/>
  <c r="P261" i="3"/>
  <c r="O261" i="3"/>
  <c r="N261" i="3"/>
  <c r="M261" i="3"/>
  <c r="L261" i="3"/>
  <c r="K261" i="3"/>
  <c r="J261" i="3"/>
  <c r="I261" i="3"/>
  <c r="H261" i="3"/>
  <c r="G261" i="3"/>
  <c r="F261" i="3"/>
  <c r="E261" i="3"/>
  <c r="P260" i="3"/>
  <c r="O260" i="3"/>
  <c r="N260" i="3"/>
  <c r="M260" i="3"/>
  <c r="L260" i="3"/>
  <c r="K260" i="3"/>
  <c r="J260" i="3"/>
  <c r="I260" i="3"/>
  <c r="H260" i="3"/>
  <c r="G260" i="3"/>
  <c r="F260" i="3"/>
  <c r="E260" i="3"/>
  <c r="P259" i="3"/>
  <c r="O259" i="3"/>
  <c r="N259" i="3"/>
  <c r="M259" i="3"/>
  <c r="L259" i="3"/>
  <c r="K259" i="3"/>
  <c r="J259" i="3"/>
  <c r="I259" i="3"/>
  <c r="H259" i="3"/>
  <c r="G259" i="3"/>
  <c r="F259" i="3"/>
  <c r="E259" i="3"/>
  <c r="P258" i="3"/>
  <c r="O258" i="3"/>
  <c r="N258" i="3"/>
  <c r="M258" i="3"/>
  <c r="L258" i="3"/>
  <c r="K258" i="3"/>
  <c r="J258" i="3"/>
  <c r="I258" i="3"/>
  <c r="H258" i="3"/>
  <c r="G258" i="3"/>
  <c r="F258" i="3"/>
  <c r="E258" i="3"/>
  <c r="P257" i="3"/>
  <c r="O257" i="3"/>
  <c r="N257" i="3"/>
  <c r="M257" i="3"/>
  <c r="L257" i="3"/>
  <c r="K257" i="3"/>
  <c r="J257" i="3"/>
  <c r="I257" i="3"/>
  <c r="H257" i="3"/>
  <c r="G257" i="3"/>
  <c r="F257" i="3"/>
  <c r="E257" i="3"/>
  <c r="P256" i="3"/>
  <c r="O256" i="3"/>
  <c r="N256" i="3"/>
  <c r="M256" i="3"/>
  <c r="L256" i="3"/>
  <c r="K256" i="3"/>
  <c r="J256" i="3"/>
  <c r="I256" i="3"/>
  <c r="H256" i="3"/>
  <c r="G256" i="3"/>
  <c r="F256" i="3"/>
  <c r="E256" i="3"/>
  <c r="P255" i="3"/>
  <c r="O255" i="3"/>
  <c r="N255" i="3"/>
  <c r="M255" i="3"/>
  <c r="L255" i="3"/>
  <c r="K255" i="3"/>
  <c r="J255" i="3"/>
  <c r="I255" i="3"/>
  <c r="H255" i="3"/>
  <c r="G255" i="3"/>
  <c r="F255" i="3"/>
  <c r="E255" i="3"/>
  <c r="P254" i="3"/>
  <c r="O254" i="3"/>
  <c r="N254" i="3"/>
  <c r="M254" i="3"/>
  <c r="L254" i="3"/>
  <c r="K254" i="3"/>
  <c r="J254" i="3"/>
  <c r="I254" i="3"/>
  <c r="H254" i="3"/>
  <c r="G254" i="3"/>
  <c r="F254" i="3"/>
  <c r="E254" i="3"/>
  <c r="P253" i="3"/>
  <c r="O253" i="3"/>
  <c r="N253" i="3"/>
  <c r="M253" i="3"/>
  <c r="L253" i="3"/>
  <c r="K253" i="3"/>
  <c r="J253" i="3"/>
  <c r="I253" i="3"/>
  <c r="H253" i="3"/>
  <c r="G253" i="3"/>
  <c r="F253" i="3"/>
  <c r="E253" i="3"/>
  <c r="P252" i="3"/>
  <c r="O252" i="3"/>
  <c r="N252" i="3"/>
  <c r="M252" i="3"/>
  <c r="L252" i="3"/>
  <c r="K252" i="3"/>
  <c r="J252" i="3"/>
  <c r="I252" i="3"/>
  <c r="H252" i="3"/>
  <c r="G252" i="3"/>
  <c r="F252" i="3"/>
  <c r="E252" i="3"/>
  <c r="P251" i="3"/>
  <c r="O251" i="3"/>
  <c r="N251" i="3"/>
  <c r="M251" i="3"/>
  <c r="L251" i="3"/>
  <c r="K251" i="3"/>
  <c r="J251" i="3"/>
  <c r="I251" i="3"/>
  <c r="H251" i="3"/>
  <c r="G251" i="3"/>
  <c r="F251" i="3"/>
  <c r="E251" i="3"/>
  <c r="P250" i="3"/>
  <c r="O250" i="3"/>
  <c r="N250" i="3"/>
  <c r="M250" i="3"/>
  <c r="L250" i="3"/>
  <c r="K250" i="3"/>
  <c r="J250" i="3"/>
  <c r="I250" i="3"/>
  <c r="H250" i="3"/>
  <c r="G250" i="3"/>
  <c r="F250" i="3"/>
  <c r="E250" i="3"/>
  <c r="P249" i="3"/>
  <c r="O249" i="3"/>
  <c r="N249" i="3"/>
  <c r="M249" i="3"/>
  <c r="L249" i="3"/>
  <c r="K249" i="3"/>
  <c r="J249" i="3"/>
  <c r="I249" i="3"/>
  <c r="H249" i="3"/>
  <c r="G249" i="3"/>
  <c r="F249" i="3"/>
  <c r="E249" i="3"/>
  <c r="P248" i="3"/>
  <c r="O248" i="3"/>
  <c r="N248" i="3"/>
  <c r="M248" i="3"/>
  <c r="L248" i="3"/>
  <c r="K248" i="3"/>
  <c r="J248" i="3"/>
  <c r="I248" i="3"/>
  <c r="H248" i="3"/>
  <c r="G248" i="3"/>
  <c r="F248" i="3"/>
  <c r="E248" i="3"/>
  <c r="P247" i="3"/>
  <c r="O247" i="3"/>
  <c r="N247" i="3"/>
  <c r="M247" i="3"/>
  <c r="L247" i="3"/>
  <c r="K247" i="3"/>
  <c r="J247" i="3"/>
  <c r="I247" i="3"/>
  <c r="H247" i="3"/>
  <c r="G247" i="3"/>
  <c r="F247" i="3"/>
  <c r="E247" i="3"/>
  <c r="P244" i="3"/>
  <c r="O244" i="3"/>
  <c r="N244" i="3"/>
  <c r="M244" i="3"/>
  <c r="L244" i="3"/>
  <c r="K244" i="3"/>
  <c r="J244" i="3"/>
  <c r="I244" i="3"/>
  <c r="H244" i="3"/>
  <c r="G244" i="3"/>
  <c r="F244" i="3"/>
  <c r="E244" i="3"/>
  <c r="P243" i="3"/>
  <c r="O243" i="3"/>
  <c r="N243" i="3"/>
  <c r="M243" i="3"/>
  <c r="L243" i="3"/>
  <c r="K243" i="3"/>
  <c r="J243" i="3"/>
  <c r="I243" i="3"/>
  <c r="H243" i="3"/>
  <c r="G243" i="3"/>
  <c r="F243" i="3"/>
  <c r="E243" i="3"/>
  <c r="P242" i="3"/>
  <c r="O242" i="3"/>
  <c r="N242" i="3"/>
  <c r="M242" i="3"/>
  <c r="L242" i="3"/>
  <c r="K242" i="3"/>
  <c r="J242" i="3"/>
  <c r="I242" i="3"/>
  <c r="H242" i="3"/>
  <c r="G242" i="3"/>
  <c r="F242" i="3"/>
  <c r="E242" i="3"/>
  <c r="P241" i="3"/>
  <c r="O241" i="3"/>
  <c r="N241" i="3"/>
  <c r="M241" i="3"/>
  <c r="L241" i="3"/>
  <c r="K241" i="3"/>
  <c r="J241" i="3"/>
  <c r="I241" i="3"/>
  <c r="H241" i="3"/>
  <c r="G241" i="3"/>
  <c r="F241" i="3"/>
  <c r="E241" i="3"/>
  <c r="P240" i="3"/>
  <c r="O240" i="3"/>
  <c r="N240" i="3"/>
  <c r="M240" i="3"/>
  <c r="L240" i="3"/>
  <c r="K240" i="3"/>
  <c r="J240" i="3"/>
  <c r="I240" i="3"/>
  <c r="H240" i="3"/>
  <c r="G240" i="3"/>
  <c r="F240" i="3"/>
  <c r="E240" i="3"/>
  <c r="P239" i="3"/>
  <c r="O239" i="3"/>
  <c r="N239" i="3"/>
  <c r="M239" i="3"/>
  <c r="L239" i="3"/>
  <c r="K239" i="3"/>
  <c r="J239" i="3"/>
  <c r="I239" i="3"/>
  <c r="H239" i="3"/>
  <c r="G239" i="3"/>
  <c r="F239" i="3"/>
  <c r="E239" i="3"/>
  <c r="P238" i="3"/>
  <c r="O238" i="3"/>
  <c r="N238" i="3"/>
  <c r="M238" i="3"/>
  <c r="L238" i="3"/>
  <c r="K238" i="3"/>
  <c r="J238" i="3"/>
  <c r="I238" i="3"/>
  <c r="H238" i="3"/>
  <c r="G238" i="3"/>
  <c r="F238" i="3"/>
  <c r="E238" i="3"/>
  <c r="P237" i="3"/>
  <c r="O237" i="3"/>
  <c r="N237" i="3"/>
  <c r="M237" i="3"/>
  <c r="L237" i="3"/>
  <c r="K237" i="3"/>
  <c r="J237" i="3"/>
  <c r="I237" i="3"/>
  <c r="H237" i="3"/>
  <c r="G237" i="3"/>
  <c r="F237" i="3"/>
  <c r="E237" i="3"/>
  <c r="P236" i="3"/>
  <c r="O236" i="3"/>
  <c r="N236" i="3"/>
  <c r="M236" i="3"/>
  <c r="L236" i="3"/>
  <c r="K236" i="3"/>
  <c r="J236" i="3"/>
  <c r="I236" i="3"/>
  <c r="H236" i="3"/>
  <c r="G236" i="3"/>
  <c r="F236" i="3"/>
  <c r="E236" i="3"/>
  <c r="P235" i="3"/>
  <c r="O235" i="3"/>
  <c r="N235" i="3"/>
  <c r="M235" i="3"/>
  <c r="L235" i="3"/>
  <c r="K235" i="3"/>
  <c r="J235" i="3"/>
  <c r="I235" i="3"/>
  <c r="H235" i="3"/>
  <c r="G235" i="3"/>
  <c r="F235" i="3"/>
  <c r="E235" i="3"/>
  <c r="P234" i="3"/>
  <c r="O234" i="3"/>
  <c r="N234" i="3"/>
  <c r="M234" i="3"/>
  <c r="L234" i="3"/>
  <c r="K234" i="3"/>
  <c r="J234" i="3"/>
  <c r="I234" i="3"/>
  <c r="H234" i="3"/>
  <c r="G234" i="3"/>
  <c r="F234" i="3"/>
  <c r="E234" i="3"/>
  <c r="P233" i="3"/>
  <c r="O233" i="3"/>
  <c r="N233" i="3"/>
  <c r="M233" i="3"/>
  <c r="L233" i="3"/>
  <c r="K233" i="3"/>
  <c r="J233" i="3"/>
  <c r="I233" i="3"/>
  <c r="H233" i="3"/>
  <c r="G233" i="3"/>
  <c r="F233" i="3"/>
  <c r="E233" i="3"/>
  <c r="P232" i="3"/>
  <c r="O232" i="3"/>
  <c r="N232" i="3"/>
  <c r="M232" i="3"/>
  <c r="L232" i="3"/>
  <c r="K232" i="3"/>
  <c r="J232" i="3"/>
  <c r="I232" i="3"/>
  <c r="H232" i="3"/>
  <c r="G232" i="3"/>
  <c r="F232" i="3"/>
  <c r="E232" i="3"/>
  <c r="P231" i="3"/>
  <c r="O231" i="3"/>
  <c r="N231" i="3"/>
  <c r="M231" i="3"/>
  <c r="L231" i="3"/>
  <c r="K231" i="3"/>
  <c r="J231" i="3"/>
  <c r="I231" i="3"/>
  <c r="H231" i="3"/>
  <c r="G231" i="3"/>
  <c r="F231" i="3"/>
  <c r="E231" i="3"/>
  <c r="P230" i="3"/>
  <c r="O230" i="3"/>
  <c r="N230" i="3"/>
  <c r="M230" i="3"/>
  <c r="L230" i="3"/>
  <c r="K230" i="3"/>
  <c r="J230" i="3"/>
  <c r="I230" i="3"/>
  <c r="H230" i="3"/>
  <c r="G230" i="3"/>
  <c r="F230" i="3"/>
  <c r="E230" i="3"/>
  <c r="P229" i="3"/>
  <c r="O229" i="3"/>
  <c r="N229" i="3"/>
  <c r="M229" i="3"/>
  <c r="L229" i="3"/>
  <c r="K229" i="3"/>
  <c r="J229" i="3"/>
  <c r="I229" i="3"/>
  <c r="H229" i="3"/>
  <c r="G229" i="3"/>
  <c r="F229" i="3"/>
  <c r="E229" i="3"/>
  <c r="P228" i="3"/>
  <c r="O228" i="3"/>
  <c r="N228" i="3"/>
  <c r="M228" i="3"/>
  <c r="L228" i="3"/>
  <c r="K228" i="3"/>
  <c r="J228" i="3"/>
  <c r="I228" i="3"/>
  <c r="H228" i="3"/>
  <c r="G228" i="3"/>
  <c r="F228" i="3"/>
  <c r="E228" i="3"/>
  <c r="P227" i="3"/>
  <c r="O227" i="3"/>
  <c r="N227" i="3"/>
  <c r="M227" i="3"/>
  <c r="L227" i="3"/>
  <c r="K227" i="3"/>
  <c r="J227" i="3"/>
  <c r="I227" i="3"/>
  <c r="H227" i="3"/>
  <c r="G227" i="3"/>
  <c r="F227" i="3"/>
  <c r="E227" i="3"/>
  <c r="P226" i="3"/>
  <c r="O226" i="3"/>
  <c r="N226" i="3"/>
  <c r="M226" i="3"/>
  <c r="L226" i="3"/>
  <c r="K226" i="3"/>
  <c r="J226" i="3"/>
  <c r="I226" i="3"/>
  <c r="H226" i="3"/>
  <c r="G226" i="3"/>
  <c r="F226" i="3"/>
  <c r="E226" i="3"/>
  <c r="P225" i="3"/>
  <c r="O225" i="3"/>
  <c r="N225" i="3"/>
  <c r="M225" i="3"/>
  <c r="L225" i="3"/>
  <c r="K225" i="3"/>
  <c r="J225" i="3"/>
  <c r="I225" i="3"/>
  <c r="H225" i="3"/>
  <c r="G225" i="3"/>
  <c r="F225" i="3"/>
  <c r="E225" i="3"/>
  <c r="P224" i="3"/>
  <c r="O224" i="3"/>
  <c r="N224" i="3"/>
  <c r="M224" i="3"/>
  <c r="L224" i="3"/>
  <c r="K224" i="3"/>
  <c r="J224" i="3"/>
  <c r="I224" i="3"/>
  <c r="H224" i="3"/>
  <c r="G224" i="3"/>
  <c r="F224" i="3"/>
  <c r="E224" i="3"/>
  <c r="P223" i="3"/>
  <c r="O223" i="3"/>
  <c r="N223" i="3"/>
  <c r="M223" i="3"/>
  <c r="L223" i="3"/>
  <c r="K223" i="3"/>
  <c r="J223" i="3"/>
  <c r="I223" i="3"/>
  <c r="H223" i="3"/>
  <c r="G223" i="3"/>
  <c r="F223" i="3"/>
  <c r="E223" i="3"/>
  <c r="P222" i="3"/>
  <c r="O222" i="3"/>
  <c r="N222" i="3"/>
  <c r="M222" i="3"/>
  <c r="L222" i="3"/>
  <c r="K222" i="3"/>
  <c r="J222" i="3"/>
  <c r="I222" i="3"/>
  <c r="H222" i="3"/>
  <c r="G222" i="3"/>
  <c r="F222" i="3"/>
  <c r="E222" i="3"/>
  <c r="P221" i="3"/>
  <c r="O221" i="3"/>
  <c r="N221" i="3"/>
  <c r="M221" i="3"/>
  <c r="L221" i="3"/>
  <c r="K221" i="3"/>
  <c r="J221" i="3"/>
  <c r="I221" i="3"/>
  <c r="H221" i="3"/>
  <c r="G221" i="3"/>
  <c r="F221" i="3"/>
  <c r="E221" i="3"/>
  <c r="P220" i="3"/>
  <c r="O220" i="3"/>
  <c r="N220" i="3"/>
  <c r="M220" i="3"/>
  <c r="L220" i="3"/>
  <c r="K220" i="3"/>
  <c r="J220" i="3"/>
  <c r="I220" i="3"/>
  <c r="H220" i="3"/>
  <c r="G220" i="3"/>
  <c r="F220" i="3"/>
  <c r="E220" i="3"/>
  <c r="P219" i="3"/>
  <c r="O219" i="3"/>
  <c r="N219" i="3"/>
  <c r="M219" i="3"/>
  <c r="L219" i="3"/>
  <c r="K219" i="3"/>
  <c r="J219" i="3"/>
  <c r="I219" i="3"/>
  <c r="H219" i="3"/>
  <c r="G219" i="3"/>
  <c r="F219" i="3"/>
  <c r="E219" i="3"/>
  <c r="P218" i="3"/>
  <c r="O218" i="3"/>
  <c r="N218" i="3"/>
  <c r="M218" i="3"/>
  <c r="L218" i="3"/>
  <c r="K218" i="3"/>
  <c r="J218" i="3"/>
  <c r="I218" i="3"/>
  <c r="H218" i="3"/>
  <c r="G218" i="3"/>
  <c r="F218" i="3"/>
  <c r="E218" i="3"/>
  <c r="P217" i="3"/>
  <c r="O217" i="3"/>
  <c r="N217" i="3"/>
  <c r="M217" i="3"/>
  <c r="L217" i="3"/>
  <c r="K217" i="3"/>
  <c r="J217" i="3"/>
  <c r="I217" i="3"/>
  <c r="H217" i="3"/>
  <c r="G217" i="3"/>
  <c r="F217" i="3"/>
  <c r="E217" i="3"/>
  <c r="P216" i="3"/>
  <c r="O216" i="3"/>
  <c r="N216" i="3"/>
  <c r="M216" i="3"/>
  <c r="L216" i="3"/>
  <c r="K216" i="3"/>
  <c r="J216" i="3"/>
  <c r="I216" i="3"/>
  <c r="H216" i="3"/>
  <c r="G216" i="3"/>
  <c r="F216" i="3"/>
  <c r="E216" i="3"/>
  <c r="P215" i="3"/>
  <c r="O215" i="3"/>
  <c r="N215" i="3"/>
  <c r="M215" i="3"/>
  <c r="L215" i="3"/>
  <c r="K215" i="3"/>
  <c r="J215" i="3"/>
  <c r="I215" i="3"/>
  <c r="H215" i="3"/>
  <c r="G215" i="3"/>
  <c r="F215" i="3"/>
  <c r="E215" i="3"/>
  <c r="P214" i="3"/>
  <c r="O214" i="3"/>
  <c r="N214" i="3"/>
  <c r="M214" i="3"/>
  <c r="L214" i="3"/>
  <c r="K214" i="3"/>
  <c r="J214" i="3"/>
  <c r="I214" i="3"/>
  <c r="H214" i="3"/>
  <c r="G214" i="3"/>
  <c r="F214" i="3"/>
  <c r="E214" i="3"/>
  <c r="P213" i="3"/>
  <c r="O213" i="3"/>
  <c r="N213" i="3"/>
  <c r="M213" i="3"/>
  <c r="L213" i="3"/>
  <c r="K213" i="3"/>
  <c r="J213" i="3"/>
  <c r="I213" i="3"/>
  <c r="H213" i="3"/>
  <c r="G213" i="3"/>
  <c r="F213" i="3"/>
  <c r="E213" i="3"/>
  <c r="P212" i="3"/>
  <c r="O212" i="3"/>
  <c r="N212" i="3"/>
  <c r="M212" i="3"/>
  <c r="L212" i="3"/>
  <c r="K212" i="3"/>
  <c r="J212" i="3"/>
  <c r="I212" i="3"/>
  <c r="H212" i="3"/>
  <c r="G212" i="3"/>
  <c r="F212" i="3"/>
  <c r="E212" i="3"/>
  <c r="P211" i="3"/>
  <c r="O211" i="3"/>
  <c r="N211" i="3"/>
  <c r="M211" i="3"/>
  <c r="L211" i="3"/>
  <c r="K211" i="3"/>
  <c r="J211" i="3"/>
  <c r="I211" i="3"/>
  <c r="H211" i="3"/>
  <c r="G211" i="3"/>
  <c r="F211" i="3"/>
  <c r="E211" i="3"/>
  <c r="P210" i="3"/>
  <c r="O210" i="3"/>
  <c r="N210" i="3"/>
  <c r="M210" i="3"/>
  <c r="L210" i="3"/>
  <c r="K210" i="3"/>
  <c r="J210" i="3"/>
  <c r="I210" i="3"/>
  <c r="H210" i="3"/>
  <c r="G210" i="3"/>
  <c r="F210" i="3"/>
  <c r="E210" i="3"/>
  <c r="P209" i="3"/>
  <c r="O209" i="3"/>
  <c r="N209" i="3"/>
  <c r="M209" i="3"/>
  <c r="L209" i="3"/>
  <c r="K209" i="3"/>
  <c r="J209" i="3"/>
  <c r="I209" i="3"/>
  <c r="H209" i="3"/>
  <c r="G209" i="3"/>
  <c r="F209" i="3"/>
  <c r="E209" i="3"/>
  <c r="P208" i="3"/>
  <c r="O208" i="3"/>
  <c r="N208" i="3"/>
  <c r="M208" i="3"/>
  <c r="L208" i="3"/>
  <c r="K208" i="3"/>
  <c r="J208" i="3"/>
  <c r="I208" i="3"/>
  <c r="H208" i="3"/>
  <c r="G208" i="3"/>
  <c r="F208" i="3"/>
  <c r="E208" i="3"/>
  <c r="P207" i="3"/>
  <c r="O207" i="3"/>
  <c r="N207" i="3"/>
  <c r="M207" i="3"/>
  <c r="L207" i="3"/>
  <c r="K207" i="3"/>
  <c r="J207" i="3"/>
  <c r="I207" i="3"/>
  <c r="H207" i="3"/>
  <c r="G207" i="3"/>
  <c r="F207" i="3"/>
  <c r="E207" i="3"/>
  <c r="P206" i="3"/>
  <c r="O206" i="3"/>
  <c r="N206" i="3"/>
  <c r="M206" i="3"/>
  <c r="L206" i="3"/>
  <c r="K206" i="3"/>
  <c r="J206" i="3"/>
  <c r="I206" i="3"/>
  <c r="H206" i="3"/>
  <c r="G206" i="3"/>
  <c r="F206" i="3"/>
  <c r="E206" i="3"/>
  <c r="P205" i="3"/>
  <c r="O205" i="3"/>
  <c r="N205" i="3"/>
  <c r="M205" i="3"/>
  <c r="L205" i="3"/>
  <c r="K205" i="3"/>
  <c r="J205" i="3"/>
  <c r="I205" i="3"/>
  <c r="H205" i="3"/>
  <c r="G205" i="3"/>
  <c r="F205" i="3"/>
  <c r="E205" i="3"/>
  <c r="P204" i="3"/>
  <c r="O204" i="3"/>
  <c r="N204" i="3"/>
  <c r="M204" i="3"/>
  <c r="L204" i="3"/>
  <c r="K204" i="3"/>
  <c r="J204" i="3"/>
  <c r="I204" i="3"/>
  <c r="H204" i="3"/>
  <c r="G204" i="3"/>
  <c r="F204" i="3"/>
  <c r="E204" i="3"/>
  <c r="P203" i="3"/>
  <c r="O203" i="3"/>
  <c r="N203" i="3"/>
  <c r="M203" i="3"/>
  <c r="L203" i="3"/>
  <c r="K203" i="3"/>
  <c r="J203" i="3"/>
  <c r="I203" i="3"/>
  <c r="H203" i="3"/>
  <c r="G203" i="3"/>
  <c r="F203" i="3"/>
  <c r="E203" i="3"/>
  <c r="P202" i="3"/>
  <c r="O202" i="3"/>
  <c r="N202" i="3"/>
  <c r="M202" i="3"/>
  <c r="L202" i="3"/>
  <c r="K202" i="3"/>
  <c r="J202" i="3"/>
  <c r="I202" i="3"/>
  <c r="H202" i="3"/>
  <c r="G202" i="3"/>
  <c r="F202" i="3"/>
  <c r="E202" i="3"/>
  <c r="P201" i="3"/>
  <c r="O201" i="3"/>
  <c r="N201" i="3"/>
  <c r="M201" i="3"/>
  <c r="L201" i="3"/>
  <c r="K201" i="3"/>
  <c r="J201" i="3"/>
  <c r="I201" i="3"/>
  <c r="H201" i="3"/>
  <c r="G201" i="3"/>
  <c r="F201" i="3"/>
  <c r="E201" i="3"/>
  <c r="P200" i="3"/>
  <c r="O200" i="3"/>
  <c r="N200" i="3"/>
  <c r="M200" i="3"/>
  <c r="L200" i="3"/>
  <c r="K200" i="3"/>
  <c r="J200" i="3"/>
  <c r="I200" i="3"/>
  <c r="H200" i="3"/>
  <c r="G200" i="3"/>
  <c r="F200" i="3"/>
  <c r="E200" i="3"/>
  <c r="P199" i="3"/>
  <c r="O199" i="3"/>
  <c r="N199" i="3"/>
  <c r="M199" i="3"/>
  <c r="L199" i="3"/>
  <c r="K199" i="3"/>
  <c r="J199" i="3"/>
  <c r="I199" i="3"/>
  <c r="H199" i="3"/>
  <c r="G199" i="3"/>
  <c r="F199" i="3"/>
  <c r="E199" i="3"/>
  <c r="P198" i="3"/>
  <c r="O198" i="3"/>
  <c r="N198" i="3"/>
  <c r="M198" i="3"/>
  <c r="L198" i="3"/>
  <c r="K198" i="3"/>
  <c r="J198" i="3"/>
  <c r="I198" i="3"/>
  <c r="H198" i="3"/>
  <c r="G198" i="3"/>
  <c r="F198" i="3"/>
  <c r="E198" i="3"/>
  <c r="P197" i="3"/>
  <c r="O197" i="3"/>
  <c r="N197" i="3"/>
  <c r="M197" i="3"/>
  <c r="L197" i="3"/>
  <c r="K197" i="3"/>
  <c r="J197" i="3"/>
  <c r="I197" i="3"/>
  <c r="H197" i="3"/>
  <c r="G197" i="3"/>
  <c r="F197" i="3"/>
  <c r="E197" i="3"/>
  <c r="P196" i="3"/>
  <c r="O196" i="3"/>
  <c r="N196" i="3"/>
  <c r="M196" i="3"/>
  <c r="L196" i="3"/>
  <c r="K196" i="3"/>
  <c r="J196" i="3"/>
  <c r="I196" i="3"/>
  <c r="H196" i="3"/>
  <c r="G196" i="3"/>
  <c r="F196" i="3"/>
  <c r="E196" i="3"/>
  <c r="P195" i="3"/>
  <c r="O195" i="3"/>
  <c r="N195" i="3"/>
  <c r="M195" i="3"/>
  <c r="L195" i="3"/>
  <c r="K195" i="3"/>
  <c r="J195" i="3"/>
  <c r="I195" i="3"/>
  <c r="H195" i="3"/>
  <c r="G195" i="3"/>
  <c r="F195" i="3"/>
  <c r="E195" i="3"/>
  <c r="P194" i="3"/>
  <c r="O194" i="3"/>
  <c r="N194" i="3"/>
  <c r="M194" i="3"/>
  <c r="L194" i="3"/>
  <c r="K194" i="3"/>
  <c r="J194" i="3"/>
  <c r="I194" i="3"/>
  <c r="H194" i="3"/>
  <c r="G194" i="3"/>
  <c r="F194" i="3"/>
  <c r="E194" i="3"/>
  <c r="P193" i="3"/>
  <c r="O193" i="3"/>
  <c r="N193" i="3"/>
  <c r="M193" i="3"/>
  <c r="L193" i="3"/>
  <c r="K193" i="3"/>
  <c r="J193" i="3"/>
  <c r="I193" i="3"/>
  <c r="H193" i="3"/>
  <c r="G193" i="3"/>
  <c r="F193" i="3"/>
  <c r="E193" i="3"/>
  <c r="P192" i="3"/>
  <c r="O192" i="3"/>
  <c r="N192" i="3"/>
  <c r="M192" i="3"/>
  <c r="L192" i="3"/>
  <c r="K192" i="3"/>
  <c r="J192" i="3"/>
  <c r="I192" i="3"/>
  <c r="H192" i="3"/>
  <c r="G192" i="3"/>
  <c r="F192" i="3"/>
  <c r="E192" i="3"/>
  <c r="P191" i="3"/>
  <c r="O191" i="3"/>
  <c r="N191" i="3"/>
  <c r="M191" i="3"/>
  <c r="L191" i="3"/>
  <c r="K191" i="3"/>
  <c r="J191" i="3"/>
  <c r="I191" i="3"/>
  <c r="H191" i="3"/>
  <c r="G191" i="3"/>
  <c r="F191" i="3"/>
  <c r="E191" i="3"/>
  <c r="P190" i="3"/>
  <c r="O190" i="3"/>
  <c r="N190" i="3"/>
  <c r="M190" i="3"/>
  <c r="L190" i="3"/>
  <c r="K190" i="3"/>
  <c r="J190" i="3"/>
  <c r="I190" i="3"/>
  <c r="H190" i="3"/>
  <c r="G190" i="3"/>
  <c r="F190" i="3"/>
  <c r="E190" i="3"/>
  <c r="P189" i="3"/>
  <c r="O189" i="3"/>
  <c r="N189" i="3"/>
  <c r="M189" i="3"/>
  <c r="L189" i="3"/>
  <c r="K189" i="3"/>
  <c r="J189" i="3"/>
  <c r="I189" i="3"/>
  <c r="H189" i="3"/>
  <c r="G189" i="3"/>
  <c r="F189" i="3"/>
  <c r="E189" i="3"/>
  <c r="P188" i="3"/>
  <c r="O188" i="3"/>
  <c r="N188" i="3"/>
  <c r="M188" i="3"/>
  <c r="L188" i="3"/>
  <c r="K188" i="3"/>
  <c r="J188" i="3"/>
  <c r="I188" i="3"/>
  <c r="H188" i="3"/>
  <c r="G188" i="3"/>
  <c r="F188" i="3"/>
  <c r="E188" i="3"/>
  <c r="P187" i="3"/>
  <c r="O187" i="3"/>
  <c r="N187" i="3"/>
  <c r="M187" i="3"/>
  <c r="L187" i="3"/>
  <c r="K187" i="3"/>
  <c r="J187" i="3"/>
  <c r="I187" i="3"/>
  <c r="H187" i="3"/>
  <c r="G187" i="3"/>
  <c r="F187" i="3"/>
  <c r="E187" i="3"/>
  <c r="P186" i="3"/>
  <c r="O186" i="3"/>
  <c r="N186" i="3"/>
  <c r="M186" i="3"/>
  <c r="L186" i="3"/>
  <c r="K186" i="3"/>
  <c r="J186" i="3"/>
  <c r="I186" i="3"/>
  <c r="H186" i="3"/>
  <c r="G186" i="3"/>
  <c r="F186" i="3"/>
  <c r="E186" i="3"/>
  <c r="P185" i="3"/>
  <c r="O185" i="3"/>
  <c r="N185" i="3"/>
  <c r="M185" i="3"/>
  <c r="L185" i="3"/>
  <c r="K185" i="3"/>
  <c r="J185" i="3"/>
  <c r="I185" i="3"/>
  <c r="H185" i="3"/>
  <c r="G185" i="3"/>
  <c r="F185" i="3"/>
  <c r="E185" i="3"/>
  <c r="P184" i="3"/>
  <c r="O184" i="3"/>
  <c r="N184" i="3"/>
  <c r="M184" i="3"/>
  <c r="L184" i="3"/>
  <c r="K184" i="3"/>
  <c r="J184" i="3"/>
  <c r="I184" i="3"/>
  <c r="H184" i="3"/>
  <c r="G184" i="3"/>
  <c r="F184" i="3"/>
  <c r="E184" i="3"/>
  <c r="P183" i="3"/>
  <c r="O183" i="3"/>
  <c r="N183" i="3"/>
  <c r="M183" i="3"/>
  <c r="L183" i="3"/>
  <c r="K183" i="3"/>
  <c r="J183" i="3"/>
  <c r="I183" i="3"/>
  <c r="H183" i="3"/>
  <c r="G183" i="3"/>
  <c r="F183" i="3"/>
  <c r="E183" i="3"/>
  <c r="P182" i="3"/>
  <c r="O182" i="3"/>
  <c r="N182" i="3"/>
  <c r="M182" i="3"/>
  <c r="L182" i="3"/>
  <c r="K182" i="3"/>
  <c r="J182" i="3"/>
  <c r="I182" i="3"/>
  <c r="H182" i="3"/>
  <c r="G182" i="3"/>
  <c r="F182" i="3"/>
  <c r="E182" i="3"/>
  <c r="P181" i="3"/>
  <c r="O181" i="3"/>
  <c r="N181" i="3"/>
  <c r="M181" i="3"/>
  <c r="L181" i="3"/>
  <c r="K181" i="3"/>
  <c r="J181" i="3"/>
  <c r="I181" i="3"/>
  <c r="H181" i="3"/>
  <c r="G181" i="3"/>
  <c r="F181" i="3"/>
  <c r="E181" i="3"/>
  <c r="P180" i="3"/>
  <c r="O180" i="3"/>
  <c r="N180" i="3"/>
  <c r="M180" i="3"/>
  <c r="L180" i="3"/>
  <c r="K180" i="3"/>
  <c r="J180" i="3"/>
  <c r="I180" i="3"/>
  <c r="H180" i="3"/>
  <c r="G180" i="3"/>
  <c r="F180" i="3"/>
  <c r="E180" i="3"/>
  <c r="P179" i="3"/>
  <c r="O179" i="3"/>
  <c r="N179" i="3"/>
  <c r="M179" i="3"/>
  <c r="L179" i="3"/>
  <c r="K179" i="3"/>
  <c r="J179" i="3"/>
  <c r="I179" i="3"/>
  <c r="H179" i="3"/>
  <c r="G179" i="3"/>
  <c r="F179" i="3"/>
  <c r="E179" i="3"/>
  <c r="P178" i="3"/>
  <c r="O178" i="3"/>
  <c r="N178" i="3"/>
  <c r="M178" i="3"/>
  <c r="L178" i="3"/>
  <c r="K178" i="3"/>
  <c r="J178" i="3"/>
  <c r="I178" i="3"/>
  <c r="H178" i="3"/>
  <c r="G178" i="3"/>
  <c r="F178" i="3"/>
  <c r="E178" i="3"/>
  <c r="P177" i="3"/>
  <c r="O177" i="3"/>
  <c r="N177" i="3"/>
  <c r="M177" i="3"/>
  <c r="L177" i="3"/>
  <c r="K177" i="3"/>
  <c r="J177" i="3"/>
  <c r="I177" i="3"/>
  <c r="H177" i="3"/>
  <c r="G177" i="3"/>
  <c r="F177" i="3"/>
  <c r="E177" i="3"/>
  <c r="P176" i="3"/>
  <c r="O176" i="3"/>
  <c r="N176" i="3"/>
  <c r="M176" i="3"/>
  <c r="L176" i="3"/>
  <c r="K176" i="3"/>
  <c r="J176" i="3"/>
  <c r="I176" i="3"/>
  <c r="H176" i="3"/>
  <c r="G176" i="3"/>
  <c r="F176" i="3"/>
  <c r="E176" i="3"/>
  <c r="P175" i="3"/>
  <c r="O175" i="3"/>
  <c r="N175" i="3"/>
  <c r="M175" i="3"/>
  <c r="L175" i="3"/>
  <c r="K175" i="3"/>
  <c r="J175" i="3"/>
  <c r="I175" i="3"/>
  <c r="H175" i="3"/>
  <c r="G175" i="3"/>
  <c r="F175" i="3"/>
  <c r="E175" i="3"/>
  <c r="P174" i="3"/>
  <c r="O174" i="3"/>
  <c r="N174" i="3"/>
  <c r="M174" i="3"/>
  <c r="L174" i="3"/>
  <c r="K174" i="3"/>
  <c r="J174" i="3"/>
  <c r="I174" i="3"/>
  <c r="H174" i="3"/>
  <c r="G174" i="3"/>
  <c r="F174" i="3"/>
  <c r="E174" i="3"/>
  <c r="P173" i="3"/>
  <c r="O173" i="3"/>
  <c r="N173" i="3"/>
  <c r="M173" i="3"/>
  <c r="L173" i="3"/>
  <c r="K173" i="3"/>
  <c r="J173" i="3"/>
  <c r="I173" i="3"/>
  <c r="H173" i="3"/>
  <c r="G173" i="3"/>
  <c r="F173" i="3"/>
  <c r="E173" i="3"/>
  <c r="P172" i="3"/>
  <c r="O172" i="3"/>
  <c r="N172" i="3"/>
  <c r="M172" i="3"/>
  <c r="L172" i="3"/>
  <c r="K172" i="3"/>
  <c r="J172" i="3"/>
  <c r="I172" i="3"/>
  <c r="H172" i="3"/>
  <c r="G172" i="3"/>
  <c r="F172" i="3"/>
  <c r="E172" i="3"/>
  <c r="P171" i="3"/>
  <c r="O171" i="3"/>
  <c r="N171" i="3"/>
  <c r="M171" i="3"/>
  <c r="L171" i="3"/>
  <c r="K171" i="3"/>
  <c r="J171" i="3"/>
  <c r="I171" i="3"/>
  <c r="H171" i="3"/>
  <c r="G171" i="3"/>
  <c r="F171" i="3"/>
  <c r="E171" i="3"/>
  <c r="P169" i="3"/>
  <c r="O169" i="3"/>
  <c r="N169" i="3"/>
  <c r="M169" i="3"/>
  <c r="L169" i="3"/>
  <c r="K169" i="3"/>
  <c r="J169" i="3"/>
  <c r="I169" i="3"/>
  <c r="H169" i="3"/>
  <c r="G169" i="3"/>
  <c r="F169" i="3"/>
  <c r="E169" i="3"/>
  <c r="P168" i="3"/>
  <c r="O168" i="3"/>
  <c r="N168" i="3"/>
  <c r="M168" i="3"/>
  <c r="L168" i="3"/>
  <c r="K168" i="3"/>
  <c r="J168" i="3"/>
  <c r="I168" i="3"/>
  <c r="H168" i="3"/>
  <c r="G168" i="3"/>
  <c r="F168" i="3"/>
  <c r="E168" i="3"/>
  <c r="P167" i="3"/>
  <c r="O167" i="3"/>
  <c r="N167" i="3"/>
  <c r="M167" i="3"/>
  <c r="L167" i="3"/>
  <c r="K167" i="3"/>
  <c r="J167" i="3"/>
  <c r="I167" i="3"/>
  <c r="H167" i="3"/>
  <c r="G167" i="3"/>
  <c r="F167" i="3"/>
  <c r="E167" i="3"/>
  <c r="P166" i="3"/>
  <c r="O166" i="3"/>
  <c r="N166" i="3"/>
  <c r="M166" i="3"/>
  <c r="L166" i="3"/>
  <c r="K166" i="3"/>
  <c r="J166" i="3"/>
  <c r="I166" i="3"/>
  <c r="H166" i="3"/>
  <c r="G166" i="3"/>
  <c r="F166" i="3"/>
  <c r="E166" i="3"/>
  <c r="P165" i="3"/>
  <c r="O165" i="3"/>
  <c r="N165" i="3"/>
  <c r="M165" i="3"/>
  <c r="L165" i="3"/>
  <c r="K165" i="3"/>
  <c r="J165" i="3"/>
  <c r="I165" i="3"/>
  <c r="H165" i="3"/>
  <c r="G165" i="3"/>
  <c r="F165" i="3"/>
  <c r="E165" i="3"/>
  <c r="P164" i="3"/>
  <c r="O164" i="3"/>
  <c r="N164" i="3"/>
  <c r="M164" i="3"/>
  <c r="L164" i="3"/>
  <c r="K164" i="3"/>
  <c r="J164" i="3"/>
  <c r="I164" i="3"/>
  <c r="H164" i="3"/>
  <c r="G164" i="3"/>
  <c r="F164" i="3"/>
  <c r="E164" i="3"/>
  <c r="P163" i="3"/>
  <c r="O163" i="3"/>
  <c r="N163" i="3"/>
  <c r="M163" i="3"/>
  <c r="L163" i="3"/>
  <c r="K163" i="3"/>
  <c r="J163" i="3"/>
  <c r="I163" i="3"/>
  <c r="H163" i="3"/>
  <c r="G163" i="3"/>
  <c r="F163" i="3"/>
  <c r="E163" i="3"/>
  <c r="P162" i="3"/>
  <c r="O162" i="3"/>
  <c r="N162" i="3"/>
  <c r="M162" i="3"/>
  <c r="L162" i="3"/>
  <c r="K162" i="3"/>
  <c r="J162" i="3"/>
  <c r="I162" i="3"/>
  <c r="H162" i="3"/>
  <c r="G162" i="3"/>
  <c r="F162" i="3"/>
  <c r="E162" i="3"/>
  <c r="P161" i="3"/>
  <c r="O161" i="3"/>
  <c r="N161" i="3"/>
  <c r="M161" i="3"/>
  <c r="L161" i="3"/>
  <c r="K161" i="3"/>
  <c r="J161" i="3"/>
  <c r="I161" i="3"/>
  <c r="H161" i="3"/>
  <c r="G161" i="3"/>
  <c r="F161" i="3"/>
  <c r="E161" i="3"/>
  <c r="P160" i="3"/>
  <c r="O160" i="3"/>
  <c r="N160" i="3"/>
  <c r="M160" i="3"/>
  <c r="L160" i="3"/>
  <c r="K160" i="3"/>
  <c r="J160" i="3"/>
  <c r="I160" i="3"/>
  <c r="H160" i="3"/>
  <c r="G160" i="3"/>
  <c r="F160" i="3"/>
  <c r="E160" i="3"/>
  <c r="P159" i="3"/>
  <c r="O159" i="3"/>
  <c r="N159" i="3"/>
  <c r="M159" i="3"/>
  <c r="L159" i="3"/>
  <c r="K159" i="3"/>
  <c r="J159" i="3"/>
  <c r="I159" i="3"/>
  <c r="H159" i="3"/>
  <c r="G159" i="3"/>
  <c r="F159" i="3"/>
  <c r="E159" i="3"/>
  <c r="P158" i="3"/>
  <c r="O158" i="3"/>
  <c r="N158" i="3"/>
  <c r="M158" i="3"/>
  <c r="L158" i="3"/>
  <c r="K158" i="3"/>
  <c r="J158" i="3"/>
  <c r="I158" i="3"/>
  <c r="H158" i="3"/>
  <c r="G158" i="3"/>
  <c r="F158" i="3"/>
  <c r="E158" i="3"/>
  <c r="P157" i="3"/>
  <c r="O157" i="3"/>
  <c r="N157" i="3"/>
  <c r="M157" i="3"/>
  <c r="L157" i="3"/>
  <c r="K157" i="3"/>
  <c r="J157" i="3"/>
  <c r="I157" i="3"/>
  <c r="H157" i="3"/>
  <c r="G157" i="3"/>
  <c r="F157" i="3"/>
  <c r="E157" i="3"/>
  <c r="P156" i="3"/>
  <c r="O156" i="3"/>
  <c r="N156" i="3"/>
  <c r="M156" i="3"/>
  <c r="L156" i="3"/>
  <c r="K156" i="3"/>
  <c r="J156" i="3"/>
  <c r="I156" i="3"/>
  <c r="H156" i="3"/>
  <c r="G156" i="3"/>
  <c r="F156" i="3"/>
  <c r="E156" i="3"/>
  <c r="P155" i="3"/>
  <c r="O155" i="3"/>
  <c r="N155" i="3"/>
  <c r="M155" i="3"/>
  <c r="L155" i="3"/>
  <c r="K155" i="3"/>
  <c r="J155" i="3"/>
  <c r="I155" i="3"/>
  <c r="H155" i="3"/>
  <c r="G155" i="3"/>
  <c r="F155" i="3"/>
  <c r="E155" i="3"/>
  <c r="P154" i="3"/>
  <c r="O154" i="3"/>
  <c r="N154" i="3"/>
  <c r="M154" i="3"/>
  <c r="L154" i="3"/>
  <c r="K154" i="3"/>
  <c r="J154" i="3"/>
  <c r="I154" i="3"/>
  <c r="H154" i="3"/>
  <c r="G154" i="3"/>
  <c r="F154" i="3"/>
  <c r="E154" i="3"/>
  <c r="P153" i="3"/>
  <c r="O153" i="3"/>
  <c r="N153" i="3"/>
  <c r="M153" i="3"/>
  <c r="L153" i="3"/>
  <c r="K153" i="3"/>
  <c r="J153" i="3"/>
  <c r="I153" i="3"/>
  <c r="H153" i="3"/>
  <c r="G153" i="3"/>
  <c r="F153" i="3"/>
  <c r="E153" i="3"/>
  <c r="P152" i="3"/>
  <c r="O152" i="3"/>
  <c r="N152" i="3"/>
  <c r="M152" i="3"/>
  <c r="L152" i="3"/>
  <c r="K152" i="3"/>
  <c r="J152" i="3"/>
  <c r="I152" i="3"/>
  <c r="H152" i="3"/>
  <c r="G152" i="3"/>
  <c r="F152" i="3"/>
  <c r="E152" i="3"/>
  <c r="P151" i="3"/>
  <c r="O151" i="3"/>
  <c r="N151" i="3"/>
  <c r="M151" i="3"/>
  <c r="L151" i="3"/>
  <c r="K151" i="3"/>
  <c r="J151" i="3"/>
  <c r="I151" i="3"/>
  <c r="H151" i="3"/>
  <c r="G151" i="3"/>
  <c r="F151" i="3"/>
  <c r="E151" i="3"/>
  <c r="P150" i="3"/>
  <c r="O150" i="3"/>
  <c r="N150" i="3"/>
  <c r="M150" i="3"/>
  <c r="L150" i="3"/>
  <c r="K150" i="3"/>
  <c r="J150" i="3"/>
  <c r="I150" i="3"/>
  <c r="H150" i="3"/>
  <c r="G150" i="3"/>
  <c r="F150" i="3"/>
  <c r="E150" i="3"/>
  <c r="P149" i="3"/>
  <c r="O149" i="3"/>
  <c r="N149" i="3"/>
  <c r="M149" i="3"/>
  <c r="L149" i="3"/>
  <c r="K149" i="3"/>
  <c r="J149" i="3"/>
  <c r="I149" i="3"/>
  <c r="H149" i="3"/>
  <c r="G149" i="3"/>
  <c r="F149" i="3"/>
  <c r="E149" i="3"/>
  <c r="P148" i="3"/>
  <c r="O148" i="3"/>
  <c r="N148" i="3"/>
  <c r="M148" i="3"/>
  <c r="L148" i="3"/>
  <c r="K148" i="3"/>
  <c r="J148" i="3"/>
  <c r="I148" i="3"/>
  <c r="H148" i="3"/>
  <c r="G148" i="3"/>
  <c r="F148" i="3"/>
  <c r="E148" i="3"/>
  <c r="P147" i="3"/>
  <c r="O147" i="3"/>
  <c r="N147" i="3"/>
  <c r="M147" i="3"/>
  <c r="L147" i="3"/>
  <c r="K147" i="3"/>
  <c r="J147" i="3"/>
  <c r="I147" i="3"/>
  <c r="H147" i="3"/>
  <c r="G147" i="3"/>
  <c r="F147" i="3"/>
  <c r="E147" i="3"/>
  <c r="P146" i="3"/>
  <c r="O146" i="3"/>
  <c r="N146" i="3"/>
  <c r="M146" i="3"/>
  <c r="L146" i="3"/>
  <c r="K146" i="3"/>
  <c r="J146" i="3"/>
  <c r="I146" i="3"/>
  <c r="H146" i="3"/>
  <c r="G146" i="3"/>
  <c r="F146" i="3"/>
  <c r="E146" i="3"/>
  <c r="P145" i="3"/>
  <c r="O145" i="3"/>
  <c r="N145" i="3"/>
  <c r="M145" i="3"/>
  <c r="L145" i="3"/>
  <c r="K145" i="3"/>
  <c r="J145" i="3"/>
  <c r="I145" i="3"/>
  <c r="H145" i="3"/>
  <c r="G145" i="3"/>
  <c r="F145" i="3"/>
  <c r="E145" i="3"/>
  <c r="P144" i="3"/>
  <c r="O144" i="3"/>
  <c r="N144" i="3"/>
  <c r="M144" i="3"/>
  <c r="L144" i="3"/>
  <c r="K144" i="3"/>
  <c r="J144" i="3"/>
  <c r="I144" i="3"/>
  <c r="H144" i="3"/>
  <c r="G144" i="3"/>
  <c r="F144" i="3"/>
  <c r="E144" i="3"/>
  <c r="P143" i="3"/>
  <c r="O143" i="3"/>
  <c r="N143" i="3"/>
  <c r="M143" i="3"/>
  <c r="L143" i="3"/>
  <c r="K143" i="3"/>
  <c r="J143" i="3"/>
  <c r="I143" i="3"/>
  <c r="H143" i="3"/>
  <c r="G143" i="3"/>
  <c r="F143" i="3"/>
  <c r="E143" i="3"/>
  <c r="P142" i="3"/>
  <c r="O142" i="3"/>
  <c r="N142" i="3"/>
  <c r="M142" i="3"/>
  <c r="L142" i="3"/>
  <c r="K142" i="3"/>
  <c r="J142" i="3"/>
  <c r="I142" i="3"/>
  <c r="H142" i="3"/>
  <c r="G142" i="3"/>
  <c r="F142" i="3"/>
  <c r="E142" i="3"/>
  <c r="P141" i="3"/>
  <c r="O141" i="3"/>
  <c r="N141" i="3"/>
  <c r="M141" i="3"/>
  <c r="L141" i="3"/>
  <c r="K141" i="3"/>
  <c r="J141" i="3"/>
  <c r="I141" i="3"/>
  <c r="H141" i="3"/>
  <c r="G141" i="3"/>
  <c r="F141" i="3"/>
  <c r="E141" i="3"/>
  <c r="P140" i="3"/>
  <c r="O140" i="3"/>
  <c r="N140" i="3"/>
  <c r="M140" i="3"/>
  <c r="L140" i="3"/>
  <c r="K140" i="3"/>
  <c r="J140" i="3"/>
  <c r="I140" i="3"/>
  <c r="H140" i="3"/>
  <c r="G140" i="3"/>
  <c r="F140" i="3"/>
  <c r="E140" i="3"/>
  <c r="P139" i="3"/>
  <c r="O139" i="3"/>
  <c r="N139" i="3"/>
  <c r="M139" i="3"/>
  <c r="L139" i="3"/>
  <c r="K139" i="3"/>
  <c r="J139" i="3"/>
  <c r="I139" i="3"/>
  <c r="H139" i="3"/>
  <c r="G139" i="3"/>
  <c r="F139" i="3"/>
  <c r="E139" i="3"/>
  <c r="P138" i="3"/>
  <c r="O138" i="3"/>
  <c r="N138" i="3"/>
  <c r="M138" i="3"/>
  <c r="L138" i="3"/>
  <c r="K138" i="3"/>
  <c r="J138" i="3"/>
  <c r="I138" i="3"/>
  <c r="H138" i="3"/>
  <c r="G138" i="3"/>
  <c r="F138" i="3"/>
  <c r="E138" i="3"/>
  <c r="P137" i="3"/>
  <c r="O137" i="3"/>
  <c r="N137" i="3"/>
  <c r="M137" i="3"/>
  <c r="L137" i="3"/>
  <c r="K137" i="3"/>
  <c r="J137" i="3"/>
  <c r="I137" i="3"/>
  <c r="H137" i="3"/>
  <c r="G137" i="3"/>
  <c r="F137" i="3"/>
  <c r="E137" i="3"/>
  <c r="P136" i="3"/>
  <c r="O136" i="3"/>
  <c r="N136" i="3"/>
  <c r="M136" i="3"/>
  <c r="L136" i="3"/>
  <c r="K136" i="3"/>
  <c r="J136" i="3"/>
  <c r="I136" i="3"/>
  <c r="H136" i="3"/>
  <c r="G136" i="3"/>
  <c r="F136" i="3"/>
  <c r="E136" i="3"/>
  <c r="P135" i="3"/>
  <c r="O135" i="3"/>
  <c r="N135" i="3"/>
  <c r="M135" i="3"/>
  <c r="L135" i="3"/>
  <c r="K135" i="3"/>
  <c r="J135" i="3"/>
  <c r="I135" i="3"/>
  <c r="H135" i="3"/>
  <c r="G135" i="3"/>
  <c r="F135" i="3"/>
  <c r="E135" i="3"/>
  <c r="P134" i="3"/>
  <c r="O134" i="3"/>
  <c r="N134" i="3"/>
  <c r="M134" i="3"/>
  <c r="L134" i="3"/>
  <c r="K134" i="3"/>
  <c r="J134" i="3"/>
  <c r="I134" i="3"/>
  <c r="H134" i="3"/>
  <c r="G134" i="3"/>
  <c r="F134" i="3"/>
  <c r="E134" i="3"/>
  <c r="P133" i="3"/>
  <c r="O133" i="3"/>
  <c r="N133" i="3"/>
  <c r="M133" i="3"/>
  <c r="L133" i="3"/>
  <c r="K133" i="3"/>
  <c r="J133" i="3"/>
  <c r="I133" i="3"/>
  <c r="H133" i="3"/>
  <c r="G133" i="3"/>
  <c r="F133" i="3"/>
  <c r="E133" i="3"/>
  <c r="P132" i="3"/>
  <c r="O132" i="3"/>
  <c r="N132" i="3"/>
  <c r="M132" i="3"/>
  <c r="L132" i="3"/>
  <c r="K132" i="3"/>
  <c r="J132" i="3"/>
  <c r="I132" i="3"/>
  <c r="H132" i="3"/>
  <c r="G132" i="3"/>
  <c r="F132" i="3"/>
  <c r="E132" i="3"/>
  <c r="P131" i="3"/>
  <c r="O131" i="3"/>
  <c r="N131" i="3"/>
  <c r="M131" i="3"/>
  <c r="L131" i="3"/>
  <c r="K131" i="3"/>
  <c r="J131" i="3"/>
  <c r="I131" i="3"/>
  <c r="H131" i="3"/>
  <c r="G131" i="3"/>
  <c r="F131" i="3"/>
  <c r="E131" i="3"/>
  <c r="P130" i="3"/>
  <c r="O130" i="3"/>
  <c r="N130" i="3"/>
  <c r="M130" i="3"/>
  <c r="L130" i="3"/>
  <c r="K130" i="3"/>
  <c r="J130" i="3"/>
  <c r="I130" i="3"/>
  <c r="H130" i="3"/>
  <c r="G130" i="3"/>
  <c r="F130" i="3"/>
  <c r="E130" i="3"/>
  <c r="P129" i="3"/>
  <c r="O129" i="3"/>
  <c r="N129" i="3"/>
  <c r="M129" i="3"/>
  <c r="L129" i="3"/>
  <c r="K129" i="3"/>
  <c r="J129" i="3"/>
  <c r="I129" i="3"/>
  <c r="H129" i="3"/>
  <c r="G129" i="3"/>
  <c r="F129" i="3"/>
  <c r="E129" i="3"/>
  <c r="P128" i="3"/>
  <c r="O128" i="3"/>
  <c r="N128" i="3"/>
  <c r="M128" i="3"/>
  <c r="L128" i="3"/>
  <c r="K128" i="3"/>
  <c r="J128" i="3"/>
  <c r="I128" i="3"/>
  <c r="H128" i="3"/>
  <c r="G128" i="3"/>
  <c r="F128" i="3"/>
  <c r="E128" i="3"/>
  <c r="P127" i="3"/>
  <c r="O127" i="3"/>
  <c r="N127" i="3"/>
  <c r="M127" i="3"/>
  <c r="L127" i="3"/>
  <c r="K127" i="3"/>
  <c r="J127" i="3"/>
  <c r="I127" i="3"/>
  <c r="H127" i="3"/>
  <c r="G127" i="3"/>
  <c r="F127" i="3"/>
  <c r="E127" i="3"/>
  <c r="P126" i="3"/>
  <c r="O126" i="3"/>
  <c r="N126" i="3"/>
  <c r="M126" i="3"/>
  <c r="L126" i="3"/>
  <c r="K126" i="3"/>
  <c r="J126" i="3"/>
  <c r="I126" i="3"/>
  <c r="H126" i="3"/>
  <c r="G126" i="3"/>
  <c r="F126" i="3"/>
  <c r="E126" i="3"/>
  <c r="P125" i="3"/>
  <c r="O125" i="3"/>
  <c r="N125" i="3"/>
  <c r="M125" i="3"/>
  <c r="L125" i="3"/>
  <c r="K125" i="3"/>
  <c r="J125" i="3"/>
  <c r="I125" i="3"/>
  <c r="H125" i="3"/>
  <c r="G125" i="3"/>
  <c r="F125" i="3"/>
  <c r="E125" i="3"/>
  <c r="P124" i="3"/>
  <c r="O124" i="3"/>
  <c r="N124" i="3"/>
  <c r="M124" i="3"/>
  <c r="L124" i="3"/>
  <c r="K124" i="3"/>
  <c r="J124" i="3"/>
  <c r="I124" i="3"/>
  <c r="H124" i="3"/>
  <c r="G124" i="3"/>
  <c r="F124" i="3"/>
  <c r="E124" i="3"/>
  <c r="P123" i="3"/>
  <c r="O123" i="3"/>
  <c r="N123" i="3"/>
  <c r="M123" i="3"/>
  <c r="L123" i="3"/>
  <c r="K123" i="3"/>
  <c r="J123" i="3"/>
  <c r="I123" i="3"/>
  <c r="H123" i="3"/>
  <c r="G123" i="3"/>
  <c r="F123" i="3"/>
  <c r="E123" i="3"/>
  <c r="P122" i="3"/>
  <c r="O122" i="3"/>
  <c r="N122" i="3"/>
  <c r="M122" i="3"/>
  <c r="L122" i="3"/>
  <c r="K122" i="3"/>
  <c r="J122" i="3"/>
  <c r="I122" i="3"/>
  <c r="H122" i="3"/>
  <c r="G122" i="3"/>
  <c r="F122" i="3"/>
  <c r="E122" i="3"/>
  <c r="P121" i="3"/>
  <c r="O121" i="3"/>
  <c r="N121" i="3"/>
  <c r="M121" i="3"/>
  <c r="L121" i="3"/>
  <c r="K121" i="3"/>
  <c r="J121" i="3"/>
  <c r="I121" i="3"/>
  <c r="H121" i="3"/>
  <c r="G121" i="3"/>
  <c r="F121" i="3"/>
  <c r="E121" i="3"/>
  <c r="P120" i="3"/>
  <c r="O120" i="3"/>
  <c r="N120" i="3"/>
  <c r="M120" i="3"/>
  <c r="L120" i="3"/>
  <c r="K120" i="3"/>
  <c r="J120" i="3"/>
  <c r="I120" i="3"/>
  <c r="H120" i="3"/>
  <c r="G120" i="3"/>
  <c r="F120" i="3"/>
  <c r="E120" i="3"/>
  <c r="P119" i="3"/>
  <c r="O119" i="3"/>
  <c r="N119" i="3"/>
  <c r="M119" i="3"/>
  <c r="L119" i="3"/>
  <c r="K119" i="3"/>
  <c r="J119" i="3"/>
  <c r="I119" i="3"/>
  <c r="H119" i="3"/>
  <c r="G119" i="3"/>
  <c r="F119" i="3"/>
  <c r="E119" i="3"/>
  <c r="P118" i="3"/>
  <c r="O118" i="3"/>
  <c r="N118" i="3"/>
  <c r="M118" i="3"/>
  <c r="L118" i="3"/>
  <c r="K118" i="3"/>
  <c r="J118" i="3"/>
  <c r="I118" i="3"/>
  <c r="H118" i="3"/>
  <c r="G118" i="3"/>
  <c r="F118" i="3"/>
  <c r="E118" i="3"/>
  <c r="P117" i="3"/>
  <c r="O117" i="3"/>
  <c r="N117" i="3"/>
  <c r="M117" i="3"/>
  <c r="L117" i="3"/>
  <c r="K117" i="3"/>
  <c r="J117" i="3"/>
  <c r="I117" i="3"/>
  <c r="H117" i="3"/>
  <c r="G117" i="3"/>
  <c r="F117" i="3"/>
  <c r="E117" i="3"/>
  <c r="P116" i="3"/>
  <c r="O116" i="3"/>
  <c r="N116" i="3"/>
  <c r="M116" i="3"/>
  <c r="L116" i="3"/>
  <c r="K116" i="3"/>
  <c r="J116" i="3"/>
  <c r="I116" i="3"/>
  <c r="H116" i="3"/>
  <c r="G116" i="3"/>
  <c r="F116" i="3"/>
  <c r="E116" i="3"/>
  <c r="P115" i="3"/>
  <c r="O115" i="3"/>
  <c r="N115" i="3"/>
  <c r="M115" i="3"/>
  <c r="L115" i="3"/>
  <c r="K115" i="3"/>
  <c r="J115" i="3"/>
  <c r="I115" i="3"/>
  <c r="H115" i="3"/>
  <c r="G115" i="3"/>
  <c r="F115" i="3"/>
  <c r="E115" i="3"/>
  <c r="P114" i="3"/>
  <c r="O114" i="3"/>
  <c r="N114" i="3"/>
  <c r="M114" i="3"/>
  <c r="L114" i="3"/>
  <c r="K114" i="3"/>
  <c r="J114" i="3"/>
  <c r="I114" i="3"/>
  <c r="H114" i="3"/>
  <c r="G114" i="3"/>
  <c r="F114" i="3"/>
  <c r="E114" i="3"/>
  <c r="P113" i="3"/>
  <c r="O113" i="3"/>
  <c r="N113" i="3"/>
  <c r="M113" i="3"/>
  <c r="L113" i="3"/>
  <c r="K113" i="3"/>
  <c r="J113" i="3"/>
  <c r="I113" i="3"/>
  <c r="H113" i="3"/>
  <c r="G113" i="3"/>
  <c r="F113" i="3"/>
  <c r="E113" i="3"/>
  <c r="P112" i="3"/>
  <c r="O112" i="3"/>
  <c r="N112" i="3"/>
  <c r="M112" i="3"/>
  <c r="L112" i="3"/>
  <c r="K112" i="3"/>
  <c r="J112" i="3"/>
  <c r="I112" i="3"/>
  <c r="H112" i="3"/>
  <c r="G112" i="3"/>
  <c r="F112" i="3"/>
  <c r="E112" i="3"/>
  <c r="P111" i="3"/>
  <c r="O111" i="3"/>
  <c r="N111" i="3"/>
  <c r="M111" i="3"/>
  <c r="L111" i="3"/>
  <c r="K111" i="3"/>
  <c r="J111" i="3"/>
  <c r="I111" i="3"/>
  <c r="H111" i="3"/>
  <c r="G111" i="3"/>
  <c r="F111" i="3"/>
  <c r="E111" i="3"/>
  <c r="P110" i="3"/>
  <c r="O110" i="3"/>
  <c r="N110" i="3"/>
  <c r="M110" i="3"/>
  <c r="L110" i="3"/>
  <c r="K110" i="3"/>
  <c r="J110" i="3"/>
  <c r="I110" i="3"/>
  <c r="H110" i="3"/>
  <c r="G110" i="3"/>
  <c r="F110" i="3"/>
  <c r="E110" i="3"/>
  <c r="P109" i="3"/>
  <c r="O109" i="3"/>
  <c r="N109" i="3"/>
  <c r="M109" i="3"/>
  <c r="L109" i="3"/>
  <c r="K109" i="3"/>
  <c r="J109" i="3"/>
  <c r="I109" i="3"/>
  <c r="H109" i="3"/>
  <c r="G109" i="3"/>
  <c r="F109" i="3"/>
  <c r="E109" i="3"/>
  <c r="P108" i="3"/>
  <c r="O108" i="3"/>
  <c r="N108" i="3"/>
  <c r="M108" i="3"/>
  <c r="L108" i="3"/>
  <c r="K108" i="3"/>
  <c r="J108" i="3"/>
  <c r="I108" i="3"/>
  <c r="H108" i="3"/>
  <c r="G108" i="3"/>
  <c r="F108" i="3"/>
  <c r="E108" i="3"/>
  <c r="P107" i="3"/>
  <c r="O107" i="3"/>
  <c r="N107" i="3"/>
  <c r="M107" i="3"/>
  <c r="L107" i="3"/>
  <c r="K107" i="3"/>
  <c r="J107" i="3"/>
  <c r="I107" i="3"/>
  <c r="H107" i="3"/>
  <c r="G107" i="3"/>
  <c r="F107" i="3"/>
  <c r="E107" i="3"/>
  <c r="P106" i="3"/>
  <c r="O106" i="3"/>
  <c r="N106" i="3"/>
  <c r="M106" i="3"/>
  <c r="L106" i="3"/>
  <c r="K106" i="3"/>
  <c r="J106" i="3"/>
  <c r="I106" i="3"/>
  <c r="H106" i="3"/>
  <c r="G106" i="3"/>
  <c r="F106" i="3"/>
  <c r="E106" i="3"/>
  <c r="P104" i="3"/>
  <c r="O104" i="3"/>
  <c r="N104" i="3"/>
  <c r="M104" i="3"/>
  <c r="L104" i="3"/>
  <c r="K104" i="3"/>
  <c r="J104" i="3"/>
  <c r="I104" i="3"/>
  <c r="H104" i="3"/>
  <c r="G104" i="3"/>
  <c r="F104" i="3"/>
  <c r="E104" i="3"/>
  <c r="P103" i="3"/>
  <c r="O103" i="3"/>
  <c r="N103" i="3"/>
  <c r="M103" i="3"/>
  <c r="L103" i="3"/>
  <c r="K103" i="3"/>
  <c r="J103" i="3"/>
  <c r="I103" i="3"/>
  <c r="H103" i="3"/>
  <c r="G103" i="3"/>
  <c r="F103" i="3"/>
  <c r="E103" i="3"/>
  <c r="P102" i="3"/>
  <c r="O102" i="3"/>
  <c r="N102" i="3"/>
  <c r="M102" i="3"/>
  <c r="L102" i="3"/>
  <c r="K102" i="3"/>
  <c r="J102" i="3"/>
  <c r="I102" i="3"/>
  <c r="H102" i="3"/>
  <c r="G102" i="3"/>
  <c r="F102" i="3"/>
  <c r="E102" i="3"/>
  <c r="P101" i="3"/>
  <c r="O101" i="3"/>
  <c r="N101" i="3"/>
  <c r="M101" i="3"/>
  <c r="L101" i="3"/>
  <c r="K101" i="3"/>
  <c r="J101" i="3"/>
  <c r="I101" i="3"/>
  <c r="H101" i="3"/>
  <c r="G101" i="3"/>
  <c r="F101" i="3"/>
  <c r="E101" i="3"/>
  <c r="P100" i="3"/>
  <c r="O100" i="3"/>
  <c r="N100" i="3"/>
  <c r="M100" i="3"/>
  <c r="L100" i="3"/>
  <c r="K100" i="3"/>
  <c r="J100" i="3"/>
  <c r="I100" i="3"/>
  <c r="H100" i="3"/>
  <c r="G100" i="3"/>
  <c r="F100" i="3"/>
  <c r="E100" i="3"/>
  <c r="P99" i="3"/>
  <c r="O99" i="3"/>
  <c r="N99" i="3"/>
  <c r="M99" i="3"/>
  <c r="L99" i="3"/>
  <c r="K99" i="3"/>
  <c r="J99" i="3"/>
  <c r="I99" i="3"/>
  <c r="H99" i="3"/>
  <c r="G99" i="3"/>
  <c r="F99" i="3"/>
  <c r="E99" i="3"/>
  <c r="P98" i="3"/>
  <c r="O98" i="3"/>
  <c r="N98" i="3"/>
  <c r="M98" i="3"/>
  <c r="L98" i="3"/>
  <c r="K98" i="3"/>
  <c r="J98" i="3"/>
  <c r="I98" i="3"/>
  <c r="H98" i="3"/>
  <c r="G98" i="3"/>
  <c r="F98" i="3"/>
  <c r="E98" i="3"/>
  <c r="P97" i="3"/>
  <c r="O97" i="3"/>
  <c r="N97" i="3"/>
  <c r="M97" i="3"/>
  <c r="L97" i="3"/>
  <c r="K97" i="3"/>
  <c r="J97" i="3"/>
  <c r="I97" i="3"/>
  <c r="H97" i="3"/>
  <c r="G97" i="3"/>
  <c r="F97" i="3"/>
  <c r="E97" i="3"/>
  <c r="P96" i="3"/>
  <c r="O96" i="3"/>
  <c r="N96" i="3"/>
  <c r="M96" i="3"/>
  <c r="L96" i="3"/>
  <c r="K96" i="3"/>
  <c r="J96" i="3"/>
  <c r="I96" i="3"/>
  <c r="H96" i="3"/>
  <c r="G96" i="3"/>
  <c r="F96" i="3"/>
  <c r="E96" i="3"/>
  <c r="P95" i="3"/>
  <c r="O95" i="3"/>
  <c r="N95" i="3"/>
  <c r="M95" i="3"/>
  <c r="L95" i="3"/>
  <c r="K95" i="3"/>
  <c r="J95" i="3"/>
  <c r="I95" i="3"/>
  <c r="H95" i="3"/>
  <c r="G95" i="3"/>
  <c r="F95" i="3"/>
  <c r="E95" i="3"/>
  <c r="P94" i="3"/>
  <c r="O94" i="3"/>
  <c r="N94" i="3"/>
  <c r="M94" i="3"/>
  <c r="L94" i="3"/>
  <c r="K94" i="3"/>
  <c r="J94" i="3"/>
  <c r="I94" i="3"/>
  <c r="H94" i="3"/>
  <c r="G94" i="3"/>
  <c r="F94" i="3"/>
  <c r="E94" i="3"/>
  <c r="P93" i="3"/>
  <c r="O93" i="3"/>
  <c r="N93" i="3"/>
  <c r="M93" i="3"/>
  <c r="L93" i="3"/>
  <c r="K93" i="3"/>
  <c r="J93" i="3"/>
  <c r="I93" i="3"/>
  <c r="H93" i="3"/>
  <c r="G93" i="3"/>
  <c r="F93" i="3"/>
  <c r="E93" i="3"/>
  <c r="P92" i="3"/>
  <c r="O92" i="3"/>
  <c r="N92" i="3"/>
  <c r="M92" i="3"/>
  <c r="L92" i="3"/>
  <c r="K92" i="3"/>
  <c r="J92" i="3"/>
  <c r="I92" i="3"/>
  <c r="H92" i="3"/>
  <c r="G92" i="3"/>
  <c r="F92" i="3"/>
  <c r="E92" i="3"/>
  <c r="P91" i="3"/>
  <c r="O91" i="3"/>
  <c r="N91" i="3"/>
  <c r="M91" i="3"/>
  <c r="L91" i="3"/>
  <c r="K91" i="3"/>
  <c r="J91" i="3"/>
  <c r="I91" i="3"/>
  <c r="H91" i="3"/>
  <c r="G91" i="3"/>
  <c r="F91" i="3"/>
  <c r="E91" i="3"/>
  <c r="P90" i="3"/>
  <c r="O90" i="3"/>
  <c r="N90" i="3"/>
  <c r="M90" i="3"/>
  <c r="L90" i="3"/>
  <c r="K90" i="3"/>
  <c r="J90" i="3"/>
  <c r="I90" i="3"/>
  <c r="H90" i="3"/>
  <c r="G90" i="3"/>
  <c r="F90" i="3"/>
  <c r="E90" i="3"/>
  <c r="P89" i="3"/>
  <c r="O89" i="3"/>
  <c r="N89" i="3"/>
  <c r="M89" i="3"/>
  <c r="L89" i="3"/>
  <c r="K89" i="3"/>
  <c r="J89" i="3"/>
  <c r="I89" i="3"/>
  <c r="H89" i="3"/>
  <c r="G89" i="3"/>
  <c r="F89" i="3"/>
  <c r="E89" i="3"/>
  <c r="P88" i="3"/>
  <c r="O88" i="3"/>
  <c r="N88" i="3"/>
  <c r="M88" i="3"/>
  <c r="L88" i="3"/>
  <c r="K88" i="3"/>
  <c r="J88" i="3"/>
  <c r="I88" i="3"/>
  <c r="H88" i="3"/>
  <c r="G88" i="3"/>
  <c r="F88" i="3"/>
  <c r="E88" i="3"/>
  <c r="P87" i="3"/>
  <c r="O87" i="3"/>
  <c r="N87" i="3"/>
  <c r="M87" i="3"/>
  <c r="L87" i="3"/>
  <c r="K87" i="3"/>
  <c r="J87" i="3"/>
  <c r="I87" i="3"/>
  <c r="H87" i="3"/>
  <c r="G87" i="3"/>
  <c r="F87" i="3"/>
  <c r="E87" i="3"/>
  <c r="P86" i="3"/>
  <c r="O86" i="3"/>
  <c r="N86" i="3"/>
  <c r="M86" i="3"/>
  <c r="L86" i="3"/>
  <c r="K86" i="3"/>
  <c r="J86" i="3"/>
  <c r="I86" i="3"/>
  <c r="H86" i="3"/>
  <c r="G86" i="3"/>
  <c r="F86" i="3"/>
  <c r="E86" i="3"/>
  <c r="P85" i="3"/>
  <c r="O85" i="3"/>
  <c r="N85" i="3"/>
  <c r="M85" i="3"/>
  <c r="L85" i="3"/>
  <c r="K85" i="3"/>
  <c r="J85" i="3"/>
  <c r="I85" i="3"/>
  <c r="H85" i="3"/>
  <c r="G85" i="3"/>
  <c r="F85" i="3"/>
  <c r="E85" i="3"/>
  <c r="P84" i="3"/>
  <c r="O84" i="3"/>
  <c r="N84" i="3"/>
  <c r="M84" i="3"/>
  <c r="L84" i="3"/>
  <c r="K84" i="3"/>
  <c r="J84" i="3"/>
  <c r="I84" i="3"/>
  <c r="H84" i="3"/>
  <c r="G84" i="3"/>
  <c r="F84" i="3"/>
  <c r="E84" i="3"/>
  <c r="P83" i="3"/>
  <c r="O83" i="3"/>
  <c r="N83" i="3"/>
  <c r="M83" i="3"/>
  <c r="L83" i="3"/>
  <c r="K83" i="3"/>
  <c r="J83" i="3"/>
  <c r="I83" i="3"/>
  <c r="H83" i="3"/>
  <c r="G83" i="3"/>
  <c r="F83" i="3"/>
  <c r="E83" i="3"/>
  <c r="P82" i="3"/>
  <c r="O82" i="3"/>
  <c r="N82" i="3"/>
  <c r="M82" i="3"/>
  <c r="L82" i="3"/>
  <c r="K82" i="3"/>
  <c r="J82" i="3"/>
  <c r="I82" i="3"/>
  <c r="H82" i="3"/>
  <c r="G82" i="3"/>
  <c r="F82" i="3"/>
  <c r="E82" i="3"/>
  <c r="P81" i="3"/>
  <c r="O81" i="3"/>
  <c r="N81" i="3"/>
  <c r="M81" i="3"/>
  <c r="L81" i="3"/>
  <c r="K81" i="3"/>
  <c r="J81" i="3"/>
  <c r="I81" i="3"/>
  <c r="H81" i="3"/>
  <c r="G81" i="3"/>
  <c r="F81" i="3"/>
  <c r="E81" i="3"/>
  <c r="P80" i="3"/>
  <c r="O80" i="3"/>
  <c r="N80" i="3"/>
  <c r="M80" i="3"/>
  <c r="L80" i="3"/>
  <c r="K80" i="3"/>
  <c r="J80" i="3"/>
  <c r="I80" i="3"/>
  <c r="H80" i="3"/>
  <c r="G80" i="3"/>
  <c r="F80" i="3"/>
  <c r="E80" i="3"/>
  <c r="P79" i="3"/>
  <c r="O79" i="3"/>
  <c r="N79" i="3"/>
  <c r="M79" i="3"/>
  <c r="L79" i="3"/>
  <c r="K79" i="3"/>
  <c r="J79" i="3"/>
  <c r="I79" i="3"/>
  <c r="H79" i="3"/>
  <c r="G79" i="3"/>
  <c r="F79" i="3"/>
  <c r="E79" i="3"/>
  <c r="P78" i="3"/>
  <c r="O78" i="3"/>
  <c r="N78" i="3"/>
  <c r="M78" i="3"/>
  <c r="L78" i="3"/>
  <c r="K78" i="3"/>
  <c r="J78" i="3"/>
  <c r="I78" i="3"/>
  <c r="H78" i="3"/>
  <c r="G78" i="3"/>
  <c r="F78" i="3"/>
  <c r="E78" i="3"/>
  <c r="P77" i="3"/>
  <c r="O77" i="3"/>
  <c r="N77" i="3"/>
  <c r="M77" i="3"/>
  <c r="L77" i="3"/>
  <c r="K77" i="3"/>
  <c r="J77" i="3"/>
  <c r="I77" i="3"/>
  <c r="H77" i="3"/>
  <c r="G77" i="3"/>
  <c r="F77" i="3"/>
  <c r="E77" i="3"/>
  <c r="P76" i="3"/>
  <c r="O76" i="3"/>
  <c r="N76" i="3"/>
  <c r="M76" i="3"/>
  <c r="L76" i="3"/>
  <c r="K76" i="3"/>
  <c r="J76" i="3"/>
  <c r="I76" i="3"/>
  <c r="H76" i="3"/>
  <c r="G76" i="3"/>
  <c r="F76" i="3"/>
  <c r="E76" i="3"/>
  <c r="P75" i="3"/>
  <c r="O75" i="3"/>
  <c r="N75" i="3"/>
  <c r="M75" i="3"/>
  <c r="L75" i="3"/>
  <c r="K75" i="3"/>
  <c r="J75" i="3"/>
  <c r="I75" i="3"/>
  <c r="H75" i="3"/>
  <c r="G75" i="3"/>
  <c r="F75" i="3"/>
  <c r="E75" i="3"/>
  <c r="P74" i="3"/>
  <c r="O74" i="3"/>
  <c r="N74" i="3"/>
  <c r="M74" i="3"/>
  <c r="L74" i="3"/>
  <c r="K74" i="3"/>
  <c r="J74" i="3"/>
  <c r="I74" i="3"/>
  <c r="H74" i="3"/>
  <c r="G74" i="3"/>
  <c r="F74" i="3"/>
  <c r="E74" i="3"/>
  <c r="P73" i="3"/>
  <c r="O73" i="3"/>
  <c r="N73" i="3"/>
  <c r="M73" i="3"/>
  <c r="L73" i="3"/>
  <c r="K73" i="3"/>
  <c r="J73" i="3"/>
  <c r="I73" i="3"/>
  <c r="H73" i="3"/>
  <c r="G73" i="3"/>
  <c r="F73" i="3"/>
  <c r="E73" i="3"/>
  <c r="P72" i="3"/>
  <c r="O72" i="3"/>
  <c r="N72" i="3"/>
  <c r="M72" i="3"/>
  <c r="L72" i="3"/>
  <c r="K72" i="3"/>
  <c r="J72" i="3"/>
  <c r="I72" i="3"/>
  <c r="H72" i="3"/>
  <c r="G72" i="3"/>
  <c r="F72" i="3"/>
  <c r="E72" i="3"/>
  <c r="P71" i="3"/>
  <c r="O71" i="3"/>
  <c r="N71" i="3"/>
  <c r="M71" i="3"/>
  <c r="L71" i="3"/>
  <c r="K71" i="3"/>
  <c r="J71" i="3"/>
  <c r="I71" i="3"/>
  <c r="H71" i="3"/>
  <c r="G71" i="3"/>
  <c r="F71" i="3"/>
  <c r="E71" i="3"/>
  <c r="P70" i="3"/>
  <c r="O70" i="3"/>
  <c r="N70" i="3"/>
  <c r="M70" i="3"/>
  <c r="L70" i="3"/>
  <c r="K70" i="3"/>
  <c r="J70" i="3"/>
  <c r="I70" i="3"/>
  <c r="H70" i="3"/>
  <c r="G70" i="3"/>
  <c r="F70" i="3"/>
  <c r="E70" i="3"/>
  <c r="P69" i="3"/>
  <c r="O69" i="3"/>
  <c r="N69" i="3"/>
  <c r="M69" i="3"/>
  <c r="L69" i="3"/>
  <c r="K69" i="3"/>
  <c r="J69" i="3"/>
  <c r="I69" i="3"/>
  <c r="H69" i="3"/>
  <c r="G69" i="3"/>
  <c r="F69" i="3"/>
  <c r="E69" i="3"/>
  <c r="P68" i="3"/>
  <c r="O68" i="3"/>
  <c r="N68" i="3"/>
  <c r="M68" i="3"/>
  <c r="L68" i="3"/>
  <c r="K68" i="3"/>
  <c r="J68" i="3"/>
  <c r="I68" i="3"/>
  <c r="H68" i="3"/>
  <c r="G68" i="3"/>
  <c r="F68" i="3"/>
  <c r="E68" i="3"/>
  <c r="P67" i="3"/>
  <c r="O67" i="3"/>
  <c r="N67" i="3"/>
  <c r="M67" i="3"/>
  <c r="L67" i="3"/>
  <c r="K67" i="3"/>
  <c r="J67" i="3"/>
  <c r="I67" i="3"/>
  <c r="H67" i="3"/>
  <c r="G67" i="3"/>
  <c r="F67" i="3"/>
  <c r="E67" i="3"/>
  <c r="P66" i="3"/>
  <c r="O66" i="3"/>
  <c r="N66" i="3"/>
  <c r="M66" i="3"/>
  <c r="L66" i="3"/>
  <c r="K66" i="3"/>
  <c r="J66" i="3"/>
  <c r="I66" i="3"/>
  <c r="H66" i="3"/>
  <c r="G66" i="3"/>
  <c r="F66" i="3"/>
  <c r="E66" i="3"/>
  <c r="P65" i="3"/>
  <c r="O65" i="3"/>
  <c r="N65" i="3"/>
  <c r="M65" i="3"/>
  <c r="L65" i="3"/>
  <c r="K65" i="3"/>
  <c r="J65" i="3"/>
  <c r="I65" i="3"/>
  <c r="H65" i="3"/>
  <c r="G65" i="3"/>
  <c r="F65" i="3"/>
  <c r="E65" i="3"/>
  <c r="P64" i="3"/>
  <c r="O64" i="3"/>
  <c r="N64" i="3"/>
  <c r="M64" i="3"/>
  <c r="L64" i="3"/>
  <c r="K64" i="3"/>
  <c r="J64" i="3"/>
  <c r="I64" i="3"/>
  <c r="H64" i="3"/>
  <c r="G64" i="3"/>
  <c r="F64" i="3"/>
  <c r="E64" i="3"/>
  <c r="P63" i="3"/>
  <c r="O63" i="3"/>
  <c r="N63" i="3"/>
  <c r="M63" i="3"/>
  <c r="L63" i="3"/>
  <c r="K63" i="3"/>
  <c r="J63" i="3"/>
  <c r="I63" i="3"/>
  <c r="H63" i="3"/>
  <c r="G63" i="3"/>
  <c r="F63" i="3"/>
  <c r="E63" i="3"/>
  <c r="P62" i="3"/>
  <c r="O62" i="3"/>
  <c r="N62" i="3"/>
  <c r="M62" i="3"/>
  <c r="L62" i="3"/>
  <c r="K62" i="3"/>
  <c r="J62" i="3"/>
  <c r="I62" i="3"/>
  <c r="H62" i="3"/>
  <c r="G62" i="3"/>
  <c r="F62" i="3"/>
  <c r="E62" i="3"/>
  <c r="P61" i="3"/>
  <c r="O61" i="3"/>
  <c r="N61" i="3"/>
  <c r="M61" i="3"/>
  <c r="L61" i="3"/>
  <c r="K61" i="3"/>
  <c r="J61" i="3"/>
  <c r="I61" i="3"/>
  <c r="H61" i="3"/>
  <c r="G61" i="3"/>
  <c r="F61" i="3"/>
  <c r="E61" i="3"/>
  <c r="P60" i="3"/>
  <c r="O60" i="3"/>
  <c r="N60" i="3"/>
  <c r="M60" i="3"/>
  <c r="L60" i="3"/>
  <c r="K60" i="3"/>
  <c r="J60" i="3"/>
  <c r="I60" i="3"/>
  <c r="H60" i="3"/>
  <c r="G60" i="3"/>
  <c r="F60" i="3"/>
  <c r="E60" i="3"/>
  <c r="P59" i="3"/>
  <c r="O59" i="3"/>
  <c r="N59" i="3"/>
  <c r="M59" i="3"/>
  <c r="L59" i="3"/>
  <c r="K59" i="3"/>
  <c r="J59" i="3"/>
  <c r="I59" i="3"/>
  <c r="H59" i="3"/>
  <c r="G59" i="3"/>
  <c r="F59" i="3"/>
  <c r="E59" i="3"/>
  <c r="P58" i="3"/>
  <c r="O58" i="3"/>
  <c r="N58" i="3"/>
  <c r="M58" i="3"/>
  <c r="L58" i="3"/>
  <c r="K58" i="3"/>
  <c r="J58" i="3"/>
  <c r="I58" i="3"/>
  <c r="H58" i="3"/>
  <c r="G58" i="3"/>
  <c r="F58" i="3"/>
  <c r="E58" i="3"/>
  <c r="P57" i="3"/>
  <c r="O57" i="3"/>
  <c r="N57" i="3"/>
  <c r="M57" i="3"/>
  <c r="L57" i="3"/>
  <c r="K57" i="3"/>
  <c r="J57" i="3"/>
  <c r="I57" i="3"/>
  <c r="H57" i="3"/>
  <c r="G57" i="3"/>
  <c r="F57" i="3"/>
  <c r="E57" i="3"/>
  <c r="P56" i="3"/>
  <c r="O56" i="3"/>
  <c r="N56" i="3"/>
  <c r="M56" i="3"/>
  <c r="L56" i="3"/>
  <c r="K56" i="3"/>
  <c r="J56" i="3"/>
  <c r="I56" i="3"/>
  <c r="H56" i="3"/>
  <c r="G56" i="3"/>
  <c r="F56" i="3"/>
  <c r="E56" i="3"/>
  <c r="P55" i="3"/>
  <c r="O55" i="3"/>
  <c r="N55" i="3"/>
  <c r="M55" i="3"/>
  <c r="L55" i="3"/>
  <c r="K55" i="3"/>
  <c r="J55" i="3"/>
  <c r="I55" i="3"/>
  <c r="H55" i="3"/>
  <c r="G55" i="3"/>
  <c r="F55" i="3"/>
  <c r="E55" i="3"/>
  <c r="P54" i="3"/>
  <c r="O54" i="3"/>
  <c r="N54" i="3"/>
  <c r="M54" i="3"/>
  <c r="L54" i="3"/>
  <c r="K54" i="3"/>
  <c r="J54" i="3"/>
  <c r="I54" i="3"/>
  <c r="H54" i="3"/>
  <c r="G54" i="3"/>
  <c r="F54" i="3"/>
  <c r="E54" i="3"/>
  <c r="P53" i="3"/>
  <c r="O53" i="3"/>
  <c r="N53" i="3"/>
  <c r="M53" i="3"/>
  <c r="L53" i="3"/>
  <c r="K53" i="3"/>
  <c r="J53" i="3"/>
  <c r="I53" i="3"/>
  <c r="H53" i="3"/>
  <c r="G53" i="3"/>
  <c r="F53" i="3"/>
  <c r="E53" i="3"/>
  <c r="P52" i="3"/>
  <c r="O52" i="3"/>
  <c r="N52" i="3"/>
  <c r="M52" i="3"/>
  <c r="L52" i="3"/>
  <c r="K52" i="3"/>
  <c r="J52" i="3"/>
  <c r="I52" i="3"/>
  <c r="H52" i="3"/>
  <c r="G52" i="3"/>
  <c r="F52" i="3"/>
  <c r="E52" i="3"/>
  <c r="P51" i="3"/>
  <c r="O51" i="3"/>
  <c r="N51" i="3"/>
  <c r="M51" i="3"/>
  <c r="L51" i="3"/>
  <c r="K51" i="3"/>
  <c r="J51" i="3"/>
  <c r="I51" i="3"/>
  <c r="H51" i="3"/>
  <c r="G51" i="3"/>
  <c r="F51" i="3"/>
  <c r="E51" i="3"/>
  <c r="P50" i="3"/>
  <c r="O50" i="3"/>
  <c r="N50" i="3"/>
  <c r="M50" i="3"/>
  <c r="L50" i="3"/>
  <c r="K50" i="3"/>
  <c r="J50" i="3"/>
  <c r="I50" i="3"/>
  <c r="H50" i="3"/>
  <c r="G50" i="3"/>
  <c r="F50" i="3"/>
  <c r="E50" i="3"/>
  <c r="P49" i="3"/>
  <c r="O49" i="3"/>
  <c r="N49" i="3"/>
  <c r="M49" i="3"/>
  <c r="L49" i="3"/>
  <c r="K49" i="3"/>
  <c r="J49" i="3"/>
  <c r="I49" i="3"/>
  <c r="H49" i="3"/>
  <c r="G49" i="3"/>
  <c r="F49" i="3"/>
  <c r="E49" i="3"/>
  <c r="P48" i="3"/>
  <c r="O48" i="3"/>
  <c r="N48" i="3"/>
  <c r="M48" i="3"/>
  <c r="L48" i="3"/>
  <c r="K48" i="3"/>
  <c r="J48" i="3"/>
  <c r="I48" i="3"/>
  <c r="H48" i="3"/>
  <c r="G48" i="3"/>
  <c r="F48" i="3"/>
  <c r="E48" i="3"/>
  <c r="P47" i="3"/>
  <c r="O47" i="3"/>
  <c r="N47" i="3"/>
  <c r="M47" i="3"/>
  <c r="L47" i="3"/>
  <c r="K47" i="3"/>
  <c r="J47" i="3"/>
  <c r="I47" i="3"/>
  <c r="H47" i="3"/>
  <c r="G47" i="3"/>
  <c r="F47" i="3"/>
  <c r="E47" i="3"/>
  <c r="P46" i="3"/>
  <c r="O46" i="3"/>
  <c r="N46" i="3"/>
  <c r="M46" i="3"/>
  <c r="L46" i="3"/>
  <c r="K46" i="3"/>
  <c r="J46" i="3"/>
  <c r="I46" i="3"/>
  <c r="H46" i="3"/>
  <c r="G46" i="3"/>
  <c r="F46" i="3"/>
  <c r="E46" i="3"/>
  <c r="P45" i="3"/>
  <c r="O45" i="3"/>
  <c r="N45" i="3"/>
  <c r="M45" i="3"/>
  <c r="L45" i="3"/>
  <c r="K45" i="3"/>
  <c r="J45" i="3"/>
  <c r="I45" i="3"/>
  <c r="H45" i="3"/>
  <c r="G45" i="3"/>
  <c r="F45" i="3"/>
  <c r="E45" i="3"/>
  <c r="P44" i="3"/>
  <c r="O44" i="3"/>
  <c r="N44" i="3"/>
  <c r="M44" i="3"/>
  <c r="L44" i="3"/>
  <c r="K44" i="3"/>
  <c r="J44" i="3"/>
  <c r="I44" i="3"/>
  <c r="H44" i="3"/>
  <c r="G44" i="3"/>
  <c r="F44" i="3"/>
  <c r="E44" i="3"/>
  <c r="P43" i="3"/>
  <c r="O43" i="3"/>
  <c r="N43" i="3"/>
  <c r="M43" i="3"/>
  <c r="L43" i="3"/>
  <c r="K43" i="3"/>
  <c r="J43" i="3"/>
  <c r="I43" i="3"/>
  <c r="H43" i="3"/>
  <c r="G43" i="3"/>
  <c r="F43" i="3"/>
  <c r="E43" i="3"/>
  <c r="P42" i="3"/>
  <c r="O42" i="3"/>
  <c r="N42" i="3"/>
  <c r="M42" i="3"/>
  <c r="L42" i="3"/>
  <c r="K42" i="3"/>
  <c r="J42" i="3"/>
  <c r="I42" i="3"/>
  <c r="H42" i="3"/>
  <c r="G42" i="3"/>
  <c r="F42" i="3"/>
  <c r="E42" i="3"/>
  <c r="P41" i="3"/>
  <c r="O41" i="3"/>
  <c r="N41" i="3"/>
  <c r="M41" i="3"/>
  <c r="L41" i="3"/>
  <c r="K41" i="3"/>
  <c r="J41" i="3"/>
  <c r="I41" i="3"/>
  <c r="H41" i="3"/>
  <c r="G41" i="3"/>
  <c r="F41" i="3"/>
  <c r="E41" i="3"/>
  <c r="P40" i="3"/>
  <c r="O40" i="3"/>
  <c r="N40" i="3"/>
  <c r="M40" i="3"/>
  <c r="L40" i="3"/>
  <c r="K40" i="3"/>
  <c r="J40" i="3"/>
  <c r="I40" i="3"/>
  <c r="H40" i="3"/>
  <c r="G40" i="3"/>
  <c r="F40" i="3"/>
  <c r="E40" i="3"/>
  <c r="P39" i="3"/>
  <c r="O39" i="3"/>
  <c r="N39" i="3"/>
  <c r="M39" i="3"/>
  <c r="L39" i="3"/>
  <c r="K39" i="3"/>
  <c r="J39" i="3"/>
  <c r="I39" i="3"/>
  <c r="H39" i="3"/>
  <c r="G39" i="3"/>
  <c r="F39" i="3"/>
  <c r="E39" i="3"/>
  <c r="P38" i="3"/>
  <c r="O38" i="3"/>
  <c r="N38" i="3"/>
  <c r="M38" i="3"/>
  <c r="L38" i="3"/>
  <c r="K38" i="3"/>
  <c r="J38" i="3"/>
  <c r="I38" i="3"/>
  <c r="H38" i="3"/>
  <c r="G38" i="3"/>
  <c r="F38" i="3"/>
  <c r="E38" i="3"/>
  <c r="P37" i="3"/>
  <c r="O37" i="3"/>
  <c r="N37" i="3"/>
  <c r="M37" i="3"/>
  <c r="L37" i="3"/>
  <c r="K37" i="3"/>
  <c r="J37" i="3"/>
  <c r="I37" i="3"/>
  <c r="H37" i="3"/>
  <c r="G37" i="3"/>
  <c r="F37" i="3"/>
  <c r="E37" i="3"/>
  <c r="P36" i="3"/>
  <c r="O36" i="3"/>
  <c r="N36" i="3"/>
  <c r="M36" i="3"/>
  <c r="L36" i="3"/>
  <c r="K36" i="3"/>
  <c r="J36" i="3"/>
  <c r="I36" i="3"/>
  <c r="H36" i="3"/>
  <c r="G36" i="3"/>
  <c r="F36" i="3"/>
  <c r="E36" i="3"/>
  <c r="P35" i="3"/>
  <c r="O35" i="3"/>
  <c r="N35" i="3"/>
  <c r="M35" i="3"/>
  <c r="L35" i="3"/>
  <c r="K35" i="3"/>
  <c r="J35" i="3"/>
  <c r="I35" i="3"/>
  <c r="H35" i="3"/>
  <c r="G35" i="3"/>
  <c r="F35" i="3"/>
  <c r="E35" i="3"/>
  <c r="P34" i="3"/>
  <c r="O34" i="3"/>
  <c r="N34" i="3"/>
  <c r="M34" i="3"/>
  <c r="L34" i="3"/>
  <c r="K34" i="3"/>
  <c r="J34" i="3"/>
  <c r="I34" i="3"/>
  <c r="H34" i="3"/>
  <c r="G34" i="3"/>
  <c r="F34" i="3"/>
  <c r="E34" i="3"/>
  <c r="P33" i="3"/>
  <c r="O33" i="3"/>
  <c r="N33" i="3"/>
  <c r="M33" i="3"/>
  <c r="L33" i="3"/>
  <c r="K33" i="3"/>
  <c r="J33" i="3"/>
  <c r="I33" i="3"/>
  <c r="H33" i="3"/>
  <c r="G33" i="3"/>
  <c r="F33" i="3"/>
  <c r="E33" i="3"/>
  <c r="P32" i="3"/>
  <c r="O32" i="3"/>
  <c r="N32" i="3"/>
  <c r="M32" i="3"/>
  <c r="L32" i="3"/>
  <c r="K32" i="3"/>
  <c r="J32" i="3"/>
  <c r="I32" i="3"/>
  <c r="H32" i="3"/>
  <c r="G32" i="3"/>
  <c r="F32" i="3"/>
  <c r="E32" i="3"/>
  <c r="P31" i="3"/>
  <c r="O31" i="3"/>
  <c r="N31" i="3"/>
  <c r="M31" i="3"/>
  <c r="L31" i="3"/>
  <c r="K31" i="3"/>
  <c r="J31" i="3"/>
  <c r="I31" i="3"/>
  <c r="H31" i="3"/>
  <c r="G31" i="3"/>
  <c r="F31" i="3"/>
  <c r="E31" i="3"/>
  <c r="P30" i="3"/>
  <c r="O30" i="3"/>
  <c r="N30" i="3"/>
  <c r="M30" i="3"/>
  <c r="L30" i="3"/>
  <c r="K30" i="3"/>
  <c r="J30" i="3"/>
  <c r="I30" i="3"/>
  <c r="H30" i="3"/>
  <c r="G30" i="3"/>
  <c r="F30" i="3"/>
  <c r="E30" i="3"/>
  <c r="P29" i="3"/>
  <c r="O29" i="3"/>
  <c r="N29" i="3"/>
  <c r="M29" i="3"/>
  <c r="L29" i="3"/>
  <c r="K29" i="3"/>
  <c r="J29" i="3"/>
  <c r="I29" i="3"/>
  <c r="H29" i="3"/>
  <c r="G29" i="3"/>
  <c r="F29" i="3"/>
  <c r="E29" i="3"/>
  <c r="P28" i="3"/>
  <c r="O28" i="3"/>
  <c r="N28" i="3"/>
  <c r="M28" i="3"/>
  <c r="L28" i="3"/>
  <c r="K28" i="3"/>
  <c r="J28" i="3"/>
  <c r="I28" i="3"/>
  <c r="H28" i="3"/>
  <c r="G28" i="3"/>
  <c r="F28" i="3"/>
  <c r="E28" i="3"/>
  <c r="P27" i="3"/>
  <c r="O27" i="3"/>
  <c r="N27" i="3"/>
  <c r="M27" i="3"/>
  <c r="L27" i="3"/>
  <c r="K27" i="3"/>
  <c r="J27" i="3"/>
  <c r="I27" i="3"/>
  <c r="H27" i="3"/>
  <c r="G27" i="3"/>
  <c r="F27" i="3"/>
  <c r="E27" i="3"/>
  <c r="P26" i="3"/>
  <c r="O26" i="3"/>
  <c r="N26" i="3"/>
  <c r="M26" i="3"/>
  <c r="L26" i="3"/>
  <c r="K26" i="3"/>
  <c r="J26" i="3"/>
  <c r="I26" i="3"/>
  <c r="H26" i="3"/>
  <c r="G26" i="3"/>
  <c r="F26" i="3"/>
  <c r="E26" i="3"/>
  <c r="P25" i="3"/>
  <c r="O25" i="3"/>
  <c r="N25" i="3"/>
  <c r="M25" i="3"/>
  <c r="L25" i="3"/>
  <c r="K25" i="3"/>
  <c r="J25" i="3"/>
  <c r="I25" i="3"/>
  <c r="H25" i="3"/>
  <c r="G25" i="3"/>
  <c r="F25" i="3"/>
  <c r="E25" i="3"/>
  <c r="P24" i="3"/>
  <c r="O24" i="3"/>
  <c r="N24" i="3"/>
  <c r="M24" i="3"/>
  <c r="L24" i="3"/>
  <c r="K24" i="3"/>
  <c r="J24" i="3"/>
  <c r="I24" i="3"/>
  <c r="H24" i="3"/>
  <c r="G24" i="3"/>
  <c r="F24" i="3"/>
  <c r="E24" i="3"/>
  <c r="P23" i="3"/>
  <c r="O23" i="3"/>
  <c r="N23" i="3"/>
  <c r="M23" i="3"/>
  <c r="L23" i="3"/>
  <c r="K23" i="3"/>
  <c r="J23" i="3"/>
  <c r="I23" i="3"/>
  <c r="H23" i="3"/>
  <c r="G23" i="3"/>
  <c r="F23" i="3"/>
  <c r="E23" i="3"/>
  <c r="P22" i="3"/>
  <c r="O22" i="3"/>
  <c r="N22" i="3"/>
  <c r="M22" i="3"/>
  <c r="L22" i="3"/>
  <c r="K22" i="3"/>
  <c r="J22" i="3"/>
  <c r="I22" i="3"/>
  <c r="H22" i="3"/>
  <c r="G22" i="3"/>
  <c r="F22" i="3"/>
  <c r="E22" i="3"/>
  <c r="P21" i="3"/>
  <c r="O21" i="3"/>
  <c r="N21" i="3"/>
  <c r="M21" i="3"/>
  <c r="L21" i="3"/>
  <c r="K21" i="3"/>
  <c r="J21" i="3"/>
  <c r="I21" i="3"/>
  <c r="H21" i="3"/>
  <c r="G21" i="3"/>
  <c r="F21" i="3"/>
  <c r="E21" i="3"/>
  <c r="P20" i="3"/>
  <c r="O20" i="3"/>
  <c r="N20" i="3"/>
  <c r="M20" i="3"/>
  <c r="L20" i="3"/>
  <c r="K20" i="3"/>
  <c r="J20" i="3"/>
  <c r="I20" i="3"/>
  <c r="H20" i="3"/>
  <c r="G20" i="3"/>
  <c r="F20" i="3"/>
  <c r="E20" i="3"/>
  <c r="P19" i="3"/>
  <c r="O19" i="3"/>
  <c r="N19" i="3"/>
  <c r="M19" i="3"/>
  <c r="L19" i="3"/>
  <c r="K19" i="3"/>
  <c r="J19" i="3"/>
  <c r="I19" i="3"/>
  <c r="H19" i="3"/>
  <c r="G19" i="3"/>
  <c r="F19" i="3"/>
  <c r="E19" i="3"/>
  <c r="P18" i="3"/>
  <c r="O18" i="3"/>
  <c r="N18" i="3"/>
  <c r="M18" i="3"/>
  <c r="L18" i="3"/>
  <c r="K18" i="3"/>
  <c r="J18" i="3"/>
  <c r="I18" i="3"/>
  <c r="H18" i="3"/>
  <c r="G18" i="3"/>
  <c r="F18" i="3"/>
  <c r="E18" i="3"/>
  <c r="P17" i="3"/>
  <c r="O17" i="3"/>
  <c r="N17" i="3"/>
  <c r="M17" i="3"/>
  <c r="L17" i="3"/>
  <c r="K17" i="3"/>
  <c r="J17" i="3"/>
  <c r="I17" i="3"/>
  <c r="H17" i="3"/>
  <c r="G17" i="3"/>
  <c r="F17" i="3"/>
  <c r="E17" i="3"/>
  <c r="P16" i="3"/>
  <c r="O16" i="3"/>
  <c r="N16" i="3"/>
  <c r="M16" i="3"/>
  <c r="L16" i="3"/>
  <c r="K16" i="3"/>
  <c r="J16" i="3"/>
  <c r="I16" i="3"/>
  <c r="H16" i="3"/>
  <c r="G16" i="3"/>
  <c r="F16" i="3"/>
  <c r="E16" i="3"/>
  <c r="P15" i="3"/>
  <c r="O15" i="3"/>
  <c r="N15" i="3"/>
  <c r="M15" i="3"/>
  <c r="L15" i="3"/>
  <c r="K15" i="3"/>
  <c r="J15" i="3"/>
  <c r="I15" i="3"/>
  <c r="H15" i="3"/>
  <c r="G15" i="3"/>
  <c r="F15" i="3"/>
  <c r="E15" i="3"/>
  <c r="P14" i="3"/>
  <c r="O14" i="3"/>
  <c r="N14" i="3"/>
  <c r="M14" i="3"/>
  <c r="L14" i="3"/>
  <c r="K14" i="3"/>
  <c r="J14" i="3"/>
  <c r="I14" i="3"/>
  <c r="H14" i="3"/>
  <c r="G14" i="3"/>
  <c r="F14" i="3"/>
  <c r="E14" i="3"/>
  <c r="P13" i="3"/>
  <c r="O13" i="3"/>
  <c r="N13" i="3"/>
  <c r="M13" i="3"/>
  <c r="L13" i="3"/>
  <c r="K13" i="3"/>
  <c r="J13" i="3"/>
  <c r="I13" i="3"/>
  <c r="H13" i="3"/>
  <c r="G13" i="3"/>
  <c r="F13" i="3"/>
  <c r="E13" i="3"/>
  <c r="P12" i="3"/>
  <c r="O12" i="3"/>
  <c r="N12" i="3"/>
  <c r="M12" i="3"/>
  <c r="L12" i="3"/>
  <c r="K12" i="3"/>
  <c r="J12" i="3"/>
  <c r="I12" i="3"/>
  <c r="H12" i="3"/>
  <c r="G12" i="3"/>
  <c r="F12" i="3"/>
  <c r="E12" i="3"/>
  <c r="P11" i="3"/>
  <c r="O11" i="3"/>
  <c r="N11" i="3"/>
  <c r="M11" i="3"/>
  <c r="L11" i="3"/>
  <c r="K11" i="3"/>
  <c r="J11" i="3"/>
  <c r="I11" i="3"/>
  <c r="H11" i="3"/>
  <c r="G11" i="3"/>
  <c r="F11" i="3"/>
  <c r="E11" i="3"/>
  <c r="P10" i="3"/>
  <c r="O10" i="3"/>
  <c r="N10" i="3"/>
  <c r="M10" i="3"/>
  <c r="L10" i="3"/>
  <c r="K10" i="3"/>
  <c r="J10" i="3"/>
  <c r="I10" i="3"/>
  <c r="H10" i="3"/>
  <c r="G10" i="3"/>
  <c r="F10" i="3"/>
  <c r="E10" i="3"/>
  <c r="P9" i="3"/>
  <c r="O9" i="3"/>
  <c r="N9" i="3"/>
  <c r="M9" i="3"/>
  <c r="L9" i="3"/>
  <c r="K9" i="3"/>
  <c r="J9" i="3"/>
  <c r="I9" i="3"/>
  <c r="H9" i="3"/>
  <c r="G9" i="3"/>
  <c r="F9" i="3"/>
  <c r="E9" i="3"/>
  <c r="P8" i="3"/>
  <c r="O8" i="3"/>
  <c r="N8" i="3"/>
  <c r="M8" i="3"/>
  <c r="L8" i="3"/>
  <c r="K8" i="3"/>
  <c r="J8" i="3"/>
  <c r="I8" i="3"/>
  <c r="H8" i="3"/>
  <c r="G8" i="3"/>
  <c r="F8" i="3"/>
  <c r="E8" i="3"/>
  <c r="P7" i="3"/>
  <c r="O7" i="3"/>
  <c r="N7" i="3"/>
  <c r="M7" i="3"/>
  <c r="L7" i="3"/>
  <c r="K7" i="3"/>
  <c r="J7" i="3"/>
  <c r="I7" i="3"/>
  <c r="H7" i="3"/>
  <c r="G7" i="3"/>
  <c r="F7" i="3"/>
  <c r="E7" i="3"/>
  <c r="P6" i="3"/>
  <c r="O6" i="3"/>
  <c r="N6" i="3"/>
  <c r="M6" i="3"/>
  <c r="L6" i="3"/>
  <c r="K6" i="3"/>
  <c r="J6" i="3"/>
  <c r="I6" i="3"/>
  <c r="H6" i="3"/>
  <c r="G6" i="3"/>
  <c r="F6" i="3"/>
  <c r="E6" i="3"/>
  <c r="P5" i="3"/>
  <c r="O5" i="3"/>
  <c r="N5" i="3"/>
  <c r="M5" i="3"/>
  <c r="L5" i="3"/>
  <c r="K5" i="3"/>
  <c r="J5" i="3"/>
  <c r="I5" i="3"/>
  <c r="H5" i="3"/>
  <c r="G5" i="3"/>
  <c r="F5" i="3"/>
  <c r="E5" i="3"/>
  <c r="P4" i="3"/>
  <c r="O4" i="3"/>
  <c r="N4" i="3"/>
  <c r="M4" i="3"/>
  <c r="L4" i="3"/>
  <c r="K4" i="3"/>
  <c r="J4" i="3"/>
  <c r="I4" i="3"/>
  <c r="H4" i="3"/>
  <c r="G4" i="3"/>
  <c r="F4" i="3"/>
  <c r="E4" i="3"/>
  <c r="P3" i="3"/>
  <c r="O3" i="3"/>
  <c r="N3" i="3"/>
  <c r="M3" i="3"/>
  <c r="L3" i="3"/>
  <c r="K3" i="3"/>
  <c r="J3" i="3"/>
  <c r="I3" i="3"/>
  <c r="H3" i="3"/>
  <c r="G3" i="3"/>
  <c r="F3" i="3"/>
  <c r="E3" i="3"/>
  <c r="P2" i="3"/>
  <c r="O2" i="3"/>
  <c r="N2" i="3"/>
  <c r="M2" i="3"/>
  <c r="L2" i="3"/>
  <c r="K2" i="3"/>
  <c r="J2" i="3"/>
  <c r="I2" i="3"/>
  <c r="H2" i="3"/>
  <c r="G2" i="3"/>
  <c r="F2" i="3"/>
  <c r="E2" i="3"/>
  <c r="F170" i="3"/>
  <c r="G170" i="3"/>
  <c r="H170" i="3"/>
  <c r="I170" i="3"/>
  <c r="J170" i="3"/>
  <c r="K170" i="3"/>
  <c r="L170" i="3"/>
  <c r="M170" i="3"/>
  <c r="N170" i="3"/>
  <c r="O170" i="3"/>
  <c r="P170" i="3"/>
  <c r="E170" i="3"/>
  <c r="Q2" i="3" l="1"/>
  <c r="Q4" i="3"/>
  <c r="Q5" i="3"/>
  <c r="Q14" i="3"/>
  <c r="Q15" i="3"/>
  <c r="Q16" i="3"/>
  <c r="Q17" i="3"/>
  <c r="Q18" i="3"/>
  <c r="Q19" i="3"/>
  <c r="Q20" i="3"/>
  <c r="Q22" i="3"/>
  <c r="Q23" i="3"/>
  <c r="Q24" i="3"/>
  <c r="Q25" i="3"/>
  <c r="Q26" i="3"/>
  <c r="Q28" i="3"/>
  <c r="Q29" i="3"/>
  <c r="Q30" i="3"/>
  <c r="Q32" i="3"/>
  <c r="Q37" i="3"/>
  <c r="Q38" i="3"/>
  <c r="Q39" i="3"/>
  <c r="Q41" i="3"/>
  <c r="Q42" i="3"/>
  <c r="Q43" i="3"/>
  <c r="Q44" i="3"/>
  <c r="Q50" i="3"/>
  <c r="Q51" i="3"/>
  <c r="Q52" i="3"/>
  <c r="Q54" i="3"/>
  <c r="Q55" i="3"/>
  <c r="Q56" i="3"/>
  <c r="Q57" i="3"/>
  <c r="Q62" i="3"/>
  <c r="Q63" i="3"/>
  <c r="Q64" i="3"/>
  <c r="Q65" i="3"/>
  <c r="Q67" i="3"/>
  <c r="Q68" i="3"/>
  <c r="Q69" i="3"/>
  <c r="Q70" i="3"/>
  <c r="Q74" i="3"/>
  <c r="Q75" i="3"/>
  <c r="Q76" i="3"/>
  <c r="Q77" i="3"/>
  <c r="Q78" i="3"/>
  <c r="Q79" i="3"/>
  <c r="Q80" i="3"/>
  <c r="Q81" i="3"/>
  <c r="Q82" i="3"/>
  <c r="Q83" i="3"/>
  <c r="Q84" i="3"/>
  <c r="Q85" i="3"/>
  <c r="Q86" i="3"/>
  <c r="Q87" i="3"/>
  <c r="Q88" i="3"/>
  <c r="Q89" i="3"/>
  <c r="Q90" i="3"/>
  <c r="Q91" i="3"/>
  <c r="Q92" i="3"/>
  <c r="Q93" i="3"/>
  <c r="Q94" i="3"/>
  <c r="Q95" i="3"/>
  <c r="Q96" i="3"/>
  <c r="Q97" i="3"/>
  <c r="Q98" i="3"/>
  <c r="Q99" i="3"/>
  <c r="Q100" i="3"/>
  <c r="Q101" i="3"/>
  <c r="Q102" i="3"/>
  <c r="Q103" i="3"/>
  <c r="Q104" i="3"/>
  <c r="Q106" i="3"/>
  <c r="Q107" i="3"/>
  <c r="Q108" i="3"/>
  <c r="Q109" i="3"/>
  <c r="Q110" i="3"/>
  <c r="Q111" i="3"/>
  <c r="Q112" i="3"/>
  <c r="Q113" i="3"/>
  <c r="Q114" i="3"/>
  <c r="Q115" i="3"/>
  <c r="Q116" i="3"/>
  <c r="Q117" i="3"/>
  <c r="Q118" i="3"/>
  <c r="Q119" i="3"/>
  <c r="Q120" i="3"/>
  <c r="Q121" i="3"/>
  <c r="Q122" i="3"/>
  <c r="Q123" i="3"/>
  <c r="Q124" i="3"/>
  <c r="Q125" i="3"/>
  <c r="Q126" i="3"/>
  <c r="Q127" i="3"/>
  <c r="Q128" i="3"/>
  <c r="Q129" i="3"/>
  <c r="Q130" i="3"/>
  <c r="Q131" i="3"/>
  <c r="Q132" i="3"/>
  <c r="Q133" i="3"/>
  <c r="Q134" i="3"/>
  <c r="Q135" i="3"/>
  <c r="Q136" i="3"/>
  <c r="Q137" i="3"/>
  <c r="Q138" i="3"/>
  <c r="Q139" i="3"/>
  <c r="Q140" i="3"/>
  <c r="Q141" i="3"/>
  <c r="Q142" i="3"/>
  <c r="Q143" i="3"/>
  <c r="Q144" i="3"/>
  <c r="Q145" i="3"/>
  <c r="Q146" i="3"/>
  <c r="Q147" i="3"/>
  <c r="Q148" i="3"/>
  <c r="Q149" i="3"/>
  <c r="Q150" i="3"/>
  <c r="Q151" i="3"/>
  <c r="Q152" i="3"/>
  <c r="Q153" i="3"/>
  <c r="Q154" i="3"/>
  <c r="Q155" i="3"/>
  <c r="Q156" i="3"/>
  <c r="Q157" i="3"/>
  <c r="Q158" i="3"/>
  <c r="Q159" i="3"/>
  <c r="Q160" i="3"/>
  <c r="Q161" i="3"/>
  <c r="Q162" i="3"/>
  <c r="Q163" i="3"/>
  <c r="Q164" i="3"/>
  <c r="Q165" i="3"/>
  <c r="Q166" i="3"/>
  <c r="Q167" i="3"/>
  <c r="Q168" i="3"/>
  <c r="Q169" i="3"/>
  <c r="Q171" i="3"/>
  <c r="Q172" i="3"/>
  <c r="Q173" i="3"/>
  <c r="Q174" i="3"/>
  <c r="Q175" i="3"/>
  <c r="Q176" i="3"/>
  <c r="Q177" i="3"/>
  <c r="Q178" i="3"/>
  <c r="Q179" i="3"/>
  <c r="Q180" i="3"/>
  <c r="Q181" i="3"/>
  <c r="Q182" i="3"/>
  <c r="Q183" i="3"/>
  <c r="Q184" i="3"/>
  <c r="Q185" i="3"/>
  <c r="Q186" i="3"/>
  <c r="Q187" i="3"/>
  <c r="Q188" i="3"/>
  <c r="Q189" i="3"/>
  <c r="Q190" i="3"/>
  <c r="Q191" i="3"/>
  <c r="Q192" i="3"/>
  <c r="Q193" i="3"/>
  <c r="Q194" i="3"/>
  <c r="Q195" i="3"/>
  <c r="Q196" i="3"/>
  <c r="Q197" i="3"/>
  <c r="Q198" i="3"/>
  <c r="Q199" i="3"/>
  <c r="Q48" i="3"/>
  <c r="Q3" i="3"/>
  <c r="Q31" i="3"/>
  <c r="Q200" i="3"/>
  <c r="Q201" i="3"/>
  <c r="Q202" i="3"/>
  <c r="Q203" i="3"/>
  <c r="Q204" i="3"/>
  <c r="Q205" i="3"/>
  <c r="Q206" i="3"/>
  <c r="Q207" i="3"/>
  <c r="Q208" i="3"/>
  <c r="Q209" i="3"/>
  <c r="Q210" i="3"/>
  <c r="Q211" i="3"/>
  <c r="Q212" i="3"/>
  <c r="Q213" i="3"/>
  <c r="Q214" i="3"/>
  <c r="Q215" i="3"/>
  <c r="Q216" i="3"/>
  <c r="Q217" i="3"/>
  <c r="Q218" i="3"/>
  <c r="Q219" i="3"/>
  <c r="Q220" i="3"/>
  <c r="Q221" i="3"/>
  <c r="Q222" i="3"/>
  <c r="Q223" i="3"/>
  <c r="Q224" i="3"/>
  <c r="Q225" i="3"/>
  <c r="Q226" i="3"/>
  <c r="Q227" i="3"/>
  <c r="Q228" i="3"/>
  <c r="Q229" i="3"/>
  <c r="Q230" i="3"/>
  <c r="Q231" i="3"/>
  <c r="Q232" i="3"/>
  <c r="Q233" i="3"/>
  <c r="Q234" i="3"/>
  <c r="Q235" i="3"/>
  <c r="Q236" i="3"/>
  <c r="Q237" i="3"/>
  <c r="Q238" i="3"/>
  <c r="Q239" i="3"/>
  <c r="Q240" i="3"/>
  <c r="Q241" i="3"/>
  <c r="Q242" i="3"/>
  <c r="Q243" i="3"/>
  <c r="Q244" i="3"/>
  <c r="Q247" i="3"/>
  <c r="Q248" i="3"/>
  <c r="Q249" i="3"/>
  <c r="Q250" i="3"/>
  <c r="Q251" i="3"/>
  <c r="Q252" i="3"/>
  <c r="Q253" i="3"/>
  <c r="Q254" i="3"/>
  <c r="Q255" i="3"/>
  <c r="Q256" i="3"/>
  <c r="Q257" i="3"/>
  <c r="Q258" i="3"/>
  <c r="Q259" i="3"/>
  <c r="Q260" i="3"/>
  <c r="Q261" i="3"/>
  <c r="Q262" i="3"/>
  <c r="Q263" i="3"/>
  <c r="Q264" i="3"/>
  <c r="Q265" i="3"/>
  <c r="Q266" i="3"/>
  <c r="Q267" i="3"/>
  <c r="Q268" i="3"/>
  <c r="Q269" i="3"/>
  <c r="Q270" i="3"/>
  <c r="Q271" i="3"/>
  <c r="Q272" i="3"/>
  <c r="Q273" i="3"/>
  <c r="Q274" i="3"/>
  <c r="Q275" i="3"/>
  <c r="Q276" i="3"/>
  <c r="Q277" i="3"/>
  <c r="Q278" i="3"/>
  <c r="Q279" i="3"/>
  <c r="Q280" i="3"/>
  <c r="Q281" i="3"/>
  <c r="Q282" i="3"/>
  <c r="Q283" i="3"/>
  <c r="Q284" i="3"/>
  <c r="Q285" i="3"/>
  <c r="Q287" i="3"/>
  <c r="Q8" i="3"/>
  <c r="Q6" i="3"/>
  <c r="Q7" i="3"/>
  <c r="Q9" i="3"/>
  <c r="Q10" i="3"/>
  <c r="Q11" i="3"/>
  <c r="Q12" i="3"/>
  <c r="Q13" i="3"/>
  <c r="Q27" i="3"/>
  <c r="Q33" i="3"/>
  <c r="Q34" i="3"/>
  <c r="Q35" i="3"/>
  <c r="Q36" i="3"/>
  <c r="Q40" i="3"/>
  <c r="Q45" i="3"/>
  <c r="Q46" i="3"/>
  <c r="Q47" i="3"/>
  <c r="Q49" i="3"/>
  <c r="Q53" i="3"/>
  <c r="Q58" i="3"/>
  <c r="Q59" i="3"/>
  <c r="Q60" i="3"/>
  <c r="Q61" i="3"/>
  <c r="Q21" i="3"/>
  <c r="Q66" i="3"/>
  <c r="Q71" i="3"/>
  <c r="Q72" i="3"/>
  <c r="Q73" i="3"/>
  <c r="Q170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SCGDXC</author>
  </authors>
  <commentList>
    <comment ref="AE92" authorId="0" shapeId="0" xr:uid="{6FBD9DCC-1AE0-4E42-ADA9-3E9199F184E2}">
      <text>
        <r>
          <rPr>
            <b/>
            <sz val="9"/>
            <color indexed="81"/>
            <rFont val="Tahoma"/>
            <family val="2"/>
          </rPr>
          <t>กล้องหน้ารถ ส่วนใหญ่ชำรุด เนื่องจากระบบไฟรถมีปัญหา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95" authorId="0" shapeId="0" xr:uid="{6118DA6B-AA4D-421E-9744-0A9F781DA523}">
      <text>
        <r>
          <rPr>
            <b/>
            <sz val="9"/>
            <color indexed="81"/>
            <rFont val="Tahoma"/>
            <family val="2"/>
          </rPr>
          <t>กล้องหน้ารถ ส่วนใหญ่ชำรุด เนื่องจากระบบไฟรถมีปัญหา</t>
        </r>
      </text>
    </comment>
  </commentList>
</comments>
</file>

<file path=xl/sharedStrings.xml><?xml version="1.0" encoding="utf-8"?>
<sst xmlns="http://schemas.openxmlformats.org/spreadsheetml/2006/main" count="6468" uniqueCount="870">
  <si>
    <t>กิจการ</t>
  </si>
  <si>
    <t>FC139</t>
  </si>
  <si>
    <t>คลอง 11</t>
  </si>
  <si>
    <t>31EF</t>
  </si>
  <si>
    <t>นพวงศ์(N)</t>
  </si>
  <si>
    <t>31EC</t>
  </si>
  <si>
    <t>คลองด่าน (N)</t>
  </si>
  <si>
    <t>31ED</t>
  </si>
  <si>
    <t>หลวงแพ่ง (N)</t>
  </si>
  <si>
    <t>FC249</t>
  </si>
  <si>
    <t>ด่านช้าง 2</t>
  </si>
  <si>
    <t>FC092</t>
  </si>
  <si>
    <t>อู่ทอง</t>
  </si>
  <si>
    <t>FC142</t>
  </si>
  <si>
    <t>บางปลาม้า</t>
  </si>
  <si>
    <t>FC176</t>
  </si>
  <si>
    <t>บางตะเคียน</t>
  </si>
  <si>
    <t>FC201</t>
  </si>
  <si>
    <t>ศรีประจันต์</t>
  </si>
  <si>
    <t>FC214</t>
  </si>
  <si>
    <t>FC248</t>
  </si>
  <si>
    <t>สองพี่น้อง</t>
  </si>
  <si>
    <t>FC299</t>
  </si>
  <si>
    <t>FC138</t>
  </si>
  <si>
    <t>หันตรา</t>
  </si>
  <si>
    <t>FC197</t>
  </si>
  <si>
    <t>สรรคบุรี</t>
  </si>
  <si>
    <t>FC369</t>
  </si>
  <si>
    <t>กาญจนบุรี2</t>
  </si>
  <si>
    <t>FC070</t>
  </si>
  <si>
    <t>ท่ามะกา</t>
  </si>
  <si>
    <t>FC254</t>
  </si>
  <si>
    <t>พนมทวน</t>
  </si>
  <si>
    <t>FC397</t>
  </si>
  <si>
    <t>ท่าม่วง</t>
  </si>
  <si>
    <t>FC069</t>
  </si>
  <si>
    <t>จอมบึง</t>
  </si>
  <si>
    <t>FC137</t>
  </si>
  <si>
    <t>ห้วยมงคล</t>
  </si>
  <si>
    <t>FC158</t>
  </si>
  <si>
    <t>แก่งกระจาน</t>
  </si>
  <si>
    <t>FC009</t>
  </si>
  <si>
    <t>ประจวบคีรีขันธ์</t>
  </si>
  <si>
    <t>FC035</t>
  </si>
  <si>
    <t>บางสะพาน</t>
  </si>
  <si>
    <t>FC236</t>
  </si>
  <si>
    <t>ทับสะแก</t>
  </si>
  <si>
    <t>FC209</t>
  </si>
  <si>
    <t>บ้านหมอ</t>
  </si>
  <si>
    <t>FC389</t>
  </si>
  <si>
    <t>บ้านหมอ2</t>
  </si>
  <si>
    <t>FC013</t>
  </si>
  <si>
    <t>ลำนารายณ์</t>
  </si>
  <si>
    <t>FC015</t>
  </si>
  <si>
    <t>บ้านหมี่</t>
  </si>
  <si>
    <t>FC065</t>
  </si>
  <si>
    <t>บ้านนา</t>
  </si>
  <si>
    <t>FC046</t>
  </si>
  <si>
    <t>วังม่วง</t>
  </si>
  <si>
    <t>FC095</t>
  </si>
  <si>
    <t>มวกเหล็ก</t>
  </si>
  <si>
    <t>FC175</t>
  </si>
  <si>
    <t>พัฒนานิคม</t>
  </si>
  <si>
    <t>FC390</t>
  </si>
  <si>
    <t>โคกสำโรง</t>
  </si>
  <si>
    <t>FC323</t>
  </si>
  <si>
    <t>ตาพระยา</t>
  </si>
  <si>
    <t>FC056</t>
  </si>
  <si>
    <t>พนมสารคาม</t>
  </si>
  <si>
    <t>13O4</t>
  </si>
  <si>
    <t>วี.เอส.คอนกรีต (X)</t>
  </si>
  <si>
    <t>FC088</t>
  </si>
  <si>
    <t>บางน้ำเปรี้ยว</t>
  </si>
  <si>
    <t>FC309</t>
  </si>
  <si>
    <t>บางน้ำเปรี้ยว2</t>
  </si>
  <si>
    <t>FC256</t>
  </si>
  <si>
    <t>บ้านบึง2</t>
  </si>
  <si>
    <t>FC272</t>
  </si>
  <si>
    <t>หนองใหญ่ 2</t>
  </si>
  <si>
    <t>FC300</t>
  </si>
  <si>
    <t>หนองไผ่แก้ว</t>
  </si>
  <si>
    <t>FC071</t>
  </si>
  <si>
    <t>ปลวกแดง</t>
  </si>
  <si>
    <t>FC332</t>
  </si>
  <si>
    <t>วังจันทร์</t>
  </si>
  <si>
    <t>FC402</t>
  </si>
  <si>
    <t>หนองใหญ่ 3</t>
  </si>
  <si>
    <t>FC228</t>
  </si>
  <si>
    <t>พนัสนิคม</t>
  </si>
  <si>
    <t>FC388</t>
  </si>
  <si>
    <t>หมอนนาง</t>
  </si>
  <si>
    <t>31IH</t>
  </si>
  <si>
    <t>บางแสน1 (X)</t>
  </si>
  <si>
    <t>FC068</t>
  </si>
  <si>
    <t>บ้านอำเภอ 1</t>
  </si>
  <si>
    <t>FC117</t>
  </si>
  <si>
    <t>บ้านอำเภอ 2</t>
  </si>
  <si>
    <t>FC169</t>
  </si>
  <si>
    <t>มาบประชัน</t>
  </si>
  <si>
    <t>FC273</t>
  </si>
  <si>
    <t>สัตหีบ2</t>
  </si>
  <si>
    <t>FC105</t>
  </si>
  <si>
    <t>นิคมพัฒนา</t>
  </si>
  <si>
    <t>FC308</t>
  </si>
  <si>
    <t>วังสมบูรณ์</t>
  </si>
  <si>
    <t>FC017</t>
  </si>
  <si>
    <t>สอยดาว</t>
  </si>
  <si>
    <t>FC043</t>
  </si>
  <si>
    <t>เกาะช้าง</t>
  </si>
  <si>
    <t>13O3</t>
  </si>
  <si>
    <t>FC216</t>
  </si>
  <si>
    <t>พร้าว</t>
  </si>
  <si>
    <t>FC146</t>
  </si>
  <si>
    <t>ฝาง 2</t>
  </si>
  <si>
    <t>FC276</t>
  </si>
  <si>
    <t>ไชยปราการ</t>
  </si>
  <si>
    <t>FC322</t>
  </si>
  <si>
    <t>ฝาง-สันทราย</t>
  </si>
  <si>
    <t>FC007</t>
  </si>
  <si>
    <t>ฮอด</t>
  </si>
  <si>
    <t>FC297</t>
  </si>
  <si>
    <t>ลี้2</t>
  </si>
  <si>
    <t>FC393</t>
  </si>
  <si>
    <t>ลี้-แม่ตื่น</t>
  </si>
  <si>
    <t>FC205</t>
  </si>
  <si>
    <t>แม่สะเรียง</t>
  </si>
  <si>
    <t>FC348</t>
  </si>
  <si>
    <t>เชียงดาว</t>
  </si>
  <si>
    <t>FC368</t>
  </si>
  <si>
    <t>แม่ฮ่องสอน M</t>
  </si>
  <si>
    <t>FC364</t>
  </si>
  <si>
    <t>แม่แจ่ม M</t>
  </si>
  <si>
    <t>FC392</t>
  </si>
  <si>
    <t>สะเมิง M</t>
  </si>
  <si>
    <t>FC219</t>
  </si>
  <si>
    <t>เชียงคำ</t>
  </si>
  <si>
    <t>FC362</t>
  </si>
  <si>
    <t>เชียงม่วน(Type M)</t>
  </si>
  <si>
    <t>FC306</t>
  </si>
  <si>
    <t>แจ้ห่ม</t>
  </si>
  <si>
    <t>FC172</t>
  </si>
  <si>
    <t>งาว</t>
  </si>
  <si>
    <t>FC357</t>
  </si>
  <si>
    <t>ปง(Type M)</t>
  </si>
  <si>
    <t>FC057</t>
  </si>
  <si>
    <t>ปัว</t>
  </si>
  <si>
    <t>FC374</t>
  </si>
  <si>
    <t>สบปราบ S</t>
  </si>
  <si>
    <t>FC360</t>
  </si>
  <si>
    <t>วังเหนือ</t>
  </si>
  <si>
    <t>FC195</t>
  </si>
  <si>
    <t>เวียงป่าเป้า</t>
  </si>
  <si>
    <t>FC194</t>
  </si>
  <si>
    <t>พาน</t>
  </si>
  <si>
    <t>FC247</t>
  </si>
  <si>
    <t>แม่สรวย</t>
  </si>
  <si>
    <t>FC265</t>
  </si>
  <si>
    <t>เทิง</t>
  </si>
  <si>
    <t>FC280</t>
  </si>
  <si>
    <t>ป่าแดด</t>
  </si>
  <si>
    <t>FC048</t>
  </si>
  <si>
    <t>แม่สาย</t>
  </si>
  <si>
    <t>FC049</t>
  </si>
  <si>
    <t>แม่จัน</t>
  </si>
  <si>
    <t>FC204</t>
  </si>
  <si>
    <t>เชียงแสน</t>
  </si>
  <si>
    <t>FC174</t>
  </si>
  <si>
    <t>เชียงของ</t>
  </si>
  <si>
    <t>FC371</t>
  </si>
  <si>
    <t>แม่ใจ(Type M)</t>
  </si>
  <si>
    <t>FC372</t>
  </si>
  <si>
    <t>พญาเม็งราย M</t>
  </si>
  <si>
    <t>19FJ</t>
  </si>
  <si>
    <t>19FD</t>
  </si>
  <si>
    <t>19FE</t>
  </si>
  <si>
    <t>19AP</t>
  </si>
  <si>
    <t>FC289</t>
  </si>
  <si>
    <t>คลองขลุง 2</t>
  </si>
  <si>
    <t>FC045</t>
  </si>
  <si>
    <t>ขาณุวรลักษบุรี</t>
  </si>
  <si>
    <t>FC067</t>
  </si>
  <si>
    <t>ท่าตะโก</t>
  </si>
  <si>
    <t>FC382</t>
  </si>
  <si>
    <t>หนองบัว2</t>
  </si>
  <si>
    <t>FC025</t>
  </si>
  <si>
    <t>ศรีเทพ</t>
  </si>
  <si>
    <t>FC165</t>
  </si>
  <si>
    <t>วิเชียรบุรี</t>
  </si>
  <si>
    <t>FC118</t>
  </si>
  <si>
    <t>บ้านไร่</t>
  </si>
  <si>
    <t>FC178</t>
  </si>
  <si>
    <t>บ้านไร่ 2</t>
  </si>
  <si>
    <t>FC261</t>
  </si>
  <si>
    <t>ลาดยาว</t>
  </si>
  <si>
    <t>FC293</t>
  </si>
  <si>
    <t>บรรพตพิสัย</t>
  </si>
  <si>
    <t>FC303</t>
  </si>
  <si>
    <t>ตาคลี</t>
  </si>
  <si>
    <t>FC333</t>
  </si>
  <si>
    <t>นครสวรรค์ BIO Complex</t>
  </si>
  <si>
    <t>FC121</t>
  </si>
  <si>
    <t>คลองลาน</t>
  </si>
  <si>
    <t>FC148</t>
  </si>
  <si>
    <t>พรานกระต่าย</t>
  </si>
  <si>
    <t>FC250</t>
  </si>
  <si>
    <t>ลานกระบือ</t>
  </si>
  <si>
    <t>FC036</t>
  </si>
  <si>
    <t>เพชรบูรณ์</t>
  </si>
  <si>
    <t>FC051</t>
  </si>
  <si>
    <t>หล่มสัก</t>
  </si>
  <si>
    <t>FC053</t>
  </si>
  <si>
    <t>หนองไผ่</t>
  </si>
  <si>
    <t>FC259</t>
  </si>
  <si>
    <t>วังชมภู</t>
  </si>
  <si>
    <t>FC278</t>
  </si>
  <si>
    <t>เขาค้อ</t>
  </si>
  <si>
    <t>FC246</t>
  </si>
  <si>
    <t>ชนแดน</t>
  </si>
  <si>
    <t>FC153</t>
  </si>
  <si>
    <t>ทับคล้อ</t>
  </si>
  <si>
    <t>FC154</t>
  </si>
  <si>
    <t>ตะพานหิน</t>
  </si>
  <si>
    <t>FC101</t>
  </si>
  <si>
    <t>โพทะเล</t>
  </si>
  <si>
    <t>FC130</t>
  </si>
  <si>
    <t>วชิรบารมี</t>
  </si>
  <si>
    <t>FC208</t>
  </si>
  <si>
    <t>พรหมพิราม</t>
  </si>
  <si>
    <t>FC167</t>
  </si>
  <si>
    <t>พิชัย</t>
  </si>
  <si>
    <t>FC240</t>
  </si>
  <si>
    <t>ทรัพย์ไพรวัลย์</t>
  </si>
  <si>
    <t>FC187</t>
  </si>
  <si>
    <t>นครไทย</t>
  </si>
  <si>
    <t>FC347</t>
  </si>
  <si>
    <t>ชาติตระการ (Type M)</t>
  </si>
  <si>
    <t>FC094</t>
  </si>
  <si>
    <t>บางระกำ</t>
  </si>
  <si>
    <t>FC207</t>
  </si>
  <si>
    <t>กงไกรลาศ</t>
  </si>
  <si>
    <t>FC373</t>
  </si>
  <si>
    <t>เนินมะปราง (Type M)</t>
  </si>
  <si>
    <t>FC031</t>
  </si>
  <si>
    <t>สีคิ้ว</t>
  </si>
  <si>
    <t>FC050</t>
  </si>
  <si>
    <t>พิมาย 2</t>
  </si>
  <si>
    <t>FC114</t>
  </si>
  <si>
    <t>สีดา</t>
  </si>
  <si>
    <t>FC144</t>
  </si>
  <si>
    <t>ชุมพวง</t>
  </si>
  <si>
    <t>FC157</t>
  </si>
  <si>
    <t>จักราช</t>
  </si>
  <si>
    <t>FC266</t>
  </si>
  <si>
    <t>บัวใหญ่</t>
  </si>
  <si>
    <t>FC320</t>
  </si>
  <si>
    <t>ประทาย</t>
  </si>
  <si>
    <t>FC339</t>
  </si>
  <si>
    <t>คง</t>
  </si>
  <si>
    <t>FC394</t>
  </si>
  <si>
    <t>โนนไทย-พระทองคำ</t>
  </si>
  <si>
    <t>FC063</t>
  </si>
  <si>
    <t>ปากช่อง 2</t>
  </si>
  <si>
    <t>FC160</t>
  </si>
  <si>
    <t>ปากช่อง 3</t>
  </si>
  <si>
    <t>FC179</t>
  </si>
  <si>
    <t>บำเหน็จณรงค์</t>
  </si>
  <si>
    <t>FC354</t>
  </si>
  <si>
    <t>ด่านขุนทด</t>
  </si>
  <si>
    <t>FC376</t>
  </si>
  <si>
    <t xml:space="preserve">จัตุรัส </t>
  </si>
  <si>
    <t>FC359</t>
  </si>
  <si>
    <t>เสิงสาง</t>
  </si>
  <si>
    <t>FC014</t>
  </si>
  <si>
    <t>แก้งคร้อ</t>
  </si>
  <si>
    <t>FC274</t>
  </si>
  <si>
    <t>บ้านแท่น</t>
  </si>
  <si>
    <t>FC291</t>
  </si>
  <si>
    <t>ละหานทราย</t>
  </si>
  <si>
    <t>FC344</t>
  </si>
  <si>
    <t>ปะคำ</t>
  </si>
  <si>
    <t>FC147</t>
  </si>
  <si>
    <t>ลำปลายมาศ</t>
  </si>
  <si>
    <t>สุรินทร์2</t>
  </si>
  <si>
    <t>FC226</t>
  </si>
  <si>
    <t>แวงใหญ่</t>
  </si>
  <si>
    <t>FC321</t>
  </si>
  <si>
    <t>แวงน้อย</t>
  </si>
  <si>
    <t>FC001</t>
  </si>
  <si>
    <t>ชุมแพ</t>
  </si>
  <si>
    <t>FC243</t>
  </si>
  <si>
    <t>สีชมพู</t>
  </si>
  <si>
    <t>FC313</t>
  </si>
  <si>
    <t>วาปีปทุม</t>
  </si>
  <si>
    <t>FC283</t>
  </si>
  <si>
    <t>หนองสองห้อง</t>
  </si>
  <si>
    <t>FC324</t>
  </si>
  <si>
    <t>นาเชือก</t>
  </si>
  <si>
    <t>FC329</t>
  </si>
  <si>
    <t>พยัคฆภูมิพิสัย</t>
  </si>
  <si>
    <t>FC156</t>
  </si>
  <si>
    <t>มัญจาคีรี</t>
  </si>
  <si>
    <t>FC335</t>
  </si>
  <si>
    <t>พนมไพร 2</t>
  </si>
  <si>
    <t>FC350</t>
  </si>
  <si>
    <t>เกษตรวิสัย</t>
  </si>
  <si>
    <t>FC351</t>
  </si>
  <si>
    <t>โพนทอง</t>
  </si>
  <si>
    <t>FC387</t>
  </si>
  <si>
    <t>อาจสามารถ</t>
  </si>
  <si>
    <t>FC292</t>
  </si>
  <si>
    <t>สุวรรณภูมิ</t>
  </si>
  <si>
    <t>14H8</t>
  </si>
  <si>
    <t>ร้อยเอ็ด 3 (N)</t>
  </si>
  <si>
    <t>ZZP3</t>
  </si>
  <si>
    <t>ZZP4</t>
  </si>
  <si>
    <t>ZZP2</t>
  </si>
  <si>
    <t>ZZP8</t>
  </si>
  <si>
    <t>ZZP5</t>
  </si>
  <si>
    <t>ZZP1</t>
  </si>
  <si>
    <t>ZZS1</t>
  </si>
  <si>
    <t>ภูเวียง (N)</t>
  </si>
  <si>
    <t>ZZS2</t>
  </si>
  <si>
    <t>โนนศิลา (N)</t>
  </si>
  <si>
    <t>14IU</t>
  </si>
  <si>
    <t>FC296</t>
  </si>
  <si>
    <t>ปากชม</t>
  </si>
  <si>
    <t>FC242</t>
  </si>
  <si>
    <t>ภูเรือ</t>
  </si>
  <si>
    <t>FC337</t>
  </si>
  <si>
    <t>เชียงคาน (M)</t>
  </si>
  <si>
    <t>FC089</t>
  </si>
  <si>
    <t>ท่าบ่อ</t>
  </si>
  <si>
    <t>FC286</t>
  </si>
  <si>
    <t>ภูกระดึง</t>
  </si>
  <si>
    <t>FC326</t>
  </si>
  <si>
    <t>หนองหิน</t>
  </si>
  <si>
    <t>FC379</t>
  </si>
  <si>
    <t xml:space="preserve">หนองบัวลำภู  </t>
  </si>
  <si>
    <t>14H3</t>
  </si>
  <si>
    <t>FC232</t>
  </si>
  <si>
    <t>บ้านผือ</t>
  </si>
  <si>
    <t>FC336</t>
  </si>
  <si>
    <t>สังคม</t>
  </si>
  <si>
    <t>FC363</t>
  </si>
  <si>
    <t>ศรีบุญเรือง</t>
  </si>
  <si>
    <t>FC260</t>
  </si>
  <si>
    <t>ศรีธาตุ</t>
  </si>
  <si>
    <t>FC305</t>
  </si>
  <si>
    <t>วังสามหมอ</t>
  </si>
  <si>
    <t>FC331</t>
  </si>
  <si>
    <t>หนองกุงศรี</t>
  </si>
  <si>
    <t>FC375</t>
  </si>
  <si>
    <t xml:space="preserve">กระนวน </t>
  </si>
  <si>
    <t>FC325</t>
  </si>
  <si>
    <t>เพ็ญ</t>
  </si>
  <si>
    <t>FC395</t>
  </si>
  <si>
    <t>หนองคาย-เลี่ยงเมือง</t>
  </si>
  <si>
    <t>FC377</t>
  </si>
  <si>
    <t>กุดจับ (Type M)</t>
  </si>
  <si>
    <t>FC380</t>
  </si>
  <si>
    <t>สร้างคอม (Type M)</t>
  </si>
  <si>
    <t>FC141</t>
  </si>
  <si>
    <t>กาฬสินธุ์</t>
  </si>
  <si>
    <t>FC193</t>
  </si>
  <si>
    <t>สมเด็จ</t>
  </si>
  <si>
    <t>FC288</t>
  </si>
  <si>
    <t>ยางตลาด</t>
  </si>
  <si>
    <t>31P2</t>
  </si>
  <si>
    <t>อุดรธานี Type N</t>
  </si>
  <si>
    <t>ZZTA</t>
  </si>
  <si>
    <t>ZZP6</t>
  </si>
  <si>
    <t>เมืองเลย 2 Type N</t>
  </si>
  <si>
    <t>ZZS4</t>
  </si>
  <si>
    <t>อุดร-นาข่า Type N</t>
  </si>
  <si>
    <t>ZZS5</t>
  </si>
  <si>
    <t>อุดร-นิคมสงเคราะห์ Type N</t>
  </si>
  <si>
    <t>14H4</t>
  </si>
  <si>
    <t xml:space="preserve">อุดร-สามพร้าว Type N </t>
  </si>
  <si>
    <t>FC081</t>
  </si>
  <si>
    <t>ปราสาท</t>
  </si>
  <si>
    <t>ศรีสะเกษ</t>
  </si>
  <si>
    <t>FC090</t>
  </si>
  <si>
    <t>สุรินทร์</t>
  </si>
  <si>
    <t>อุทุมพรพิสัย</t>
  </si>
  <si>
    <t>FC245</t>
  </si>
  <si>
    <t>FC113</t>
  </si>
  <si>
    <t>ท่าตูม</t>
  </si>
  <si>
    <t>FC383</t>
  </si>
  <si>
    <t>ศีขรภูมิ</t>
  </si>
  <si>
    <t>14H5</t>
  </si>
  <si>
    <t>อุดร-มิตรภาพ คูย่งฮวด Type N</t>
  </si>
  <si>
    <t>FC041</t>
  </si>
  <si>
    <t>FC268</t>
  </si>
  <si>
    <t>FC231</t>
  </si>
  <si>
    <t>โนนคูณ</t>
  </si>
  <si>
    <t>FC290</t>
  </si>
  <si>
    <t>น้ำยืน</t>
  </si>
  <si>
    <t>FC002</t>
  </si>
  <si>
    <t>กันทรลักษ์</t>
  </si>
  <si>
    <t>FC136</t>
  </si>
  <si>
    <t>อำนาจเจริญ</t>
  </si>
  <si>
    <t>FC181</t>
  </si>
  <si>
    <t>อำนาจเจริญ 2</t>
  </si>
  <si>
    <t>FC378</t>
  </si>
  <si>
    <t>อำนาจเจริญ 3 -น้ำปลีก</t>
  </si>
  <si>
    <t>FC285</t>
  </si>
  <si>
    <t>ปทุมราชวงศา</t>
  </si>
  <si>
    <t>FC370</t>
  </si>
  <si>
    <t>เสนางคนิคม</t>
  </si>
  <si>
    <t>FC400</t>
  </si>
  <si>
    <t>ชานุมาน</t>
  </si>
  <si>
    <t>FC189</t>
  </si>
  <si>
    <t>ตระการพืชผล</t>
  </si>
  <si>
    <t>FC222</t>
  </si>
  <si>
    <t>เขมราฐ</t>
  </si>
  <si>
    <t>FC143</t>
  </si>
  <si>
    <t>ธาตุพนม</t>
  </si>
  <si>
    <t>FC188</t>
  </si>
  <si>
    <t>เลิงนกทา</t>
  </si>
  <si>
    <t>FC314</t>
  </si>
  <si>
    <t>ท่าอุเทน</t>
  </si>
  <si>
    <t>FC361</t>
  </si>
  <si>
    <t>โพนสวรรค์</t>
  </si>
  <si>
    <t>FC258</t>
  </si>
  <si>
    <t>บ้านแพง</t>
  </si>
  <si>
    <t>FC330</t>
  </si>
  <si>
    <t>ศรีสงคราม</t>
  </si>
  <si>
    <t>FC386</t>
  </si>
  <si>
    <t>นาหว้า</t>
  </si>
  <si>
    <t>FC192</t>
  </si>
  <si>
    <t>วานรนิวาส</t>
  </si>
  <si>
    <t>FC318</t>
  </si>
  <si>
    <t>อากาศอำนวย</t>
  </si>
  <si>
    <t>FC334</t>
  </si>
  <si>
    <t>บ้านม่วง</t>
  </si>
  <si>
    <t>FC225</t>
  </si>
  <si>
    <t>ศรีวิไล</t>
  </si>
  <si>
    <t>FC267</t>
  </si>
  <si>
    <t>พรเจริญ</t>
  </si>
  <si>
    <t>FC338</t>
  </si>
  <si>
    <t>เซกา-บึงโขงหลง</t>
  </si>
  <si>
    <t>FC391</t>
  </si>
  <si>
    <t>โซ่พิสัย2</t>
  </si>
  <si>
    <t>ZZP9</t>
  </si>
  <si>
    <t>นครพนม 3 (N)</t>
  </si>
  <si>
    <t>FC006</t>
  </si>
  <si>
    <t>ขนอม</t>
  </si>
  <si>
    <t>FC213</t>
  </si>
  <si>
    <t>สิชล</t>
  </si>
  <si>
    <t>FC027</t>
  </si>
  <si>
    <t>ระโนด</t>
  </si>
  <si>
    <t>FC058</t>
  </si>
  <si>
    <t>หัวไทร</t>
  </si>
  <si>
    <t>FC212</t>
  </si>
  <si>
    <t>หัวไทร 2</t>
  </si>
  <si>
    <t>FC218</t>
  </si>
  <si>
    <t>บ่อล้อ</t>
  </si>
  <si>
    <t>FC238</t>
  </si>
  <si>
    <t>ชะอวด</t>
  </si>
  <si>
    <t>FC310</t>
  </si>
  <si>
    <t>ชะอวด2</t>
  </si>
  <si>
    <t>FC366</t>
  </si>
  <si>
    <t>จุฬาภรณ์</t>
  </si>
  <si>
    <t>FC028</t>
  </si>
  <si>
    <t>เกาะลันตาใหญ่</t>
  </si>
  <si>
    <t>FC082</t>
  </si>
  <si>
    <t>สตูล</t>
  </si>
  <si>
    <t>FC210</t>
  </si>
  <si>
    <t>ละงู</t>
  </si>
  <si>
    <t>FC072</t>
  </si>
  <si>
    <t>สิงหนคร</t>
  </si>
  <si>
    <t>FC227</t>
  </si>
  <si>
    <t>สะเดา</t>
  </si>
  <si>
    <t>FC162</t>
  </si>
  <si>
    <t>สุไหงโกลก</t>
  </si>
  <si>
    <t>FC127</t>
  </si>
  <si>
    <t>ปัตตานี</t>
  </si>
  <si>
    <t>FC166</t>
  </si>
  <si>
    <t>บ่อทอง (จ.ปัตตานี)</t>
  </si>
  <si>
    <t>FC199</t>
  </si>
  <si>
    <t>นราธิวาส 2</t>
  </si>
  <si>
    <t>FC029</t>
  </si>
  <si>
    <t>ไชยา</t>
  </si>
  <si>
    <t>FC040</t>
  </si>
  <si>
    <t>เชี่ยวหลาน</t>
  </si>
  <si>
    <t>FC282</t>
  </si>
  <si>
    <t>ระนอง</t>
  </si>
  <si>
    <t>FC287</t>
  </si>
  <si>
    <t>มาบอำมฤต</t>
  </si>
  <si>
    <t>FC115</t>
  </si>
  <si>
    <t>เกาะพะงัน</t>
  </si>
  <si>
    <t>FC381</t>
  </si>
  <si>
    <t>ทุ่งตะโก</t>
  </si>
  <si>
    <t>FC098</t>
  </si>
  <si>
    <t>ทับปุด</t>
  </si>
  <si>
    <t>FC221</t>
  </si>
  <si>
    <t>พังงา</t>
  </si>
  <si>
    <t>FC270</t>
  </si>
  <si>
    <t>ทุ่งมะพร้าว</t>
  </si>
  <si>
    <t>FC129</t>
  </si>
  <si>
    <t>ทุ่งใหญ่</t>
  </si>
  <si>
    <t>FC253</t>
  </si>
  <si>
    <t>นาสาร</t>
  </si>
  <si>
    <t>FC356</t>
  </si>
  <si>
    <t>นาสาร2</t>
  </si>
  <si>
    <t>FC295</t>
  </si>
  <si>
    <t>FC396</t>
  </si>
  <si>
    <t>เวียงสระ</t>
  </si>
  <si>
    <t>15AQ</t>
  </si>
  <si>
    <t>กาญจนดิษฐ์ (Type X)</t>
  </si>
  <si>
    <t>3164</t>
  </si>
  <si>
    <t>ปากน้ำชุมพร (N)</t>
  </si>
  <si>
    <t>3168</t>
  </si>
  <si>
    <t>หนองขรี (N)</t>
  </si>
  <si>
    <t>3165</t>
  </si>
  <si>
    <t>ผาหลวงคอนกรีต (N)</t>
  </si>
  <si>
    <t>3166</t>
  </si>
  <si>
    <t>ผาหลวง 2(N)</t>
  </si>
  <si>
    <t>FC398</t>
  </si>
  <si>
    <t xml:space="preserve">บางม่วง </t>
  </si>
  <si>
    <t>P</t>
  </si>
  <si>
    <t>H1</t>
  </si>
  <si>
    <t>H2</t>
  </si>
  <si>
    <t>FC399</t>
  </si>
  <si>
    <t>ตราด</t>
  </si>
  <si>
    <t>FC404</t>
  </si>
  <si>
    <t>แม่สรวย 2</t>
  </si>
  <si>
    <t>FC408</t>
  </si>
  <si>
    <t>FC022</t>
  </si>
  <si>
    <t>สว่างแดนดิน</t>
  </si>
  <si>
    <t>FC407</t>
  </si>
  <si>
    <t>ยโสธร 3</t>
  </si>
  <si>
    <t>FC406</t>
  </si>
  <si>
    <t>โรจนะหนองใหญ่</t>
  </si>
  <si>
    <t>13O6</t>
  </si>
  <si>
    <t>แปลงยาว (Type X)</t>
  </si>
  <si>
    <t>FC401</t>
  </si>
  <si>
    <t>บ้านค่าย 2</t>
  </si>
  <si>
    <t>ดาวเรือง 1</t>
  </si>
  <si>
    <t>FC403</t>
  </si>
  <si>
    <t>เวียงสา 2</t>
  </si>
  <si>
    <t>โนนสูง</t>
  </si>
  <si>
    <t>FC409</t>
  </si>
  <si>
    <t>ห้วยบง</t>
  </si>
  <si>
    <t>ปาย M</t>
  </si>
  <si>
    <t>29 พค 69</t>
  </si>
  <si>
    <t>FC หนองหาน-ทล.2350</t>
  </si>
  <si>
    <t>FC412</t>
  </si>
  <si>
    <t>25 พค.69</t>
  </si>
  <si>
    <t>21 พค.69</t>
  </si>
  <si>
    <t>19 พค.69</t>
  </si>
  <si>
    <t>26 พค.69</t>
  </si>
  <si>
    <t>20 พค.69</t>
  </si>
  <si>
    <t>FC411</t>
  </si>
  <si>
    <t>FC410</t>
  </si>
  <si>
    <t>สองพี่น้อง 2</t>
  </si>
  <si>
    <t>ดอนเจดีย์</t>
  </si>
  <si>
    <t>30 มิ.ย. 69</t>
  </si>
  <si>
    <t>30 มิ.ย.69</t>
  </si>
  <si>
    <t>19 มิ.ย.69</t>
  </si>
  <si>
    <t>29 มิ.ย.69</t>
  </si>
  <si>
    <t>29 มิย 69</t>
  </si>
  <si>
    <t>29 มิ.ย. 69</t>
  </si>
  <si>
    <t>12 มิ.ย.69</t>
  </si>
  <si>
    <t>24 มิ.ย.69</t>
  </si>
  <si>
    <t>5 พค 69</t>
  </si>
  <si>
    <t>7 พค 69</t>
  </si>
  <si>
    <t>5 มิ.ย.69</t>
  </si>
  <si>
    <t>8 มิ.ย.69</t>
  </si>
  <si>
    <t>18 มิ.ย.69</t>
  </si>
  <si>
    <t>22 มิ.ย.69</t>
  </si>
  <si>
    <t>1 เม.ย.69</t>
  </si>
  <si>
    <t>11 พ.ค.69</t>
  </si>
  <si>
    <t>23 มิ.ย.69</t>
  </si>
  <si>
    <t>27 พ.ค.69</t>
  </si>
  <si>
    <t>TYPE</t>
  </si>
  <si>
    <t>สรุป</t>
  </si>
  <si>
    <t>เดือนที่ตรวจ</t>
  </si>
  <si>
    <t>คะแนน</t>
  </si>
  <si>
    <t>S</t>
  </si>
  <si>
    <t>NX</t>
  </si>
  <si>
    <t>FC111</t>
  </si>
  <si>
    <t>บ้านบึง 3</t>
  </si>
  <si>
    <t>บูรพา ท่าหลวง</t>
  </si>
  <si>
    <t>M</t>
  </si>
  <si>
    <t>ลำปาง-ห้างฉัตร (Co-Area)</t>
  </si>
  <si>
    <t>ลำปาง-เกาะคา  (Co-Area)</t>
  </si>
  <si>
    <t>แม่ทะ-ผาลาด (Co-Area)</t>
  </si>
  <si>
    <t>ร้องกวาง (Co-Area)</t>
  </si>
  <si>
    <t>ขอนแก่น 1(X2)</t>
  </si>
  <si>
    <t>ขอนแก่น 2(X2)</t>
  </si>
  <si>
    <t>น้ำพอง(X2)</t>
  </si>
  <si>
    <t>หนองเรือ(X2)</t>
  </si>
  <si>
    <t>ท่าพระ(X2)</t>
  </si>
  <si>
    <t>อุบลรัตน์ (X2)</t>
  </si>
  <si>
    <t>พล (X2)</t>
  </si>
  <si>
    <t>โนนสะอาดType X2</t>
  </si>
  <si>
    <t>วังสะพุง 2 (X2)</t>
  </si>
  <si>
    <t>บางสวรรค์3</t>
  </si>
  <si>
    <t>X</t>
  </si>
  <si>
    <t>หมายเหตุ</t>
  </si>
  <si>
    <t>Metro</t>
  </si>
  <si>
    <t>West</t>
  </si>
  <si>
    <t>East</t>
  </si>
  <si>
    <t>North</t>
  </si>
  <si>
    <t>NorthEast</t>
  </si>
  <si>
    <t>South</t>
  </si>
  <si>
    <t>FCPLNO</t>
  </si>
  <si>
    <t>โรงงาน</t>
  </si>
  <si>
    <t>พังโคน 2</t>
  </si>
  <si>
    <r>
      <t xml:space="preserve">รายงานตรวจ Safety เครื่องจักร (FC27), สภาพแวดล้อมโรงงาน (FC28), Safety รถโม่ (F-18-464)   </t>
    </r>
    <r>
      <rPr>
        <b/>
        <u/>
        <sz val="11"/>
        <color rgb="FFFF0000"/>
        <rFont val="Arial"/>
        <family val="2"/>
      </rPr>
      <t>ประจำปี 2569</t>
    </r>
  </si>
  <si>
    <t>update : 24 ส.ค. 69</t>
  </si>
  <si>
    <t>ผจก.ฟช.</t>
  </si>
  <si>
    <t>รหัสโรงงาน</t>
  </si>
  <si>
    <t>โรงงาน FC</t>
  </si>
  <si>
    <t>บจก/หจก.</t>
  </si>
  <si>
    <t>FC27</t>
  </si>
  <si>
    <t>ข้อที่ตรวจตาม FC27  (S,N,X-12 ข้อ , M-7 ข้อ)</t>
  </si>
  <si>
    <t>FC28</t>
  </si>
  <si>
    <t xml:space="preserve">ข้อที่ตรวจตาม FC28 (S,N,X-10 ข้อ , M-6 ข้อ) </t>
  </si>
  <si>
    <t>วันที่ส่ง</t>
  </si>
  <si>
    <t>F-18-464 (19 ข้อ)</t>
  </si>
  <si>
    <t xml:space="preserve">ข้อที่ผ่านเกณฑ์ </t>
  </si>
  <si>
    <t>FC27-FC28</t>
  </si>
  <si>
    <t>กรุงเทพ</t>
  </si>
  <si>
    <t>อดิเรก ภู่พลายงาม</t>
  </si>
  <si>
    <t>บจก.สหชัยธุรกิจก่อสร้าง 1993</t>
  </si>
  <si>
    <t>ปรีชา พ.ผลพิบูลย์</t>
  </si>
  <si>
    <t>หจก.เพาเวอร์ แลนด์ คอนกรีต</t>
  </si>
  <si>
    <t>สมชาติ  เตชะเทพประวิทย์</t>
  </si>
  <si>
    <t>บจก.เอส.เอส.พี.(072) คอนสตรั๊คชั่น</t>
  </si>
  <si>
    <t>บจก.เจเอ็นเจพี ซิเมนต์</t>
  </si>
  <si>
    <t>ตะวันตก</t>
  </si>
  <si>
    <t>สามารถ ปราบทองกุล</t>
  </si>
  <si>
    <t>บจก.ต.แสงพัฒนาคอนกรีต</t>
  </si>
  <si>
    <t>บจก.ซี.แอล.คอนกรีต</t>
  </si>
  <si>
    <t>บจก.วรวิทย์คอนกรีต</t>
  </si>
  <si>
    <t>หจก.งามยิ่งเจริญคอนกรีต</t>
  </si>
  <si>
    <t>สัญญา ชัยสวัสดิ์</t>
  </si>
  <si>
    <t>บจก.กอวัฒนาคอนกรีต</t>
  </si>
  <si>
    <t>บจก.ช.พรประสิทธิ์</t>
  </si>
  <si>
    <t>บจก.เบญจพลชัยคอนกรีต</t>
  </si>
  <si>
    <t>บจก.จิรดีผลิตภัณฑ์คอนกรีต</t>
  </si>
  <si>
    <t>หจก.ร่อนทองชัย</t>
  </si>
  <si>
    <t>หจก.ศิริภัณฑ์บางสะพานคอนกรีต</t>
  </si>
  <si>
    <t xml:space="preserve">บจก.ว.บัญชา คอนสตรัคชั่น </t>
  </si>
  <si>
    <t>ตะวันออก</t>
  </si>
  <si>
    <t>บจก.ศุภภัณฑ์คอนกรีต</t>
  </si>
  <si>
    <t>หจก.ดวงแสงทองคอนกรีต</t>
  </si>
  <si>
    <t>บจก.นิธิศพันธ์</t>
  </si>
  <si>
    <t>บจก.นิติมงคลคอนกรีต</t>
  </si>
  <si>
    <t>บจก.อีสต์บลู</t>
  </si>
  <si>
    <t>หจก.บุญทวีพนมคอนกรีต</t>
  </si>
  <si>
    <t>หจก.บุญทวีคอนกรีต</t>
  </si>
  <si>
    <t>หจก.วี.เอส.อินดัสเตรียล ซัพพลาย</t>
  </si>
  <si>
    <t>31 มค 69</t>
  </si>
  <si>
    <t>ดำรงศิลป์  รตโนภาส</t>
  </si>
  <si>
    <t>หจก.ท.ทวีทรัพย์คอนกรีต</t>
  </si>
  <si>
    <t>บจก.หนองใหญ่คอนกรีต</t>
  </si>
  <si>
    <t>บ้านบึง3</t>
  </si>
  <si>
    <t>บจก.พี.เอส.ดี.คอนกรีตโปรดักส์</t>
  </si>
  <si>
    <t>บจก.บางแสนมหานคร ผลิตภัณฑ์คอนกรีต</t>
  </si>
  <si>
    <t>ชำนาญ บุตรดี</t>
  </si>
  <si>
    <t>บจก.บี.เอ.ซี.คอนกรีต</t>
  </si>
  <si>
    <t>บจก.กฤษฎ์ศุภณัฐ</t>
  </si>
  <si>
    <t>หจก.เกาะช้างคอนกรีต</t>
  </si>
  <si>
    <t>บจก.ตราดคอนกรีต เรดดี้มิกซ์</t>
  </si>
  <si>
    <t>บจก.แปลงยาว คอนกรีต</t>
  </si>
  <si>
    <t>สาโรจน์ จงรวมกลาง</t>
  </si>
  <si>
    <t>บูรพา ท่าหลวง  (Type X)</t>
  </si>
  <si>
    <t>บจก. บูรพาคอนกรีต แอนด์ คอนสตรัคชั่น</t>
  </si>
  <si>
    <t>เหนือ</t>
  </si>
  <si>
    <t xml:space="preserve">เสฎฐวุฒิ สินธุ์เทียม  </t>
  </si>
  <si>
    <t>หจก.บุญพลกิจคอนกรีต</t>
  </si>
  <si>
    <t>28 กพ 69</t>
  </si>
  <si>
    <t>หจก.เรืองชัยคอนกรีต</t>
  </si>
  <si>
    <t>24 มิย 69</t>
  </si>
  <si>
    <t>หจก.ทวิภัณฑ์ฮอดคอนกรีต</t>
  </si>
  <si>
    <t>หจก.ทองคอนส์ซัพพลาย</t>
  </si>
  <si>
    <t>หจก.ชื่นชูไพรคอนกรีต</t>
  </si>
  <si>
    <t>หจก.ที เอ็น ดับเบิ้ลยู เชียงดาวก่อสร้าง</t>
  </si>
  <si>
    <t>หจก.เจเอ็นเพาเวอร์ คอนกรีต</t>
  </si>
  <si>
    <t>หจก.พงษ์ศราคอนกรีต</t>
  </si>
  <si>
    <t>หจก.สิงโตทอง คอนกรีต</t>
  </si>
  <si>
    <t>สงกรานต์ ปราบหงส์</t>
  </si>
  <si>
    <t>บจก.ซีแมทคอนกรีต</t>
  </si>
  <si>
    <t>บจก.เม็งรายคอนกรีต สาขาที่ 0001</t>
  </si>
  <si>
    <t>8 มิ.ย. 69</t>
  </si>
  <si>
    <t>บจก.เม็งรายคอนกรีต</t>
  </si>
  <si>
    <t>บจก.เม็งรายคอนกรีต สาขาเชียงแสน</t>
  </si>
  <si>
    <t>บจก.ดวงแสงทอง</t>
  </si>
  <si>
    <t>บจก.เทพนว</t>
  </si>
  <si>
    <t>ชัยณรงค์ บุณยามระ</t>
  </si>
  <si>
    <t>หจก.เชียงคำคอนกรีต(2011)</t>
  </si>
  <si>
    <t>18 มิ.ย. 69</t>
  </si>
  <si>
    <t>หจก.ชุมพลวัสดุก่อสร้าง</t>
  </si>
  <si>
    <t>หจก.พี ดี คอนกรีต</t>
  </si>
  <si>
    <t>หจก.จักรภัทรคอนกรีต</t>
  </si>
  <si>
    <t>หจก.ปงคอนกรีต</t>
  </si>
  <si>
    <t>หจก.ดับเบิ้ลยูซี คอนกรีต</t>
  </si>
  <si>
    <t>หจก.สุเกียวคอนกรีต</t>
  </si>
  <si>
    <t>บจก.สบปราบรุ่งเรืองคอนกรีต (รายเดียวกับนอร์ทเทิร์น แมททีเรียล)</t>
  </si>
  <si>
    <t>หจก.เกษมชัยพานิช</t>
  </si>
  <si>
    <t>หจก.เอ็นพี วัสดุก่อสร้าง</t>
  </si>
  <si>
    <t>นพพร ยะด้วง</t>
  </si>
  <si>
    <t>ลำปาง-ห้างฉัตร (Type N)</t>
  </si>
  <si>
    <t>บจก.เอ็น.ดี.พี.เอ็นจิเนียริ่ง</t>
  </si>
  <si>
    <t>ลำปาง-เกาะคา  (Type N)</t>
  </si>
  <si>
    <t>บจก.เอ วี เอ คอนสตรัคชั่น</t>
  </si>
  <si>
    <t>แม่ทะ-ผาลาด (Type N)</t>
  </si>
  <si>
    <t>บจก.นอร์ทเทิร์น แมททีเรียล แอนด์ คอนกรีต</t>
  </si>
  <si>
    <t>ร้องกวาง  (Type N)</t>
  </si>
  <si>
    <t>พิเชษฐ์ ศรีคำภา</t>
  </si>
  <si>
    <t>บจก.เจริญภัณฑ์ผลิตคอนกรีต</t>
  </si>
  <si>
    <t>บจก.เจริญภัณฑ์ผลิตคอนกรีตผสมเสร็จ</t>
  </si>
  <si>
    <t>26 มิย 69</t>
  </si>
  <si>
    <t>FC255</t>
  </si>
  <si>
    <t>หนองบัว</t>
  </si>
  <si>
    <t>หจก.คณฑาทองการโยธา</t>
  </si>
  <si>
    <t>บจก.ตึกน้ำเงินคอนกรีต</t>
  </si>
  <si>
    <t>หจก.ส.พงษ์เจริญคอนกรีตผสมเสร็จ</t>
  </si>
  <si>
    <t>วสันต์ โพธิ์ทอง</t>
  </si>
  <si>
    <t>บจก.วีคอนกรีต</t>
  </si>
  <si>
    <t>หจก.ชนแดนคอนกรีตผสมเสร็จ</t>
  </si>
  <si>
    <t>หจก.มังกรทองคอนกรีต</t>
  </si>
  <si>
    <t>หจก.บางไผ่แชมเปี้ยนคอนกรีต</t>
  </si>
  <si>
    <t>หจก.ศรีเทพคอนกรีตผสมเสร็จ</t>
  </si>
  <si>
    <t>หจก.สามแยกวิเชียรคอนกรีตผสมเสร็จ</t>
  </si>
  <si>
    <t>หจก.บรรจงกิจคอนกรีต</t>
  </si>
  <si>
    <t>เศกสรรค์ กลมกล่อม</t>
  </si>
  <si>
    <t>บจก.อุตรดิตถ์พิชัย</t>
  </si>
  <si>
    <t>หจก.ม.บุญทำพานิช</t>
  </si>
  <si>
    <t>บจก.วังทองเซอร์วิส</t>
  </si>
  <si>
    <t>หจก.จรูญคอนกรีต</t>
  </si>
  <si>
    <t>หจก.ณัฐชูพงศ์คอนกรีต</t>
  </si>
  <si>
    <t>ร้านทองเพชรวัสดุก่อสร้าง</t>
  </si>
  <si>
    <t>บจก.รุ่งวิชัยคอนกรีต</t>
  </si>
  <si>
    <t>หจก.ไทยสมบูรณ์ บิ๊กโฮม คอนกรีต</t>
  </si>
  <si>
    <t>หจก.กิจเจริญคอนกรีต(2558)</t>
  </si>
  <si>
    <t>อีสาน</t>
  </si>
  <si>
    <t>อภิมุข ประสมทอง</t>
  </si>
  <si>
    <t>หจก.เจตนะธรรมค้าไม้</t>
  </si>
  <si>
    <t>หจก.อังครงค์รักษ์พาณิชย์</t>
  </si>
  <si>
    <t>20 สค 69</t>
  </si>
  <si>
    <t>หจก.เจริญพัฒนา</t>
  </si>
  <si>
    <t>หจก.สยาม เค กรุ๊ป</t>
  </si>
  <si>
    <t>1 มิย 69</t>
  </si>
  <si>
    <t>บจก.ประทุมศิริซิเมนต์</t>
  </si>
  <si>
    <t>ราชันย์ ภูยางตูม</t>
  </si>
  <si>
    <t>บจก.แซ่หวัง(ปักกิ่ง)คอนกรีต</t>
  </si>
  <si>
    <t>8 เม.ย. 69</t>
  </si>
  <si>
    <t>บจก.สมยงคอนกรีต</t>
  </si>
  <si>
    <t>หจก.เก้ามังกร คอนสตรัคชั่น</t>
  </si>
  <si>
    <t>หจก.พลังเพชร (2009)</t>
  </si>
  <si>
    <t>หจก.ซีเมนต์ทอง 2543</t>
  </si>
  <si>
    <t>ไม่มีรถวิ่งงาน (ปิดชั่วคราว)</t>
  </si>
  <si>
    <t>หจก.จำลองชัยคอนกรีต</t>
  </si>
  <si>
    <t>บจก.จงเจริญ คอนกรีต</t>
  </si>
  <si>
    <t>บจก.จำลองชัยโฮมเซ็นเตอร์</t>
  </si>
  <si>
    <t>บจก.กนกนภาคอนกรีต</t>
  </si>
  <si>
    <t>หจก.เอส อาร์ อาร์ คอนกรีต</t>
  </si>
  <si>
    <t>นิพล  ศรีกะกูล</t>
  </si>
  <si>
    <t>ขอนแก่น 1(X)</t>
  </si>
  <si>
    <t>บจก.เคแพคคอนกรีต 2004</t>
  </si>
  <si>
    <t>ขอนแก่น 2(X)</t>
  </si>
  <si>
    <t>น้ำพอง(X)</t>
  </si>
  <si>
    <t>หนองเรือ(X)</t>
  </si>
  <si>
    <t>ท่าพระ(X)</t>
  </si>
  <si>
    <t>อุบลรัตน์ (X)</t>
  </si>
  <si>
    <t>หจก.ภูเวียงคอนกรีต</t>
  </si>
  <si>
    <t>พิกิจ ปัญญายืน</t>
  </si>
  <si>
    <t>หจก.โนนศิลาดาวเงินคอนกรีต</t>
  </si>
  <si>
    <t>พล (N)</t>
  </si>
  <si>
    <t>บุญเพ็ง  ศรีสุระ</t>
  </si>
  <si>
    <t>หจก.บิ๊ก.เอส.คอนกรีต</t>
  </si>
  <si>
    <t>หจก.ผาน้ำเที่ยง</t>
  </si>
  <si>
    <t>บจก.ซี.ซี.คอนกรีต</t>
  </si>
  <si>
    <t>หจก.ณัฐรวี คอนกรีต</t>
  </si>
  <si>
    <t>บจก.นาซ่า ซีแพค ภูกระดึง</t>
  </si>
  <si>
    <t>หจก.นาซ่า คอนกรีต</t>
  </si>
  <si>
    <t>หจก.นาซ่าคอนกรีต</t>
  </si>
  <si>
    <t>หจก.ส.ปราณี(คอนกรีต)</t>
  </si>
  <si>
    <t>หจก.สมพรพาณิชย์ คอนกรีต</t>
  </si>
  <si>
    <t>หจก.เคพีอาร์ คอนกรีต</t>
  </si>
  <si>
    <t>สันทนา จุลประสิทธิพงษ์</t>
  </si>
  <si>
    <t>หจก.สมจินตนาวงษ์เจริญ คอนกรีต</t>
  </si>
  <si>
    <t>17 มิ.ย. 69</t>
  </si>
  <si>
    <t>บจก.พี เอ็น คอนกรีต</t>
  </si>
  <si>
    <t>บจก.ซีมิกซ์คอนกรีต</t>
  </si>
  <si>
    <t>30 มีค 69</t>
  </si>
  <si>
    <t>บจก.เป เป้ คอนกรีต</t>
  </si>
  <si>
    <t>หจก.นครพัฒน์ คอนกรีต</t>
  </si>
  <si>
    <t>บจก.ทวีสินคอนกรีต</t>
  </si>
  <si>
    <t>วินัย ธารพรศรี</t>
  </si>
  <si>
    <t>บจก.คูย่งฮวด อุดรธานี</t>
  </si>
  <si>
    <t>โนนสะอาดType X</t>
  </si>
  <si>
    <t>วังสะพุง 2 (N)</t>
  </si>
  <si>
    <t>ไชยยันต์   เจริญไทย</t>
  </si>
  <si>
    <t>บจก.เจ.เค.คอนกรีต</t>
  </si>
  <si>
    <t>บจก.คูย่งฮวด (1995)</t>
  </si>
  <si>
    <t>ปิดโรงงานชั่วคราว</t>
  </si>
  <si>
    <t>20 กค 69</t>
  </si>
  <si>
    <t>หจก.เจริญศิลป์เคหะละหานทราย</t>
  </si>
  <si>
    <t>หจก.ชัยวัฒน์เซ่งฮะเซียง</t>
  </si>
  <si>
    <t>สมาน นิระพัฒน์</t>
  </si>
  <si>
    <t>หจก.ที.เอส.วาย.คอนกรีตผสมเสร็จ</t>
  </si>
  <si>
    <t>หจก.ยูทีพี ผลิตภัณฑ์คอนกรีต</t>
  </si>
  <si>
    <t>หจก.โนนคูณ คอนกรีตผสมเสร็จ</t>
  </si>
  <si>
    <t>หจก.เค.ที.เอส.ผลิตภัณฑ์คอนกรีต</t>
  </si>
  <si>
    <t>บจก.บุษยาคอนกรีต อำนาจเจริญ</t>
  </si>
  <si>
    <t>หจก.เนรมิตวัสดุ</t>
  </si>
  <si>
    <t>บจก.กิจเจริญชัยธุรกิจคอนกรีต</t>
  </si>
  <si>
    <t>หจก.ขุนคลังคอนกรีต</t>
  </si>
  <si>
    <t>หจก.ธีระคอนกรีต</t>
  </si>
  <si>
    <t>FC415</t>
  </si>
  <si>
    <t>ราษีไศล</t>
  </si>
  <si>
    <t>xxx (ธงชัย ดูแลแทน)</t>
  </si>
  <si>
    <t>บจก.เมโทรพาวเวอร์คอนกรีต</t>
  </si>
  <si>
    <t>บจก.เมโทรพาวเวอร์โพนสวรรค์</t>
  </si>
  <si>
    <t>หจก.ว.รามฤทธิรงค์ เอ็นจิเนียริ่ง</t>
  </si>
  <si>
    <t>หจก.เอส พี เค คอนกรีต</t>
  </si>
  <si>
    <t>16 ก.ค.69</t>
  </si>
  <si>
    <t>หจก.เนินปัญญา ก่อสร้าง</t>
  </si>
  <si>
    <t>หจก.พัฒนกิจคอนกรีต</t>
  </si>
  <si>
    <t>หจก.โปรพัฒน์คอนกรีต</t>
  </si>
  <si>
    <t>หจก.ว่องเจริญคอนกรีต</t>
  </si>
  <si>
    <t>หจก.โซ่ซีเมนต์</t>
  </si>
  <si>
    <t>บจก.คอนกรีตรุ่งโรจน์</t>
  </si>
  <si>
    <t>FC405</t>
  </si>
  <si>
    <t>หจก.เจ นา อินเทอนิตี้</t>
  </si>
  <si>
    <t>วีระพงษ์ แก่นคำ</t>
  </si>
  <si>
    <t>บจก.สิริพัฒน์ บิวดิ้ง</t>
  </si>
  <si>
    <t>ใต้</t>
  </si>
  <si>
    <t>ศักดิ์พุทธยา บรรณาลังค์</t>
  </si>
  <si>
    <t>หจก.ขนอมคอนกรีต 2000</t>
  </si>
  <si>
    <t>บจก.หยกซีแพค</t>
  </si>
  <si>
    <t>หจก.เจริญสหกิจระโนด</t>
  </si>
  <si>
    <t>หจก.เจริญสหกิจหัวไทร</t>
  </si>
  <si>
    <t>บจก.เจริญสหกิจเชียรใหญ่</t>
  </si>
  <si>
    <t>บจก.เจริญสหกิจหนองหงส์</t>
  </si>
  <si>
    <t>บริษัท เจริญสหกิจจุฬาภรณ์นครศรี</t>
  </si>
  <si>
    <t>โกวิท ศรีโยธา</t>
  </si>
  <si>
    <t>บจก.ลันตามิกซ์คอน</t>
  </si>
  <si>
    <t>บจก.สตูลผลิตภัณฑ์คอนกรีต</t>
  </si>
  <si>
    <t>บจก.พีระวัฒน์คอนกรีต</t>
  </si>
  <si>
    <t>บจก.พีระวัฒน์คอนกรีต สะเดา</t>
  </si>
  <si>
    <t>หจก.พิชัยอุปกรณ์ก่อสร้าง</t>
  </si>
  <si>
    <t>บจก.ปัตตานีคอนกรีต</t>
  </si>
  <si>
    <t>หจก.นราธิวาสทักษิณคอนกรีต</t>
  </si>
  <si>
    <t>ซักรีญา ชูช่วยชีวิต</t>
  </si>
  <si>
    <t>บจก.ไชยาคอนกรีต</t>
  </si>
  <si>
    <t>บจก.เชี่ยวหลานคอนกรีต</t>
  </si>
  <si>
    <t>บจก.คอนกรีตซีแพคระนอง</t>
  </si>
  <si>
    <t>บจก.ไถ่เชียงคอนกรีต</t>
  </si>
  <si>
    <t>หจก.ลิ้มปิพงษ์ค้าวัสดุก่อสร้างและคอนกรีต</t>
  </si>
  <si>
    <t>บจก.โยธาวิทย์ โฮมเซ็นเตอร์</t>
  </si>
  <si>
    <t>24 ส.ค.69</t>
  </si>
  <si>
    <t>หจก.จุฑารัตน์คอนกรีต</t>
  </si>
  <si>
    <t>บจก.ชุมพรไถ่เชียงคอนกรีต</t>
  </si>
  <si>
    <t>บจก.พุนพินมาตรฐานคอนกรีต</t>
  </si>
  <si>
    <t>บจก.ผาหลวงคอนกรีต</t>
  </si>
  <si>
    <t>ภัทรายุทธ  แก้วช่วย</t>
  </si>
  <si>
    <t>หจก.พังงาซีแพค</t>
  </si>
  <si>
    <t>บจก.ปัญญามาตรฐานคอนกรีต</t>
  </si>
  <si>
    <t>บจก.ปัญญามาตรฐานคอนกรีต (2012)</t>
  </si>
  <si>
    <t>บางสวรรค์ 3</t>
  </si>
  <si>
    <t>บจก.ปัญญามาตรฐานคอนกรีต(2015)</t>
  </si>
  <si>
    <t>หจก.วี.วี.เอ็มคอนกรีต</t>
  </si>
  <si>
    <t>FC413</t>
  </si>
  <si>
    <t>เขาหลักโกลเด้นฮิลล์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</si>
</sst>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9">
    <numFmt numFmtId="5" formatCode="&quot;$&quot;#,##0_);\(&quot;$&quot;#,##0\)"/>
    <numFmt numFmtId="6" formatCode="&quot;$&quot;#,##0_);[Red]\(&quot;$&quot;#,##0\)"/>
    <numFmt numFmtId="7" formatCode="&quot;$&quot;#,##0.00_);\(&quot;$&quot;#,##0.00\)"/>
    <numFmt numFmtId="8" formatCode="&quot;$&quot;#,##0.00_);[Red]\(&quot;$&quot;#,##0.00\)"/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-* #,##0_-;\-* #,##0_-;_-* &quot;-&quot;_-;_-@_-"/>
    <numFmt numFmtId="165" formatCode="_-&quot;฿&quot;* #,##0.00_-;\-&quot;฿&quot;* #,##0.00_-;_-&quot;฿&quot;* &quot;-&quot;??_-;_-@_-"/>
    <numFmt numFmtId="166" formatCode="_-* #,##0.00_-;\-* #,##0.00_-;_-* &quot;-&quot;??_-;_-@_-"/>
    <numFmt numFmtId="167" formatCode="_-* #,##0\ &quot;kr&quot;_-;\-* #,##0\ &quot;kr&quot;_-;_-* &quot;-&quot;\ &quot;kr&quot;_-;_-@_-"/>
    <numFmt numFmtId="168" formatCode="\ช\.\น\น\ &quot;น.&quot;"/>
    <numFmt numFmtId="169" formatCode="\ว\ \ด\ด\ด\ \ป\ป"/>
    <numFmt numFmtId="170" formatCode="0.0_)"/>
    <numFmt numFmtId="171" formatCode="_-* #,##0.00\ _F_-;\-* #,##0.00\ _F_-;_-* &quot;-&quot;??\ _F_-;_-@_-"/>
    <numFmt numFmtId="172" formatCode="0.00000000000"/>
    <numFmt numFmtId="173" formatCode="\t0.00"/>
    <numFmt numFmtId="174" formatCode="\t&quot;฿&quot;#,##0.00_);[Red]\(\t&quot;฿&quot;#,##0.00\)"/>
    <numFmt numFmtId="175" formatCode="0_ ;[Red]\-0\ "/>
    <numFmt numFmtId="176" formatCode="&quot;$&quot;#,##0;[Red]\-&quot;$&quot;#,##0"/>
    <numFmt numFmtId="177" formatCode=";;;"/>
    <numFmt numFmtId="178" formatCode="&quot;$&quot;#,##0.00;[Red]\-&quot;$&quot;#,##0.00"/>
    <numFmt numFmtId="179" formatCode="_(* #,##0.00000_);_(* \(#,##0.00000\);_(* &quot;-&quot;??_);_(@_)"/>
    <numFmt numFmtId="180" formatCode="#,##0;\(#,##0\);* &quot;-&quot;"/>
    <numFmt numFmtId="181" formatCode="&quot;฿&quot;\t#,##0_);[Red]\(&quot;฿&quot;\t#,##0\)"/>
    <numFmt numFmtId="182" formatCode="0.00_)"/>
    <numFmt numFmtId="183" formatCode="#,##0;\-;\-"/>
    <numFmt numFmtId="184" formatCode="\-;\-;"/>
  </numFmts>
  <fonts count="105">
    <font>
      <sz val="10"/>
      <name val="Arial"/>
      <charset val="222"/>
    </font>
    <font>
      <sz val="10"/>
      <name val="Arial"/>
      <family val="2"/>
    </font>
    <font>
      <sz val="12"/>
      <name val="Arial"/>
      <family val="2"/>
    </font>
    <font>
      <sz val="10"/>
      <color indexed="8"/>
      <name val="Tahoma"/>
      <family val="2"/>
    </font>
    <font>
      <u/>
      <sz val="10"/>
      <color indexed="12"/>
      <name val="Arial"/>
      <family val="2"/>
    </font>
    <font>
      <sz val="14"/>
      <name val="Cordia New"/>
      <family val="2"/>
    </font>
    <font>
      <sz val="11"/>
      <color theme="1"/>
      <name val="Calibri"/>
      <family val="2"/>
      <charset val="222"/>
      <scheme val="minor"/>
    </font>
    <font>
      <sz val="14"/>
      <name val="CordiaUPC"/>
      <family val="2"/>
    </font>
    <font>
      <sz val="14"/>
      <name val="AngsanaUPC"/>
      <family val="1"/>
    </font>
    <font>
      <sz val="14"/>
      <name val="CordiaUPC"/>
      <family val="2"/>
      <charset val="222"/>
    </font>
    <font>
      <sz val="10"/>
      <name val="Times New Roman"/>
      <family val="1"/>
    </font>
    <font>
      <sz val="11"/>
      <color indexed="8"/>
      <name val="Calibri"/>
      <family val="2"/>
    </font>
    <font>
      <sz val="11"/>
      <color indexed="8"/>
      <name val="Tahoma"/>
      <family val="2"/>
      <charset val="222"/>
    </font>
    <font>
      <sz val="14"/>
      <name val="AngsanaUPC"/>
      <family val="1"/>
      <charset val="222"/>
    </font>
    <font>
      <sz val="11"/>
      <color indexed="9"/>
      <name val="Calibri"/>
      <family val="2"/>
    </font>
    <font>
      <sz val="11"/>
      <color indexed="9"/>
      <name val="Tahoma"/>
      <family val="2"/>
      <charset val="222"/>
    </font>
    <font>
      <sz val="12"/>
      <name val="Helv"/>
    </font>
    <font>
      <sz val="11"/>
      <color indexed="20"/>
      <name val="Calibri"/>
      <family val="2"/>
    </font>
    <font>
      <sz val="11"/>
      <color indexed="20"/>
      <name val="Tahoma"/>
      <family val="2"/>
      <charset val="222"/>
    </font>
    <font>
      <b/>
      <sz val="11"/>
      <color indexed="52"/>
      <name val="Calibri"/>
      <family val="2"/>
    </font>
    <font>
      <b/>
      <sz val="11"/>
      <color indexed="52"/>
      <name val="Tahoma"/>
      <family val="2"/>
      <charset val="222"/>
    </font>
    <font>
      <b/>
      <sz val="11"/>
      <color indexed="9"/>
      <name val="Calibri"/>
      <family val="2"/>
    </font>
    <font>
      <b/>
      <sz val="11"/>
      <color indexed="9"/>
      <name val="Tahoma"/>
      <family val="2"/>
      <charset val="222"/>
    </font>
    <font>
      <sz val="11"/>
      <name val="Microsoft Sans Serif"/>
      <family val="2"/>
    </font>
    <font>
      <sz val="11"/>
      <color indexed="8"/>
      <name val="Tahoma"/>
      <family val="2"/>
    </font>
    <font>
      <sz val="11"/>
      <color indexed="8"/>
      <name val="Calibri"/>
      <family val="2"/>
      <charset val="222"/>
    </font>
    <font>
      <i/>
      <sz val="11"/>
      <color indexed="23"/>
      <name val="Calibri"/>
      <family val="2"/>
    </font>
    <font>
      <i/>
      <sz val="11"/>
      <color indexed="23"/>
      <name val="Tahoma"/>
      <family val="2"/>
      <charset val="222"/>
    </font>
    <font>
      <sz val="11"/>
      <color indexed="17"/>
      <name val="Calibri"/>
      <family val="2"/>
    </font>
    <font>
      <sz val="11"/>
      <color indexed="17"/>
      <name val="Tahoma"/>
      <family val="2"/>
      <charset val="222"/>
    </font>
    <font>
      <sz val="8"/>
      <name val="Arial"/>
      <family val="2"/>
    </font>
    <font>
      <b/>
      <sz val="12"/>
      <name val="Arial"/>
      <family val="2"/>
    </font>
    <font>
      <b/>
      <sz val="15"/>
      <color indexed="56"/>
      <name val="Calibri"/>
      <family val="2"/>
    </font>
    <font>
      <b/>
      <sz val="15"/>
      <color indexed="56"/>
      <name val="Tahoma"/>
      <family val="2"/>
      <charset val="222"/>
    </font>
    <font>
      <b/>
      <sz val="13"/>
      <color indexed="56"/>
      <name val="Calibri"/>
      <family val="2"/>
    </font>
    <font>
      <b/>
      <sz val="13"/>
      <color indexed="56"/>
      <name val="Tahoma"/>
      <family val="2"/>
      <charset val="222"/>
    </font>
    <font>
      <b/>
      <sz val="11"/>
      <color indexed="56"/>
      <name val="Calibri"/>
      <family val="2"/>
    </font>
    <font>
      <b/>
      <sz val="11"/>
      <color indexed="56"/>
      <name val="Tahoma"/>
      <family val="2"/>
      <charset val="222"/>
    </font>
    <font>
      <b/>
      <sz val="18"/>
      <name val="Arial"/>
      <family val="2"/>
    </font>
    <font>
      <u/>
      <sz val="14"/>
      <color indexed="12"/>
      <name val="Cordia New"/>
      <family val="2"/>
    </font>
    <font>
      <sz val="11"/>
      <color indexed="62"/>
      <name val="Tahoma"/>
      <family val="2"/>
      <charset val="222"/>
    </font>
    <font>
      <sz val="11"/>
      <color indexed="62"/>
      <name val="Calibri"/>
      <family val="2"/>
    </font>
    <font>
      <sz val="12"/>
      <color indexed="8"/>
      <name val="Cordia New"/>
      <family val="2"/>
    </font>
    <font>
      <sz val="11"/>
      <color indexed="52"/>
      <name val="Calibri"/>
      <family val="2"/>
    </font>
    <font>
      <sz val="11"/>
      <color indexed="52"/>
      <name val="Tahoma"/>
      <family val="2"/>
      <charset val="222"/>
    </font>
    <font>
      <sz val="11"/>
      <color indexed="60"/>
      <name val="Calibri"/>
      <family val="2"/>
    </font>
    <font>
      <sz val="11"/>
      <color indexed="60"/>
      <name val="Tahoma"/>
      <family val="2"/>
      <charset val="222"/>
    </font>
    <font>
      <sz val="7"/>
      <name val="Small Fonts"/>
      <family val="2"/>
    </font>
    <font>
      <b/>
      <i/>
      <sz val="16"/>
      <name val="Helv"/>
    </font>
    <font>
      <sz val="11"/>
      <color theme="1"/>
      <name val="Tahoma"/>
      <family val="2"/>
      <charset val="222"/>
    </font>
    <font>
      <sz val="11"/>
      <color indexed="8"/>
      <name val="Calibri"/>
      <family val="2"/>
      <scheme val="minor"/>
    </font>
    <font>
      <b/>
      <sz val="11"/>
      <color indexed="63"/>
      <name val="Calibri"/>
      <family val="2"/>
    </font>
    <font>
      <b/>
      <sz val="11"/>
      <color indexed="63"/>
      <name val="Tahoma"/>
      <family val="2"/>
      <charset val="222"/>
    </font>
    <font>
      <sz val="28"/>
      <name val="Angsana New"/>
      <family val="1"/>
      <charset val="222"/>
    </font>
    <font>
      <b/>
      <sz val="18"/>
      <color indexed="56"/>
      <name val="Cambria"/>
      <family val="2"/>
    </font>
    <font>
      <b/>
      <sz val="18"/>
      <color indexed="56"/>
      <name val="Tahoma"/>
      <family val="2"/>
      <charset val="222"/>
    </font>
    <font>
      <b/>
      <sz val="11"/>
      <color indexed="8"/>
      <name val="Calibri"/>
      <family val="2"/>
    </font>
    <font>
      <b/>
      <sz val="11"/>
      <color indexed="8"/>
      <name val="Tahoma"/>
      <family val="2"/>
      <charset val="222"/>
    </font>
    <font>
      <sz val="22"/>
      <name val="AngsanaUPC"/>
      <family val="1"/>
    </font>
    <font>
      <sz val="10"/>
      <name val="MS Sans Serif"/>
      <family val="2"/>
      <charset val="222"/>
    </font>
    <font>
      <sz val="11"/>
      <color indexed="10"/>
      <name val="Calibri"/>
      <family val="2"/>
    </font>
    <font>
      <sz val="11"/>
      <color indexed="10"/>
      <name val="Tahoma"/>
      <family val="2"/>
      <charset val="222"/>
    </font>
    <font>
      <u/>
      <sz val="8.4"/>
      <color indexed="12"/>
      <name val="Arial"/>
      <family val="2"/>
    </font>
    <font>
      <u/>
      <sz val="14"/>
      <color indexed="12"/>
      <name val="AngsanaUPC"/>
      <family val="1"/>
    </font>
    <font>
      <u/>
      <sz val="14"/>
      <color indexed="36"/>
      <name val="AngsanaUPC"/>
      <family val="1"/>
    </font>
    <font>
      <sz val="12"/>
      <name val="นูลมรผ"/>
      <charset val="129"/>
    </font>
    <font>
      <b/>
      <sz val="10"/>
      <name val="SCG"/>
      <family val="3"/>
    </font>
    <font>
      <b/>
      <sz val="10"/>
      <color theme="1"/>
      <name val="SCG"/>
      <family val="3"/>
    </font>
    <font>
      <b/>
      <sz val="10"/>
      <color indexed="8"/>
      <name val="SCG"/>
      <family val="3"/>
    </font>
    <font>
      <b/>
      <sz val="10"/>
      <color rgb="FFFF0000"/>
      <name val="SCG"/>
      <family val="3"/>
    </font>
    <font>
      <b/>
      <sz val="9"/>
      <color theme="1"/>
      <name val="SCG"/>
      <family val="3"/>
    </font>
    <font>
      <b/>
      <sz val="11"/>
      <color theme="1"/>
      <name val="Arial"/>
      <family val="2"/>
    </font>
    <font>
      <b/>
      <u/>
      <sz val="11"/>
      <color rgb="FFFF0000"/>
      <name val="Arial"/>
      <family val="2"/>
    </font>
    <font>
      <sz val="10"/>
      <color theme="1"/>
      <name val="Arial"/>
      <family val="2"/>
    </font>
    <font>
      <b/>
      <sz val="10"/>
      <color rgb="FFFF0000"/>
      <name val="Arial"/>
      <family val="2"/>
    </font>
    <font>
      <b/>
      <sz val="10"/>
      <color indexed="8"/>
      <name val="Arial"/>
      <family val="2"/>
    </font>
    <font>
      <b/>
      <sz val="10"/>
      <color theme="1"/>
      <name val="Arial"/>
      <family val="2"/>
    </font>
    <font>
      <b/>
      <sz val="11"/>
      <color rgb="FFFF0000"/>
      <name val="Arial"/>
      <family val="2"/>
    </font>
    <font>
      <b/>
      <sz val="12"/>
      <color rgb="FFFF0000"/>
      <name val="Arial"/>
      <family val="2"/>
    </font>
    <font>
      <sz val="9"/>
      <color theme="1"/>
      <name val="Arial"/>
      <family val="2"/>
    </font>
    <font>
      <b/>
      <sz val="11"/>
      <color indexed="8"/>
      <name val="Arial"/>
      <family val="2"/>
    </font>
    <font>
      <b/>
      <sz val="9"/>
      <color rgb="FFFF0000"/>
      <name val="Arial"/>
      <family val="2"/>
    </font>
    <font>
      <sz val="10"/>
      <color indexed="8"/>
      <name val="Arial"/>
      <family val="2"/>
    </font>
    <font>
      <b/>
      <sz val="9"/>
      <color theme="1"/>
      <name val="Arial"/>
      <family val="2"/>
    </font>
    <font>
      <b/>
      <sz val="9"/>
      <name val="Wingdings 2"/>
      <family val="1"/>
      <charset val="2"/>
    </font>
    <font>
      <b/>
      <sz val="9"/>
      <color theme="1"/>
      <name val="Calibri"/>
      <family val="2"/>
      <scheme val="minor"/>
    </font>
    <font>
      <b/>
      <sz val="14"/>
      <name val="AngsanaUPC"/>
      <family val="1"/>
    </font>
    <font>
      <b/>
      <sz val="9"/>
      <name val="SCG"/>
      <family val="3"/>
    </font>
    <font>
      <b/>
      <sz val="10"/>
      <name val="Wingdings 2"/>
      <family val="1"/>
      <charset val="2"/>
    </font>
    <font>
      <sz val="11"/>
      <name val="Wingdings 2"/>
      <family val="1"/>
      <charset val="2"/>
    </font>
    <font>
      <sz val="10"/>
      <name val="Calibri"/>
      <family val="2"/>
      <scheme val="minor"/>
    </font>
    <font>
      <sz val="11"/>
      <color rgb="FF333333"/>
      <name val="72"/>
      <family val="2"/>
    </font>
    <font>
      <b/>
      <sz val="10"/>
      <color theme="1"/>
      <name val="Calibri"/>
      <family val="2"/>
      <scheme val="minor"/>
    </font>
    <font>
      <sz val="10"/>
      <color rgb="FFFF0000"/>
      <name val="Arial"/>
      <family val="2"/>
    </font>
    <font>
      <sz val="10"/>
      <color theme="1"/>
      <name val="Calibri"/>
      <family val="2"/>
    </font>
    <font>
      <b/>
      <sz val="14"/>
      <name val="Wingdings 2"/>
      <family val="1"/>
      <charset val="2"/>
    </font>
    <font>
      <b/>
      <sz val="10"/>
      <name val="Calibri"/>
      <family val="2"/>
      <scheme val="minor"/>
    </font>
    <font>
      <sz val="9"/>
      <name val="Arial"/>
      <family val="2"/>
    </font>
    <font>
      <b/>
      <sz val="8"/>
      <name val="SCG"/>
      <family val="3"/>
    </font>
    <font>
      <sz val="14"/>
      <color theme="1"/>
      <name val="AngsanaUPC"/>
      <family val="1"/>
    </font>
    <font>
      <b/>
      <sz val="10"/>
      <name val="Arial"/>
      <family val="2"/>
    </font>
    <font>
      <sz val="10"/>
      <color indexed="8"/>
      <name val="Calibri"/>
      <family val="2"/>
      <scheme val="minor"/>
    </font>
    <font>
      <sz val="11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9"/>
      </patternFill>
    </fill>
    <fill>
      <patternFill patternType="solid">
        <fgColor theme="0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rgb="FF99FF3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CCFF9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14999847407452621"/>
        <bgColor indexed="64"/>
      </patternFill>
    </fill>
  </fills>
  <borders count="90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13"/>
      </left>
      <right style="thin">
        <color indexed="13"/>
      </right>
      <top style="thin">
        <color indexed="13"/>
      </top>
      <bottom style="thin">
        <color indexed="13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13"/>
      </left>
      <right style="thin">
        <color indexed="13"/>
      </right>
      <top style="thin">
        <color indexed="13"/>
      </top>
      <bottom style="thin">
        <color indexed="13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13"/>
      </left>
      <right style="thin">
        <color indexed="13"/>
      </right>
      <top style="thin">
        <color indexed="13"/>
      </top>
      <bottom style="thin">
        <color indexed="1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13"/>
      </left>
      <right style="thin">
        <color indexed="13"/>
      </right>
      <top style="thin">
        <color indexed="13"/>
      </top>
      <bottom style="thin">
        <color indexed="1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auto="1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dotted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auto="1"/>
      </left>
      <right/>
      <top/>
      <bottom style="medium">
        <color indexed="64"/>
      </bottom>
      <diagonal/>
    </border>
  </borders>
  <cellStyleXfs count="1676">
    <xf numFmtId="0" fontId="0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44" fontId="1" fillId="0" borderId="0" applyFont="0" applyFill="0" applyBorder="0" applyAlignment="0" applyProtection="0"/>
    <xf numFmtId="167" fontId="5" fillId="0" borderId="0" applyFont="0" applyFill="0" applyBorder="0" applyAlignment="0" applyProtection="0"/>
    <xf numFmtId="42" fontId="1" fillId="0" borderId="0" applyFont="0" applyFill="0" applyBorder="0" applyAlignment="0" applyProtection="0"/>
    <xf numFmtId="168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0" fontId="8" fillId="0" borderId="0"/>
    <xf numFmtId="170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70" fontId="9" fillId="0" borderId="0" applyFont="0" applyFill="0" applyBorder="0" applyAlignment="0" applyProtection="0"/>
    <xf numFmtId="171" fontId="10" fillId="0" borderId="0" applyFont="0" applyFill="0" applyBorder="0" applyAlignment="0" applyProtection="0"/>
    <xf numFmtId="0" fontId="11" fillId="5" borderId="0" applyNumberFormat="0" applyBorder="0" applyAlignment="0" applyProtection="0"/>
    <xf numFmtId="0" fontId="12" fillId="5" borderId="0" applyNumberFormat="0" applyBorder="0" applyAlignment="0" applyProtection="0"/>
    <xf numFmtId="0" fontId="11" fillId="6" borderId="0" applyNumberFormat="0" applyBorder="0" applyAlignment="0" applyProtection="0"/>
    <xf numFmtId="0" fontId="12" fillId="6" borderId="0" applyNumberFormat="0" applyBorder="0" applyAlignment="0" applyProtection="0"/>
    <xf numFmtId="0" fontId="11" fillId="7" borderId="0" applyNumberFormat="0" applyBorder="0" applyAlignment="0" applyProtection="0"/>
    <xf numFmtId="0" fontId="12" fillId="7" borderId="0" applyNumberFormat="0" applyBorder="0" applyAlignment="0" applyProtection="0"/>
    <xf numFmtId="0" fontId="11" fillId="8" borderId="0" applyNumberFormat="0" applyBorder="0" applyAlignment="0" applyProtection="0"/>
    <xf numFmtId="0" fontId="12" fillId="8" borderId="0" applyNumberFormat="0" applyBorder="0" applyAlignment="0" applyProtection="0"/>
    <xf numFmtId="0" fontId="11" fillId="9" borderId="0" applyNumberFormat="0" applyBorder="0" applyAlignment="0" applyProtection="0"/>
    <xf numFmtId="0" fontId="12" fillId="9" borderId="0" applyNumberFormat="0" applyBorder="0" applyAlignment="0" applyProtection="0"/>
    <xf numFmtId="0" fontId="11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5" borderId="0" applyNumberFormat="0" applyBorder="0" applyAlignment="0" applyProtection="0"/>
    <xf numFmtId="0" fontId="12" fillId="6" borderId="0" applyNumberFormat="0" applyBorder="0" applyAlignment="0" applyProtection="0"/>
    <xf numFmtId="0" fontId="12" fillId="7" borderId="0" applyNumberFormat="0" applyBorder="0" applyAlignment="0" applyProtection="0"/>
    <xf numFmtId="0" fontId="12" fillId="8" borderId="0" applyNumberFormat="0" applyBorder="0" applyAlignment="0" applyProtection="0"/>
    <xf numFmtId="0" fontId="12" fillId="9" borderId="0" applyNumberFormat="0" applyBorder="0" applyAlignment="0" applyProtection="0"/>
    <xf numFmtId="0" fontId="12" fillId="10" borderId="0" applyNumberFormat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13" fillId="0" borderId="0" applyFont="0" applyFill="0" applyBorder="0" applyAlignment="0" applyProtection="0"/>
    <xf numFmtId="172" fontId="8" fillId="0" borderId="0" applyFont="0" applyFill="0" applyBorder="0" applyAlignment="0" applyProtection="0"/>
    <xf numFmtId="0" fontId="11" fillId="11" borderId="0" applyNumberFormat="0" applyBorder="0" applyAlignment="0" applyProtection="0"/>
    <xf numFmtId="0" fontId="12" fillId="11" borderId="0" applyNumberFormat="0" applyBorder="0" applyAlignment="0" applyProtection="0"/>
    <xf numFmtId="0" fontId="11" fillId="12" borderId="0" applyNumberFormat="0" applyBorder="0" applyAlignment="0" applyProtection="0"/>
    <xf numFmtId="0" fontId="12" fillId="12" borderId="0" applyNumberFormat="0" applyBorder="0" applyAlignment="0" applyProtection="0"/>
    <xf numFmtId="0" fontId="11" fillId="13" borderId="0" applyNumberFormat="0" applyBorder="0" applyAlignment="0" applyProtection="0"/>
    <xf numFmtId="0" fontId="12" fillId="13" borderId="0" applyNumberFormat="0" applyBorder="0" applyAlignment="0" applyProtection="0"/>
    <xf numFmtId="0" fontId="11" fillId="8" borderId="0" applyNumberFormat="0" applyBorder="0" applyAlignment="0" applyProtection="0"/>
    <xf numFmtId="0" fontId="12" fillId="8" borderId="0" applyNumberFormat="0" applyBorder="0" applyAlignment="0" applyProtection="0"/>
    <xf numFmtId="0" fontId="11" fillId="11" borderId="0" applyNumberFormat="0" applyBorder="0" applyAlignment="0" applyProtection="0"/>
    <xf numFmtId="0" fontId="12" fillId="11" borderId="0" applyNumberFormat="0" applyBorder="0" applyAlignment="0" applyProtection="0"/>
    <xf numFmtId="0" fontId="11" fillId="14" borderId="0" applyNumberFormat="0" applyBorder="0" applyAlignment="0" applyProtection="0"/>
    <xf numFmtId="0" fontId="12" fillId="14" borderId="0" applyNumberFormat="0" applyBorder="0" applyAlignment="0" applyProtection="0"/>
    <xf numFmtId="0" fontId="12" fillId="11" borderId="0" applyNumberFormat="0" applyBorder="0" applyAlignment="0" applyProtection="0"/>
    <xf numFmtId="0" fontId="12" fillId="12" borderId="0" applyNumberFormat="0" applyBorder="0" applyAlignment="0" applyProtection="0"/>
    <xf numFmtId="0" fontId="12" fillId="13" borderId="0" applyNumberFormat="0" applyBorder="0" applyAlignment="0" applyProtection="0"/>
    <xf numFmtId="0" fontId="12" fillId="8" borderId="0" applyNumberFormat="0" applyBorder="0" applyAlignment="0" applyProtection="0"/>
    <xf numFmtId="0" fontId="12" fillId="11" borderId="0" applyNumberFormat="0" applyBorder="0" applyAlignment="0" applyProtection="0"/>
    <xf numFmtId="0" fontId="12" fillId="14" borderId="0" applyNumberFormat="0" applyBorder="0" applyAlignment="0" applyProtection="0"/>
    <xf numFmtId="0" fontId="14" fillId="15" borderId="0" applyNumberFormat="0" applyBorder="0" applyAlignment="0" applyProtection="0"/>
    <xf numFmtId="0" fontId="15" fillId="15" borderId="0" applyNumberFormat="0" applyBorder="0" applyAlignment="0" applyProtection="0"/>
    <xf numFmtId="0" fontId="14" fillId="12" borderId="0" applyNumberFormat="0" applyBorder="0" applyAlignment="0" applyProtection="0"/>
    <xf numFmtId="0" fontId="15" fillId="12" borderId="0" applyNumberFormat="0" applyBorder="0" applyAlignment="0" applyProtection="0"/>
    <xf numFmtId="0" fontId="14" fillId="13" borderId="0" applyNumberFormat="0" applyBorder="0" applyAlignment="0" applyProtection="0"/>
    <xf numFmtId="0" fontId="15" fillId="13" borderId="0" applyNumberFormat="0" applyBorder="0" applyAlignment="0" applyProtection="0"/>
    <xf numFmtId="0" fontId="14" fillId="16" borderId="0" applyNumberFormat="0" applyBorder="0" applyAlignment="0" applyProtection="0"/>
    <xf numFmtId="0" fontId="15" fillId="16" borderId="0" applyNumberFormat="0" applyBorder="0" applyAlignment="0" applyProtection="0"/>
    <xf numFmtId="0" fontId="14" fillId="17" borderId="0" applyNumberFormat="0" applyBorder="0" applyAlignment="0" applyProtection="0"/>
    <xf numFmtId="0" fontId="15" fillId="17" borderId="0" applyNumberFormat="0" applyBorder="0" applyAlignment="0" applyProtection="0"/>
    <xf numFmtId="0" fontId="14" fillId="18" borderId="0" applyNumberFormat="0" applyBorder="0" applyAlignment="0" applyProtection="0"/>
    <xf numFmtId="0" fontId="15" fillId="18" borderId="0" applyNumberFormat="0" applyBorder="0" applyAlignment="0" applyProtection="0"/>
    <xf numFmtId="0" fontId="15" fillId="15" borderId="0" applyNumberFormat="0" applyBorder="0" applyAlignment="0" applyProtection="0"/>
    <xf numFmtId="0" fontId="15" fillId="12" borderId="0" applyNumberFormat="0" applyBorder="0" applyAlignment="0" applyProtection="0"/>
    <xf numFmtId="0" fontId="15" fillId="13" borderId="0" applyNumberFormat="0" applyBorder="0" applyAlignment="0" applyProtection="0"/>
    <xf numFmtId="0" fontId="15" fillId="16" borderId="0" applyNumberFormat="0" applyBorder="0" applyAlignment="0" applyProtection="0"/>
    <xf numFmtId="0" fontId="15" fillId="17" borderId="0" applyNumberFormat="0" applyBorder="0" applyAlignment="0" applyProtection="0"/>
    <xf numFmtId="0" fontId="15" fillId="18" borderId="0" applyNumberFormat="0" applyBorder="0" applyAlignment="0" applyProtection="0"/>
    <xf numFmtId="9" fontId="8" fillId="0" borderId="0"/>
    <xf numFmtId="9" fontId="8" fillId="0" borderId="0"/>
    <xf numFmtId="9" fontId="8" fillId="0" borderId="0"/>
    <xf numFmtId="9" fontId="8" fillId="0" borderId="0"/>
    <xf numFmtId="9" fontId="13" fillId="0" borderId="0"/>
    <xf numFmtId="9" fontId="8" fillId="0" borderId="0"/>
    <xf numFmtId="0" fontId="8" fillId="0" borderId="0" applyFont="0" applyFill="0" applyBorder="0" applyAlignment="0" applyProtection="0"/>
    <xf numFmtId="37" fontId="16" fillId="0" borderId="8"/>
    <xf numFmtId="37" fontId="16" fillId="0" borderId="8"/>
    <xf numFmtId="37" fontId="16" fillId="0" borderId="8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13" fillId="0" borderId="0" applyFont="0" applyFill="0" applyBorder="0" applyAlignment="0" applyProtection="0"/>
    <xf numFmtId="172" fontId="8" fillId="0" borderId="0" applyFont="0" applyFill="0" applyBorder="0" applyAlignment="0" applyProtection="0"/>
    <xf numFmtId="0" fontId="14" fillId="19" borderId="0" applyNumberFormat="0" applyBorder="0" applyAlignment="0" applyProtection="0"/>
    <xf numFmtId="0" fontId="15" fillId="19" borderId="0" applyNumberFormat="0" applyBorder="0" applyAlignment="0" applyProtection="0"/>
    <xf numFmtId="0" fontId="14" fillId="20" borderId="0" applyNumberFormat="0" applyBorder="0" applyAlignment="0" applyProtection="0"/>
    <xf numFmtId="0" fontId="15" fillId="20" borderId="0" applyNumberFormat="0" applyBorder="0" applyAlignment="0" applyProtection="0"/>
    <xf numFmtId="0" fontId="14" fillId="21" borderId="0" applyNumberFormat="0" applyBorder="0" applyAlignment="0" applyProtection="0"/>
    <xf numFmtId="0" fontId="15" fillId="21" borderId="0" applyNumberFormat="0" applyBorder="0" applyAlignment="0" applyProtection="0"/>
    <xf numFmtId="0" fontId="14" fillId="16" borderId="0" applyNumberFormat="0" applyBorder="0" applyAlignment="0" applyProtection="0"/>
    <xf numFmtId="0" fontId="15" fillId="16" borderId="0" applyNumberFormat="0" applyBorder="0" applyAlignment="0" applyProtection="0"/>
    <xf numFmtId="0" fontId="14" fillId="17" borderId="0" applyNumberFormat="0" applyBorder="0" applyAlignment="0" applyProtection="0"/>
    <xf numFmtId="0" fontId="15" fillId="17" borderId="0" applyNumberFormat="0" applyBorder="0" applyAlignment="0" applyProtection="0"/>
    <xf numFmtId="0" fontId="14" fillId="22" borderId="0" applyNumberFormat="0" applyBorder="0" applyAlignment="0" applyProtection="0"/>
    <xf numFmtId="0" fontId="15" fillId="22" borderId="0" applyNumberFormat="0" applyBorder="0" applyAlignment="0" applyProtection="0"/>
    <xf numFmtId="0" fontId="17" fillId="6" borderId="0" applyNumberFormat="0" applyBorder="0" applyAlignment="0" applyProtection="0"/>
    <xf numFmtId="0" fontId="18" fillId="6" borderId="0" applyNumberFormat="0" applyBorder="0" applyAlignment="0" applyProtection="0"/>
    <xf numFmtId="0" fontId="19" fillId="23" borderId="9" applyNumberFormat="0" applyAlignment="0" applyProtection="0"/>
    <xf numFmtId="0" fontId="19" fillId="23" borderId="9" applyNumberFormat="0" applyAlignment="0" applyProtection="0"/>
    <xf numFmtId="0" fontId="19" fillId="23" borderId="9" applyNumberFormat="0" applyAlignment="0" applyProtection="0"/>
    <xf numFmtId="0" fontId="20" fillId="23" borderId="9" applyNumberFormat="0" applyAlignment="0" applyProtection="0"/>
    <xf numFmtId="0" fontId="20" fillId="23" borderId="9" applyNumberFormat="0" applyAlignment="0" applyProtection="0"/>
    <xf numFmtId="0" fontId="21" fillId="24" borderId="10" applyNumberFormat="0" applyAlignment="0" applyProtection="0"/>
    <xf numFmtId="0" fontId="22" fillId="24" borderId="10" applyNumberFormat="0" applyAlignment="0" applyProtection="0"/>
    <xf numFmtId="173" fontId="1" fillId="0" borderId="0"/>
    <xf numFmtId="173" fontId="1" fillId="0" borderId="0"/>
    <xf numFmtId="173" fontId="1" fillId="0" borderId="0"/>
    <xf numFmtId="173" fontId="1" fillId="0" borderId="0"/>
    <xf numFmtId="173" fontId="1" fillId="0" borderId="0"/>
    <xf numFmtId="173" fontId="1" fillId="0" borderId="0"/>
    <xf numFmtId="173" fontId="1" fillId="0" borderId="0"/>
    <xf numFmtId="173" fontId="1" fillId="0" borderId="0"/>
    <xf numFmtId="173" fontId="1" fillId="0" borderId="0"/>
    <xf numFmtId="173" fontId="1" fillId="0" borderId="0"/>
    <xf numFmtId="173" fontId="1" fillId="0" borderId="0"/>
    <xf numFmtId="173" fontId="1" fillId="0" borderId="0"/>
    <xf numFmtId="173" fontId="1" fillId="0" borderId="0"/>
    <xf numFmtId="173" fontId="1" fillId="0" borderId="0"/>
    <xf numFmtId="173" fontId="1" fillId="0" borderId="0"/>
    <xf numFmtId="173" fontId="1" fillId="0" borderId="0"/>
    <xf numFmtId="173" fontId="1" fillId="0" borderId="0"/>
    <xf numFmtId="173" fontId="1" fillId="0" borderId="0"/>
    <xf numFmtId="173" fontId="1" fillId="0" borderId="0"/>
    <xf numFmtId="173" fontId="1" fillId="0" borderId="0"/>
    <xf numFmtId="173" fontId="1" fillId="0" borderId="0"/>
    <xf numFmtId="173" fontId="1" fillId="0" borderId="0"/>
    <xf numFmtId="173" fontId="1" fillId="0" borderId="0"/>
    <xf numFmtId="173" fontId="1" fillId="0" borderId="0"/>
    <xf numFmtId="173" fontId="1" fillId="0" borderId="0"/>
    <xf numFmtId="173" fontId="1" fillId="0" borderId="0"/>
    <xf numFmtId="173" fontId="1" fillId="0" borderId="0"/>
    <xf numFmtId="173" fontId="1" fillId="0" borderId="0"/>
    <xf numFmtId="173" fontId="1" fillId="0" borderId="0"/>
    <xf numFmtId="173" fontId="1" fillId="0" borderId="0"/>
    <xf numFmtId="173" fontId="1" fillId="0" borderId="0"/>
    <xf numFmtId="173" fontId="1" fillId="0" borderId="0"/>
    <xf numFmtId="173" fontId="1" fillId="0" borderId="0"/>
    <xf numFmtId="173" fontId="1" fillId="0" borderId="0"/>
    <xf numFmtId="173" fontId="1" fillId="0" borderId="0"/>
    <xf numFmtId="173" fontId="1" fillId="0" borderId="0"/>
    <xf numFmtId="173" fontId="1" fillId="0" borderId="0"/>
    <xf numFmtId="173" fontId="1" fillId="0" borderId="0"/>
    <xf numFmtId="173" fontId="1" fillId="0" borderId="0"/>
    <xf numFmtId="173" fontId="1" fillId="0" borderId="0"/>
    <xf numFmtId="164" fontId="8" fillId="0" borderId="0" applyFont="0" applyFill="0" applyBorder="0" applyAlignment="0" applyProtection="0"/>
    <xf numFmtId="166" fontId="23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5" fillId="0" borderId="0" applyFont="0" applyFill="0" applyBorder="0" applyAlignment="0" applyProtection="0"/>
    <xf numFmtId="166" fontId="6" fillId="0" borderId="0" applyFont="0" applyFill="0" applyBorder="0" applyAlignment="0" applyProtection="0"/>
    <xf numFmtId="166" fontId="6" fillId="0" borderId="0" applyFont="0" applyFill="0" applyBorder="0" applyAlignment="0" applyProtection="0"/>
    <xf numFmtId="166" fontId="5" fillId="0" borderId="0" applyFont="0" applyFill="0" applyBorder="0" applyAlignment="0" applyProtection="0"/>
    <xf numFmtId="166" fontId="5" fillId="0" borderId="0" applyFont="0" applyFill="0" applyBorder="0" applyAlignment="0" applyProtection="0"/>
    <xf numFmtId="166" fontId="6" fillId="0" borderId="0" applyFont="0" applyFill="0" applyBorder="0" applyAlignment="0" applyProtection="0"/>
    <xf numFmtId="43" fontId="24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6" fillId="0" borderId="0" applyFont="0" applyFill="0" applyBorder="0" applyAlignment="0" applyProtection="0"/>
    <xf numFmtId="166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5" fillId="0" borderId="0" applyFont="0" applyFill="0" applyBorder="0" applyAlignment="0" applyProtection="0"/>
    <xf numFmtId="166" fontId="5" fillId="0" borderId="0" applyFont="0" applyFill="0" applyBorder="0" applyAlignment="0" applyProtection="0"/>
    <xf numFmtId="166" fontId="5" fillId="0" borderId="0" applyFont="0" applyFill="0" applyBorder="0" applyAlignment="0" applyProtection="0"/>
    <xf numFmtId="166" fontId="5" fillId="0" borderId="0" applyFont="0" applyFill="0" applyBorder="0" applyAlignment="0" applyProtection="0"/>
    <xf numFmtId="166" fontId="5" fillId="0" borderId="0" applyFont="0" applyFill="0" applyBorder="0" applyAlignment="0" applyProtection="0"/>
    <xf numFmtId="166" fontId="5" fillId="0" borderId="0" applyFont="0" applyFill="0" applyBorder="0" applyAlignment="0" applyProtection="0"/>
    <xf numFmtId="166" fontId="5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66" fontId="5" fillId="0" borderId="0" applyFont="0" applyFill="0" applyBorder="0" applyAlignment="0" applyProtection="0"/>
    <xf numFmtId="166" fontId="5" fillId="0" borderId="0" applyFont="0" applyFill="0" applyBorder="0" applyAlignment="0" applyProtection="0"/>
    <xf numFmtId="166" fontId="12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6" fillId="0" borderId="0" applyFont="0" applyFill="0" applyBorder="0" applyAlignment="0" applyProtection="0"/>
    <xf numFmtId="166" fontId="5" fillId="0" borderId="0" applyFont="0" applyFill="0" applyBorder="0" applyAlignment="0" applyProtection="0"/>
    <xf numFmtId="166" fontId="6" fillId="0" borderId="0" applyFont="0" applyFill="0" applyBorder="0" applyAlignment="0" applyProtection="0"/>
    <xf numFmtId="166" fontId="5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23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5" fillId="0" borderId="0" applyFont="0" applyFill="0" applyBorder="0" applyAlignment="0" applyProtection="0"/>
    <xf numFmtId="166" fontId="6" fillId="0" borderId="0" applyFont="0" applyFill="0" applyBorder="0" applyAlignment="0" applyProtection="0"/>
    <xf numFmtId="166" fontId="6" fillId="0" borderId="0" applyFont="0" applyFill="0" applyBorder="0" applyAlignment="0" applyProtection="0"/>
    <xf numFmtId="166" fontId="12" fillId="0" borderId="0" applyFont="0" applyFill="0" applyBorder="0" applyAlignment="0" applyProtection="0"/>
    <xf numFmtId="43" fontId="24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5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5" fillId="0" borderId="0" applyFont="0" applyFill="0" applyBorder="0" applyAlignment="0" applyProtection="0"/>
    <xf numFmtId="175" fontId="24" fillId="0" borderId="0" applyFont="0" applyFill="0" applyBorder="0" applyAlignment="0" applyProtection="0"/>
    <xf numFmtId="166" fontId="25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" fillId="0" borderId="0"/>
    <xf numFmtId="165" fontId="12" fillId="0" borderId="0" applyFont="0" applyFill="0" applyBorder="0" applyAlignment="0" applyProtection="0"/>
    <xf numFmtId="176" fontId="8" fillId="0" borderId="0"/>
    <xf numFmtId="176" fontId="8" fillId="0" borderId="0"/>
    <xf numFmtId="176" fontId="8" fillId="0" borderId="0"/>
    <xf numFmtId="176" fontId="8" fillId="0" borderId="0"/>
    <xf numFmtId="176" fontId="13" fillId="0" borderId="0"/>
    <xf numFmtId="177" fontId="5" fillId="0" borderId="0"/>
    <xf numFmtId="0" fontId="2" fillId="0" borderId="0" applyProtection="0"/>
    <xf numFmtId="0" fontId="2" fillId="0" borderId="0" applyProtection="0"/>
    <xf numFmtId="0" fontId="2" fillId="0" borderId="0" applyProtection="0"/>
    <xf numFmtId="0" fontId="2" fillId="0" borderId="0" applyProtection="0"/>
    <xf numFmtId="0" fontId="2" fillId="0" borderId="0" applyProtection="0"/>
    <xf numFmtId="178" fontId="8" fillId="0" borderId="0"/>
    <xf numFmtId="178" fontId="8" fillId="0" borderId="0"/>
    <xf numFmtId="178" fontId="8" fillId="0" borderId="0"/>
    <xf numFmtId="178" fontId="8" fillId="0" borderId="0"/>
    <xf numFmtId="178" fontId="13" fillId="0" borderId="0"/>
    <xf numFmtId="179" fontId="5" fillId="0" borderId="0"/>
    <xf numFmtId="0" fontId="26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2" fontId="2" fillId="0" borderId="0" applyProtection="0"/>
    <xf numFmtId="2" fontId="2" fillId="0" borderId="0" applyProtection="0"/>
    <xf numFmtId="2" fontId="2" fillId="0" borderId="0" applyProtection="0"/>
    <xf numFmtId="2" fontId="2" fillId="0" borderId="0" applyProtection="0"/>
    <xf numFmtId="2" fontId="2" fillId="0" borderId="0" applyProtection="0"/>
    <xf numFmtId="0" fontId="28" fillId="7" borderId="0" applyNumberFormat="0" applyBorder="0" applyAlignment="0" applyProtection="0"/>
    <xf numFmtId="0" fontId="29" fillId="7" borderId="0" applyNumberFormat="0" applyBorder="0" applyAlignment="0" applyProtection="0"/>
    <xf numFmtId="38" fontId="30" fillId="25" borderId="0" applyNumberFormat="0" applyBorder="0" applyAlignment="0" applyProtection="0"/>
    <xf numFmtId="38" fontId="30" fillId="25" borderId="0" applyNumberFormat="0" applyBorder="0" applyAlignment="0" applyProtection="0"/>
    <xf numFmtId="0" fontId="31" fillId="0" borderId="1" applyNumberFormat="0" applyAlignment="0" applyProtection="0">
      <alignment horizontal="left" vertical="center"/>
    </xf>
    <xf numFmtId="0" fontId="31" fillId="0" borderId="1" applyNumberFormat="0" applyAlignment="0" applyProtection="0">
      <alignment horizontal="left" vertical="center"/>
    </xf>
    <xf numFmtId="0" fontId="31" fillId="0" borderId="1" applyNumberFormat="0" applyAlignment="0" applyProtection="0">
      <alignment horizontal="left" vertical="center"/>
    </xf>
    <xf numFmtId="0" fontId="31" fillId="0" borderId="1" applyNumberFormat="0" applyAlignment="0" applyProtection="0">
      <alignment horizontal="left" vertical="center"/>
    </xf>
    <xf numFmtId="0" fontId="31" fillId="0" borderId="1" applyNumberFormat="0" applyAlignment="0" applyProtection="0">
      <alignment horizontal="left" vertical="center"/>
    </xf>
    <xf numFmtId="0" fontId="31" fillId="0" borderId="6">
      <alignment horizontal="left" vertical="center"/>
    </xf>
    <xf numFmtId="0" fontId="31" fillId="0" borderId="6">
      <alignment horizontal="left" vertical="center"/>
    </xf>
    <xf numFmtId="0" fontId="31" fillId="0" borderId="6">
      <alignment horizontal="left" vertical="center"/>
    </xf>
    <xf numFmtId="0" fontId="31" fillId="0" borderId="6">
      <alignment horizontal="left" vertical="center"/>
    </xf>
    <xf numFmtId="0" fontId="31" fillId="0" borderId="6">
      <alignment horizontal="left" vertical="center"/>
    </xf>
    <xf numFmtId="0" fontId="31" fillId="0" borderId="6">
      <alignment horizontal="left" vertical="center"/>
    </xf>
    <xf numFmtId="0" fontId="31" fillId="0" borderId="6">
      <alignment horizontal="left" vertical="center"/>
    </xf>
    <xf numFmtId="0" fontId="31" fillId="0" borderId="6">
      <alignment horizontal="left" vertical="center"/>
    </xf>
    <xf numFmtId="0" fontId="31" fillId="0" borderId="6">
      <alignment horizontal="left" vertical="center"/>
    </xf>
    <xf numFmtId="0" fontId="31" fillId="0" borderId="6">
      <alignment horizontal="left" vertical="center"/>
    </xf>
    <xf numFmtId="0" fontId="31" fillId="0" borderId="6">
      <alignment horizontal="left" vertical="center"/>
    </xf>
    <xf numFmtId="0" fontId="31" fillId="0" borderId="6">
      <alignment horizontal="left" vertical="center"/>
    </xf>
    <xf numFmtId="0" fontId="31" fillId="0" borderId="6">
      <alignment horizontal="left" vertical="center"/>
    </xf>
    <xf numFmtId="0" fontId="32" fillId="0" borderId="11" applyNumberFormat="0" applyFill="0" applyAlignment="0" applyProtection="0"/>
    <xf numFmtId="0" fontId="33" fillId="0" borderId="11" applyNumberFormat="0" applyFill="0" applyAlignment="0" applyProtection="0"/>
    <xf numFmtId="0" fontId="34" fillId="0" borderId="12" applyNumberFormat="0" applyFill="0" applyAlignment="0" applyProtection="0"/>
    <xf numFmtId="0" fontId="35" fillId="0" borderId="12" applyNumberFormat="0" applyFill="0" applyAlignment="0" applyProtection="0"/>
    <xf numFmtId="0" fontId="36" fillId="0" borderId="13" applyNumberFormat="0" applyFill="0" applyAlignment="0" applyProtection="0"/>
    <xf numFmtId="0" fontId="37" fillId="0" borderId="13" applyNumberFormat="0" applyFill="0" applyAlignment="0" applyProtection="0"/>
    <xf numFmtId="0" fontId="36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8" fillId="0" borderId="0" applyProtection="0"/>
    <xf numFmtId="0" fontId="38" fillId="0" borderId="0" applyProtection="0"/>
    <xf numFmtId="0" fontId="38" fillId="0" borderId="0" applyProtection="0"/>
    <xf numFmtId="0" fontId="38" fillId="0" borderId="0" applyProtection="0"/>
    <xf numFmtId="0" fontId="38" fillId="0" borderId="0" applyProtection="0"/>
    <xf numFmtId="0" fontId="31" fillId="0" borderId="0" applyProtection="0"/>
    <xf numFmtId="0" fontId="31" fillId="0" borderId="0" applyProtection="0"/>
    <xf numFmtId="0" fontId="31" fillId="0" borderId="0" applyProtection="0"/>
    <xf numFmtId="0" fontId="31" fillId="0" borderId="0" applyProtection="0"/>
    <xf numFmtId="0" fontId="31" fillId="0" borderId="0" applyProtection="0"/>
    <xf numFmtId="0" fontId="39" fillId="0" borderId="0" applyNumberFormat="0" applyFill="0" applyBorder="0" applyAlignment="0" applyProtection="0">
      <alignment vertical="top"/>
      <protection locked="0"/>
    </xf>
    <xf numFmtId="0" fontId="4" fillId="0" borderId="0" applyNumberFormat="0" applyFill="0" applyBorder="0" applyAlignment="0" applyProtection="0">
      <alignment vertical="top"/>
      <protection locked="0"/>
    </xf>
    <xf numFmtId="10" fontId="30" fillId="26" borderId="3" applyNumberFormat="0" applyBorder="0" applyAlignment="0" applyProtection="0"/>
    <xf numFmtId="10" fontId="30" fillId="26" borderId="3" applyNumberFormat="0" applyBorder="0" applyAlignment="0" applyProtection="0"/>
    <xf numFmtId="10" fontId="30" fillId="26" borderId="3" applyNumberFormat="0" applyBorder="0" applyAlignment="0" applyProtection="0"/>
    <xf numFmtId="10" fontId="30" fillId="26" borderId="3" applyNumberFormat="0" applyBorder="0" applyAlignment="0" applyProtection="0"/>
    <xf numFmtId="10" fontId="30" fillId="26" borderId="3" applyNumberFormat="0" applyBorder="0" applyAlignment="0" applyProtection="0"/>
    <xf numFmtId="10" fontId="30" fillId="26" borderId="3" applyNumberFormat="0" applyBorder="0" applyAlignment="0" applyProtection="0"/>
    <xf numFmtId="0" fontId="40" fillId="10" borderId="9" applyNumberFormat="0" applyAlignment="0" applyProtection="0"/>
    <xf numFmtId="0" fontId="40" fillId="10" borderId="9" applyNumberFormat="0" applyAlignment="0" applyProtection="0"/>
    <xf numFmtId="0" fontId="40" fillId="10" borderId="9" applyNumberFormat="0" applyAlignment="0" applyProtection="0"/>
    <xf numFmtId="0" fontId="40" fillId="10" borderId="9" applyNumberFormat="0" applyAlignment="0" applyProtection="0"/>
    <xf numFmtId="0" fontId="41" fillId="10" borderId="9" applyNumberFormat="0" applyAlignment="0" applyProtection="0"/>
    <xf numFmtId="0" fontId="41" fillId="10" borderId="9" applyNumberFormat="0" applyAlignment="0" applyProtection="0"/>
    <xf numFmtId="0" fontId="41" fillId="10" borderId="9" applyNumberFormat="0" applyAlignment="0" applyProtection="0"/>
    <xf numFmtId="0" fontId="40" fillId="10" borderId="9" applyNumberFormat="0" applyAlignment="0" applyProtection="0"/>
    <xf numFmtId="0" fontId="40" fillId="10" borderId="9" applyNumberFormat="0" applyAlignment="0" applyProtection="0"/>
    <xf numFmtId="0" fontId="40" fillId="27" borderId="9" applyNumberFormat="0" applyAlignment="0" applyProtection="0"/>
    <xf numFmtId="0" fontId="40" fillId="10" borderId="9" applyNumberFormat="0" applyAlignment="0" applyProtection="0"/>
    <xf numFmtId="0" fontId="40" fillId="10" borderId="9" applyNumberFormat="0" applyAlignment="0" applyProtection="0"/>
    <xf numFmtId="0" fontId="40" fillId="27" borderId="9" applyNumberFormat="0" applyAlignment="0" applyProtection="0"/>
    <xf numFmtId="0" fontId="40" fillId="10" borderId="9" applyNumberFormat="0" applyAlignment="0" applyProtection="0"/>
    <xf numFmtId="0" fontId="40" fillId="27" borderId="9" applyNumberFormat="0" applyAlignment="0" applyProtection="0"/>
    <xf numFmtId="0" fontId="40" fillId="27" borderId="9" applyNumberFormat="0" applyAlignment="0" applyProtection="0"/>
    <xf numFmtId="0" fontId="40" fillId="10" borderId="9" applyNumberFormat="0" applyAlignment="0" applyProtection="0"/>
    <xf numFmtId="0" fontId="40" fillId="10" borderId="9" applyNumberFormat="0" applyAlignment="0" applyProtection="0"/>
    <xf numFmtId="0" fontId="40" fillId="10" borderId="9" applyNumberFormat="0" applyAlignment="0" applyProtection="0"/>
    <xf numFmtId="0" fontId="40" fillId="10" borderId="9" applyNumberFormat="0" applyAlignment="0" applyProtection="0"/>
    <xf numFmtId="0" fontId="42" fillId="0" borderId="3">
      <alignment vertical="center"/>
    </xf>
    <xf numFmtId="0" fontId="42" fillId="0" borderId="3">
      <alignment vertical="center"/>
    </xf>
    <xf numFmtId="0" fontId="42" fillId="0" borderId="3">
      <alignment vertical="center"/>
    </xf>
    <xf numFmtId="0" fontId="42" fillId="0" borderId="3">
      <alignment vertical="center"/>
    </xf>
    <xf numFmtId="0" fontId="42" fillId="0" borderId="3">
      <alignment vertical="center"/>
    </xf>
    <xf numFmtId="0" fontId="42" fillId="0" borderId="3">
      <alignment vertical="center"/>
    </xf>
    <xf numFmtId="0" fontId="42" fillId="0" borderId="3">
      <alignment vertical="center"/>
    </xf>
    <xf numFmtId="0" fontId="42" fillId="0" borderId="3">
      <alignment vertical="center"/>
    </xf>
    <xf numFmtId="0" fontId="42" fillId="0" borderId="3">
      <alignment vertical="center"/>
    </xf>
    <xf numFmtId="0" fontId="42" fillId="0" borderId="3">
      <alignment vertical="center"/>
    </xf>
    <xf numFmtId="0" fontId="42" fillId="0" borderId="3">
      <alignment vertical="center"/>
    </xf>
    <xf numFmtId="0" fontId="42" fillId="0" borderId="3">
      <alignment vertical="center"/>
    </xf>
    <xf numFmtId="0" fontId="42" fillId="0" borderId="3">
      <alignment vertical="center"/>
    </xf>
    <xf numFmtId="0" fontId="42" fillId="0" borderId="3">
      <alignment vertical="center"/>
    </xf>
    <xf numFmtId="0" fontId="42" fillId="0" borderId="3">
      <alignment vertical="center"/>
    </xf>
    <xf numFmtId="0" fontId="42" fillId="0" borderId="3">
      <alignment vertical="center"/>
    </xf>
    <xf numFmtId="0" fontId="42" fillId="0" borderId="3">
      <alignment vertical="center"/>
    </xf>
    <xf numFmtId="0" fontId="43" fillId="0" borderId="14" applyNumberFormat="0" applyFill="0" applyAlignment="0" applyProtection="0"/>
    <xf numFmtId="0" fontId="43" fillId="0" borderId="14" applyNumberFormat="0" applyFill="0" applyAlignment="0" applyProtection="0"/>
    <xf numFmtId="0" fontId="43" fillId="0" borderId="14" applyNumberFormat="0" applyFill="0" applyAlignment="0" applyProtection="0"/>
    <xf numFmtId="0" fontId="43" fillId="0" borderId="14" applyNumberFormat="0" applyFill="0" applyAlignment="0" applyProtection="0"/>
    <xf numFmtId="0" fontId="43" fillId="0" borderId="14" applyNumberFormat="0" applyFill="0" applyAlignment="0" applyProtection="0"/>
    <xf numFmtId="0" fontId="43" fillId="0" borderId="14" applyNumberFormat="0" applyFill="0" applyAlignment="0" applyProtection="0"/>
    <xf numFmtId="0" fontId="44" fillId="0" borderId="14" applyNumberFormat="0" applyFill="0" applyAlignment="0" applyProtection="0"/>
    <xf numFmtId="180" fontId="8" fillId="0" borderId="0" applyFont="0" applyFill="0" applyBorder="0" applyAlignment="0" applyProtection="0"/>
    <xf numFmtId="180" fontId="8" fillId="0" borderId="0" applyFont="0" applyFill="0" applyBorder="0" applyAlignment="0" applyProtection="0"/>
    <xf numFmtId="180" fontId="8" fillId="0" borderId="0" applyFont="0" applyFill="0" applyBorder="0" applyAlignment="0" applyProtection="0"/>
    <xf numFmtId="180" fontId="8" fillId="0" borderId="0" applyFont="0" applyFill="0" applyBorder="0" applyAlignment="0" applyProtection="0"/>
    <xf numFmtId="180" fontId="13" fillId="0" borderId="0" applyFont="0" applyFill="0" applyBorder="0" applyAlignment="0" applyProtection="0"/>
    <xf numFmtId="181" fontId="7" fillId="0" borderId="0" applyFont="0" applyFill="0" applyBorder="0" applyAlignment="0" applyProtection="0"/>
    <xf numFmtId="0" fontId="45" fillId="27" borderId="0" applyNumberFormat="0" applyBorder="0" applyAlignment="0" applyProtection="0"/>
    <xf numFmtId="0" fontId="46" fillId="27" borderId="0" applyNumberFormat="0" applyBorder="0" applyAlignment="0" applyProtection="0"/>
    <xf numFmtId="37" fontId="47" fillId="0" borderId="0"/>
    <xf numFmtId="37" fontId="47" fillId="0" borderId="0"/>
    <xf numFmtId="37" fontId="47" fillId="0" borderId="0"/>
    <xf numFmtId="37" fontId="47" fillId="0" borderId="0"/>
    <xf numFmtId="37" fontId="47" fillId="0" borderId="0"/>
    <xf numFmtId="182" fontId="48" fillId="0" borderId="0"/>
    <xf numFmtId="0" fontId="1" fillId="0" borderId="0"/>
    <xf numFmtId="0" fontId="5" fillId="0" borderId="0"/>
    <xf numFmtId="0" fontId="1" fillId="0" borderId="0"/>
    <xf numFmtId="0" fontId="5" fillId="0" borderId="0"/>
    <xf numFmtId="0" fontId="5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" fillId="0" borderId="0"/>
    <xf numFmtId="0" fontId="24" fillId="0" borderId="0"/>
    <xf numFmtId="0" fontId="1" fillId="0" borderId="0"/>
    <xf numFmtId="0" fontId="49" fillId="0" borderId="0"/>
    <xf numFmtId="0" fontId="1" fillId="0" borderId="0"/>
    <xf numFmtId="0" fontId="50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9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9" fillId="0" borderId="0"/>
    <xf numFmtId="0" fontId="6" fillId="0" borderId="0"/>
    <xf numFmtId="0" fontId="1" fillId="0" borderId="0"/>
    <xf numFmtId="0" fontId="5" fillId="0" borderId="0"/>
    <xf numFmtId="0" fontId="1" fillId="0" borderId="0"/>
    <xf numFmtId="0" fontId="13" fillId="0" borderId="0"/>
    <xf numFmtId="0" fontId="5" fillId="0" borderId="0"/>
    <xf numFmtId="0" fontId="5" fillId="0" borderId="0"/>
    <xf numFmtId="0" fontId="1" fillId="0" borderId="0"/>
    <xf numFmtId="0" fontId="5" fillId="0" borderId="0"/>
    <xf numFmtId="0" fontId="1" fillId="0" borderId="0"/>
    <xf numFmtId="0" fontId="6" fillId="0" borderId="0"/>
    <xf numFmtId="0" fontId="12" fillId="0" borderId="0"/>
    <xf numFmtId="0" fontId="6" fillId="0" borderId="0"/>
    <xf numFmtId="0" fontId="1" fillId="0" borderId="0"/>
    <xf numFmtId="0" fontId="1" fillId="0" borderId="0"/>
    <xf numFmtId="0" fontId="24" fillId="0" borderId="0"/>
    <xf numFmtId="0" fontId="1" fillId="0" borderId="0"/>
    <xf numFmtId="0" fontId="2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2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7" fillId="0" borderId="0"/>
    <xf numFmtId="0" fontId="6" fillId="0" borderId="0"/>
    <xf numFmtId="0" fontId="1" fillId="0" borderId="0"/>
    <xf numFmtId="0" fontId="7" fillId="0" borderId="0"/>
    <xf numFmtId="0" fontId="1" fillId="0" borderId="0"/>
    <xf numFmtId="0" fontId="1" fillId="28" borderId="15" applyNumberFormat="0" applyFont="0" applyAlignment="0" applyProtection="0"/>
    <xf numFmtId="0" fontId="12" fillId="28" borderId="15" applyNumberFormat="0" applyFont="0" applyAlignment="0" applyProtection="0"/>
    <xf numFmtId="0" fontId="1" fillId="28" borderId="15" applyNumberFormat="0" applyFont="0" applyAlignment="0" applyProtection="0"/>
    <xf numFmtId="0" fontId="1" fillId="28" borderId="15" applyNumberFormat="0" applyFont="0" applyAlignment="0" applyProtection="0"/>
    <xf numFmtId="0" fontId="1" fillId="28" borderId="15" applyNumberFormat="0" applyFont="0" applyAlignment="0" applyProtection="0"/>
    <xf numFmtId="0" fontId="12" fillId="28" borderId="15" applyNumberFormat="0" applyFont="0" applyAlignment="0" applyProtection="0"/>
    <xf numFmtId="0" fontId="12" fillId="28" borderId="15" applyNumberFormat="0" applyFont="0" applyAlignment="0" applyProtection="0"/>
    <xf numFmtId="0" fontId="12" fillId="28" borderId="15" applyNumberFormat="0" applyFont="0" applyAlignment="0" applyProtection="0"/>
    <xf numFmtId="0" fontId="1" fillId="28" borderId="15" applyNumberFormat="0" applyFont="0" applyAlignment="0" applyProtection="0"/>
    <xf numFmtId="0" fontId="12" fillId="28" borderId="15" applyNumberFormat="0" applyFont="0" applyAlignment="0" applyProtection="0"/>
    <xf numFmtId="0" fontId="12" fillId="28" borderId="15" applyNumberFormat="0" applyFont="0" applyAlignment="0" applyProtection="0"/>
    <xf numFmtId="0" fontId="12" fillId="28" borderId="15" applyNumberFormat="0" applyFont="0" applyAlignment="0" applyProtection="0"/>
    <xf numFmtId="0" fontId="12" fillId="28" borderId="15" applyNumberFormat="0" applyFont="0" applyAlignment="0" applyProtection="0"/>
    <xf numFmtId="0" fontId="51" fillId="23" borderId="16" applyNumberFormat="0" applyAlignment="0" applyProtection="0"/>
    <xf numFmtId="0" fontId="51" fillId="23" borderId="16" applyNumberFormat="0" applyAlignment="0" applyProtection="0"/>
    <xf numFmtId="0" fontId="52" fillId="29" borderId="16" applyNumberFormat="0" applyAlignment="0" applyProtection="0"/>
    <xf numFmtId="0" fontId="52" fillId="23" borderId="16" applyNumberFormat="0" applyAlignment="0" applyProtection="0"/>
    <xf numFmtId="10" fontId="1" fillId="0" borderId="0" applyFont="0" applyFill="0" applyBorder="0" applyAlignment="0" applyProtection="0"/>
    <xf numFmtId="10" fontId="1" fillId="0" borderId="0" applyFont="0" applyFill="0" applyBorder="0" applyAlignment="0" applyProtection="0"/>
    <xf numFmtId="10" fontId="1" fillId="0" borderId="0" applyFont="0" applyFill="0" applyBorder="0" applyAlignment="0" applyProtection="0"/>
    <xf numFmtId="10" fontId="1" fillId="0" borderId="0" applyFont="0" applyFill="0" applyBorder="0" applyAlignment="0" applyProtection="0"/>
    <xf numFmtId="10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3" fontId="53" fillId="0" borderId="0" applyNumberFormat="0" applyFill="0" applyBorder="0" applyAlignment="0" applyProtection="0"/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0" fontId="1" fillId="0" borderId="0">
      <alignment vertical="justify"/>
    </xf>
    <xf numFmtId="1" fontId="1" fillId="0" borderId="4" applyNumberFormat="0" applyFill="0" applyAlignment="0" applyProtection="0">
      <alignment horizontal="center" vertical="center"/>
    </xf>
    <xf numFmtId="1" fontId="1" fillId="0" borderId="4" applyNumberFormat="0" applyFill="0" applyAlignment="0" applyProtection="0">
      <alignment horizontal="center" vertical="center"/>
    </xf>
    <xf numFmtId="1" fontId="1" fillId="0" borderId="4" applyNumberFormat="0" applyFill="0" applyAlignment="0" applyProtection="0">
      <alignment horizontal="center" vertical="center"/>
    </xf>
    <xf numFmtId="1" fontId="1" fillId="0" borderId="4" applyNumberFormat="0" applyFill="0" applyAlignment="0" applyProtection="0">
      <alignment horizontal="center" vertical="center"/>
    </xf>
    <xf numFmtId="1" fontId="1" fillId="0" borderId="4" applyNumberFormat="0" applyFill="0" applyAlignment="0" applyProtection="0">
      <alignment horizontal="center" vertical="center"/>
    </xf>
    <xf numFmtId="1" fontId="1" fillId="0" borderId="4" applyNumberFormat="0" applyFill="0" applyAlignment="0" applyProtection="0">
      <alignment horizontal="center" vertical="center"/>
    </xf>
    <xf numFmtId="0" fontId="10" fillId="0" borderId="7" applyAlignment="0">
      <alignment horizontal="centerContinuous"/>
    </xf>
    <xf numFmtId="0" fontId="10" fillId="0" borderId="7" applyAlignment="0">
      <alignment horizontal="centerContinuous"/>
    </xf>
    <xf numFmtId="0" fontId="10" fillId="0" borderId="7" applyAlignment="0">
      <alignment horizontal="centerContinuous"/>
    </xf>
    <xf numFmtId="0" fontId="10" fillId="0" borderId="7" applyAlignment="0">
      <alignment horizontal="centerContinuous"/>
    </xf>
    <xf numFmtId="0" fontId="10" fillId="0" borderId="7" applyAlignment="0">
      <alignment horizontal="centerContinuous"/>
    </xf>
    <xf numFmtId="0" fontId="10" fillId="0" borderId="7" applyAlignment="0">
      <alignment horizontal="centerContinuous"/>
    </xf>
    <xf numFmtId="0" fontId="10" fillId="0" borderId="7" applyAlignment="0">
      <alignment horizontal="centerContinuous"/>
    </xf>
    <xf numFmtId="0" fontId="10" fillId="0" borderId="7" applyAlignment="0">
      <alignment horizontal="centerContinuous"/>
    </xf>
    <xf numFmtId="0" fontId="10" fillId="0" borderId="7" applyAlignment="0">
      <alignment horizontal="centerContinuous"/>
    </xf>
    <xf numFmtId="0" fontId="1" fillId="0" borderId="0"/>
    <xf numFmtId="0" fontId="54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6" fillId="0" borderId="17" applyNumberFormat="0" applyFill="0" applyAlignment="0" applyProtection="0"/>
    <xf numFmtId="0" fontId="56" fillId="0" borderId="17" applyNumberFormat="0" applyFill="0" applyAlignment="0" applyProtection="0"/>
    <xf numFmtId="0" fontId="57" fillId="0" borderId="17" applyNumberFormat="0" applyFill="0" applyAlignment="0" applyProtection="0"/>
    <xf numFmtId="0" fontId="58" fillId="0" borderId="18"/>
    <xf numFmtId="0" fontId="58" fillId="0" borderId="18"/>
    <xf numFmtId="0" fontId="58" fillId="0" borderId="18"/>
    <xf numFmtId="6" fontId="59" fillId="0" borderId="0" applyFont="0" applyFill="0" applyBorder="0" applyAlignment="0" applyProtection="0"/>
    <xf numFmtId="6" fontId="59" fillId="0" borderId="0" applyFont="0" applyFill="0" applyBorder="0" applyAlignment="0" applyProtection="0"/>
    <xf numFmtId="6" fontId="59" fillId="0" borderId="0" applyFont="0" applyFill="0" applyBorder="0" applyAlignment="0" applyProtection="0"/>
    <xf numFmtId="6" fontId="59" fillId="0" borderId="0" applyFont="0" applyFill="0" applyBorder="0" applyAlignment="0" applyProtection="0"/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1" fillId="0" borderId="0">
      <alignment horizontal="centerContinuous" vertical="center"/>
    </xf>
    <xf numFmtId="0" fontId="60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20" fillId="23" borderId="9" applyNumberFormat="0" applyAlignment="0" applyProtection="0"/>
    <xf numFmtId="0" fontId="61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41" fontId="5" fillId="0" borderId="0" applyFont="0" applyFill="0" applyBorder="0" applyAlignment="0" applyProtection="0"/>
    <xf numFmtId="0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5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5" fillId="0" borderId="0" applyNumberFormat="0" applyFill="0" applyBorder="0" applyAlignment="0" applyProtection="0"/>
    <xf numFmtId="0" fontId="62" fillId="0" borderId="0" applyNumberFormat="0" applyFill="0" applyBorder="0" applyAlignment="0" applyProtection="0">
      <alignment vertical="top"/>
      <protection locked="0"/>
    </xf>
    <xf numFmtId="0" fontId="62" fillId="0" borderId="0" applyNumberFormat="0" applyFill="0" applyBorder="0" applyAlignment="0" applyProtection="0">
      <alignment vertical="top"/>
      <protection locked="0"/>
    </xf>
    <xf numFmtId="0" fontId="62" fillId="0" borderId="0" applyNumberFormat="0" applyFill="0" applyBorder="0" applyAlignment="0" applyProtection="0">
      <alignment vertical="top"/>
      <protection locked="0"/>
    </xf>
    <xf numFmtId="0" fontId="62" fillId="0" borderId="0" applyNumberFormat="0" applyFill="0" applyBorder="0" applyAlignment="0" applyProtection="0">
      <alignment vertical="top"/>
      <protection locked="0"/>
    </xf>
    <xf numFmtId="0" fontId="63" fillId="0" borderId="0" applyNumberFormat="0" applyFill="0" applyBorder="0" applyAlignment="0" applyProtection="0">
      <alignment vertical="top"/>
      <protection locked="0"/>
    </xf>
    <xf numFmtId="0" fontId="22" fillId="24" borderId="10" applyNumberFormat="0" applyAlignment="0" applyProtection="0"/>
    <xf numFmtId="0" fontId="44" fillId="0" borderId="14" applyNumberFormat="0" applyFill="0" applyAlignment="0" applyProtection="0"/>
    <xf numFmtId="0" fontId="44" fillId="0" borderId="14" applyNumberFormat="0" applyFill="0" applyAlignment="0" applyProtection="0"/>
    <xf numFmtId="0" fontId="29" fillId="7" borderId="0" applyNumberFormat="0" applyBorder="0" applyAlignment="0" applyProtection="0"/>
    <xf numFmtId="0" fontId="64" fillId="0" borderId="0" applyNumberFormat="0" applyFill="0" applyBorder="0" applyAlignment="0" applyProtection="0">
      <alignment vertical="top"/>
      <protection locked="0"/>
    </xf>
    <xf numFmtId="9" fontId="65" fillId="0" borderId="0" applyFont="0" applyFill="0" applyBorder="0" applyAlignment="0" applyProtection="0"/>
    <xf numFmtId="0" fontId="1" fillId="0" borderId="0"/>
    <xf numFmtId="0" fontId="5" fillId="0" borderId="0"/>
    <xf numFmtId="0" fontId="11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40" fillId="10" borderId="9" applyNumberFormat="0" applyAlignment="0" applyProtection="0"/>
    <xf numFmtId="0" fontId="46" fillId="27" borderId="0" applyNumberFormat="0" applyBorder="0" applyAlignment="0" applyProtection="0"/>
    <xf numFmtId="0" fontId="57" fillId="0" borderId="17" applyNumberFormat="0" applyFill="0" applyAlignment="0" applyProtection="0"/>
    <xf numFmtId="0" fontId="18" fillId="6" borderId="0" applyNumberFormat="0" applyBorder="0" applyAlignment="0" applyProtection="0"/>
    <xf numFmtId="6" fontId="1" fillId="0" borderId="0" applyFont="0" applyFill="0" applyBorder="0" applyAlignment="0" applyProtection="0"/>
    <xf numFmtId="8" fontId="1" fillId="0" borderId="0" applyFont="0" applyFill="0" applyBorder="0" applyAlignment="0" applyProtection="0"/>
    <xf numFmtId="5" fontId="1" fillId="0" borderId="0" applyFont="0" applyFill="0" applyBorder="0" applyAlignment="0" applyProtection="0"/>
    <xf numFmtId="7" fontId="1" fillId="0" borderId="0" applyFont="0" applyFill="0" applyBorder="0" applyAlignment="0" applyProtection="0"/>
    <xf numFmtId="0" fontId="1" fillId="0" borderId="0"/>
    <xf numFmtId="0" fontId="1" fillId="0" borderId="0"/>
    <xf numFmtId="0" fontId="65" fillId="0" borderId="0"/>
    <xf numFmtId="0" fontId="15" fillId="19" borderId="0" applyNumberFormat="0" applyBorder="0" applyAlignment="0" applyProtection="0"/>
    <xf numFmtId="0" fontId="15" fillId="20" borderId="0" applyNumberFormat="0" applyBorder="0" applyAlignment="0" applyProtection="0"/>
    <xf numFmtId="0" fontId="15" fillId="21" borderId="0" applyNumberFormat="0" applyBorder="0" applyAlignment="0" applyProtection="0"/>
    <xf numFmtId="0" fontId="15" fillId="16" borderId="0" applyNumberFormat="0" applyBorder="0" applyAlignment="0" applyProtection="0"/>
    <xf numFmtId="0" fontId="15" fillId="17" borderId="0" applyNumberFormat="0" applyBorder="0" applyAlignment="0" applyProtection="0"/>
    <xf numFmtId="0" fontId="15" fillId="22" borderId="0" applyNumberFormat="0" applyBorder="0" applyAlignment="0" applyProtection="0"/>
    <xf numFmtId="0" fontId="52" fillId="23" borderId="16" applyNumberFormat="0" applyAlignment="0" applyProtection="0"/>
    <xf numFmtId="0" fontId="12" fillId="28" borderId="15" applyNumberFormat="0" applyFont="0" applyAlignment="0" applyProtection="0"/>
    <xf numFmtId="0" fontId="1" fillId="28" borderId="15" applyNumberFormat="0" applyFont="0" applyAlignment="0" applyProtection="0"/>
    <xf numFmtId="0" fontId="1" fillId="28" borderId="15" applyNumberFormat="0" applyFont="0" applyAlignment="0" applyProtection="0"/>
    <xf numFmtId="0" fontId="1" fillId="28" borderId="15" applyNumberFormat="0" applyFont="0" applyAlignment="0" applyProtection="0"/>
    <xf numFmtId="0" fontId="33" fillId="0" borderId="11" applyNumberFormat="0" applyFill="0" applyAlignment="0" applyProtection="0"/>
    <xf numFmtId="0" fontId="35" fillId="0" borderId="12" applyNumberFormat="0" applyFill="0" applyAlignment="0" applyProtection="0"/>
    <xf numFmtId="0" fontId="37" fillId="0" borderId="13" applyNumberFormat="0" applyFill="0" applyAlignment="0" applyProtection="0"/>
    <xf numFmtId="0" fontId="37" fillId="0" borderId="0" applyNumberFormat="0" applyFill="0" applyBorder="0" applyAlignment="0" applyProtection="0"/>
    <xf numFmtId="0" fontId="6" fillId="0" borderId="0"/>
    <xf numFmtId="0" fontId="6" fillId="0" borderId="0"/>
    <xf numFmtId="0" fontId="1" fillId="28" borderId="20" applyNumberFormat="0" applyFont="0" applyAlignment="0" applyProtection="0"/>
    <xf numFmtId="0" fontId="1" fillId="28" borderId="20" applyNumberFormat="0" applyFont="0" applyAlignment="0" applyProtection="0"/>
    <xf numFmtId="0" fontId="1" fillId="28" borderId="20" applyNumberFormat="0" applyFont="0" applyAlignment="0" applyProtection="0"/>
    <xf numFmtId="0" fontId="12" fillId="28" borderId="20" applyNumberFormat="0" applyFont="0" applyAlignment="0" applyProtection="0"/>
    <xf numFmtId="0" fontId="6" fillId="0" borderId="0"/>
    <xf numFmtId="0" fontId="58" fillId="0" borderId="24"/>
    <xf numFmtId="0" fontId="58" fillId="0" borderId="24"/>
    <xf numFmtId="0" fontId="58" fillId="0" borderId="24"/>
    <xf numFmtId="0" fontId="58" fillId="0" borderId="21"/>
    <xf numFmtId="0" fontId="58" fillId="0" borderId="21"/>
    <xf numFmtId="0" fontId="58" fillId="0" borderId="21"/>
    <xf numFmtId="0" fontId="12" fillId="28" borderId="23" applyNumberFormat="0" applyFont="0" applyAlignment="0" applyProtection="0"/>
    <xf numFmtId="0" fontId="12" fillId="28" borderId="23" applyNumberFormat="0" applyFont="0" applyAlignment="0" applyProtection="0"/>
    <xf numFmtId="0" fontId="12" fillId="28" borderId="23" applyNumberFormat="0" applyFont="0" applyAlignment="0" applyProtection="0"/>
    <xf numFmtId="0" fontId="12" fillId="28" borderId="23" applyNumberFormat="0" applyFont="0" applyAlignment="0" applyProtection="0"/>
    <xf numFmtId="0" fontId="1" fillId="28" borderId="23" applyNumberFormat="0" applyFont="0" applyAlignment="0" applyProtection="0"/>
    <xf numFmtId="0" fontId="12" fillId="28" borderId="23" applyNumberFormat="0" applyFont="0" applyAlignment="0" applyProtection="0"/>
    <xf numFmtId="0" fontId="12" fillId="28" borderId="23" applyNumberFormat="0" applyFont="0" applyAlignment="0" applyProtection="0"/>
    <xf numFmtId="0" fontId="12" fillId="28" borderId="23" applyNumberFormat="0" applyFont="0" applyAlignment="0" applyProtection="0"/>
    <xf numFmtId="0" fontId="1" fillId="28" borderId="23" applyNumberFormat="0" applyFont="0" applyAlignment="0" applyProtection="0"/>
    <xf numFmtId="0" fontId="1" fillId="28" borderId="23" applyNumberFormat="0" applyFont="0" applyAlignment="0" applyProtection="0"/>
    <xf numFmtId="0" fontId="1" fillId="28" borderId="23" applyNumberFormat="0" applyFont="0" applyAlignment="0" applyProtection="0"/>
    <xf numFmtId="0" fontId="12" fillId="28" borderId="23" applyNumberFormat="0" applyFont="0" applyAlignment="0" applyProtection="0"/>
    <xf numFmtId="0" fontId="1" fillId="28" borderId="23" applyNumberFormat="0" applyFont="0" applyAlignment="0" applyProtection="0"/>
    <xf numFmtId="0" fontId="12" fillId="28" borderId="20" applyNumberFormat="0" applyFont="0" applyAlignment="0" applyProtection="0"/>
    <xf numFmtId="0" fontId="12" fillId="28" borderId="20" applyNumberFormat="0" applyFont="0" applyAlignment="0" applyProtection="0"/>
    <xf numFmtId="0" fontId="12" fillId="28" borderId="20" applyNumberFormat="0" applyFont="0" applyAlignment="0" applyProtection="0"/>
    <xf numFmtId="0" fontId="1" fillId="28" borderId="20" applyNumberFormat="0" applyFont="0" applyAlignment="0" applyProtection="0"/>
    <xf numFmtId="0" fontId="12" fillId="28" borderId="20" applyNumberFormat="0" applyFont="0" applyAlignment="0" applyProtection="0"/>
    <xf numFmtId="0" fontId="12" fillId="28" borderId="20" applyNumberFormat="0" applyFont="0" applyAlignment="0" applyProtection="0"/>
    <xf numFmtId="0" fontId="12" fillId="28" borderId="20" applyNumberFormat="0" applyFont="0" applyAlignment="0" applyProtection="0"/>
    <xf numFmtId="0" fontId="12" fillId="28" borderId="20" applyNumberFormat="0" applyFont="0" applyAlignment="0" applyProtection="0"/>
    <xf numFmtId="0" fontId="1" fillId="28" borderId="20" applyNumberFormat="0" applyFont="0" applyAlignment="0" applyProtection="0"/>
    <xf numFmtId="0" fontId="1" fillId="28" borderId="20" applyNumberFormat="0" applyFont="0" applyAlignment="0" applyProtection="0"/>
    <xf numFmtId="0" fontId="1" fillId="28" borderId="20" applyNumberFormat="0" applyFont="0" applyAlignment="0" applyProtection="0"/>
    <xf numFmtId="0" fontId="12" fillId="28" borderId="20" applyNumberFormat="0" applyFont="0" applyAlignment="0" applyProtection="0"/>
    <xf numFmtId="0" fontId="1" fillId="28" borderId="20" applyNumberFormat="0" applyFont="0" applyAlignment="0" applyProtection="0"/>
    <xf numFmtId="37" fontId="16" fillId="0" borderId="19"/>
    <xf numFmtId="37" fontId="16" fillId="0" borderId="19"/>
    <xf numFmtId="37" fontId="16" fillId="0" borderId="19"/>
    <xf numFmtId="37" fontId="16" fillId="0" borderId="22"/>
    <xf numFmtId="37" fontId="16" fillId="0" borderId="22"/>
    <xf numFmtId="37" fontId="16" fillId="0" borderId="22"/>
    <xf numFmtId="0" fontId="6" fillId="0" borderId="0"/>
    <xf numFmtId="0" fontId="6" fillId="0" borderId="0"/>
    <xf numFmtId="0" fontId="12" fillId="28" borderId="23" applyNumberFormat="0" applyFont="0" applyAlignment="0" applyProtection="0"/>
    <xf numFmtId="0" fontId="1" fillId="28" borderId="23" applyNumberFormat="0" applyFont="0" applyAlignment="0" applyProtection="0"/>
    <xf numFmtId="0" fontId="1" fillId="28" borderId="23" applyNumberFormat="0" applyFont="0" applyAlignment="0" applyProtection="0"/>
    <xf numFmtId="0" fontId="1" fillId="28" borderId="23" applyNumberFormat="0" applyFont="0" applyAlignment="0" applyProtection="0"/>
    <xf numFmtId="0" fontId="6" fillId="0" borderId="0"/>
    <xf numFmtId="0" fontId="1" fillId="0" borderId="0"/>
    <xf numFmtId="37" fontId="16" fillId="0" borderId="27"/>
    <xf numFmtId="37" fontId="16" fillId="0" borderId="27"/>
    <xf numFmtId="37" fontId="16" fillId="0" borderId="27"/>
    <xf numFmtId="0" fontId="19" fillId="23" borderId="28" applyNumberFormat="0" applyAlignment="0" applyProtection="0"/>
    <xf numFmtId="0" fontId="19" fillId="23" borderId="28" applyNumberFormat="0" applyAlignment="0" applyProtection="0"/>
    <xf numFmtId="0" fontId="19" fillId="23" borderId="28" applyNumberFormat="0" applyAlignment="0" applyProtection="0"/>
    <xf numFmtId="0" fontId="20" fillId="23" borderId="28" applyNumberFormat="0" applyAlignment="0" applyProtection="0"/>
    <xf numFmtId="0" fontId="20" fillId="23" borderId="28" applyNumberFormat="0" applyAlignment="0" applyProtection="0"/>
    <xf numFmtId="0" fontId="31" fillId="0" borderId="26">
      <alignment horizontal="left" vertical="center"/>
    </xf>
    <xf numFmtId="0" fontId="31" fillId="0" borderId="26">
      <alignment horizontal="left" vertical="center"/>
    </xf>
    <xf numFmtId="0" fontId="31" fillId="0" borderId="26">
      <alignment horizontal="left" vertical="center"/>
    </xf>
    <xf numFmtId="0" fontId="31" fillId="0" borderId="26">
      <alignment horizontal="left" vertical="center"/>
    </xf>
    <xf numFmtId="0" fontId="31" fillId="0" borderId="26">
      <alignment horizontal="left" vertical="center"/>
    </xf>
    <xf numFmtId="0" fontId="31" fillId="0" borderId="26">
      <alignment horizontal="left" vertical="center"/>
    </xf>
    <xf numFmtId="0" fontId="31" fillId="0" borderId="26">
      <alignment horizontal="left" vertical="center"/>
    </xf>
    <xf numFmtId="0" fontId="31" fillId="0" borderId="26">
      <alignment horizontal="left" vertical="center"/>
    </xf>
    <xf numFmtId="0" fontId="31" fillId="0" borderId="26">
      <alignment horizontal="left" vertical="center"/>
    </xf>
    <xf numFmtId="0" fontId="31" fillId="0" borderId="26">
      <alignment horizontal="left" vertical="center"/>
    </xf>
    <xf numFmtId="0" fontId="31" fillId="0" borderId="26">
      <alignment horizontal="left" vertical="center"/>
    </xf>
    <xf numFmtId="0" fontId="31" fillId="0" borderId="26">
      <alignment horizontal="left" vertical="center"/>
    </xf>
    <xf numFmtId="10" fontId="30" fillId="26" borderId="25" applyNumberFormat="0" applyBorder="0" applyAlignment="0" applyProtection="0"/>
    <xf numFmtId="10" fontId="30" fillId="26" borderId="25" applyNumberFormat="0" applyBorder="0" applyAlignment="0" applyProtection="0"/>
    <xf numFmtId="10" fontId="30" fillId="26" borderId="25" applyNumberFormat="0" applyBorder="0" applyAlignment="0" applyProtection="0"/>
    <xf numFmtId="10" fontId="30" fillId="26" borderId="25" applyNumberFormat="0" applyBorder="0" applyAlignment="0" applyProtection="0"/>
    <xf numFmtId="10" fontId="30" fillId="26" borderId="25" applyNumberFormat="0" applyBorder="0" applyAlignment="0" applyProtection="0"/>
    <xf numFmtId="10" fontId="30" fillId="26" borderId="25" applyNumberFormat="0" applyBorder="0" applyAlignment="0" applyProtection="0"/>
    <xf numFmtId="0" fontId="40" fillId="10" borderId="28" applyNumberFormat="0" applyAlignment="0" applyProtection="0"/>
    <xf numFmtId="0" fontId="40" fillId="10" borderId="28" applyNumberFormat="0" applyAlignment="0" applyProtection="0"/>
    <xf numFmtId="0" fontId="40" fillId="10" borderId="28" applyNumberFormat="0" applyAlignment="0" applyProtection="0"/>
    <xf numFmtId="0" fontId="40" fillId="10" borderId="28" applyNumberFormat="0" applyAlignment="0" applyProtection="0"/>
    <xf numFmtId="0" fontId="41" fillId="10" borderId="28" applyNumberFormat="0" applyAlignment="0" applyProtection="0"/>
    <xf numFmtId="0" fontId="41" fillId="10" borderId="28" applyNumberFormat="0" applyAlignment="0" applyProtection="0"/>
    <xf numFmtId="0" fontId="41" fillId="10" borderId="28" applyNumberFormat="0" applyAlignment="0" applyProtection="0"/>
    <xf numFmtId="0" fontId="40" fillId="10" borderId="28" applyNumberFormat="0" applyAlignment="0" applyProtection="0"/>
    <xf numFmtId="0" fontId="40" fillId="10" borderId="28" applyNumberFormat="0" applyAlignment="0" applyProtection="0"/>
    <xf numFmtId="0" fontId="40" fillId="27" borderId="28" applyNumberFormat="0" applyAlignment="0" applyProtection="0"/>
    <xf numFmtId="0" fontId="40" fillId="10" borderId="28" applyNumberFormat="0" applyAlignment="0" applyProtection="0"/>
    <xf numFmtId="0" fontId="40" fillId="10" borderId="28" applyNumberFormat="0" applyAlignment="0" applyProtection="0"/>
    <xf numFmtId="0" fontId="40" fillId="27" borderId="28" applyNumberFormat="0" applyAlignment="0" applyProtection="0"/>
    <xf numFmtId="0" fontId="40" fillId="10" borderId="28" applyNumberFormat="0" applyAlignment="0" applyProtection="0"/>
    <xf numFmtId="0" fontId="40" fillId="27" borderId="28" applyNumberFormat="0" applyAlignment="0" applyProtection="0"/>
    <xf numFmtId="0" fontId="40" fillId="27" borderId="28" applyNumberFormat="0" applyAlignment="0" applyProtection="0"/>
    <xf numFmtId="0" fontId="40" fillId="10" borderId="28" applyNumberFormat="0" applyAlignment="0" applyProtection="0"/>
    <xf numFmtId="0" fontId="40" fillId="10" borderId="28" applyNumberFormat="0" applyAlignment="0" applyProtection="0"/>
    <xf numFmtId="0" fontId="40" fillId="10" borderId="28" applyNumberFormat="0" applyAlignment="0" applyProtection="0"/>
    <xf numFmtId="0" fontId="40" fillId="10" borderId="28" applyNumberFormat="0" applyAlignment="0" applyProtection="0"/>
    <xf numFmtId="0" fontId="42" fillId="0" borderId="25">
      <alignment vertical="center"/>
    </xf>
    <xf numFmtId="0" fontId="42" fillId="0" borderId="25">
      <alignment vertical="center"/>
    </xf>
    <xf numFmtId="0" fontId="42" fillId="0" borderId="25">
      <alignment vertical="center"/>
    </xf>
    <xf numFmtId="0" fontId="42" fillId="0" borderId="25">
      <alignment vertical="center"/>
    </xf>
    <xf numFmtId="0" fontId="42" fillId="0" borderId="25">
      <alignment vertical="center"/>
    </xf>
    <xf numFmtId="0" fontId="42" fillId="0" borderId="25">
      <alignment vertical="center"/>
    </xf>
    <xf numFmtId="0" fontId="42" fillId="0" borderId="25">
      <alignment vertical="center"/>
    </xf>
    <xf numFmtId="0" fontId="42" fillId="0" borderId="25">
      <alignment vertical="center"/>
    </xf>
    <xf numFmtId="0" fontId="42" fillId="0" borderId="25">
      <alignment vertical="center"/>
    </xf>
    <xf numFmtId="0" fontId="42" fillId="0" borderId="25">
      <alignment vertical="center"/>
    </xf>
    <xf numFmtId="0" fontId="42" fillId="0" borderId="25">
      <alignment vertical="center"/>
    </xf>
    <xf numFmtId="0" fontId="42" fillId="0" borderId="25">
      <alignment vertical="center"/>
    </xf>
    <xf numFmtId="0" fontId="42" fillId="0" borderId="25">
      <alignment vertical="center"/>
    </xf>
    <xf numFmtId="0" fontId="42" fillId="0" borderId="25">
      <alignment vertical="center"/>
    </xf>
    <xf numFmtId="0" fontId="42" fillId="0" borderId="25">
      <alignment vertical="center"/>
    </xf>
    <xf numFmtId="0" fontId="42" fillId="0" borderId="25">
      <alignment vertical="center"/>
    </xf>
    <xf numFmtId="0" fontId="1" fillId="28" borderId="29" applyNumberFormat="0" applyFont="0" applyAlignment="0" applyProtection="0"/>
    <xf numFmtId="0" fontId="12" fillId="28" borderId="29" applyNumberFormat="0" applyFont="0" applyAlignment="0" applyProtection="0"/>
    <xf numFmtId="0" fontId="1" fillId="28" borderId="29" applyNumberFormat="0" applyFont="0" applyAlignment="0" applyProtection="0"/>
    <xf numFmtId="0" fontId="1" fillId="28" borderId="29" applyNumberFormat="0" applyFont="0" applyAlignment="0" applyProtection="0"/>
    <xf numFmtId="0" fontId="1" fillId="28" borderId="29" applyNumberFormat="0" applyFont="0" applyAlignment="0" applyProtection="0"/>
    <xf numFmtId="0" fontId="12" fillId="28" borderId="29" applyNumberFormat="0" applyFont="0" applyAlignment="0" applyProtection="0"/>
    <xf numFmtId="0" fontId="12" fillId="28" borderId="29" applyNumberFormat="0" applyFont="0" applyAlignment="0" applyProtection="0"/>
    <xf numFmtId="0" fontId="12" fillId="28" borderId="29" applyNumberFormat="0" applyFont="0" applyAlignment="0" applyProtection="0"/>
    <xf numFmtId="0" fontId="1" fillId="28" borderId="29" applyNumberFormat="0" applyFont="0" applyAlignment="0" applyProtection="0"/>
    <xf numFmtId="0" fontId="12" fillId="28" borderId="29" applyNumberFormat="0" applyFont="0" applyAlignment="0" applyProtection="0"/>
    <xf numFmtId="0" fontId="12" fillId="28" borderId="29" applyNumberFormat="0" applyFont="0" applyAlignment="0" applyProtection="0"/>
    <xf numFmtId="0" fontId="12" fillId="28" borderId="29" applyNumberFormat="0" applyFont="0" applyAlignment="0" applyProtection="0"/>
    <xf numFmtId="0" fontId="12" fillId="28" borderId="29" applyNumberFormat="0" applyFont="0" applyAlignment="0" applyProtection="0"/>
    <xf numFmtId="0" fontId="51" fillId="23" borderId="30" applyNumberFormat="0" applyAlignment="0" applyProtection="0"/>
    <xf numFmtId="0" fontId="51" fillId="23" borderId="30" applyNumberFormat="0" applyAlignment="0" applyProtection="0"/>
    <xf numFmtId="0" fontId="52" fillId="29" borderId="30" applyNumberFormat="0" applyAlignment="0" applyProtection="0"/>
    <xf numFmtId="0" fontId="52" fillId="23" borderId="30" applyNumberFormat="0" applyAlignment="0" applyProtection="0"/>
    <xf numFmtId="0" fontId="56" fillId="0" borderId="31" applyNumberFormat="0" applyFill="0" applyAlignment="0" applyProtection="0"/>
    <xf numFmtId="0" fontId="56" fillId="0" borderId="31" applyNumberFormat="0" applyFill="0" applyAlignment="0" applyProtection="0"/>
    <xf numFmtId="0" fontId="57" fillId="0" borderId="31" applyNumberFormat="0" applyFill="0" applyAlignment="0" applyProtection="0"/>
    <xf numFmtId="0" fontId="58" fillId="0" borderId="32"/>
    <xf numFmtId="0" fontId="58" fillId="0" borderId="32"/>
    <xf numFmtId="0" fontId="58" fillId="0" borderId="32"/>
    <xf numFmtId="0" fontId="20" fillId="23" borderId="28" applyNumberFormat="0" applyAlignment="0" applyProtection="0"/>
    <xf numFmtId="0" fontId="40" fillId="10" borderId="28" applyNumberFormat="0" applyAlignment="0" applyProtection="0"/>
    <xf numFmtId="0" fontId="57" fillId="0" borderId="31" applyNumberFormat="0" applyFill="0" applyAlignment="0" applyProtection="0"/>
    <xf numFmtId="0" fontId="52" fillId="23" borderId="30" applyNumberFormat="0" applyAlignment="0" applyProtection="0"/>
    <xf numFmtId="0" fontId="12" fillId="28" borderId="29" applyNumberFormat="0" applyFont="0" applyAlignment="0" applyProtection="0"/>
    <xf numFmtId="0" fontId="1" fillId="28" borderId="29" applyNumberFormat="0" applyFont="0" applyAlignment="0" applyProtection="0"/>
    <xf numFmtId="0" fontId="1" fillId="28" borderId="29" applyNumberFormat="0" applyFont="0" applyAlignment="0" applyProtection="0"/>
    <xf numFmtId="0" fontId="1" fillId="28" borderId="29" applyNumberFormat="0" applyFont="0" applyAlignment="0" applyProtection="0"/>
    <xf numFmtId="0" fontId="1" fillId="28" borderId="29" applyNumberFormat="0" applyFont="0" applyAlignment="0" applyProtection="0"/>
    <xf numFmtId="0" fontId="1" fillId="28" borderId="29" applyNumberFormat="0" applyFont="0" applyAlignment="0" applyProtection="0"/>
    <xf numFmtId="0" fontId="1" fillId="28" borderId="29" applyNumberFormat="0" applyFont="0" applyAlignment="0" applyProtection="0"/>
    <xf numFmtId="0" fontId="12" fillId="28" borderId="29" applyNumberFormat="0" applyFont="0" applyAlignment="0" applyProtection="0"/>
    <xf numFmtId="0" fontId="58" fillId="0" borderId="32"/>
    <xf numFmtId="0" fontId="58" fillId="0" borderId="32"/>
    <xf numFmtId="0" fontId="58" fillId="0" borderId="32"/>
    <xf numFmtId="0" fontId="58" fillId="0" borderId="32"/>
    <xf numFmtId="0" fontId="58" fillId="0" borderId="32"/>
    <xf numFmtId="0" fontId="58" fillId="0" borderId="32"/>
    <xf numFmtId="0" fontId="12" fillId="28" borderId="29" applyNumberFormat="0" applyFont="0" applyAlignment="0" applyProtection="0"/>
    <xf numFmtId="0" fontId="12" fillId="28" borderId="29" applyNumberFormat="0" applyFont="0" applyAlignment="0" applyProtection="0"/>
    <xf numFmtId="0" fontId="12" fillId="28" borderId="29" applyNumberFormat="0" applyFont="0" applyAlignment="0" applyProtection="0"/>
    <xf numFmtId="0" fontId="12" fillId="28" borderId="29" applyNumberFormat="0" applyFont="0" applyAlignment="0" applyProtection="0"/>
    <xf numFmtId="0" fontId="1" fillId="28" borderId="29" applyNumberFormat="0" applyFont="0" applyAlignment="0" applyProtection="0"/>
    <xf numFmtId="0" fontId="12" fillId="28" borderId="29" applyNumberFormat="0" applyFont="0" applyAlignment="0" applyProtection="0"/>
    <xf numFmtId="0" fontId="12" fillId="28" borderId="29" applyNumberFormat="0" applyFont="0" applyAlignment="0" applyProtection="0"/>
    <xf numFmtId="0" fontId="12" fillId="28" borderId="29" applyNumberFormat="0" applyFont="0" applyAlignment="0" applyProtection="0"/>
    <xf numFmtId="0" fontId="1" fillId="28" borderId="29" applyNumberFormat="0" applyFont="0" applyAlignment="0" applyProtection="0"/>
    <xf numFmtId="0" fontId="1" fillId="28" borderId="29" applyNumberFormat="0" applyFont="0" applyAlignment="0" applyProtection="0"/>
    <xf numFmtId="0" fontId="1" fillId="28" borderId="29" applyNumberFormat="0" applyFont="0" applyAlignment="0" applyProtection="0"/>
    <xf numFmtId="0" fontId="12" fillId="28" borderId="29" applyNumberFormat="0" applyFont="0" applyAlignment="0" applyProtection="0"/>
    <xf numFmtId="0" fontId="1" fillId="28" borderId="29" applyNumberFormat="0" applyFont="0" applyAlignment="0" applyProtection="0"/>
    <xf numFmtId="0" fontId="12" fillId="28" borderId="29" applyNumberFormat="0" applyFont="0" applyAlignment="0" applyProtection="0"/>
    <xf numFmtId="0" fontId="12" fillId="28" borderId="29" applyNumberFormat="0" applyFont="0" applyAlignment="0" applyProtection="0"/>
    <xf numFmtId="0" fontId="12" fillId="28" borderId="29" applyNumberFormat="0" applyFont="0" applyAlignment="0" applyProtection="0"/>
    <xf numFmtId="0" fontId="1" fillId="28" borderId="29" applyNumberFormat="0" applyFont="0" applyAlignment="0" applyProtection="0"/>
    <xf numFmtId="0" fontId="12" fillId="28" borderId="29" applyNumberFormat="0" applyFont="0" applyAlignment="0" applyProtection="0"/>
    <xf numFmtId="0" fontId="12" fillId="28" borderId="29" applyNumberFormat="0" applyFont="0" applyAlignment="0" applyProtection="0"/>
    <xf numFmtId="0" fontId="12" fillId="28" borderId="29" applyNumberFormat="0" applyFont="0" applyAlignment="0" applyProtection="0"/>
    <xf numFmtId="0" fontId="12" fillId="28" borderId="29" applyNumberFormat="0" applyFont="0" applyAlignment="0" applyProtection="0"/>
    <xf numFmtId="0" fontId="1" fillId="28" borderId="29" applyNumberFormat="0" applyFont="0" applyAlignment="0" applyProtection="0"/>
    <xf numFmtId="0" fontId="1" fillId="28" borderId="29" applyNumberFormat="0" applyFont="0" applyAlignment="0" applyProtection="0"/>
    <xf numFmtId="0" fontId="1" fillId="28" borderId="29" applyNumberFormat="0" applyFont="0" applyAlignment="0" applyProtection="0"/>
    <xf numFmtId="0" fontId="12" fillId="28" borderId="29" applyNumberFormat="0" applyFont="0" applyAlignment="0" applyProtection="0"/>
    <xf numFmtId="0" fontId="1" fillId="28" borderId="29" applyNumberFormat="0" applyFont="0" applyAlignment="0" applyProtection="0"/>
    <xf numFmtId="37" fontId="16" fillId="0" borderId="27"/>
    <xf numFmtId="37" fontId="16" fillId="0" borderId="27"/>
    <xf numFmtId="37" fontId="16" fillId="0" borderId="27"/>
    <xf numFmtId="37" fontId="16" fillId="0" borderId="27"/>
    <xf numFmtId="37" fontId="16" fillId="0" borderId="27"/>
    <xf numFmtId="37" fontId="16" fillId="0" borderId="27"/>
    <xf numFmtId="0" fontId="12" fillId="28" borderId="29" applyNumberFormat="0" applyFont="0" applyAlignment="0" applyProtection="0"/>
    <xf numFmtId="0" fontId="1" fillId="28" borderId="29" applyNumberFormat="0" applyFont="0" applyAlignment="0" applyProtection="0"/>
    <xf numFmtId="0" fontId="1" fillId="28" borderId="29" applyNumberFormat="0" applyFont="0" applyAlignment="0" applyProtection="0"/>
    <xf numFmtId="0" fontId="1" fillId="28" borderId="29" applyNumberFormat="0" applyFont="0" applyAlignment="0" applyProtection="0"/>
  </cellStyleXfs>
  <cellXfs count="332">
    <xf numFmtId="0" fontId="0" fillId="0" borderId="0" xfId="0"/>
    <xf numFmtId="0" fontId="67" fillId="4" borderId="2" xfId="362" applyFont="1" applyFill="1" applyBorder="1" applyAlignment="1">
      <alignment horizontal="center" vertical="top"/>
    </xf>
    <xf numFmtId="0" fontId="67" fillId="4" borderId="2" xfId="1" applyFont="1" applyFill="1" applyBorder="1" applyAlignment="1">
      <alignment horizontal="center" vertical="top"/>
    </xf>
    <xf numFmtId="0" fontId="68" fillId="4" borderId="2" xfId="8" applyFont="1" applyFill="1" applyBorder="1" applyAlignment="1">
      <alignment horizontal="center" vertical="top"/>
    </xf>
    <xf numFmtId="0" fontId="68" fillId="4" borderId="2" xfId="8" applyNumberFormat="1" applyFont="1" applyFill="1" applyBorder="1" applyAlignment="1">
      <alignment horizontal="center" vertical="top"/>
    </xf>
    <xf numFmtId="0" fontId="67" fillId="4" borderId="2" xfId="8" applyNumberFormat="1" applyFont="1" applyFill="1" applyBorder="1" applyAlignment="1">
      <alignment horizontal="center" vertical="top"/>
    </xf>
    <xf numFmtId="0" fontId="67" fillId="4" borderId="2" xfId="8" applyFont="1" applyFill="1" applyBorder="1" applyAlignment="1">
      <alignment horizontal="center" vertical="top"/>
    </xf>
    <xf numFmtId="1" fontId="69" fillId="4" borderId="2" xfId="8" applyNumberFormat="1" applyFont="1" applyFill="1" applyBorder="1" applyAlignment="1">
      <alignment horizontal="center" vertical="top"/>
    </xf>
    <xf numFmtId="0" fontId="70" fillId="0" borderId="0" xfId="362" applyNumberFormat="1" applyFont="1" applyAlignment="1">
      <alignment horizontal="center" vertical="top" wrapText="1"/>
    </xf>
    <xf numFmtId="0" fontId="67" fillId="0" borderId="0" xfId="362" applyFont="1" applyAlignment="1">
      <alignment horizontal="center" vertical="top"/>
    </xf>
    <xf numFmtId="0" fontId="67" fillId="0" borderId="0" xfId="362" applyFont="1" applyAlignment="1">
      <alignment vertical="top"/>
    </xf>
    <xf numFmtId="0" fontId="67" fillId="0" borderId="2" xfId="362" applyFont="1" applyBorder="1"/>
    <xf numFmtId="0" fontId="68" fillId="0" borderId="2" xfId="362" applyFont="1" applyFill="1" applyBorder="1" applyAlignment="1">
      <alignment horizontal="left"/>
    </xf>
    <xf numFmtId="0" fontId="67" fillId="0" borderId="2" xfId="1" applyFont="1" applyFill="1" applyBorder="1"/>
    <xf numFmtId="0" fontId="67" fillId="0" borderId="2" xfId="1" applyFont="1" applyFill="1" applyBorder="1" applyAlignment="1">
      <alignment horizontal="center"/>
    </xf>
    <xf numFmtId="0" fontId="66" fillId="30" borderId="2" xfId="8" applyFont="1" applyFill="1" applyBorder="1" applyAlignment="1">
      <alignment horizontal="center"/>
    </xf>
    <xf numFmtId="183" fontId="66" fillId="30" borderId="2" xfId="8" applyNumberFormat="1" applyFont="1" applyFill="1" applyBorder="1" applyAlignment="1">
      <alignment horizontal="center"/>
    </xf>
    <xf numFmtId="183" fontId="67" fillId="0" borderId="0" xfId="362" applyNumberFormat="1" applyFont="1" applyAlignment="1">
      <alignment horizontal="center"/>
    </xf>
    <xf numFmtId="0" fontId="67" fillId="0" borderId="0" xfId="362" applyFont="1"/>
    <xf numFmtId="0" fontId="67" fillId="0" borderId="2" xfId="2" applyFont="1" applyFill="1" applyBorder="1" applyAlignment="1"/>
    <xf numFmtId="0" fontId="67" fillId="0" borderId="2" xfId="1" applyFont="1" applyFill="1" applyBorder="1" applyAlignment="1">
      <alignment horizontal="left"/>
    </xf>
    <xf numFmtId="0" fontId="67" fillId="0" borderId="2" xfId="362" applyFont="1" applyFill="1" applyBorder="1"/>
    <xf numFmtId="0" fontId="67" fillId="0" borderId="2" xfId="362" applyFont="1" applyFill="1" applyBorder="1" applyAlignment="1">
      <alignment horizontal="left"/>
    </xf>
    <xf numFmtId="0" fontId="67" fillId="0" borderId="2" xfId="3" applyFont="1" applyFill="1" applyBorder="1"/>
    <xf numFmtId="0" fontId="67" fillId="3" borderId="2" xfId="362" applyFont="1" applyFill="1" applyBorder="1"/>
    <xf numFmtId="0" fontId="67" fillId="30" borderId="2" xfId="1" applyFont="1" applyFill="1" applyBorder="1"/>
    <xf numFmtId="0" fontId="67" fillId="0" borderId="2" xfId="362" applyFont="1" applyFill="1" applyBorder="1" applyAlignment="1">
      <alignment horizontal="left" vertical="center"/>
    </xf>
    <xf numFmtId="0" fontId="66" fillId="0" borderId="2" xfId="362" applyFont="1" applyFill="1" applyBorder="1"/>
    <xf numFmtId="0" fontId="67" fillId="0" borderId="2" xfId="1" applyFont="1" applyFill="1" applyBorder="1" applyAlignment="1">
      <alignment vertical="center"/>
    </xf>
    <xf numFmtId="0" fontId="67" fillId="3" borderId="2" xfId="362" applyFont="1" applyFill="1" applyBorder="1" applyAlignment="1">
      <alignment horizontal="left"/>
    </xf>
    <xf numFmtId="0" fontId="67" fillId="0" borderId="2" xfId="5" applyFont="1" applyFill="1" applyBorder="1" applyAlignment="1">
      <alignment wrapText="1"/>
    </xf>
    <xf numFmtId="0" fontId="67" fillId="0" borderId="2" xfId="362" applyFont="1" applyFill="1" applyBorder="1" applyAlignment="1">
      <alignment vertical="center"/>
    </xf>
    <xf numFmtId="0" fontId="68" fillId="0" borderId="2" xfId="362" applyFont="1" applyFill="1" applyBorder="1"/>
    <xf numFmtId="0" fontId="67" fillId="0" borderId="2" xfId="362" applyFont="1" applyFill="1" applyBorder="1" applyAlignment="1">
      <alignment vertical="center" wrapText="1"/>
    </xf>
    <xf numFmtId="0" fontId="66" fillId="0" borderId="0" xfId="7" applyFont="1"/>
    <xf numFmtId="0" fontId="67" fillId="0" borderId="0" xfId="362" applyFont="1" applyAlignment="1">
      <alignment horizontal="center"/>
    </xf>
    <xf numFmtId="1" fontId="67" fillId="0" borderId="0" xfId="362" applyNumberFormat="1" applyFont="1"/>
    <xf numFmtId="0" fontId="67" fillId="0" borderId="0" xfId="362" applyNumberFormat="1" applyFont="1" applyAlignment="1">
      <alignment horizontal="center"/>
    </xf>
    <xf numFmtId="184" fontId="66" fillId="30" borderId="2" xfId="8" applyNumberFormat="1" applyFont="1" applyFill="1" applyBorder="1" applyAlignment="1">
      <alignment horizontal="center"/>
    </xf>
    <xf numFmtId="0" fontId="69" fillId="2" borderId="5" xfId="7" applyFont="1" applyFill="1" applyBorder="1" applyAlignment="1">
      <alignment horizontal="center"/>
    </xf>
    <xf numFmtId="0" fontId="69" fillId="31" borderId="5" xfId="7" applyFont="1" applyFill="1" applyBorder="1" applyAlignment="1">
      <alignment horizontal="center"/>
    </xf>
    <xf numFmtId="0" fontId="67" fillId="0" borderId="2" xfId="362" applyFont="1" applyBorder="1" applyAlignment="1">
      <alignment horizontal="center"/>
    </xf>
    <xf numFmtId="0" fontId="66" fillId="30" borderId="2" xfId="1" applyFont="1" applyFill="1" applyBorder="1"/>
    <xf numFmtId="0" fontId="66" fillId="30" borderId="2" xfId="1" applyFont="1" applyFill="1" applyBorder="1" applyAlignment="1">
      <alignment horizontal="center"/>
    </xf>
    <xf numFmtId="0" fontId="66" fillId="30" borderId="2" xfId="1" applyFont="1" applyFill="1" applyBorder="1" applyAlignment="1">
      <alignment horizontal="left"/>
    </xf>
    <xf numFmtId="183" fontId="67" fillId="0" borderId="0" xfId="362" applyNumberFormat="1" applyFont="1"/>
    <xf numFmtId="183" fontId="69" fillId="31" borderId="2" xfId="7" applyNumberFormat="1" applyFont="1" applyFill="1" applyBorder="1" applyAlignment="1">
      <alignment horizontal="center"/>
    </xf>
    <xf numFmtId="0" fontId="66" fillId="4" borderId="33" xfId="377" applyFont="1" applyFill="1" applyBorder="1" applyAlignment="1" applyProtection="1">
      <alignment horizontal="center" vertical="center"/>
      <protection locked="0"/>
    </xf>
    <xf numFmtId="0" fontId="71" fillId="32" borderId="0" xfId="1" applyFont="1" applyFill="1" applyBorder="1"/>
    <xf numFmtId="0" fontId="73" fillId="32" borderId="0" xfId="1" applyFont="1" applyFill="1" applyBorder="1" applyAlignment="1">
      <alignment horizontal="left"/>
    </xf>
    <xf numFmtId="0" fontId="73" fillId="32" borderId="0" xfId="1" applyFont="1" applyFill="1" applyBorder="1"/>
    <xf numFmtId="0" fontId="73" fillId="0" borderId="0" xfId="1" applyFont="1" applyFill="1" applyBorder="1"/>
    <xf numFmtId="0" fontId="73" fillId="0" borderId="0" xfId="1" applyFont="1" applyFill="1" applyBorder="1" applyAlignment="1">
      <alignment horizontal="center"/>
    </xf>
    <xf numFmtId="0" fontId="74" fillId="0" borderId="0" xfId="1" applyFont="1" applyFill="1" applyBorder="1"/>
    <xf numFmtId="0" fontId="73" fillId="0" borderId="0" xfId="1" applyFont="1" applyFill="1" applyBorder="1" applyAlignment="1">
      <alignment horizontal="left"/>
    </xf>
    <xf numFmtId="0" fontId="73" fillId="3" borderId="0" xfId="1" applyFont="1" applyFill="1" applyBorder="1"/>
    <xf numFmtId="0" fontId="75" fillId="33" borderId="5" xfId="1" applyFont="1" applyFill="1" applyBorder="1" applyAlignment="1">
      <alignment horizontal="center"/>
    </xf>
    <xf numFmtId="0" fontId="75" fillId="33" borderId="34" xfId="1" applyFont="1" applyFill="1" applyBorder="1" applyAlignment="1">
      <alignment horizontal="center"/>
    </xf>
    <xf numFmtId="0" fontId="76" fillId="34" borderId="5" xfId="1" applyFont="1" applyFill="1" applyBorder="1" applyAlignment="1">
      <alignment horizontal="center"/>
    </xf>
    <xf numFmtId="0" fontId="74" fillId="4" borderId="35" xfId="1" applyFont="1" applyFill="1" applyBorder="1" applyAlignment="1">
      <alignment horizontal="center" vertical="center" wrapText="1"/>
    </xf>
    <xf numFmtId="0" fontId="74" fillId="35" borderId="2" xfId="8" applyFont="1" applyFill="1" applyBorder="1" applyAlignment="1">
      <alignment horizontal="center"/>
    </xf>
    <xf numFmtId="0" fontId="78" fillId="32" borderId="2" xfId="8" applyFont="1" applyFill="1" applyBorder="1" applyAlignment="1">
      <alignment horizontal="center"/>
    </xf>
    <xf numFmtId="0" fontId="75" fillId="33" borderId="37" xfId="1" applyFont="1" applyFill="1" applyBorder="1" applyAlignment="1">
      <alignment horizontal="center"/>
    </xf>
    <xf numFmtId="0" fontId="75" fillId="33" borderId="38" xfId="1" applyFont="1" applyFill="1" applyBorder="1" applyAlignment="1">
      <alignment horizontal="center"/>
    </xf>
    <xf numFmtId="0" fontId="76" fillId="34" borderId="39" xfId="1" applyFont="1" applyFill="1" applyBorder="1" applyAlignment="1">
      <alignment horizontal="center"/>
    </xf>
    <xf numFmtId="0" fontId="79" fillId="4" borderId="2" xfId="8" applyFont="1" applyFill="1" applyBorder="1" applyAlignment="1">
      <alignment horizontal="center"/>
    </xf>
    <xf numFmtId="0" fontId="80" fillId="4" borderId="36" xfId="8" applyFont="1" applyFill="1" applyBorder="1" applyAlignment="1">
      <alignment horizontal="center"/>
    </xf>
    <xf numFmtId="0" fontId="80" fillId="4" borderId="40" xfId="8" applyNumberFormat="1" applyFont="1" applyFill="1" applyBorder="1" applyAlignment="1">
      <alignment horizontal="center"/>
    </xf>
    <xf numFmtId="0" fontId="71" fillId="4" borderId="40" xfId="8" applyNumberFormat="1" applyFont="1" applyFill="1" applyBorder="1" applyAlignment="1">
      <alignment horizontal="center"/>
    </xf>
    <xf numFmtId="0" fontId="71" fillId="4" borderId="35" xfId="8" applyFont="1" applyFill="1" applyBorder="1" applyAlignment="1">
      <alignment horizontal="center"/>
    </xf>
    <xf numFmtId="0" fontId="79" fillId="35" borderId="2" xfId="8" applyFont="1" applyFill="1" applyBorder="1" applyAlignment="1">
      <alignment horizontal="center"/>
    </xf>
    <xf numFmtId="0" fontId="75" fillId="35" borderId="36" xfId="8" applyFont="1" applyFill="1" applyBorder="1" applyAlignment="1">
      <alignment horizontal="center"/>
    </xf>
    <xf numFmtId="0" fontId="75" fillId="35" borderId="40" xfId="8" applyFont="1" applyFill="1" applyBorder="1" applyAlignment="1">
      <alignment horizontal="center"/>
    </xf>
    <xf numFmtId="0" fontId="75" fillId="35" borderId="1" xfId="8" applyFont="1" applyFill="1" applyBorder="1" applyAlignment="1">
      <alignment horizontal="center"/>
    </xf>
    <xf numFmtId="0" fontId="81" fillId="32" borderId="2" xfId="8" applyFont="1" applyFill="1" applyBorder="1" applyAlignment="1">
      <alignment horizontal="center"/>
    </xf>
    <xf numFmtId="0" fontId="74" fillId="2" borderId="2" xfId="7" applyFont="1" applyFill="1" applyBorder="1" applyAlignment="1">
      <alignment horizontal="center"/>
    </xf>
    <xf numFmtId="0" fontId="73" fillId="0" borderId="41" xfId="1" applyFont="1" applyFill="1" applyBorder="1" applyAlignment="1">
      <alignment horizontal="center" vertical="center"/>
    </xf>
    <xf numFmtId="0" fontId="73" fillId="0" borderId="42" xfId="3" applyFont="1" applyFill="1" applyBorder="1"/>
    <xf numFmtId="0" fontId="82" fillId="0" borderId="42" xfId="0" applyFont="1" applyFill="1" applyBorder="1" applyAlignment="1">
      <alignment horizontal="left"/>
    </xf>
    <xf numFmtId="0" fontId="73" fillId="0" borderId="43" xfId="1" applyFont="1" applyFill="1" applyBorder="1"/>
    <xf numFmtId="0" fontId="73" fillId="0" borderId="42" xfId="1" applyFont="1" applyFill="1" applyBorder="1"/>
    <xf numFmtId="0" fontId="83" fillId="0" borderId="44" xfId="1" applyNumberFormat="1" applyFont="1" applyFill="1" applyBorder="1" applyAlignment="1">
      <alignment horizontal="center"/>
    </xf>
    <xf numFmtId="0" fontId="84" fillId="0" borderId="25" xfId="8" applyFont="1" applyFill="1" applyBorder="1" applyAlignment="1">
      <alignment horizontal="center"/>
    </xf>
    <xf numFmtId="0" fontId="85" fillId="0" borderId="25" xfId="1535" applyFont="1" applyFill="1" applyBorder="1" applyAlignment="1">
      <alignment horizontal="center"/>
    </xf>
    <xf numFmtId="0" fontId="84" fillId="0" borderId="45" xfId="8" applyFont="1" applyFill="1" applyBorder="1" applyAlignment="1">
      <alignment horizontal="center"/>
    </xf>
    <xf numFmtId="0" fontId="86" fillId="0" borderId="46" xfId="8" applyFont="1" applyFill="1" applyBorder="1" applyAlignment="1">
      <alignment horizontal="center"/>
    </xf>
    <xf numFmtId="0" fontId="87" fillId="32" borderId="47" xfId="8" applyFont="1" applyFill="1" applyBorder="1" applyAlignment="1">
      <alignment horizontal="center"/>
    </xf>
    <xf numFmtId="0" fontId="88" fillId="0" borderId="42" xfId="8" applyFont="1" applyFill="1" applyBorder="1" applyAlignment="1">
      <alignment horizontal="center"/>
    </xf>
    <xf numFmtId="0" fontId="73" fillId="0" borderId="48" xfId="1" applyFont="1" applyFill="1" applyBorder="1" applyAlignment="1">
      <alignment horizontal="center" vertical="center"/>
    </xf>
    <xf numFmtId="0" fontId="73" fillId="3" borderId="38" xfId="0" applyFont="1" applyFill="1" applyBorder="1"/>
    <xf numFmtId="0" fontId="76" fillId="0" borderId="47" xfId="2" applyFont="1" applyFill="1" applyBorder="1" applyAlignment="1"/>
    <xf numFmtId="0" fontId="76" fillId="0" borderId="49" xfId="1" applyFont="1" applyFill="1" applyBorder="1" applyAlignment="1">
      <alignment horizontal="left"/>
    </xf>
    <xf numFmtId="0" fontId="73" fillId="0" borderId="47" xfId="0" applyFont="1" applyFill="1" applyBorder="1" applyAlignment="1">
      <alignment horizontal="left"/>
    </xf>
    <xf numFmtId="0" fontId="83" fillId="0" borderId="50" xfId="1" applyNumberFormat="1" applyFont="1" applyFill="1" applyBorder="1" applyAlignment="1">
      <alignment horizontal="center"/>
    </xf>
    <xf numFmtId="0" fontId="89" fillId="0" borderId="25" xfId="8" applyFont="1" applyFill="1" applyBorder="1" applyAlignment="1">
      <alignment horizontal="center"/>
    </xf>
    <xf numFmtId="0" fontId="84" fillId="0" borderId="50" xfId="8" applyFont="1" applyFill="1" applyBorder="1" applyAlignment="1">
      <alignment horizontal="center"/>
    </xf>
    <xf numFmtId="0" fontId="85" fillId="0" borderId="50" xfId="1535" applyFont="1" applyFill="1" applyBorder="1" applyAlignment="1">
      <alignment horizontal="center"/>
    </xf>
    <xf numFmtId="0" fontId="84" fillId="0" borderId="51" xfId="8" applyFont="1" applyFill="1" applyBorder="1" applyAlignment="1">
      <alignment horizontal="center"/>
    </xf>
    <xf numFmtId="0" fontId="87" fillId="32" borderId="25" xfId="8" applyFont="1" applyFill="1" applyBorder="1" applyAlignment="1">
      <alignment horizontal="center"/>
    </xf>
    <xf numFmtId="0" fontId="88" fillId="0" borderId="47" xfId="8" applyFont="1" applyFill="1" applyBorder="1" applyAlignment="1">
      <alignment horizontal="center"/>
    </xf>
    <xf numFmtId="0" fontId="73" fillId="3" borderId="0" xfId="1" applyFont="1" applyFill="1" applyBorder="1" applyAlignment="1">
      <alignment horizontal="center"/>
    </xf>
    <xf numFmtId="0" fontId="73" fillId="0" borderId="52" xfId="1" applyFont="1" applyFill="1" applyBorder="1" applyAlignment="1">
      <alignment horizontal="left"/>
    </xf>
    <xf numFmtId="0" fontId="76" fillId="0" borderId="49" xfId="1" applyFont="1" applyFill="1" applyBorder="1"/>
    <xf numFmtId="0" fontId="73" fillId="0" borderId="47" xfId="1" applyFont="1" applyFill="1" applyBorder="1"/>
    <xf numFmtId="0" fontId="73" fillId="0" borderId="53" xfId="1" applyFont="1" applyFill="1" applyBorder="1" applyAlignment="1">
      <alignment horizontal="center" vertical="center"/>
    </xf>
    <xf numFmtId="0" fontId="73" fillId="0" borderId="54" xfId="0" applyFont="1" applyFill="1" applyBorder="1"/>
    <xf numFmtId="0" fontId="76" fillId="0" borderId="55" xfId="2" applyFont="1" applyFill="1" applyBorder="1" applyAlignment="1"/>
    <xf numFmtId="0" fontId="76" fillId="0" borderId="56" xfId="1" applyFont="1" applyFill="1" applyBorder="1"/>
    <xf numFmtId="0" fontId="73" fillId="0" borderId="55" xfId="0" applyFont="1" applyFill="1" applyBorder="1" applyAlignment="1">
      <alignment horizontal="left"/>
    </xf>
    <xf numFmtId="0" fontId="83" fillId="0" borderId="57" xfId="1" applyNumberFormat="1" applyFont="1" applyFill="1" applyBorder="1" applyAlignment="1">
      <alignment horizontal="center"/>
    </xf>
    <xf numFmtId="0" fontId="84" fillId="0" borderId="58" xfId="8" applyFont="1" applyFill="1" applyBorder="1" applyAlignment="1">
      <alignment horizontal="center"/>
    </xf>
    <xf numFmtId="0" fontId="85" fillId="0" borderId="58" xfId="1535" applyFont="1" applyFill="1" applyBorder="1" applyAlignment="1">
      <alignment horizontal="center"/>
    </xf>
    <xf numFmtId="0" fontId="84" fillId="0" borderId="59" xfId="8" applyFont="1" applyFill="1" applyBorder="1" applyAlignment="1">
      <alignment horizontal="center"/>
    </xf>
    <xf numFmtId="0" fontId="86" fillId="0" borderId="55" xfId="8" applyFont="1" applyFill="1" applyBorder="1" applyAlignment="1">
      <alignment horizontal="center"/>
    </xf>
    <xf numFmtId="0" fontId="87" fillId="32" borderId="55" xfId="8" applyFont="1" applyFill="1" applyBorder="1" applyAlignment="1">
      <alignment horizontal="center"/>
    </xf>
    <xf numFmtId="0" fontId="88" fillId="0" borderId="55" xfId="8" applyFont="1" applyFill="1" applyBorder="1" applyAlignment="1">
      <alignment horizontal="center"/>
    </xf>
    <xf numFmtId="0" fontId="73" fillId="0" borderId="34" xfId="3" applyFont="1" applyFill="1" applyBorder="1"/>
    <xf numFmtId="0" fontId="73" fillId="0" borderId="49" xfId="1" applyFont="1" applyFill="1" applyBorder="1"/>
    <xf numFmtId="0" fontId="86" fillId="0" borderId="47" xfId="8" applyFont="1" applyFill="1" applyBorder="1" applyAlignment="1">
      <alignment horizontal="center"/>
    </xf>
    <xf numFmtId="0" fontId="73" fillId="0" borderId="38" xfId="1" applyFont="1" applyFill="1" applyBorder="1" applyAlignment="1">
      <alignment horizontal="left"/>
    </xf>
    <xf numFmtId="0" fontId="73" fillId="0" borderId="47" xfId="0" applyFont="1" applyFill="1" applyBorder="1"/>
    <xf numFmtId="0" fontId="83" fillId="0" borderId="60" xfId="1" applyNumberFormat="1" applyFont="1" applyFill="1" applyBorder="1" applyAlignment="1">
      <alignment horizontal="center"/>
    </xf>
    <xf numFmtId="0" fontId="84" fillId="0" borderId="61" xfId="8" applyFont="1" applyFill="1" applyBorder="1" applyAlignment="1">
      <alignment horizontal="center"/>
    </xf>
    <xf numFmtId="0" fontId="85" fillId="0" borderId="61" xfId="1535" applyFont="1" applyFill="1" applyBorder="1" applyAlignment="1">
      <alignment horizontal="center"/>
    </xf>
    <xf numFmtId="0" fontId="84" fillId="0" borderId="62" xfId="8" applyFont="1" applyFill="1" applyBorder="1" applyAlignment="1">
      <alignment horizontal="center"/>
    </xf>
    <xf numFmtId="0" fontId="86" fillId="0" borderId="63" xfId="8" applyFont="1" applyFill="1" applyBorder="1" applyAlignment="1">
      <alignment horizontal="center"/>
    </xf>
    <xf numFmtId="0" fontId="89" fillId="0" borderId="47" xfId="8" applyFont="1" applyFill="1" applyBorder="1" applyAlignment="1">
      <alignment horizontal="center"/>
    </xf>
    <xf numFmtId="0" fontId="90" fillId="0" borderId="0" xfId="5" applyFont="1" applyFill="1" applyAlignment="1">
      <alignment vertical="center" wrapText="1"/>
    </xf>
    <xf numFmtId="0" fontId="73" fillId="0" borderId="38" xfId="1" applyFont="1" applyFill="1" applyBorder="1"/>
    <xf numFmtId="0" fontId="73" fillId="0" borderId="46" xfId="1" applyFont="1" applyFill="1" applyBorder="1" applyAlignment="1">
      <alignment horizontal="left"/>
    </xf>
    <xf numFmtId="0" fontId="91" fillId="0" borderId="38" xfId="0" applyFont="1" applyFill="1" applyBorder="1"/>
    <xf numFmtId="0" fontId="73" fillId="0" borderId="47" xfId="2" applyFont="1" applyFill="1" applyBorder="1" applyAlignment="1"/>
    <xf numFmtId="0" fontId="66" fillId="32" borderId="47" xfId="8" applyFont="1" applyFill="1" applyBorder="1" applyAlignment="1">
      <alignment horizontal="center"/>
    </xf>
    <xf numFmtId="0" fontId="73" fillId="0" borderId="38" xfId="3" applyFont="1" applyFill="1" applyBorder="1"/>
    <xf numFmtId="0" fontId="73" fillId="0" borderId="54" xfId="1" applyFont="1" applyFill="1" applyBorder="1" applyAlignment="1">
      <alignment horizontal="left"/>
    </xf>
    <xf numFmtId="0" fontId="73" fillId="0" borderId="55" xfId="0" applyFont="1" applyFill="1" applyBorder="1"/>
    <xf numFmtId="0" fontId="73" fillId="0" borderId="56" xfId="1" applyFont="1" applyFill="1" applyBorder="1"/>
    <xf numFmtId="0" fontId="73" fillId="0" borderId="55" xfId="4" applyFont="1" applyFill="1" applyBorder="1" applyAlignment="1">
      <alignment horizontal="left"/>
    </xf>
    <xf numFmtId="0" fontId="66" fillId="32" borderId="55" xfId="8" applyFont="1" applyFill="1" applyBorder="1" applyAlignment="1">
      <alignment horizontal="center"/>
    </xf>
    <xf numFmtId="0" fontId="89" fillId="0" borderId="64" xfId="8" applyFont="1" applyFill="1" applyBorder="1" applyAlignment="1">
      <alignment horizontal="center"/>
    </xf>
    <xf numFmtId="0" fontId="73" fillId="0" borderId="65" xfId="3" applyFont="1" applyFill="1" applyBorder="1"/>
    <xf numFmtId="0" fontId="73" fillId="0" borderId="42" xfId="2" applyFont="1" applyFill="1" applyBorder="1" applyAlignment="1"/>
    <xf numFmtId="0" fontId="87" fillId="32" borderId="46" xfId="8" applyFont="1" applyFill="1" applyBorder="1" applyAlignment="1">
      <alignment horizontal="center"/>
    </xf>
    <xf numFmtId="0" fontId="88" fillId="0" borderId="46" xfId="8" applyFont="1" applyFill="1" applyBorder="1" applyAlignment="1">
      <alignment horizontal="center"/>
    </xf>
    <xf numFmtId="0" fontId="73" fillId="0" borderId="66" xfId="1" applyFont="1" applyFill="1" applyBorder="1"/>
    <xf numFmtId="0" fontId="84" fillId="36" borderId="25" xfId="8" applyFont="1" applyFill="1" applyBorder="1" applyAlignment="1">
      <alignment horizontal="center"/>
    </xf>
    <xf numFmtId="0" fontId="85" fillId="0" borderId="25" xfId="1535" applyFont="1" applyBorder="1" applyAlignment="1">
      <alignment horizontal="center"/>
    </xf>
    <xf numFmtId="0" fontId="84" fillId="36" borderId="45" xfId="8" applyFont="1" applyFill="1" applyBorder="1" applyAlignment="1">
      <alignment horizontal="center"/>
    </xf>
    <xf numFmtId="0" fontId="86" fillId="32" borderId="47" xfId="8" applyFont="1" applyFill="1" applyBorder="1" applyAlignment="1">
      <alignment horizontal="center"/>
    </xf>
    <xf numFmtId="0" fontId="73" fillId="0" borderId="47" xfId="3" applyFont="1" applyFill="1" applyBorder="1"/>
    <xf numFmtId="0" fontId="73" fillId="0" borderId="38" xfId="3" applyFont="1" applyFill="1" applyBorder="1" applyAlignment="1">
      <alignment horizontal="left"/>
    </xf>
    <xf numFmtId="0" fontId="73" fillId="3" borderId="47" xfId="0" applyFont="1" applyFill="1" applyBorder="1"/>
    <xf numFmtId="0" fontId="73" fillId="0" borderId="67" xfId="1" applyFont="1" applyFill="1" applyBorder="1"/>
    <xf numFmtId="0" fontId="73" fillId="0" borderId="67" xfId="0" applyFont="1" applyFill="1" applyBorder="1" applyAlignment="1">
      <alignment horizontal="left"/>
    </xf>
    <xf numFmtId="0" fontId="73" fillId="0" borderId="38" xfId="0" applyFont="1" applyFill="1" applyBorder="1" applyAlignment="1">
      <alignment vertical="top"/>
    </xf>
    <xf numFmtId="0" fontId="73" fillId="0" borderId="39" xfId="0" applyFont="1" applyFill="1" applyBorder="1" applyAlignment="1">
      <alignment vertical="top"/>
    </xf>
    <xf numFmtId="0" fontId="73" fillId="0" borderId="49" xfId="0" applyFont="1" applyFill="1" applyBorder="1" applyAlignment="1">
      <alignment horizontal="left"/>
    </xf>
    <xf numFmtId="0" fontId="73" fillId="0" borderId="51" xfId="3" applyFont="1" applyFill="1" applyBorder="1"/>
    <xf numFmtId="0" fontId="76" fillId="0" borderId="47" xfId="0" applyFont="1" applyFill="1" applyBorder="1"/>
    <xf numFmtId="0" fontId="92" fillId="0" borderId="25" xfId="1535" applyFont="1" applyFill="1" applyBorder="1" applyAlignment="1">
      <alignment horizontal="center"/>
    </xf>
    <xf numFmtId="0" fontId="87" fillId="32" borderId="68" xfId="8" applyFont="1" applyFill="1" applyBorder="1" applyAlignment="1">
      <alignment horizontal="center"/>
    </xf>
    <xf numFmtId="0" fontId="88" fillId="0" borderId="49" xfId="8" applyFont="1" applyFill="1" applyBorder="1" applyAlignment="1">
      <alignment horizontal="center"/>
    </xf>
    <xf numFmtId="0" fontId="89" fillId="0" borderId="49" xfId="8" applyFont="1" applyFill="1" applyBorder="1" applyAlignment="1">
      <alignment horizontal="center"/>
    </xf>
    <xf numFmtId="0" fontId="73" fillId="0" borderId="26" xfId="1" applyFont="1" applyFill="1" applyBorder="1"/>
    <xf numFmtId="0" fontId="83" fillId="0" borderId="69" xfId="1" applyNumberFormat="1" applyFont="1" applyFill="1" applyBorder="1" applyAlignment="1">
      <alignment horizontal="center"/>
    </xf>
    <xf numFmtId="0" fontId="73" fillId="0" borderId="47" xfId="0" applyFont="1" applyFill="1" applyBorder="1" applyAlignment="1">
      <alignment horizontal="left" vertical="center"/>
    </xf>
    <xf numFmtId="0" fontId="73" fillId="0" borderId="26" xfId="0" applyFont="1" applyFill="1" applyBorder="1" applyAlignment="1">
      <alignment horizontal="left" vertical="center"/>
    </xf>
    <xf numFmtId="0" fontId="73" fillId="3" borderId="47" xfId="1" applyFont="1" applyFill="1" applyBorder="1"/>
    <xf numFmtId="0" fontId="73" fillId="0" borderId="66" xfId="1" applyFont="1" applyFill="1" applyBorder="1" applyAlignment="1">
      <alignment horizontal="left"/>
    </xf>
    <xf numFmtId="0" fontId="76" fillId="0" borderId="39" xfId="0" applyFont="1" applyFill="1" applyBorder="1" applyAlignment="1">
      <alignment horizontal="left"/>
    </xf>
    <xf numFmtId="0" fontId="73" fillId="0" borderId="26" xfId="0" applyFont="1" applyFill="1" applyBorder="1" applyAlignment="1">
      <alignment horizontal="left"/>
    </xf>
    <xf numFmtId="0" fontId="73" fillId="0" borderId="39" xfId="5" applyFont="1" applyFill="1" applyBorder="1" applyAlignment="1">
      <alignment horizontal="left" vertical="center" wrapText="1"/>
    </xf>
    <xf numFmtId="0" fontId="83" fillId="0" borderId="67" xfId="1" applyNumberFormat="1" applyFont="1" applyFill="1" applyBorder="1" applyAlignment="1">
      <alignment horizontal="center"/>
    </xf>
    <xf numFmtId="0" fontId="73" fillId="0" borderId="70" xfId="1" applyFont="1" applyFill="1" applyBorder="1" applyAlignment="1">
      <alignment horizontal="left"/>
    </xf>
    <xf numFmtId="0" fontId="76" fillId="0" borderId="55" xfId="0" applyFont="1" applyFill="1" applyBorder="1" applyAlignment="1">
      <alignment horizontal="left"/>
    </xf>
    <xf numFmtId="0" fontId="73" fillId="0" borderId="71" xfId="1" applyFont="1" applyFill="1" applyBorder="1"/>
    <xf numFmtId="0" fontId="73" fillId="0" borderId="55" xfId="4" applyFont="1" applyFill="1" applyBorder="1"/>
    <xf numFmtId="0" fontId="83" fillId="0" borderId="72" xfId="1" applyNumberFormat="1" applyFont="1" applyFill="1" applyBorder="1" applyAlignment="1">
      <alignment horizontal="center"/>
    </xf>
    <xf numFmtId="0" fontId="89" fillId="0" borderId="58" xfId="8" applyFont="1" applyFill="1" applyBorder="1" applyAlignment="1">
      <alignment horizontal="center"/>
    </xf>
    <xf numFmtId="0" fontId="73" fillId="0" borderId="58" xfId="1" applyFont="1" applyFill="1" applyBorder="1" applyAlignment="1">
      <alignment horizontal="center"/>
    </xf>
    <xf numFmtId="0" fontId="89" fillId="0" borderId="59" xfId="8" applyFont="1" applyFill="1" applyBorder="1" applyAlignment="1">
      <alignment horizontal="center"/>
    </xf>
    <xf numFmtId="0" fontId="8" fillId="0" borderId="55" xfId="8" applyFont="1" applyFill="1" applyBorder="1" applyAlignment="1">
      <alignment horizontal="center"/>
    </xf>
    <xf numFmtId="0" fontId="88" fillId="0" borderId="56" xfId="8" applyFont="1" applyFill="1" applyBorder="1" applyAlignment="1">
      <alignment horizontal="center"/>
    </xf>
    <xf numFmtId="0" fontId="73" fillId="0" borderId="34" xfId="0" applyFont="1" applyFill="1" applyBorder="1"/>
    <xf numFmtId="0" fontId="1" fillId="0" borderId="42" xfId="0" applyFont="1" applyFill="1" applyBorder="1"/>
    <xf numFmtId="0" fontId="86" fillId="32" borderId="46" xfId="8" applyFont="1" applyFill="1" applyBorder="1" applyAlignment="1">
      <alignment horizontal="center"/>
    </xf>
    <xf numFmtId="0" fontId="66" fillId="32" borderId="46" xfId="8" applyFont="1" applyFill="1" applyBorder="1" applyAlignment="1">
      <alignment horizontal="center"/>
    </xf>
    <xf numFmtId="0" fontId="93" fillId="0" borderId="38" xfId="3" applyFont="1" applyFill="1" applyBorder="1"/>
    <xf numFmtId="0" fontId="73" fillId="0" borderId="47" xfId="4" applyFont="1" applyFill="1" applyBorder="1"/>
    <xf numFmtId="0" fontId="73" fillId="0" borderId="47" xfId="1" applyFont="1" applyFill="1" applyBorder="1" applyAlignment="1">
      <alignment vertical="center"/>
    </xf>
    <xf numFmtId="0" fontId="73" fillId="0" borderId="49" xfId="1" applyFont="1" applyFill="1" applyBorder="1" applyAlignment="1">
      <alignment vertical="center"/>
    </xf>
    <xf numFmtId="0" fontId="66" fillId="37" borderId="47" xfId="8" applyFont="1" applyFill="1" applyBorder="1" applyAlignment="1">
      <alignment horizontal="center"/>
    </xf>
    <xf numFmtId="0" fontId="73" fillId="0" borderId="49" xfId="0" applyFont="1" applyFill="1" applyBorder="1"/>
    <xf numFmtId="0" fontId="94" fillId="0" borderId="47" xfId="0" applyFont="1" applyFill="1" applyBorder="1"/>
    <xf numFmtId="0" fontId="73" fillId="0" borderId="47" xfId="5" applyFont="1" applyFill="1" applyBorder="1" applyAlignment="1">
      <alignment horizontal="left" vertical="center" wrapText="1"/>
    </xf>
    <xf numFmtId="0" fontId="76" fillId="0" borderId="67" xfId="0" applyFont="1" applyFill="1" applyBorder="1" applyAlignment="1">
      <alignment horizontal="center" vertical="center"/>
    </xf>
    <xf numFmtId="0" fontId="84" fillId="36" borderId="50" xfId="8" applyFont="1" applyFill="1" applyBorder="1" applyAlignment="1">
      <alignment horizontal="center"/>
    </xf>
    <xf numFmtId="0" fontId="95" fillId="38" borderId="25" xfId="8" applyFont="1" applyFill="1" applyBorder="1" applyAlignment="1">
      <alignment horizontal="center"/>
    </xf>
    <xf numFmtId="0" fontId="1" fillId="0" borderId="25" xfId="0" applyFont="1" applyBorder="1" applyAlignment="1">
      <alignment horizontal="center" vertical="center"/>
    </xf>
    <xf numFmtId="0" fontId="88" fillId="38" borderId="50" xfId="8" applyFont="1" applyFill="1" applyBorder="1" applyAlignment="1">
      <alignment horizontal="center"/>
    </xf>
    <xf numFmtId="0" fontId="88" fillId="38" borderId="51" xfId="8" applyFont="1" applyFill="1" applyBorder="1" applyAlignment="1">
      <alignment horizontal="center"/>
    </xf>
    <xf numFmtId="0" fontId="73" fillId="3" borderId="39" xfId="0" applyFont="1" applyFill="1" applyBorder="1" applyAlignment="1">
      <alignment horizontal="left"/>
    </xf>
    <xf numFmtId="0" fontId="73" fillId="0" borderId="73" xfId="0" applyFont="1" applyFill="1" applyBorder="1"/>
    <xf numFmtId="0" fontId="73" fillId="0" borderId="74" xfId="5" applyFont="1" applyFill="1" applyBorder="1" applyAlignment="1">
      <alignment horizontal="left" vertical="center" wrapText="1"/>
    </xf>
    <xf numFmtId="0" fontId="76" fillId="0" borderId="75" xfId="0" applyFont="1" applyFill="1" applyBorder="1" applyAlignment="1">
      <alignment horizontal="center" vertical="center"/>
    </xf>
    <xf numFmtId="0" fontId="95" fillId="38" borderId="33" xfId="8" applyFont="1" applyFill="1" applyBorder="1" applyAlignment="1">
      <alignment horizontal="center"/>
    </xf>
    <xf numFmtId="0" fontId="1" fillId="0" borderId="33" xfId="0" applyFont="1" applyBorder="1" applyAlignment="1">
      <alignment horizontal="center" vertical="center"/>
    </xf>
    <xf numFmtId="0" fontId="73" fillId="0" borderId="76" xfId="0" applyFont="1" applyFill="1" applyBorder="1"/>
    <xf numFmtId="0" fontId="73" fillId="0" borderId="76" xfId="0" applyFont="1" applyFill="1" applyBorder="1" applyAlignment="1">
      <alignment horizontal="left" vertical="center"/>
    </xf>
    <xf numFmtId="0" fontId="1" fillId="0" borderId="47" xfId="5" applyFont="1" applyFill="1" applyBorder="1" applyAlignment="1">
      <alignment horizontal="left" vertical="center"/>
    </xf>
    <xf numFmtId="0" fontId="73" fillId="0" borderId="77" xfId="1" applyFont="1" applyFill="1" applyBorder="1" applyAlignment="1">
      <alignment horizontal="left"/>
    </xf>
    <xf numFmtId="0" fontId="73" fillId="0" borderId="76" xfId="1" applyFont="1" applyFill="1" applyBorder="1"/>
    <xf numFmtId="0" fontId="84" fillId="36" borderId="33" xfId="8" applyFont="1" applyFill="1" applyBorder="1" applyAlignment="1">
      <alignment horizontal="center"/>
    </xf>
    <xf numFmtId="0" fontId="85" fillId="0" borderId="33" xfId="1535" applyFont="1" applyBorder="1" applyAlignment="1">
      <alignment horizontal="center"/>
    </xf>
    <xf numFmtId="0" fontId="84" fillId="36" borderId="78" xfId="8" applyFont="1" applyFill="1" applyBorder="1" applyAlignment="1">
      <alignment horizontal="center"/>
    </xf>
    <xf numFmtId="0" fontId="73" fillId="0" borderId="79" xfId="1" applyFont="1" applyFill="1" applyBorder="1"/>
    <xf numFmtId="0" fontId="73" fillId="0" borderId="39" xfId="1" applyFont="1" applyFill="1" applyBorder="1"/>
    <xf numFmtId="0" fontId="73" fillId="0" borderId="66" xfId="3" applyFont="1" applyFill="1" applyBorder="1" applyAlignment="1">
      <alignment horizontal="left" vertical="center"/>
    </xf>
    <xf numFmtId="0" fontId="76" fillId="0" borderId="76" xfId="0" applyFont="1" applyFill="1" applyBorder="1" applyAlignment="1">
      <alignment horizontal="left"/>
    </xf>
    <xf numFmtId="0" fontId="73" fillId="0" borderId="47" xfId="5" applyFont="1" applyFill="1" applyBorder="1" applyAlignment="1">
      <alignment horizontal="left" vertical="top" wrapText="1"/>
    </xf>
    <xf numFmtId="0" fontId="73" fillId="0" borderId="77" xfId="0" applyFont="1" applyFill="1" applyBorder="1" applyAlignment="1">
      <alignment horizontal="left"/>
    </xf>
    <xf numFmtId="0" fontId="96" fillId="32" borderId="47" xfId="8" applyFont="1" applyFill="1" applyBorder="1" applyAlignment="1">
      <alignment horizontal="center"/>
    </xf>
    <xf numFmtId="0" fontId="73" fillId="0" borderId="38" xfId="3" applyFont="1" applyFill="1" applyBorder="1" applyAlignment="1">
      <alignment horizontal="left" vertical="center"/>
    </xf>
    <xf numFmtId="0" fontId="73" fillId="0" borderId="76" xfId="1" applyFont="1" applyFill="1" applyBorder="1" applyAlignment="1">
      <alignment vertical="center"/>
    </xf>
    <xf numFmtId="0" fontId="73" fillId="0" borderId="47" xfId="0" applyFont="1" applyFill="1" applyBorder="1" applyAlignment="1">
      <alignment vertical="center"/>
    </xf>
    <xf numFmtId="0" fontId="1" fillId="0" borderId="33" xfId="0" applyFont="1" applyFill="1" applyBorder="1" applyAlignment="1">
      <alignment horizontal="center"/>
    </xf>
    <xf numFmtId="0" fontId="76" fillId="0" borderId="76" xfId="0" applyFont="1" applyFill="1" applyBorder="1"/>
    <xf numFmtId="0" fontId="73" fillId="0" borderId="76" xfId="0" applyFont="1" applyFill="1" applyBorder="1" applyAlignment="1">
      <alignment horizontal="left"/>
    </xf>
    <xf numFmtId="0" fontId="97" fillId="0" borderId="47" xfId="5" applyFont="1" applyFill="1" applyBorder="1" applyAlignment="1">
      <alignment horizontal="left" vertical="center" wrapText="1"/>
    </xf>
    <xf numFmtId="0" fontId="89" fillId="0" borderId="68" xfId="8" applyFont="1" applyFill="1" applyBorder="1" applyAlignment="1">
      <alignment horizontal="center"/>
    </xf>
    <xf numFmtId="0" fontId="73" fillId="0" borderId="77" xfId="3" applyFont="1" applyFill="1" applyBorder="1" applyAlignment="1">
      <alignment horizontal="left"/>
    </xf>
    <xf numFmtId="0" fontId="76" fillId="0" borderId="47" xfId="0" applyFont="1" applyFill="1" applyBorder="1" applyAlignment="1">
      <alignment horizontal="left"/>
    </xf>
    <xf numFmtId="0" fontId="73" fillId="0" borderId="47" xfId="5" applyFont="1" applyFill="1" applyBorder="1" applyAlignment="1">
      <alignment horizontal="left"/>
    </xf>
    <xf numFmtId="0" fontId="76" fillId="0" borderId="47" xfId="3" applyFont="1" applyFill="1" applyBorder="1"/>
    <xf numFmtId="0" fontId="73" fillId="0" borderId="77" xfId="3" applyFont="1" applyBorder="1"/>
    <xf numFmtId="0" fontId="73" fillId="0" borderId="38" xfId="0" applyFont="1" applyFill="1" applyBorder="1"/>
    <xf numFmtId="0" fontId="84" fillId="0" borderId="76" xfId="8" applyFont="1" applyFill="1" applyBorder="1" applyAlignment="1">
      <alignment horizontal="center"/>
    </xf>
    <xf numFmtId="0" fontId="84" fillId="0" borderId="80" xfId="8" applyFont="1" applyFill="1" applyBorder="1" applyAlignment="1">
      <alignment horizontal="center"/>
    </xf>
    <xf numFmtId="0" fontId="88" fillId="0" borderId="76" xfId="8" applyFont="1" applyFill="1" applyBorder="1" applyAlignment="1">
      <alignment horizontal="center"/>
    </xf>
    <xf numFmtId="0" fontId="84" fillId="0" borderId="33" xfId="8" applyFont="1" applyFill="1" applyBorder="1" applyAlignment="1">
      <alignment horizontal="center"/>
    </xf>
    <xf numFmtId="0" fontId="85" fillId="0" borderId="33" xfId="1535" applyFont="1" applyFill="1" applyBorder="1" applyAlignment="1">
      <alignment horizontal="center"/>
    </xf>
    <xf numFmtId="0" fontId="76" fillId="0" borderId="75" xfId="0" applyFont="1" applyFill="1" applyBorder="1" applyAlignment="1">
      <alignment horizontal="center"/>
    </xf>
    <xf numFmtId="0" fontId="89" fillId="0" borderId="33" xfId="8" applyFont="1" applyFill="1" applyBorder="1" applyAlignment="1">
      <alignment horizontal="center"/>
    </xf>
    <xf numFmtId="0" fontId="95" fillId="0" borderId="33" xfId="8" applyFont="1" applyFill="1" applyBorder="1" applyAlignment="1">
      <alignment horizontal="center"/>
    </xf>
    <xf numFmtId="0" fontId="88" fillId="0" borderId="50" xfId="8" applyFont="1" applyFill="1" applyBorder="1" applyAlignment="1">
      <alignment horizontal="center"/>
    </xf>
    <xf numFmtId="0" fontId="88" fillId="0" borderId="51" xfId="8" applyFont="1" applyFill="1" applyBorder="1" applyAlignment="1">
      <alignment horizontal="center"/>
    </xf>
    <xf numFmtId="0" fontId="73" fillId="0" borderId="55" xfId="5" applyFont="1" applyFill="1" applyBorder="1" applyAlignment="1">
      <alignment horizontal="left" wrapText="1"/>
    </xf>
    <xf numFmtId="0" fontId="85" fillId="0" borderId="81" xfId="1535" applyFont="1" applyFill="1" applyBorder="1" applyAlignment="1">
      <alignment horizontal="center"/>
    </xf>
    <xf numFmtId="0" fontId="84" fillId="0" borderId="81" xfId="8" applyFont="1" applyFill="1" applyBorder="1" applyAlignment="1">
      <alignment horizontal="center"/>
    </xf>
    <xf numFmtId="0" fontId="84" fillId="0" borderId="82" xfId="8" applyFont="1" applyFill="1" applyBorder="1" applyAlignment="1">
      <alignment horizontal="center"/>
    </xf>
    <xf numFmtId="0" fontId="73" fillId="0" borderId="34" xfId="2" applyFont="1" applyFill="1" applyBorder="1" applyAlignment="1"/>
    <xf numFmtId="0" fontId="73" fillId="0" borderId="39" xfId="0" applyFont="1" applyFill="1" applyBorder="1" applyAlignment="1">
      <alignment horizontal="left"/>
    </xf>
    <xf numFmtId="0" fontId="1" fillId="0" borderId="47" xfId="0" applyFont="1" applyFill="1" applyBorder="1"/>
    <xf numFmtId="0" fontId="98" fillId="32" borderId="47" xfId="8" applyFont="1" applyFill="1" applyBorder="1" applyAlignment="1">
      <alignment horizontal="center"/>
    </xf>
    <xf numFmtId="0" fontId="73" fillId="3" borderId="44" xfId="0" applyFont="1" applyFill="1" applyBorder="1" applyAlignment="1">
      <alignment horizontal="left"/>
    </xf>
    <xf numFmtId="0" fontId="73" fillId="30" borderId="70" xfId="0" applyFont="1" applyFill="1" applyBorder="1" applyAlignment="1">
      <alignment horizontal="left" vertical="center"/>
    </xf>
    <xf numFmtId="0" fontId="73" fillId="30" borderId="46" xfId="5" applyFont="1" applyFill="1" applyBorder="1" applyAlignment="1">
      <alignment vertical="center" wrapText="1"/>
    </xf>
    <xf numFmtId="0" fontId="73" fillId="0" borderId="76" xfId="5" applyFont="1" applyFill="1" applyBorder="1" applyAlignment="1">
      <alignment vertical="center" wrapText="1"/>
    </xf>
    <xf numFmtId="0" fontId="87" fillId="0" borderId="47" xfId="8" applyFont="1" applyFill="1" applyBorder="1" applyAlignment="1">
      <alignment horizontal="left"/>
    </xf>
    <xf numFmtId="0" fontId="76" fillId="0" borderId="76" xfId="1" applyFont="1" applyFill="1" applyBorder="1"/>
    <xf numFmtId="0" fontId="84" fillId="0" borderId="46" xfId="8" applyFont="1" applyFill="1" applyBorder="1" applyAlignment="1">
      <alignment horizontal="center"/>
    </xf>
    <xf numFmtId="0" fontId="73" fillId="0" borderId="77" xfId="0" applyFont="1" applyFill="1" applyBorder="1"/>
    <xf numFmtId="0" fontId="76" fillId="0" borderId="75" xfId="0" applyFont="1" applyFill="1" applyBorder="1"/>
    <xf numFmtId="0" fontId="73" fillId="0" borderId="33" xfId="1" applyFont="1" applyFill="1" applyBorder="1" applyAlignment="1">
      <alignment horizontal="center"/>
    </xf>
    <xf numFmtId="0" fontId="73" fillId="0" borderId="78" xfId="1" applyFont="1" applyFill="1" applyBorder="1" applyAlignment="1">
      <alignment horizontal="center"/>
    </xf>
    <xf numFmtId="0" fontId="99" fillId="0" borderId="47" xfId="1" applyFont="1" applyFill="1" applyBorder="1" applyAlignment="1">
      <alignment horizontal="center"/>
    </xf>
    <xf numFmtId="0" fontId="73" fillId="0" borderId="47" xfId="1" applyFont="1" applyFill="1" applyBorder="1" applyAlignment="1">
      <alignment horizontal="center"/>
    </xf>
    <xf numFmtId="0" fontId="73" fillId="0" borderId="75" xfId="1" applyFont="1" applyFill="1" applyBorder="1"/>
    <xf numFmtId="0" fontId="76" fillId="0" borderId="47" xfId="1" applyFont="1" applyFill="1" applyBorder="1"/>
    <xf numFmtId="0" fontId="73" fillId="30" borderId="65" xfId="0" applyFont="1" applyFill="1" applyBorder="1"/>
    <xf numFmtId="0" fontId="73" fillId="0" borderId="77" xfId="0" applyFont="1" applyFill="1" applyBorder="1" applyAlignment="1">
      <alignment vertical="center" wrapText="1"/>
    </xf>
    <xf numFmtId="0" fontId="92" fillId="0" borderId="33" xfId="1535" applyFont="1" applyBorder="1" applyAlignment="1">
      <alignment horizontal="center"/>
    </xf>
    <xf numFmtId="0" fontId="73" fillId="0" borderId="47" xfId="0" applyFont="1" applyFill="1" applyBorder="1" applyAlignment="1"/>
    <xf numFmtId="0" fontId="73" fillId="0" borderId="4" xfId="2" applyFont="1" applyFill="1" applyBorder="1" applyAlignment="1"/>
    <xf numFmtId="0" fontId="73" fillId="0" borderId="0" xfId="0" applyFont="1" applyFill="1" applyBorder="1" applyAlignment="1">
      <alignment horizontal="left"/>
    </xf>
    <xf numFmtId="0" fontId="73" fillId="30" borderId="39" xfId="0" applyFont="1" applyFill="1" applyBorder="1"/>
    <xf numFmtId="0" fontId="82" fillId="0" borderId="47" xfId="0" applyFont="1" applyFill="1" applyBorder="1" applyAlignment="1">
      <alignment horizontal="left"/>
    </xf>
    <xf numFmtId="0" fontId="73" fillId="0" borderId="66" xfId="3" applyFont="1" applyFill="1" applyBorder="1"/>
    <xf numFmtId="0" fontId="73" fillId="0" borderId="38" xfId="2" applyFont="1" applyFill="1" applyBorder="1" applyAlignment="1"/>
    <xf numFmtId="0" fontId="100" fillId="0" borderId="47" xfId="0" applyFont="1" applyFill="1" applyBorder="1"/>
    <xf numFmtId="0" fontId="76" fillId="0" borderId="47" xfId="4" applyFont="1" applyFill="1" applyBorder="1"/>
    <xf numFmtId="0" fontId="73" fillId="0" borderId="75" xfId="0" applyFont="1" applyFill="1" applyBorder="1" applyAlignment="1">
      <alignment horizontal="left"/>
    </xf>
    <xf numFmtId="0" fontId="76" fillId="0" borderId="76" xfId="0" applyFont="1" applyFill="1" applyBorder="1" applyAlignment="1">
      <alignment vertical="center"/>
    </xf>
    <xf numFmtId="0" fontId="73" fillId="0" borderId="47" xfId="1" applyFont="1" applyFill="1" applyBorder="1" applyAlignment="1">
      <alignment horizontal="center" vertical="center"/>
    </xf>
    <xf numFmtId="0" fontId="66" fillId="0" borderId="47" xfId="8" applyFont="1" applyFill="1" applyBorder="1" applyAlignment="1">
      <alignment horizontal="left" vertical="center"/>
    </xf>
    <xf numFmtId="0" fontId="73" fillId="0" borderId="39" xfId="1" applyFont="1" applyFill="1" applyBorder="1" applyAlignment="1">
      <alignment horizontal="left"/>
    </xf>
    <xf numFmtId="0" fontId="73" fillId="0" borderId="39" xfId="0" applyFont="1" applyFill="1" applyBorder="1"/>
    <xf numFmtId="0" fontId="73" fillId="30" borderId="0" xfId="2" applyFont="1" applyFill="1" applyBorder="1" applyAlignment="1"/>
    <xf numFmtId="0" fontId="73" fillId="0" borderId="47" xfId="5" applyFont="1" applyFill="1" applyBorder="1" applyAlignment="1">
      <alignment vertical="center" wrapText="1"/>
    </xf>
    <xf numFmtId="0" fontId="73" fillId="0" borderId="38" xfId="1" applyFont="1" applyFill="1" applyBorder="1" applyAlignment="1">
      <alignment horizontal="center"/>
    </xf>
    <xf numFmtId="0" fontId="73" fillId="0" borderId="83" xfId="0" applyFont="1" applyFill="1" applyBorder="1" applyAlignment="1">
      <alignment horizontal="left"/>
    </xf>
    <xf numFmtId="0" fontId="73" fillId="3" borderId="47" xfId="4" applyFont="1" applyFill="1" applyBorder="1"/>
    <xf numFmtId="0" fontId="50" fillId="0" borderId="4" xfId="0" applyFont="1" applyFill="1" applyBorder="1" applyAlignment="1">
      <alignment horizontal="left" vertical="center"/>
    </xf>
    <xf numFmtId="0" fontId="101" fillId="0" borderId="68" xfId="0" applyFont="1" applyFill="1" applyBorder="1" applyAlignment="1">
      <alignment vertical="center"/>
    </xf>
    <xf numFmtId="0" fontId="102" fillId="0" borderId="76" xfId="0" applyFont="1" applyFill="1" applyBorder="1" applyAlignment="1">
      <alignment vertical="center"/>
    </xf>
    <xf numFmtId="0" fontId="82" fillId="0" borderId="46" xfId="0" applyFont="1" applyFill="1" applyBorder="1" applyAlignment="1">
      <alignment horizontal="left"/>
    </xf>
    <xf numFmtId="0" fontId="82" fillId="0" borderId="47" xfId="0" applyFont="1" applyFill="1" applyBorder="1"/>
    <xf numFmtId="0" fontId="82" fillId="0" borderId="84" xfId="0" applyFont="1" applyFill="1" applyBorder="1"/>
    <xf numFmtId="0" fontId="50" fillId="0" borderId="47" xfId="0" applyFont="1" applyFill="1" applyBorder="1" applyAlignment="1">
      <alignment horizontal="left" vertical="center"/>
    </xf>
    <xf numFmtId="0" fontId="90" fillId="0" borderId="39" xfId="0" applyFont="1" applyFill="1" applyBorder="1" applyAlignment="1">
      <alignment horizontal="left" vertical="center"/>
    </xf>
    <xf numFmtId="0" fontId="90" fillId="0" borderId="76" xfId="0" applyFont="1" applyFill="1" applyBorder="1" applyAlignment="1">
      <alignment horizontal="left" vertical="center"/>
    </xf>
    <xf numFmtId="0" fontId="88" fillId="0" borderId="85" xfId="8" applyFont="1" applyFill="1" applyBorder="1" applyAlignment="1">
      <alignment horizontal="center"/>
    </xf>
    <xf numFmtId="0" fontId="73" fillId="0" borderId="53" xfId="0" applyFont="1" applyFill="1" applyBorder="1"/>
    <xf numFmtId="0" fontId="76" fillId="0" borderId="55" xfId="1" applyFont="1" applyFill="1" applyBorder="1"/>
    <xf numFmtId="0" fontId="73" fillId="0" borderId="42" xfId="1" applyFont="1" applyFill="1" applyBorder="1" applyAlignment="1">
      <alignment horizontal="center" vertical="center"/>
    </xf>
    <xf numFmtId="0" fontId="87" fillId="32" borderId="33" xfId="8" applyFont="1" applyFill="1" applyBorder="1" applyAlignment="1">
      <alignment horizontal="center"/>
    </xf>
    <xf numFmtId="0" fontId="76" fillId="0" borderId="38" xfId="1" applyFont="1" applyFill="1" applyBorder="1" applyAlignment="1">
      <alignment horizontal="left"/>
    </xf>
    <xf numFmtId="0" fontId="73" fillId="0" borderId="65" xfId="3" applyFont="1" applyBorder="1" applyAlignment="1">
      <alignment horizontal="left"/>
    </xf>
    <xf numFmtId="0" fontId="73" fillId="0" borderId="47" xfId="0" applyFont="1" applyFill="1" applyBorder="1" applyAlignment="1">
      <alignment vertical="center" wrapText="1"/>
    </xf>
    <xf numFmtId="0" fontId="83" fillId="0" borderId="75" xfId="1" applyFont="1" applyFill="1" applyBorder="1"/>
    <xf numFmtId="0" fontId="79" fillId="0" borderId="33" xfId="1" applyFont="1" applyFill="1" applyBorder="1" applyAlignment="1">
      <alignment horizontal="center"/>
    </xf>
    <xf numFmtId="0" fontId="79" fillId="0" borderId="78" xfId="1" applyFont="1" applyFill="1" applyBorder="1" applyAlignment="1">
      <alignment horizontal="center"/>
    </xf>
    <xf numFmtId="0" fontId="89" fillId="0" borderId="76" xfId="8" applyFont="1" applyFill="1" applyBorder="1" applyAlignment="1">
      <alignment horizontal="center"/>
    </xf>
    <xf numFmtId="0" fontId="84" fillId="0" borderId="78" xfId="8" applyFont="1" applyFill="1" applyBorder="1" applyAlignment="1">
      <alignment horizontal="center"/>
    </xf>
    <xf numFmtId="0" fontId="73" fillId="0" borderId="54" xfId="1" applyFont="1" applyFill="1" applyBorder="1" applyAlignment="1">
      <alignment horizontal="center" vertical="center"/>
    </xf>
    <xf numFmtId="0" fontId="73" fillId="0" borderId="37" xfId="0" applyFont="1" applyFill="1" applyBorder="1" applyAlignment="1">
      <alignment horizontal="left"/>
    </xf>
    <xf numFmtId="0" fontId="73" fillId="0" borderId="86" xfId="0" applyFont="1" applyFill="1" applyBorder="1" applyAlignment="1">
      <alignment horizontal="left"/>
    </xf>
    <xf numFmtId="0" fontId="73" fillId="0" borderId="37" xfId="4" applyFont="1" applyFill="1" applyBorder="1"/>
    <xf numFmtId="0" fontId="83" fillId="0" borderId="87" xfId="1" applyNumberFormat="1" applyFont="1" applyFill="1" applyBorder="1" applyAlignment="1">
      <alignment horizontal="center"/>
    </xf>
    <xf numFmtId="0" fontId="84" fillId="0" borderId="88" xfId="8" applyFont="1" applyFill="1" applyBorder="1" applyAlignment="1">
      <alignment horizontal="center"/>
    </xf>
    <xf numFmtId="0" fontId="85" fillId="0" borderId="88" xfId="1535" applyFont="1" applyFill="1" applyBorder="1" applyAlignment="1">
      <alignment horizontal="center"/>
    </xf>
    <xf numFmtId="0" fontId="84" fillId="0" borderId="89" xfId="8" applyFont="1" applyFill="1" applyBorder="1" applyAlignment="1">
      <alignment horizontal="center"/>
    </xf>
    <xf numFmtId="0" fontId="86" fillId="0" borderId="37" xfId="8" applyFont="1" applyFill="1" applyBorder="1" applyAlignment="1">
      <alignment horizontal="center"/>
    </xf>
    <xf numFmtId="0" fontId="87" fillId="32" borderId="37" xfId="8" applyFont="1" applyFill="1" applyBorder="1" applyAlignment="1">
      <alignment horizontal="center"/>
    </xf>
    <xf numFmtId="0" fontId="88" fillId="0" borderId="37" xfId="8" applyFont="1" applyFill="1" applyBorder="1" applyAlignment="1">
      <alignment horizontal="center"/>
    </xf>
    <xf numFmtId="0" fontId="77" fillId="4" borderId="36" xfId="8" applyFont="1" applyFill="1" applyBorder="1" applyAlignment="1">
      <alignment horizontal="center"/>
    </xf>
    <xf numFmtId="0" fontId="77" fillId="4" borderId="1" xfId="8" applyFont="1" applyFill="1" applyBorder="1" applyAlignment="1">
      <alignment horizontal="center"/>
    </xf>
    <xf numFmtId="0" fontId="77" fillId="4" borderId="35" xfId="8" applyFont="1" applyFill="1" applyBorder="1" applyAlignment="1">
      <alignment horizontal="center"/>
    </xf>
    <xf numFmtId="0" fontId="78" fillId="35" borderId="36" xfId="8" applyFont="1" applyFill="1" applyBorder="1" applyAlignment="1">
      <alignment horizontal="center"/>
    </xf>
    <xf numFmtId="0" fontId="78" fillId="35" borderId="1" xfId="8" applyFont="1" applyFill="1" applyBorder="1" applyAlignment="1">
      <alignment horizontal="center"/>
    </xf>
    <xf numFmtId="0" fontId="74" fillId="2" borderId="36" xfId="7" applyFont="1" applyFill="1" applyBorder="1" applyAlignment="1">
      <alignment horizontal="center"/>
    </xf>
    <xf numFmtId="0" fontId="74" fillId="2" borderId="35" xfId="7" applyFont="1" applyFill="1" applyBorder="1" applyAlignment="1">
      <alignment horizontal="center"/>
    </xf>
  </cellXfs>
  <cellStyles count="1676">
    <cellStyle name="??" xfId="9" xr:uid="{00000000-0005-0000-0000-000000000000}"/>
    <cellStyle name="?? [0.00]_laroux" xfId="10" xr:uid="{00000000-0005-0000-0000-000001000000}"/>
    <cellStyle name="?? [0]_PERSONAL" xfId="11" xr:uid="{00000000-0005-0000-0000-000002000000}"/>
    <cellStyle name="???? [0.00]_laroux" xfId="12" xr:uid="{00000000-0005-0000-0000-000003000000}"/>
    <cellStyle name="????_laroux" xfId="13" xr:uid="{00000000-0005-0000-0000-000004000000}"/>
    <cellStyle name="??_laroux" xfId="14" xr:uid="{00000000-0005-0000-0000-000005000000}"/>
    <cellStyle name="^6A_x0001_" xfId="15" xr:uid="{00000000-0005-0000-0000-000006000000}"/>
    <cellStyle name="^6A_x0001_ 2" xfId="16" xr:uid="{00000000-0005-0000-0000-000007000000}"/>
    <cellStyle name="^6A_x0001_ 3" xfId="17" xr:uid="{00000000-0005-0000-0000-000008000000}"/>
    <cellStyle name="^6A_x0001_ 4" xfId="18" xr:uid="{00000000-0005-0000-0000-000009000000}"/>
    <cellStyle name="^6A_x0001_ 5" xfId="19" xr:uid="{00000000-0005-0000-0000-00000A000000}"/>
    <cellStyle name="^6A_x0001__04 รายงานประชุมกิจการ ต.ค.52 ตต.1(ส่งเสริมคุณภาพ)" xfId="20" xr:uid="{00000000-0005-0000-0000-00000B000000}"/>
    <cellStyle name="20% - Accent1 2" xfId="21" xr:uid="{00000000-0005-0000-0000-00000C000000}"/>
    <cellStyle name="20% - Accent1 3" xfId="22" xr:uid="{00000000-0005-0000-0000-00000D000000}"/>
    <cellStyle name="20% - Accent2 2" xfId="23" xr:uid="{00000000-0005-0000-0000-00000E000000}"/>
    <cellStyle name="20% - Accent2 3" xfId="24" xr:uid="{00000000-0005-0000-0000-00000F000000}"/>
    <cellStyle name="20% - Accent3 2" xfId="25" xr:uid="{00000000-0005-0000-0000-000010000000}"/>
    <cellStyle name="20% - Accent3 3" xfId="26" xr:uid="{00000000-0005-0000-0000-000011000000}"/>
    <cellStyle name="20% - Accent4 2" xfId="27" xr:uid="{00000000-0005-0000-0000-000012000000}"/>
    <cellStyle name="20% - Accent4 3" xfId="28" xr:uid="{00000000-0005-0000-0000-000013000000}"/>
    <cellStyle name="20% - Accent5 2" xfId="29" xr:uid="{00000000-0005-0000-0000-000014000000}"/>
    <cellStyle name="20% - Accent5 3" xfId="30" xr:uid="{00000000-0005-0000-0000-000015000000}"/>
    <cellStyle name="20% - Accent6 2" xfId="31" xr:uid="{00000000-0005-0000-0000-000016000000}"/>
    <cellStyle name="20% - Accent6 3" xfId="32" xr:uid="{00000000-0005-0000-0000-000017000000}"/>
    <cellStyle name="20% - ส่วนที่ถูกเน้น1" xfId="33" xr:uid="{00000000-0005-0000-0000-000018000000}"/>
    <cellStyle name="20% - ส่วนที่ถูกเน้น2" xfId="34" xr:uid="{00000000-0005-0000-0000-000019000000}"/>
    <cellStyle name="20% - ส่วนที่ถูกเน้น3" xfId="35" xr:uid="{00000000-0005-0000-0000-00001A000000}"/>
    <cellStyle name="20% - ส่วนที่ถูกเน้น4" xfId="36" xr:uid="{00000000-0005-0000-0000-00001B000000}"/>
    <cellStyle name="20% - ส่วนที่ถูกเน้น5" xfId="37" xr:uid="{00000000-0005-0000-0000-00001C000000}"/>
    <cellStyle name="20% - ส่วนที่ถูกเน้น6" xfId="38" xr:uid="{00000000-0005-0000-0000-00001D000000}"/>
    <cellStyle name="๒๖๋_x000d_A_x0001_" xfId="39" xr:uid="{00000000-0005-0000-0000-00001E000000}"/>
    <cellStyle name="๒๖๋_x000d_A_x0001_ 2" xfId="40" xr:uid="{00000000-0005-0000-0000-00001F000000}"/>
    <cellStyle name="๒๖๋_x000d_A_x0001_ 3" xfId="41" xr:uid="{00000000-0005-0000-0000-000020000000}"/>
    <cellStyle name="๒๖๋_x000d_A_x0001_ 4" xfId="42" xr:uid="{00000000-0005-0000-0000-000021000000}"/>
    <cellStyle name="๒๖๋_x000d_A_x0001_ 5" xfId="43" xr:uid="{00000000-0005-0000-0000-000022000000}"/>
    <cellStyle name="๒๖๋_x000d_A_x0001__04 รายงานประชุมกิจการ ต.ค.52 ตต.1(ส่งเสริมคุณภาพ)" xfId="44" xr:uid="{00000000-0005-0000-0000-000023000000}"/>
    <cellStyle name="40% - Accent1 2" xfId="45" xr:uid="{00000000-0005-0000-0000-000024000000}"/>
    <cellStyle name="40% - Accent1 3" xfId="46" xr:uid="{00000000-0005-0000-0000-000025000000}"/>
    <cellStyle name="40% - Accent2 2" xfId="47" xr:uid="{00000000-0005-0000-0000-000026000000}"/>
    <cellStyle name="40% - Accent2 3" xfId="48" xr:uid="{00000000-0005-0000-0000-000027000000}"/>
    <cellStyle name="40% - Accent3 2" xfId="49" xr:uid="{00000000-0005-0000-0000-000028000000}"/>
    <cellStyle name="40% - Accent3 3" xfId="50" xr:uid="{00000000-0005-0000-0000-000029000000}"/>
    <cellStyle name="40% - Accent4 2" xfId="51" xr:uid="{00000000-0005-0000-0000-00002A000000}"/>
    <cellStyle name="40% - Accent4 3" xfId="52" xr:uid="{00000000-0005-0000-0000-00002B000000}"/>
    <cellStyle name="40% - Accent5 2" xfId="53" xr:uid="{00000000-0005-0000-0000-00002C000000}"/>
    <cellStyle name="40% - Accent5 3" xfId="54" xr:uid="{00000000-0005-0000-0000-00002D000000}"/>
    <cellStyle name="40% - Accent6 2" xfId="55" xr:uid="{00000000-0005-0000-0000-00002E000000}"/>
    <cellStyle name="40% - Accent6 3" xfId="56" xr:uid="{00000000-0005-0000-0000-00002F000000}"/>
    <cellStyle name="40% - ส่วนที่ถูกเน้น1" xfId="57" xr:uid="{00000000-0005-0000-0000-000030000000}"/>
    <cellStyle name="40% - ส่วนที่ถูกเน้น2" xfId="58" xr:uid="{00000000-0005-0000-0000-000031000000}"/>
    <cellStyle name="40% - ส่วนที่ถูกเน้น3" xfId="59" xr:uid="{00000000-0005-0000-0000-000032000000}"/>
    <cellStyle name="40% - ส่วนที่ถูกเน้น4" xfId="60" xr:uid="{00000000-0005-0000-0000-000033000000}"/>
    <cellStyle name="40% - ส่วนที่ถูกเน้น5" xfId="61" xr:uid="{00000000-0005-0000-0000-000034000000}"/>
    <cellStyle name="40% - ส่วนที่ถูกเน้น6" xfId="62" xr:uid="{00000000-0005-0000-0000-000035000000}"/>
    <cellStyle name="60% - Accent1 2" xfId="63" xr:uid="{00000000-0005-0000-0000-000036000000}"/>
    <cellStyle name="60% - Accent1 3" xfId="64" xr:uid="{00000000-0005-0000-0000-000037000000}"/>
    <cellStyle name="60% - Accent2 2" xfId="65" xr:uid="{00000000-0005-0000-0000-000038000000}"/>
    <cellStyle name="60% - Accent2 3" xfId="66" xr:uid="{00000000-0005-0000-0000-000039000000}"/>
    <cellStyle name="60% - Accent3 2" xfId="67" xr:uid="{00000000-0005-0000-0000-00003A000000}"/>
    <cellStyle name="60% - Accent3 3" xfId="68" xr:uid="{00000000-0005-0000-0000-00003B000000}"/>
    <cellStyle name="60% - Accent4 2" xfId="69" xr:uid="{00000000-0005-0000-0000-00003C000000}"/>
    <cellStyle name="60% - Accent4 3" xfId="70" xr:uid="{00000000-0005-0000-0000-00003D000000}"/>
    <cellStyle name="60% - Accent5 2" xfId="71" xr:uid="{00000000-0005-0000-0000-00003E000000}"/>
    <cellStyle name="60% - Accent5 3" xfId="72" xr:uid="{00000000-0005-0000-0000-00003F000000}"/>
    <cellStyle name="60% - Accent6 2" xfId="73" xr:uid="{00000000-0005-0000-0000-000040000000}"/>
    <cellStyle name="60% - Accent6 3" xfId="74" xr:uid="{00000000-0005-0000-0000-000041000000}"/>
    <cellStyle name="60% - ส่วนที่ถูกเน้น1" xfId="75" xr:uid="{00000000-0005-0000-0000-000042000000}"/>
    <cellStyle name="60% - ส่วนที่ถูกเน้น2" xfId="76" xr:uid="{00000000-0005-0000-0000-000043000000}"/>
    <cellStyle name="60% - ส่วนที่ถูกเน้น3" xfId="77" xr:uid="{00000000-0005-0000-0000-000044000000}"/>
    <cellStyle name="60% - ส่วนที่ถูกเน้น4" xfId="78" xr:uid="{00000000-0005-0000-0000-000045000000}"/>
    <cellStyle name="60% - ส่วนที่ถูกเน้น5" xfId="79" xr:uid="{00000000-0005-0000-0000-000046000000}"/>
    <cellStyle name="60% - ส่วนที่ถูกเน้น6" xfId="80" xr:uid="{00000000-0005-0000-0000-000047000000}"/>
    <cellStyle name="75" xfId="81" xr:uid="{00000000-0005-0000-0000-000048000000}"/>
    <cellStyle name="75 2" xfId="82" xr:uid="{00000000-0005-0000-0000-000049000000}"/>
    <cellStyle name="75 3" xfId="83" xr:uid="{00000000-0005-0000-0000-00004A000000}"/>
    <cellStyle name="75 4" xfId="84" xr:uid="{00000000-0005-0000-0000-00004B000000}"/>
    <cellStyle name="75 5" xfId="85" xr:uid="{00000000-0005-0000-0000-00004C000000}"/>
    <cellStyle name="75_รายงานประชุมกิจการ ก.ย.52_west2" xfId="86" xr:uid="{00000000-0005-0000-0000-00004D000000}"/>
    <cellStyle name="A_x0001_" xfId="87" xr:uid="{00000000-0005-0000-0000-00004E000000}"/>
    <cellStyle name="A - Style1" xfId="88" xr:uid="{00000000-0005-0000-0000-00004F000000}"/>
    <cellStyle name="A - Style1 2" xfId="89" xr:uid="{00000000-0005-0000-0000-000050000000}"/>
    <cellStyle name="A - Style1 2 2" xfId="1524" xr:uid="{00000000-0005-0000-0000-000050000000}"/>
    <cellStyle name="A - Style1 2 2 2" xfId="1667" xr:uid="{00000000-0005-0000-0000-000050000000}"/>
    <cellStyle name="A - Style1 2 3" xfId="1527" xr:uid="{00000000-0005-0000-0000-000050000000}"/>
    <cellStyle name="A - Style1 2 3 2" xfId="1670" xr:uid="{00000000-0005-0000-0000-000050000000}"/>
    <cellStyle name="A - Style1 2 4" xfId="1538" xr:uid="{00000000-0005-0000-0000-000050000000}"/>
    <cellStyle name="A - Style1 3" xfId="90" xr:uid="{00000000-0005-0000-0000-000051000000}"/>
    <cellStyle name="A - Style1 3 2" xfId="1523" xr:uid="{00000000-0005-0000-0000-000051000000}"/>
    <cellStyle name="A - Style1 3 2 2" xfId="1666" xr:uid="{00000000-0005-0000-0000-000051000000}"/>
    <cellStyle name="A - Style1 3 3" xfId="1526" xr:uid="{00000000-0005-0000-0000-000051000000}"/>
    <cellStyle name="A - Style1 3 3 2" xfId="1669" xr:uid="{00000000-0005-0000-0000-000051000000}"/>
    <cellStyle name="A - Style1 3 4" xfId="1539" xr:uid="{00000000-0005-0000-0000-000051000000}"/>
    <cellStyle name="A - Style1 4" xfId="1525" xr:uid="{00000000-0005-0000-0000-00004F000000}"/>
    <cellStyle name="A - Style1 4 2" xfId="1668" xr:uid="{00000000-0005-0000-0000-00004F000000}"/>
    <cellStyle name="A - Style1 5" xfId="1528" xr:uid="{00000000-0005-0000-0000-00004F000000}"/>
    <cellStyle name="A - Style1 5 2" xfId="1671" xr:uid="{00000000-0005-0000-0000-00004F000000}"/>
    <cellStyle name="A - Style1 6" xfId="1537" xr:uid="{00000000-0005-0000-0000-00004F000000}"/>
    <cellStyle name="A_x0001_ 2" xfId="91" xr:uid="{00000000-0005-0000-0000-000052000000}"/>
    <cellStyle name="A_x0001_ 3" xfId="92" xr:uid="{00000000-0005-0000-0000-000053000000}"/>
    <cellStyle name="A_x0001_ 4" xfId="93" xr:uid="{00000000-0005-0000-0000-000054000000}"/>
    <cellStyle name="A_x0001_ 5" xfId="94" xr:uid="{00000000-0005-0000-0000-000055000000}"/>
    <cellStyle name="A_x0001__03 รายงานประชุมกิจการ ก.ย.52 ตต.1(ส่งเสริมคุณภาพ)" xfId="95" xr:uid="{00000000-0005-0000-0000-000056000000}"/>
    <cellStyle name="Accent1 2" xfId="96" xr:uid="{00000000-0005-0000-0000-000057000000}"/>
    <cellStyle name="Accent1 3" xfId="97" xr:uid="{00000000-0005-0000-0000-000058000000}"/>
    <cellStyle name="Accent2 2" xfId="98" xr:uid="{00000000-0005-0000-0000-000059000000}"/>
    <cellStyle name="Accent2 3" xfId="99" xr:uid="{00000000-0005-0000-0000-00005A000000}"/>
    <cellStyle name="Accent3 2" xfId="100" xr:uid="{00000000-0005-0000-0000-00005B000000}"/>
    <cellStyle name="Accent3 3" xfId="101" xr:uid="{00000000-0005-0000-0000-00005C000000}"/>
    <cellStyle name="Accent4 2" xfId="102" xr:uid="{00000000-0005-0000-0000-00005D000000}"/>
    <cellStyle name="Accent4 3" xfId="103" xr:uid="{00000000-0005-0000-0000-00005E000000}"/>
    <cellStyle name="Accent5 2" xfId="104" xr:uid="{00000000-0005-0000-0000-00005F000000}"/>
    <cellStyle name="Accent5 3" xfId="105" xr:uid="{00000000-0005-0000-0000-000060000000}"/>
    <cellStyle name="Accent6 2" xfId="106" xr:uid="{00000000-0005-0000-0000-000061000000}"/>
    <cellStyle name="Accent6 3" xfId="107" xr:uid="{00000000-0005-0000-0000-000062000000}"/>
    <cellStyle name="Bad 2" xfId="108" xr:uid="{00000000-0005-0000-0000-000063000000}"/>
    <cellStyle name="Bad 3" xfId="109" xr:uid="{00000000-0005-0000-0000-000064000000}"/>
    <cellStyle name="Calculation 2" xfId="110" xr:uid="{00000000-0005-0000-0000-000065000000}"/>
    <cellStyle name="Calculation 2 2" xfId="111" xr:uid="{00000000-0005-0000-0000-000066000000}"/>
    <cellStyle name="Calculation 2 2 2" xfId="1541" xr:uid="{00000000-0005-0000-0000-000066000000}"/>
    <cellStyle name="Calculation 2 3" xfId="112" xr:uid="{00000000-0005-0000-0000-000067000000}"/>
    <cellStyle name="Calculation 2 3 2" xfId="1542" xr:uid="{00000000-0005-0000-0000-000067000000}"/>
    <cellStyle name="Calculation 2 4" xfId="1540" xr:uid="{00000000-0005-0000-0000-000065000000}"/>
    <cellStyle name="Calculation 3" xfId="113" xr:uid="{00000000-0005-0000-0000-000068000000}"/>
    <cellStyle name="Calculation 3 2" xfId="114" xr:uid="{00000000-0005-0000-0000-000069000000}"/>
    <cellStyle name="Calculation 3 2 2" xfId="1544" xr:uid="{00000000-0005-0000-0000-000069000000}"/>
    <cellStyle name="Calculation 3 3" xfId="1543" xr:uid="{00000000-0005-0000-0000-000068000000}"/>
    <cellStyle name="Check Cell 2" xfId="115" xr:uid="{00000000-0005-0000-0000-00006A000000}"/>
    <cellStyle name="Check Cell 3" xfId="116" xr:uid="{00000000-0005-0000-0000-00006B000000}"/>
    <cellStyle name="Comma  - Style1" xfId="117" xr:uid="{00000000-0005-0000-0000-00006C000000}"/>
    <cellStyle name="Comma  - Style1 2" xfId="118" xr:uid="{00000000-0005-0000-0000-00006D000000}"/>
    <cellStyle name="Comma  - Style1 3" xfId="119" xr:uid="{00000000-0005-0000-0000-00006E000000}"/>
    <cellStyle name="Comma  - Style1 4" xfId="120" xr:uid="{00000000-0005-0000-0000-00006F000000}"/>
    <cellStyle name="Comma  - Style1_Copy of SDCPKAUG" xfId="121" xr:uid="{00000000-0005-0000-0000-000070000000}"/>
    <cellStyle name="Comma  - Style2" xfId="122" xr:uid="{00000000-0005-0000-0000-000071000000}"/>
    <cellStyle name="Comma  - Style2 2" xfId="123" xr:uid="{00000000-0005-0000-0000-000072000000}"/>
    <cellStyle name="Comma  - Style2 3" xfId="124" xr:uid="{00000000-0005-0000-0000-000073000000}"/>
    <cellStyle name="Comma  - Style2 4" xfId="125" xr:uid="{00000000-0005-0000-0000-000074000000}"/>
    <cellStyle name="Comma  - Style2_Copy of SDCPKAUG" xfId="126" xr:uid="{00000000-0005-0000-0000-000075000000}"/>
    <cellStyle name="Comma  - Style3" xfId="127" xr:uid="{00000000-0005-0000-0000-000076000000}"/>
    <cellStyle name="Comma  - Style3 2" xfId="128" xr:uid="{00000000-0005-0000-0000-000077000000}"/>
    <cellStyle name="Comma  - Style3 3" xfId="129" xr:uid="{00000000-0005-0000-0000-000078000000}"/>
    <cellStyle name="Comma  - Style3 4" xfId="130" xr:uid="{00000000-0005-0000-0000-000079000000}"/>
    <cellStyle name="Comma  - Style3_Copy of SDCPKAUG" xfId="131" xr:uid="{00000000-0005-0000-0000-00007A000000}"/>
    <cellStyle name="Comma  - Style4" xfId="132" xr:uid="{00000000-0005-0000-0000-00007B000000}"/>
    <cellStyle name="Comma  - Style4 2" xfId="133" xr:uid="{00000000-0005-0000-0000-00007C000000}"/>
    <cellStyle name="Comma  - Style4 3" xfId="134" xr:uid="{00000000-0005-0000-0000-00007D000000}"/>
    <cellStyle name="Comma  - Style4 4" xfId="135" xr:uid="{00000000-0005-0000-0000-00007E000000}"/>
    <cellStyle name="Comma  - Style4_Copy of SDCPKAUG" xfId="136" xr:uid="{00000000-0005-0000-0000-00007F000000}"/>
    <cellStyle name="Comma  - Style5" xfId="137" xr:uid="{00000000-0005-0000-0000-000080000000}"/>
    <cellStyle name="Comma  - Style5 2" xfId="138" xr:uid="{00000000-0005-0000-0000-000081000000}"/>
    <cellStyle name="Comma  - Style5 3" xfId="139" xr:uid="{00000000-0005-0000-0000-000082000000}"/>
    <cellStyle name="Comma  - Style5 4" xfId="140" xr:uid="{00000000-0005-0000-0000-000083000000}"/>
    <cellStyle name="Comma  - Style5_Copy of SDCPKAUG" xfId="141" xr:uid="{00000000-0005-0000-0000-000084000000}"/>
    <cellStyle name="Comma  - Style6" xfId="142" xr:uid="{00000000-0005-0000-0000-000085000000}"/>
    <cellStyle name="Comma  - Style6 2" xfId="143" xr:uid="{00000000-0005-0000-0000-000086000000}"/>
    <cellStyle name="Comma  - Style6 3" xfId="144" xr:uid="{00000000-0005-0000-0000-000087000000}"/>
    <cellStyle name="Comma  - Style6 4" xfId="145" xr:uid="{00000000-0005-0000-0000-000088000000}"/>
    <cellStyle name="Comma  - Style6_Copy of SDCPKAUG" xfId="146" xr:uid="{00000000-0005-0000-0000-000089000000}"/>
    <cellStyle name="Comma  - Style7" xfId="147" xr:uid="{00000000-0005-0000-0000-00008A000000}"/>
    <cellStyle name="Comma  - Style7 2" xfId="148" xr:uid="{00000000-0005-0000-0000-00008B000000}"/>
    <cellStyle name="Comma  - Style7 3" xfId="149" xr:uid="{00000000-0005-0000-0000-00008C000000}"/>
    <cellStyle name="Comma  - Style7 4" xfId="150" xr:uid="{00000000-0005-0000-0000-00008D000000}"/>
    <cellStyle name="Comma  - Style7_Copy of SDCPKAUG" xfId="151" xr:uid="{00000000-0005-0000-0000-00008E000000}"/>
    <cellStyle name="Comma  - Style8" xfId="152" xr:uid="{00000000-0005-0000-0000-00008F000000}"/>
    <cellStyle name="Comma  - Style8 2" xfId="153" xr:uid="{00000000-0005-0000-0000-000090000000}"/>
    <cellStyle name="Comma  - Style8 3" xfId="154" xr:uid="{00000000-0005-0000-0000-000091000000}"/>
    <cellStyle name="Comma  - Style8 4" xfId="155" xr:uid="{00000000-0005-0000-0000-000092000000}"/>
    <cellStyle name="Comma  - Style8_Copy of SDCPKAUG" xfId="156" xr:uid="{00000000-0005-0000-0000-000093000000}"/>
    <cellStyle name="Comma [0廜_laroux_mar" xfId="157" xr:uid="{00000000-0005-0000-0000-000094000000}"/>
    <cellStyle name="Comma 10" xfId="158" xr:uid="{00000000-0005-0000-0000-000095000000}"/>
    <cellStyle name="Comma 11" xfId="159" xr:uid="{00000000-0005-0000-0000-000096000000}"/>
    <cellStyle name="Comma 12" xfId="160" xr:uid="{00000000-0005-0000-0000-000097000000}"/>
    <cellStyle name="Comma 13" xfId="161" xr:uid="{00000000-0005-0000-0000-000098000000}"/>
    <cellStyle name="Comma 14" xfId="162" xr:uid="{00000000-0005-0000-0000-000099000000}"/>
    <cellStyle name="Comma 15" xfId="163" xr:uid="{00000000-0005-0000-0000-00009A000000}"/>
    <cellStyle name="Comma 15 2" xfId="164" xr:uid="{00000000-0005-0000-0000-00009B000000}"/>
    <cellStyle name="Comma 16" xfId="165" xr:uid="{00000000-0005-0000-0000-00009C000000}"/>
    <cellStyle name="Comma 17" xfId="166" xr:uid="{00000000-0005-0000-0000-00009D000000}"/>
    <cellStyle name="Comma 18" xfId="167" xr:uid="{00000000-0005-0000-0000-00009E000000}"/>
    <cellStyle name="Comma 19" xfId="168" xr:uid="{00000000-0005-0000-0000-00009F000000}"/>
    <cellStyle name="Comma 2" xfId="169" xr:uid="{00000000-0005-0000-0000-0000A0000000}"/>
    <cellStyle name="Comma 2 10" xfId="170" xr:uid="{00000000-0005-0000-0000-0000A1000000}"/>
    <cellStyle name="Comma 2 11" xfId="171" xr:uid="{00000000-0005-0000-0000-0000A2000000}"/>
    <cellStyle name="Comma 2 11 2" xfId="172" xr:uid="{00000000-0005-0000-0000-0000A3000000}"/>
    <cellStyle name="Comma 2 12" xfId="173" xr:uid="{00000000-0005-0000-0000-0000A4000000}"/>
    <cellStyle name="Comma 2 2" xfId="174" xr:uid="{00000000-0005-0000-0000-0000A5000000}"/>
    <cellStyle name="Comma 2 2 2" xfId="175" xr:uid="{00000000-0005-0000-0000-0000A6000000}"/>
    <cellStyle name="Comma 2 2 2 2" xfId="176" xr:uid="{00000000-0005-0000-0000-0000A7000000}"/>
    <cellStyle name="Comma 2 2 3" xfId="177" xr:uid="{00000000-0005-0000-0000-0000A8000000}"/>
    <cellStyle name="Comma 2 2 3 2" xfId="178" xr:uid="{00000000-0005-0000-0000-0000A9000000}"/>
    <cellStyle name="Comma 2 2 4" xfId="179" xr:uid="{00000000-0005-0000-0000-0000AA000000}"/>
    <cellStyle name="Comma 2 2 4 2" xfId="180" xr:uid="{00000000-0005-0000-0000-0000AB000000}"/>
    <cellStyle name="Comma 2 2 4 2 2" xfId="181" xr:uid="{00000000-0005-0000-0000-0000AC000000}"/>
    <cellStyle name="Comma 2 2 5" xfId="182" xr:uid="{00000000-0005-0000-0000-0000AD000000}"/>
    <cellStyle name="Comma 2 2 5 2" xfId="183" xr:uid="{00000000-0005-0000-0000-0000AE000000}"/>
    <cellStyle name="Comma 2 2 6" xfId="184" xr:uid="{00000000-0005-0000-0000-0000AF000000}"/>
    <cellStyle name="Comma 2 2_BSC_November_2009_west_ฉบับผก_ฉบับร่าง" xfId="185" xr:uid="{00000000-0005-0000-0000-0000B0000000}"/>
    <cellStyle name="Comma 2 3" xfId="186" xr:uid="{00000000-0005-0000-0000-0000B1000000}"/>
    <cellStyle name="Comma 2 3 2" xfId="187" xr:uid="{00000000-0005-0000-0000-0000B2000000}"/>
    <cellStyle name="Comma 2 4" xfId="188" xr:uid="{00000000-0005-0000-0000-0000B3000000}"/>
    <cellStyle name="Comma 2 5" xfId="189" xr:uid="{00000000-0005-0000-0000-0000B4000000}"/>
    <cellStyle name="Comma 2 6" xfId="190" xr:uid="{00000000-0005-0000-0000-0000B5000000}"/>
    <cellStyle name="Comma 2 7" xfId="191" xr:uid="{00000000-0005-0000-0000-0000B6000000}"/>
    <cellStyle name="Comma 2 8" xfId="192" xr:uid="{00000000-0005-0000-0000-0000B7000000}"/>
    <cellStyle name="Comma 2 9" xfId="193" xr:uid="{00000000-0005-0000-0000-0000B8000000}"/>
    <cellStyle name="Comma 2_Book1" xfId="194" xr:uid="{00000000-0005-0000-0000-0000B9000000}"/>
    <cellStyle name="Comma 20" xfId="195" xr:uid="{00000000-0005-0000-0000-0000BA000000}"/>
    <cellStyle name="Comma 26" xfId="196" xr:uid="{00000000-0005-0000-0000-0000BB000000}"/>
    <cellStyle name="Comma 3" xfId="197" xr:uid="{00000000-0005-0000-0000-0000BC000000}"/>
    <cellStyle name="Comma 3 2" xfId="198" xr:uid="{00000000-0005-0000-0000-0000BD000000}"/>
    <cellStyle name="Comma 3 2 2" xfId="199" xr:uid="{00000000-0005-0000-0000-0000BE000000}"/>
    <cellStyle name="Comma 3 3" xfId="200" xr:uid="{00000000-0005-0000-0000-0000BF000000}"/>
    <cellStyle name="Comma 3 3 2" xfId="201" xr:uid="{00000000-0005-0000-0000-0000C0000000}"/>
    <cellStyle name="Comma 3 4" xfId="202" xr:uid="{00000000-0005-0000-0000-0000C1000000}"/>
    <cellStyle name="Comma 3 5" xfId="203" xr:uid="{00000000-0005-0000-0000-0000C2000000}"/>
    <cellStyle name="Comma 3 6" xfId="204" xr:uid="{00000000-0005-0000-0000-0000C3000000}"/>
    <cellStyle name="Comma 4" xfId="205" xr:uid="{00000000-0005-0000-0000-0000C4000000}"/>
    <cellStyle name="Comma 4 2" xfId="206" xr:uid="{00000000-0005-0000-0000-0000C5000000}"/>
    <cellStyle name="Comma 4 3" xfId="207" xr:uid="{00000000-0005-0000-0000-0000C6000000}"/>
    <cellStyle name="Comma 4 4" xfId="208" xr:uid="{00000000-0005-0000-0000-0000C7000000}"/>
    <cellStyle name="Comma 5" xfId="209" xr:uid="{00000000-0005-0000-0000-0000C8000000}"/>
    <cellStyle name="Comma 5 2" xfId="210" xr:uid="{00000000-0005-0000-0000-0000C9000000}"/>
    <cellStyle name="Comma 5 3" xfId="211" xr:uid="{00000000-0005-0000-0000-0000CA000000}"/>
    <cellStyle name="Comma 5 4" xfId="212" xr:uid="{00000000-0005-0000-0000-0000CB000000}"/>
    <cellStyle name="Comma 6" xfId="213" xr:uid="{00000000-0005-0000-0000-0000CC000000}"/>
    <cellStyle name="Comma 6 2" xfId="214" xr:uid="{00000000-0005-0000-0000-0000CD000000}"/>
    <cellStyle name="Comma 7" xfId="215" xr:uid="{00000000-0005-0000-0000-0000CE000000}"/>
    <cellStyle name="Comma 7 2" xfId="216" xr:uid="{00000000-0005-0000-0000-0000CF000000}"/>
    <cellStyle name="Comma 8" xfId="217" xr:uid="{00000000-0005-0000-0000-0000D0000000}"/>
    <cellStyle name="Comma 9" xfId="218" xr:uid="{00000000-0005-0000-0000-0000D1000000}"/>
    <cellStyle name="comma zerodec" xfId="219" xr:uid="{00000000-0005-0000-0000-0000D2000000}"/>
    <cellStyle name="comma zerodec 2" xfId="220" xr:uid="{00000000-0005-0000-0000-0000D3000000}"/>
    <cellStyle name="comma zerodec 3" xfId="221" xr:uid="{00000000-0005-0000-0000-0000D4000000}"/>
    <cellStyle name="comma zerodec 4" xfId="222" xr:uid="{00000000-0005-0000-0000-0000D5000000}"/>
    <cellStyle name="comma zerodec_รายงานประชุมกิจการ ก.ย.52_west2" xfId="223" xr:uid="{00000000-0005-0000-0000-0000D6000000}"/>
    <cellStyle name="commaĠzerodec_รายงานส่งเสริมคุณภาพงาน 5005" xfId="224" xr:uid="{00000000-0005-0000-0000-0000D7000000}"/>
    <cellStyle name="Currency 2" xfId="225" xr:uid="{00000000-0005-0000-0000-0000D8000000}"/>
    <cellStyle name="Currency1" xfId="226" xr:uid="{00000000-0005-0000-0000-0000D9000000}"/>
    <cellStyle name="Currency1 2" xfId="227" xr:uid="{00000000-0005-0000-0000-0000DA000000}"/>
    <cellStyle name="Currency1 3" xfId="228" xr:uid="{00000000-0005-0000-0000-0000DB000000}"/>
    <cellStyle name="Currency1 4" xfId="229" xr:uid="{00000000-0005-0000-0000-0000DC000000}"/>
    <cellStyle name="Currency1 5" xfId="230" xr:uid="{00000000-0005-0000-0000-0000DD000000}"/>
    <cellStyle name="Currency1_04 รายงานประชุมกิจการ ต.ค.52 ตต.1(ส่งเสริมคุณภาพ)" xfId="231" xr:uid="{00000000-0005-0000-0000-0000DE000000}"/>
    <cellStyle name="Date" xfId="232" xr:uid="{00000000-0005-0000-0000-0000DF000000}"/>
    <cellStyle name="Date 2" xfId="233" xr:uid="{00000000-0005-0000-0000-0000E0000000}"/>
    <cellStyle name="Date 3" xfId="234" xr:uid="{00000000-0005-0000-0000-0000E1000000}"/>
    <cellStyle name="Date 4" xfId="235" xr:uid="{00000000-0005-0000-0000-0000E2000000}"/>
    <cellStyle name="Date_รายงานประชุมกิจการ ก.ย.52_west2" xfId="236" xr:uid="{00000000-0005-0000-0000-0000E3000000}"/>
    <cellStyle name="Dollar (zero dec)" xfId="237" xr:uid="{00000000-0005-0000-0000-0000E4000000}"/>
    <cellStyle name="Dollar (zero dec) 2" xfId="238" xr:uid="{00000000-0005-0000-0000-0000E5000000}"/>
    <cellStyle name="Dollar (zero dec) 3" xfId="239" xr:uid="{00000000-0005-0000-0000-0000E6000000}"/>
    <cellStyle name="Dollar (zero dec) 4" xfId="240" xr:uid="{00000000-0005-0000-0000-0000E7000000}"/>
    <cellStyle name="Dollar (zero dec) 5" xfId="241" xr:uid="{00000000-0005-0000-0000-0000E8000000}"/>
    <cellStyle name="Dollar (zero dec)_04 รายงานประชุมกิจการ ต.ค.52 ตต.1(ส่งเสริมคุณภาพ)" xfId="242" xr:uid="{00000000-0005-0000-0000-0000E9000000}"/>
    <cellStyle name="Explanatory Text 2" xfId="243" xr:uid="{00000000-0005-0000-0000-0000EA000000}"/>
    <cellStyle name="Explanatory Text 3" xfId="244" xr:uid="{00000000-0005-0000-0000-0000EB000000}"/>
    <cellStyle name="Fixed" xfId="245" xr:uid="{00000000-0005-0000-0000-0000EC000000}"/>
    <cellStyle name="Fixed 2" xfId="246" xr:uid="{00000000-0005-0000-0000-0000ED000000}"/>
    <cellStyle name="Fixed 3" xfId="247" xr:uid="{00000000-0005-0000-0000-0000EE000000}"/>
    <cellStyle name="Fixed 4" xfId="248" xr:uid="{00000000-0005-0000-0000-0000EF000000}"/>
    <cellStyle name="Fixed_รายงานประชุมกิจการ ก.ย.52_west2" xfId="249" xr:uid="{00000000-0005-0000-0000-0000F0000000}"/>
    <cellStyle name="Good 2" xfId="250" xr:uid="{00000000-0005-0000-0000-0000F1000000}"/>
    <cellStyle name="Good 3" xfId="251" xr:uid="{00000000-0005-0000-0000-0000F2000000}"/>
    <cellStyle name="Grey" xfId="252" xr:uid="{00000000-0005-0000-0000-0000F3000000}"/>
    <cellStyle name="Grey 2" xfId="253" xr:uid="{00000000-0005-0000-0000-0000F4000000}"/>
    <cellStyle name="Header1" xfId="254" xr:uid="{00000000-0005-0000-0000-0000F5000000}"/>
    <cellStyle name="Header1 2" xfId="255" xr:uid="{00000000-0005-0000-0000-0000F6000000}"/>
    <cellStyle name="Header1 3" xfId="256" xr:uid="{00000000-0005-0000-0000-0000F7000000}"/>
    <cellStyle name="Header1 4" xfId="257" xr:uid="{00000000-0005-0000-0000-0000F8000000}"/>
    <cellStyle name="Header1_Copy of SDCPKAUG" xfId="258" xr:uid="{00000000-0005-0000-0000-0000F9000000}"/>
    <cellStyle name="Header2" xfId="259" xr:uid="{00000000-0005-0000-0000-0000FA000000}"/>
    <cellStyle name="Header2 2" xfId="260" xr:uid="{00000000-0005-0000-0000-0000FB000000}"/>
    <cellStyle name="Header2 2 2" xfId="261" xr:uid="{00000000-0005-0000-0000-0000FC000000}"/>
    <cellStyle name="Header2 2 2 2" xfId="1547" xr:uid="{00000000-0005-0000-0000-0000FC000000}"/>
    <cellStyle name="Header2 2 3" xfId="262" xr:uid="{00000000-0005-0000-0000-0000FD000000}"/>
    <cellStyle name="Header2 2 3 2" xfId="1548" xr:uid="{00000000-0005-0000-0000-0000FD000000}"/>
    <cellStyle name="Header2 2 4" xfId="1546" xr:uid="{00000000-0005-0000-0000-0000FB000000}"/>
    <cellStyle name="Header2 3" xfId="263" xr:uid="{00000000-0005-0000-0000-0000FE000000}"/>
    <cellStyle name="Header2 3 2" xfId="264" xr:uid="{00000000-0005-0000-0000-0000FF000000}"/>
    <cellStyle name="Header2 3 2 2" xfId="1550" xr:uid="{00000000-0005-0000-0000-0000FF000000}"/>
    <cellStyle name="Header2 3 3" xfId="265" xr:uid="{00000000-0005-0000-0000-000000010000}"/>
    <cellStyle name="Header2 3 3 2" xfId="1551" xr:uid="{00000000-0005-0000-0000-000000010000}"/>
    <cellStyle name="Header2 3 4" xfId="1549" xr:uid="{00000000-0005-0000-0000-0000FE000000}"/>
    <cellStyle name="Header2 4" xfId="266" xr:uid="{00000000-0005-0000-0000-000001010000}"/>
    <cellStyle name="Header2 4 2" xfId="267" xr:uid="{00000000-0005-0000-0000-000002010000}"/>
    <cellStyle name="Header2 4 2 2" xfId="1553" xr:uid="{00000000-0005-0000-0000-000002010000}"/>
    <cellStyle name="Header2 4 3" xfId="268" xr:uid="{00000000-0005-0000-0000-000003010000}"/>
    <cellStyle name="Header2 4 3 2" xfId="1554" xr:uid="{00000000-0005-0000-0000-000003010000}"/>
    <cellStyle name="Header2 4 4" xfId="1552" xr:uid="{00000000-0005-0000-0000-000001010000}"/>
    <cellStyle name="Header2 5" xfId="269" xr:uid="{00000000-0005-0000-0000-000004010000}"/>
    <cellStyle name="Header2 5 2" xfId="1555" xr:uid="{00000000-0005-0000-0000-000004010000}"/>
    <cellStyle name="Header2 6" xfId="270" xr:uid="{00000000-0005-0000-0000-000005010000}"/>
    <cellStyle name="Header2 6 2" xfId="1556" xr:uid="{00000000-0005-0000-0000-000005010000}"/>
    <cellStyle name="Header2 7" xfId="1545" xr:uid="{00000000-0005-0000-0000-0000FA000000}"/>
    <cellStyle name="Header2_Copy of SDCPKAUG" xfId="271" xr:uid="{00000000-0005-0000-0000-000006010000}"/>
    <cellStyle name="Heading 1 2" xfId="272" xr:uid="{00000000-0005-0000-0000-000007010000}"/>
    <cellStyle name="Heading 1 3" xfId="273" xr:uid="{00000000-0005-0000-0000-000008010000}"/>
    <cellStyle name="Heading 2 2" xfId="274" xr:uid="{00000000-0005-0000-0000-000009010000}"/>
    <cellStyle name="Heading 2 3" xfId="275" xr:uid="{00000000-0005-0000-0000-00000A010000}"/>
    <cellStyle name="Heading 3 2" xfId="276" xr:uid="{00000000-0005-0000-0000-00000B010000}"/>
    <cellStyle name="Heading 3 3" xfId="277" xr:uid="{00000000-0005-0000-0000-00000C010000}"/>
    <cellStyle name="Heading 4 2" xfId="278" xr:uid="{00000000-0005-0000-0000-00000D010000}"/>
    <cellStyle name="Heading 4 3" xfId="279" xr:uid="{00000000-0005-0000-0000-00000E010000}"/>
    <cellStyle name="HEADING1" xfId="280" xr:uid="{00000000-0005-0000-0000-00000F010000}"/>
    <cellStyle name="HEADING1 2" xfId="281" xr:uid="{00000000-0005-0000-0000-000010010000}"/>
    <cellStyle name="HEADING1 3" xfId="282" xr:uid="{00000000-0005-0000-0000-000011010000}"/>
    <cellStyle name="HEADING1 4" xfId="283" xr:uid="{00000000-0005-0000-0000-000012010000}"/>
    <cellStyle name="HEADING1_รายงานประชุมกิจการ ก.ย.52_west2" xfId="284" xr:uid="{00000000-0005-0000-0000-000013010000}"/>
    <cellStyle name="HEADING2" xfId="285" xr:uid="{00000000-0005-0000-0000-000014010000}"/>
    <cellStyle name="HEADING2 2" xfId="286" xr:uid="{00000000-0005-0000-0000-000015010000}"/>
    <cellStyle name="HEADING2 3" xfId="287" xr:uid="{00000000-0005-0000-0000-000016010000}"/>
    <cellStyle name="HEADING2 4" xfId="288" xr:uid="{00000000-0005-0000-0000-000017010000}"/>
    <cellStyle name="HEADING2_รายงานประชุมกิจการ ก.ย.52_west2" xfId="289" xr:uid="{00000000-0005-0000-0000-000018010000}"/>
    <cellStyle name="Hyperlink 2" xfId="290" xr:uid="{00000000-0005-0000-0000-000019010000}"/>
    <cellStyle name="Hyperlink 3" xfId="291" xr:uid="{00000000-0005-0000-0000-00001A010000}"/>
    <cellStyle name="Input [yellow]" xfId="292" xr:uid="{00000000-0005-0000-0000-00001B010000}"/>
    <cellStyle name="Input [yellow] 2" xfId="293" xr:uid="{00000000-0005-0000-0000-00001C010000}"/>
    <cellStyle name="Input [yellow] 2 2" xfId="294" xr:uid="{00000000-0005-0000-0000-00001D010000}"/>
    <cellStyle name="Input [yellow] 2 2 2" xfId="1559" xr:uid="{00000000-0005-0000-0000-00001D010000}"/>
    <cellStyle name="Input [yellow] 2 3" xfId="295" xr:uid="{00000000-0005-0000-0000-00001E010000}"/>
    <cellStyle name="Input [yellow] 2 3 2" xfId="1560" xr:uid="{00000000-0005-0000-0000-00001E010000}"/>
    <cellStyle name="Input [yellow] 2 4" xfId="1558" xr:uid="{00000000-0005-0000-0000-00001C010000}"/>
    <cellStyle name="Input [yellow] 3" xfId="296" xr:uid="{00000000-0005-0000-0000-00001F010000}"/>
    <cellStyle name="Input [yellow] 3 2" xfId="1561" xr:uid="{00000000-0005-0000-0000-00001F010000}"/>
    <cellStyle name="Input [yellow] 4" xfId="297" xr:uid="{00000000-0005-0000-0000-000020010000}"/>
    <cellStyle name="Input [yellow] 4 2" xfId="1562" xr:uid="{00000000-0005-0000-0000-000020010000}"/>
    <cellStyle name="Input [yellow] 5" xfId="1557" xr:uid="{00000000-0005-0000-0000-00001B010000}"/>
    <cellStyle name="Input 10" xfId="298" xr:uid="{00000000-0005-0000-0000-000021010000}"/>
    <cellStyle name="Input 10 2" xfId="1563" xr:uid="{00000000-0005-0000-0000-000021010000}"/>
    <cellStyle name="Input 11" xfId="299" xr:uid="{00000000-0005-0000-0000-000022010000}"/>
    <cellStyle name="Input 11 2" xfId="1564" xr:uid="{00000000-0005-0000-0000-000022010000}"/>
    <cellStyle name="Input 12" xfId="300" xr:uid="{00000000-0005-0000-0000-000023010000}"/>
    <cellStyle name="Input 12 2" xfId="1565" xr:uid="{00000000-0005-0000-0000-000023010000}"/>
    <cellStyle name="Input 13" xfId="301" xr:uid="{00000000-0005-0000-0000-000024010000}"/>
    <cellStyle name="Input 13 2" xfId="1566" xr:uid="{00000000-0005-0000-0000-000024010000}"/>
    <cellStyle name="Input 2" xfId="302" xr:uid="{00000000-0005-0000-0000-000025010000}"/>
    <cellStyle name="Input 2 2" xfId="303" xr:uid="{00000000-0005-0000-0000-000026010000}"/>
    <cellStyle name="Input 2 2 2" xfId="1568" xr:uid="{00000000-0005-0000-0000-000026010000}"/>
    <cellStyle name="Input 2 3" xfId="304" xr:uid="{00000000-0005-0000-0000-000027010000}"/>
    <cellStyle name="Input 2 3 2" xfId="1569" xr:uid="{00000000-0005-0000-0000-000027010000}"/>
    <cellStyle name="Input 2 4" xfId="1567" xr:uid="{00000000-0005-0000-0000-000025010000}"/>
    <cellStyle name="Input 3" xfId="305" xr:uid="{00000000-0005-0000-0000-000028010000}"/>
    <cellStyle name="Input 3 2" xfId="306" xr:uid="{00000000-0005-0000-0000-000029010000}"/>
    <cellStyle name="Input 3 2 2" xfId="1571" xr:uid="{00000000-0005-0000-0000-000029010000}"/>
    <cellStyle name="Input 3 3" xfId="307" xr:uid="{00000000-0005-0000-0000-00002A010000}"/>
    <cellStyle name="Input 3 3 2" xfId="1572" xr:uid="{00000000-0005-0000-0000-00002A010000}"/>
    <cellStyle name="Input 3 4" xfId="1570" xr:uid="{00000000-0005-0000-0000-000028010000}"/>
    <cellStyle name="Input 4" xfId="308" xr:uid="{00000000-0005-0000-0000-00002B010000}"/>
    <cellStyle name="Input 4 2" xfId="309" xr:uid="{00000000-0005-0000-0000-00002C010000}"/>
    <cellStyle name="Input 4 2 2" xfId="1574" xr:uid="{00000000-0005-0000-0000-00002C010000}"/>
    <cellStyle name="Input 4 3" xfId="310" xr:uid="{00000000-0005-0000-0000-00002D010000}"/>
    <cellStyle name="Input 4 3 2" xfId="1575" xr:uid="{00000000-0005-0000-0000-00002D010000}"/>
    <cellStyle name="Input 4 4" xfId="1573" xr:uid="{00000000-0005-0000-0000-00002B010000}"/>
    <cellStyle name="Input 5" xfId="311" xr:uid="{00000000-0005-0000-0000-00002E010000}"/>
    <cellStyle name="Input 5 2" xfId="312" xr:uid="{00000000-0005-0000-0000-00002F010000}"/>
    <cellStyle name="Input 5 2 2" xfId="1577" xr:uid="{00000000-0005-0000-0000-00002F010000}"/>
    <cellStyle name="Input 5 3" xfId="313" xr:uid="{00000000-0005-0000-0000-000030010000}"/>
    <cellStyle name="Input 5 3 2" xfId="1578" xr:uid="{00000000-0005-0000-0000-000030010000}"/>
    <cellStyle name="Input 5 4" xfId="1576" xr:uid="{00000000-0005-0000-0000-00002E010000}"/>
    <cellStyle name="Input 6" xfId="314" xr:uid="{00000000-0005-0000-0000-000031010000}"/>
    <cellStyle name="Input 6 2" xfId="1579" xr:uid="{00000000-0005-0000-0000-000031010000}"/>
    <cellStyle name="Input 7" xfId="315" xr:uid="{00000000-0005-0000-0000-000032010000}"/>
    <cellStyle name="Input 7 2" xfId="1580" xr:uid="{00000000-0005-0000-0000-000032010000}"/>
    <cellStyle name="Input 8" xfId="316" xr:uid="{00000000-0005-0000-0000-000033010000}"/>
    <cellStyle name="Input 8 2" xfId="1581" xr:uid="{00000000-0005-0000-0000-000033010000}"/>
    <cellStyle name="Input 9" xfId="317" xr:uid="{00000000-0005-0000-0000-000034010000}"/>
    <cellStyle name="Input 9 2" xfId="1582" xr:uid="{00000000-0005-0000-0000-000034010000}"/>
    <cellStyle name="joy" xfId="318" xr:uid="{00000000-0005-0000-0000-000035010000}"/>
    <cellStyle name="joy 2" xfId="319" xr:uid="{00000000-0005-0000-0000-000036010000}"/>
    <cellStyle name="joy 2 2" xfId="320" xr:uid="{00000000-0005-0000-0000-000037010000}"/>
    <cellStyle name="joy 2 2 2" xfId="1585" xr:uid="{00000000-0005-0000-0000-000037010000}"/>
    <cellStyle name="joy 2 3" xfId="321" xr:uid="{00000000-0005-0000-0000-000038010000}"/>
    <cellStyle name="joy 2 3 2" xfId="1586" xr:uid="{00000000-0005-0000-0000-000038010000}"/>
    <cellStyle name="joy 2 4" xfId="322" xr:uid="{00000000-0005-0000-0000-000039010000}"/>
    <cellStyle name="joy 2 4 2" xfId="1587" xr:uid="{00000000-0005-0000-0000-000039010000}"/>
    <cellStyle name="joy 2 5" xfId="1584" xr:uid="{00000000-0005-0000-0000-000036010000}"/>
    <cellStyle name="joy 3" xfId="323" xr:uid="{00000000-0005-0000-0000-00003A010000}"/>
    <cellStyle name="joy 3 2" xfId="324" xr:uid="{00000000-0005-0000-0000-00003B010000}"/>
    <cellStyle name="joy 3 2 2" xfId="1589" xr:uid="{00000000-0005-0000-0000-00003B010000}"/>
    <cellStyle name="joy 3 3" xfId="325" xr:uid="{00000000-0005-0000-0000-00003C010000}"/>
    <cellStyle name="joy 3 3 2" xfId="1590" xr:uid="{00000000-0005-0000-0000-00003C010000}"/>
    <cellStyle name="joy 3 4" xfId="326" xr:uid="{00000000-0005-0000-0000-00003D010000}"/>
    <cellStyle name="joy 3 4 2" xfId="1591" xr:uid="{00000000-0005-0000-0000-00003D010000}"/>
    <cellStyle name="joy 3 5" xfId="1588" xr:uid="{00000000-0005-0000-0000-00003A010000}"/>
    <cellStyle name="joy 4" xfId="327" xr:uid="{00000000-0005-0000-0000-00003E010000}"/>
    <cellStyle name="joy 4 2" xfId="328" xr:uid="{00000000-0005-0000-0000-00003F010000}"/>
    <cellStyle name="joy 4 2 2" xfId="1593" xr:uid="{00000000-0005-0000-0000-00003F010000}"/>
    <cellStyle name="joy 4 3" xfId="329" xr:uid="{00000000-0005-0000-0000-000040010000}"/>
    <cellStyle name="joy 4 3 2" xfId="1594" xr:uid="{00000000-0005-0000-0000-000040010000}"/>
    <cellStyle name="joy 4 4" xfId="330" xr:uid="{00000000-0005-0000-0000-000041010000}"/>
    <cellStyle name="joy 4 4 2" xfId="1595" xr:uid="{00000000-0005-0000-0000-000041010000}"/>
    <cellStyle name="joy 4 5" xfId="1592" xr:uid="{00000000-0005-0000-0000-00003E010000}"/>
    <cellStyle name="joy 5" xfId="331" xr:uid="{00000000-0005-0000-0000-000042010000}"/>
    <cellStyle name="joy 5 2" xfId="1596" xr:uid="{00000000-0005-0000-0000-000042010000}"/>
    <cellStyle name="joy 6" xfId="332" xr:uid="{00000000-0005-0000-0000-000043010000}"/>
    <cellStyle name="joy 6 2" xfId="1597" xr:uid="{00000000-0005-0000-0000-000043010000}"/>
    <cellStyle name="joy 7" xfId="333" xr:uid="{00000000-0005-0000-0000-000044010000}"/>
    <cellStyle name="joy 7 2" xfId="1598" xr:uid="{00000000-0005-0000-0000-000044010000}"/>
    <cellStyle name="joy 8" xfId="1583" xr:uid="{00000000-0005-0000-0000-000035010000}"/>
    <cellStyle name="joy_รายงานประชุมกิจการ ก.ย.52_west2" xfId="334" xr:uid="{00000000-0005-0000-0000-000045010000}"/>
    <cellStyle name="Linked Cell 2" xfId="335" xr:uid="{00000000-0005-0000-0000-000046010000}"/>
    <cellStyle name="Linked Cell 2 2" xfId="336" xr:uid="{00000000-0005-0000-0000-000047010000}"/>
    <cellStyle name="Linked Cell 2 2 2" xfId="337" xr:uid="{00000000-0005-0000-0000-000048010000}"/>
    <cellStyle name="Linked Cell 2 2 3" xfId="338" xr:uid="{00000000-0005-0000-0000-000049010000}"/>
    <cellStyle name="Linked Cell 2 3" xfId="339" xr:uid="{00000000-0005-0000-0000-00004A010000}"/>
    <cellStyle name="Linked Cell 2 3 2" xfId="340" xr:uid="{00000000-0005-0000-0000-00004B010000}"/>
    <cellStyle name="Linked Cell 3" xfId="341" xr:uid="{00000000-0005-0000-0000-00004C010000}"/>
    <cellStyle name="Migliaia (0)" xfId="342" xr:uid="{00000000-0005-0000-0000-00004D010000}"/>
    <cellStyle name="Migliaia (0) 2" xfId="343" xr:uid="{00000000-0005-0000-0000-00004E010000}"/>
    <cellStyle name="Migliaia (0) 3" xfId="344" xr:uid="{00000000-0005-0000-0000-00004F010000}"/>
    <cellStyle name="Migliaia (0) 4" xfId="345" xr:uid="{00000000-0005-0000-0000-000050010000}"/>
    <cellStyle name="Migliaia (0) 5" xfId="346" xr:uid="{00000000-0005-0000-0000-000051010000}"/>
    <cellStyle name="Migliaia (0)_04 รายงานประชุมกิจการ ต.ค.52 ตต.1(ส่งเสริมคุณภาพ)" xfId="347" xr:uid="{00000000-0005-0000-0000-000052010000}"/>
    <cellStyle name="Neutral 2" xfId="348" xr:uid="{00000000-0005-0000-0000-000053010000}"/>
    <cellStyle name="Neutral 3" xfId="349" xr:uid="{00000000-0005-0000-0000-000054010000}"/>
    <cellStyle name="no dec" xfId="350" xr:uid="{00000000-0005-0000-0000-000055010000}"/>
    <cellStyle name="no dec 2" xfId="351" xr:uid="{00000000-0005-0000-0000-000056010000}"/>
    <cellStyle name="no dec 3" xfId="352" xr:uid="{00000000-0005-0000-0000-000057010000}"/>
    <cellStyle name="no dec 4" xfId="353" xr:uid="{00000000-0005-0000-0000-000058010000}"/>
    <cellStyle name="no dec_รายงานประชุมกิจการ ก.ย.52_west2" xfId="354" xr:uid="{00000000-0005-0000-0000-000059010000}"/>
    <cellStyle name="Normal" xfId="0" builtinId="0"/>
    <cellStyle name="Normal - Style1" xfId="355" xr:uid="{00000000-0005-0000-0000-00005B010000}"/>
    <cellStyle name="Normal 10" xfId="356" xr:uid="{00000000-0005-0000-0000-00005C010000}"/>
    <cellStyle name="Normal 102" xfId="357" xr:uid="{00000000-0005-0000-0000-00005D010000}"/>
    <cellStyle name="Normal 11" xfId="358" xr:uid="{00000000-0005-0000-0000-00005E010000}"/>
    <cellStyle name="Normal 12" xfId="359" xr:uid="{00000000-0005-0000-0000-00005F010000}"/>
    <cellStyle name="Normal 12 2" xfId="360" xr:uid="{00000000-0005-0000-0000-000060010000}"/>
    <cellStyle name="Normal 12 3" xfId="361" xr:uid="{00000000-0005-0000-0000-000061010000}"/>
    <cellStyle name="Normal 13" xfId="362" xr:uid="{00000000-0005-0000-0000-000062010000}"/>
    <cellStyle name="Normal 13 2" xfId="8" xr:uid="{00000000-0005-0000-0000-000063010000}"/>
    <cellStyle name="Normal 14" xfId="363" xr:uid="{00000000-0005-0000-0000-000064010000}"/>
    <cellStyle name="Normal 14 2" xfId="364" xr:uid="{00000000-0005-0000-0000-000065010000}"/>
    <cellStyle name="Normal 14 3" xfId="365" xr:uid="{00000000-0005-0000-0000-000066010000}"/>
    <cellStyle name="Normal 15" xfId="366" xr:uid="{00000000-0005-0000-0000-000067010000}"/>
    <cellStyle name="Normal 15 2" xfId="367" xr:uid="{00000000-0005-0000-0000-000068010000}"/>
    <cellStyle name="Normal 16" xfId="368" xr:uid="{00000000-0005-0000-0000-000069010000}"/>
    <cellStyle name="Normal 16 2" xfId="369" xr:uid="{00000000-0005-0000-0000-00006A010000}"/>
    <cellStyle name="Normal 17" xfId="370" xr:uid="{00000000-0005-0000-0000-00006B010000}"/>
    <cellStyle name="Normal 17 2" xfId="371" xr:uid="{00000000-0005-0000-0000-00006C010000}"/>
    <cellStyle name="Normal 17 3" xfId="372" xr:uid="{00000000-0005-0000-0000-00006D010000}"/>
    <cellStyle name="Normal 18" xfId="373" xr:uid="{00000000-0005-0000-0000-00006E010000}"/>
    <cellStyle name="Normal 18 2" xfId="374" xr:uid="{00000000-0005-0000-0000-00006F010000}"/>
    <cellStyle name="Normal 19" xfId="375" xr:uid="{00000000-0005-0000-0000-000070010000}"/>
    <cellStyle name="Normal 19 2" xfId="376" xr:uid="{00000000-0005-0000-0000-000071010000}"/>
    <cellStyle name="Normal 2" xfId="377" xr:uid="{00000000-0005-0000-0000-000072010000}"/>
    <cellStyle name="Normal 2 10" xfId="378" xr:uid="{00000000-0005-0000-0000-000073010000}"/>
    <cellStyle name="Normal 2 100" xfId="379" xr:uid="{00000000-0005-0000-0000-000074010000}"/>
    <cellStyle name="Normal 2 101" xfId="380" xr:uid="{00000000-0005-0000-0000-000075010000}"/>
    <cellStyle name="Normal 2 102" xfId="381" xr:uid="{00000000-0005-0000-0000-000076010000}"/>
    <cellStyle name="Normal 2 103" xfId="382" xr:uid="{00000000-0005-0000-0000-000077010000}"/>
    <cellStyle name="Normal 2 104" xfId="383" xr:uid="{00000000-0005-0000-0000-000078010000}"/>
    <cellStyle name="Normal 2 105" xfId="384" xr:uid="{00000000-0005-0000-0000-000079010000}"/>
    <cellStyle name="Normal 2 106" xfId="385" xr:uid="{00000000-0005-0000-0000-00007A010000}"/>
    <cellStyle name="Normal 2 107" xfId="386" xr:uid="{00000000-0005-0000-0000-00007B010000}"/>
    <cellStyle name="Normal 2 108" xfId="387" xr:uid="{00000000-0005-0000-0000-00007C010000}"/>
    <cellStyle name="Normal 2 109" xfId="388" xr:uid="{00000000-0005-0000-0000-00007D010000}"/>
    <cellStyle name="Normal 2 11" xfId="389" xr:uid="{00000000-0005-0000-0000-00007E010000}"/>
    <cellStyle name="Normal 2 110" xfId="390" xr:uid="{00000000-0005-0000-0000-00007F010000}"/>
    <cellStyle name="Normal 2 111" xfId="391" xr:uid="{00000000-0005-0000-0000-000080010000}"/>
    <cellStyle name="Normal 2 112" xfId="392" xr:uid="{00000000-0005-0000-0000-000081010000}"/>
    <cellStyle name="Normal 2 113" xfId="393" xr:uid="{00000000-0005-0000-0000-000082010000}"/>
    <cellStyle name="Normal 2 114" xfId="394" xr:uid="{00000000-0005-0000-0000-000083010000}"/>
    <cellStyle name="Normal 2 115" xfId="395" xr:uid="{00000000-0005-0000-0000-000084010000}"/>
    <cellStyle name="Normal 2 116" xfId="396" xr:uid="{00000000-0005-0000-0000-000085010000}"/>
    <cellStyle name="Normal 2 117" xfId="397" xr:uid="{00000000-0005-0000-0000-000086010000}"/>
    <cellStyle name="Normal 2 118" xfId="398" xr:uid="{00000000-0005-0000-0000-000087010000}"/>
    <cellStyle name="Normal 2 119" xfId="399" xr:uid="{00000000-0005-0000-0000-000088010000}"/>
    <cellStyle name="Normal 2 12" xfId="400" xr:uid="{00000000-0005-0000-0000-000089010000}"/>
    <cellStyle name="Normal 2 120" xfId="401" xr:uid="{00000000-0005-0000-0000-00008A010000}"/>
    <cellStyle name="Normal 2 121" xfId="402" xr:uid="{00000000-0005-0000-0000-00008B010000}"/>
    <cellStyle name="Normal 2 122" xfId="403" xr:uid="{00000000-0005-0000-0000-00008C010000}"/>
    <cellStyle name="Normal 2 123" xfId="404" xr:uid="{00000000-0005-0000-0000-00008D010000}"/>
    <cellStyle name="Normal 2 124" xfId="405" xr:uid="{00000000-0005-0000-0000-00008E010000}"/>
    <cellStyle name="Normal 2 125" xfId="406" xr:uid="{00000000-0005-0000-0000-00008F010000}"/>
    <cellStyle name="Normal 2 126" xfId="407" xr:uid="{00000000-0005-0000-0000-000090010000}"/>
    <cellStyle name="Normal 2 127" xfId="408" xr:uid="{00000000-0005-0000-0000-000091010000}"/>
    <cellStyle name="Normal 2 128" xfId="409" xr:uid="{00000000-0005-0000-0000-000092010000}"/>
    <cellStyle name="Normal 2 129" xfId="410" xr:uid="{00000000-0005-0000-0000-000093010000}"/>
    <cellStyle name="Normal 2 13" xfId="411" xr:uid="{00000000-0005-0000-0000-000094010000}"/>
    <cellStyle name="Normal 2 130" xfId="412" xr:uid="{00000000-0005-0000-0000-000095010000}"/>
    <cellStyle name="Normal 2 131" xfId="413" xr:uid="{00000000-0005-0000-0000-000096010000}"/>
    <cellStyle name="Normal 2 132" xfId="414" xr:uid="{00000000-0005-0000-0000-000097010000}"/>
    <cellStyle name="Normal 2 133" xfId="415" xr:uid="{00000000-0005-0000-0000-000098010000}"/>
    <cellStyle name="Normal 2 134" xfId="416" xr:uid="{00000000-0005-0000-0000-000099010000}"/>
    <cellStyle name="Normal 2 135" xfId="417" xr:uid="{00000000-0005-0000-0000-00009A010000}"/>
    <cellStyle name="Normal 2 136" xfId="418" xr:uid="{00000000-0005-0000-0000-00009B010000}"/>
    <cellStyle name="Normal 2 137" xfId="419" xr:uid="{00000000-0005-0000-0000-00009C010000}"/>
    <cellStyle name="Normal 2 138" xfId="420" xr:uid="{00000000-0005-0000-0000-00009D010000}"/>
    <cellStyle name="Normal 2 139" xfId="421" xr:uid="{00000000-0005-0000-0000-00009E010000}"/>
    <cellStyle name="Normal 2 14" xfId="422" xr:uid="{00000000-0005-0000-0000-00009F010000}"/>
    <cellStyle name="Normal 2 140" xfId="423" xr:uid="{00000000-0005-0000-0000-0000A0010000}"/>
    <cellStyle name="Normal 2 141" xfId="424" xr:uid="{00000000-0005-0000-0000-0000A1010000}"/>
    <cellStyle name="Normal 2 142" xfId="425" xr:uid="{00000000-0005-0000-0000-0000A2010000}"/>
    <cellStyle name="Normal 2 143" xfId="426" xr:uid="{00000000-0005-0000-0000-0000A3010000}"/>
    <cellStyle name="Normal 2 144" xfId="427" xr:uid="{00000000-0005-0000-0000-0000A4010000}"/>
    <cellStyle name="Normal 2 145" xfId="428" xr:uid="{00000000-0005-0000-0000-0000A5010000}"/>
    <cellStyle name="Normal 2 146" xfId="429" xr:uid="{00000000-0005-0000-0000-0000A6010000}"/>
    <cellStyle name="Normal 2 147" xfId="430" xr:uid="{00000000-0005-0000-0000-0000A7010000}"/>
    <cellStyle name="Normal 2 148" xfId="431" xr:uid="{00000000-0005-0000-0000-0000A8010000}"/>
    <cellStyle name="Normal 2 149" xfId="432" xr:uid="{00000000-0005-0000-0000-0000A9010000}"/>
    <cellStyle name="Normal 2 15" xfId="433" xr:uid="{00000000-0005-0000-0000-0000AA010000}"/>
    <cellStyle name="Normal 2 150" xfId="434" xr:uid="{00000000-0005-0000-0000-0000AB010000}"/>
    <cellStyle name="Normal 2 151" xfId="435" xr:uid="{00000000-0005-0000-0000-0000AC010000}"/>
    <cellStyle name="Normal 2 152" xfId="436" xr:uid="{00000000-0005-0000-0000-0000AD010000}"/>
    <cellStyle name="Normal 2 153" xfId="437" xr:uid="{00000000-0005-0000-0000-0000AE010000}"/>
    <cellStyle name="Normal 2 154" xfId="438" xr:uid="{00000000-0005-0000-0000-0000AF010000}"/>
    <cellStyle name="Normal 2 155" xfId="439" xr:uid="{00000000-0005-0000-0000-0000B0010000}"/>
    <cellStyle name="Normal 2 156" xfId="440" xr:uid="{00000000-0005-0000-0000-0000B1010000}"/>
    <cellStyle name="Normal 2 157" xfId="441" xr:uid="{00000000-0005-0000-0000-0000B2010000}"/>
    <cellStyle name="Normal 2 158" xfId="442" xr:uid="{00000000-0005-0000-0000-0000B3010000}"/>
    <cellStyle name="Normal 2 16" xfId="443" xr:uid="{00000000-0005-0000-0000-0000B4010000}"/>
    <cellStyle name="Normal 2 160" xfId="444" xr:uid="{00000000-0005-0000-0000-0000B5010000}"/>
    <cellStyle name="Normal 2 161" xfId="445" xr:uid="{00000000-0005-0000-0000-0000B6010000}"/>
    <cellStyle name="Normal 2 162" xfId="446" xr:uid="{00000000-0005-0000-0000-0000B7010000}"/>
    <cellStyle name="Normal 2 163" xfId="447" xr:uid="{00000000-0005-0000-0000-0000B8010000}"/>
    <cellStyle name="Normal 2 164" xfId="448" xr:uid="{00000000-0005-0000-0000-0000B9010000}"/>
    <cellStyle name="Normal 2 165" xfId="449" xr:uid="{00000000-0005-0000-0000-0000BA010000}"/>
    <cellStyle name="Normal 2 166" xfId="450" xr:uid="{00000000-0005-0000-0000-0000BB010000}"/>
    <cellStyle name="Normal 2 167" xfId="451" xr:uid="{00000000-0005-0000-0000-0000BC010000}"/>
    <cellStyle name="Normal 2 168" xfId="452" xr:uid="{00000000-0005-0000-0000-0000BD010000}"/>
    <cellStyle name="Normal 2 169" xfId="453" xr:uid="{00000000-0005-0000-0000-0000BE010000}"/>
    <cellStyle name="Normal 2 17" xfId="454" xr:uid="{00000000-0005-0000-0000-0000BF010000}"/>
    <cellStyle name="Normal 2 170" xfId="455" xr:uid="{00000000-0005-0000-0000-0000C0010000}"/>
    <cellStyle name="Normal 2 171" xfId="456" xr:uid="{00000000-0005-0000-0000-0000C1010000}"/>
    <cellStyle name="Normal 2 172" xfId="457" xr:uid="{00000000-0005-0000-0000-0000C2010000}"/>
    <cellStyle name="Normal 2 173" xfId="458" xr:uid="{00000000-0005-0000-0000-0000C3010000}"/>
    <cellStyle name="Normal 2 174" xfId="459" xr:uid="{00000000-0005-0000-0000-0000C4010000}"/>
    <cellStyle name="Normal 2 175" xfId="460" xr:uid="{00000000-0005-0000-0000-0000C5010000}"/>
    <cellStyle name="Normal 2 176" xfId="461" xr:uid="{00000000-0005-0000-0000-0000C6010000}"/>
    <cellStyle name="Normal 2 177" xfId="462" xr:uid="{00000000-0005-0000-0000-0000C7010000}"/>
    <cellStyle name="Normal 2 178" xfId="463" xr:uid="{00000000-0005-0000-0000-0000C8010000}"/>
    <cellStyle name="Normal 2 179" xfId="464" xr:uid="{00000000-0005-0000-0000-0000C9010000}"/>
    <cellStyle name="Normal 2 18" xfId="465" xr:uid="{00000000-0005-0000-0000-0000CA010000}"/>
    <cellStyle name="Normal 2 180" xfId="466" xr:uid="{00000000-0005-0000-0000-0000CB010000}"/>
    <cellStyle name="Normal 2 181" xfId="467" xr:uid="{00000000-0005-0000-0000-0000CC010000}"/>
    <cellStyle name="Normal 2 182" xfId="468" xr:uid="{00000000-0005-0000-0000-0000CD010000}"/>
    <cellStyle name="Normal 2 183" xfId="469" xr:uid="{00000000-0005-0000-0000-0000CE010000}"/>
    <cellStyle name="Normal 2 184" xfId="470" xr:uid="{00000000-0005-0000-0000-0000CF010000}"/>
    <cellStyle name="Normal 2 186" xfId="471" xr:uid="{00000000-0005-0000-0000-0000D0010000}"/>
    <cellStyle name="Normal 2 19" xfId="472" xr:uid="{00000000-0005-0000-0000-0000D1010000}"/>
    <cellStyle name="Normal 2 2" xfId="473" xr:uid="{00000000-0005-0000-0000-0000D2010000}"/>
    <cellStyle name="Normal 2 2 2" xfId="474" xr:uid="{00000000-0005-0000-0000-0000D3010000}"/>
    <cellStyle name="Normal 2 2 3" xfId="475" xr:uid="{00000000-0005-0000-0000-0000D4010000}"/>
    <cellStyle name="Normal 2 20" xfId="476" xr:uid="{00000000-0005-0000-0000-0000D5010000}"/>
    <cellStyle name="Normal 2 21" xfId="477" xr:uid="{00000000-0005-0000-0000-0000D6010000}"/>
    <cellStyle name="Normal 2 22" xfId="478" xr:uid="{00000000-0005-0000-0000-0000D7010000}"/>
    <cellStyle name="Normal 2 23" xfId="479" xr:uid="{00000000-0005-0000-0000-0000D8010000}"/>
    <cellStyle name="Normal 2 24" xfId="480" xr:uid="{00000000-0005-0000-0000-0000D9010000}"/>
    <cellStyle name="Normal 2 25" xfId="481" xr:uid="{00000000-0005-0000-0000-0000DA010000}"/>
    <cellStyle name="Normal 2 26" xfId="482" xr:uid="{00000000-0005-0000-0000-0000DB010000}"/>
    <cellStyle name="Normal 2 27" xfId="483" xr:uid="{00000000-0005-0000-0000-0000DC010000}"/>
    <cellStyle name="Normal 2 28" xfId="484" xr:uid="{00000000-0005-0000-0000-0000DD010000}"/>
    <cellStyle name="Normal 2 29" xfId="485" xr:uid="{00000000-0005-0000-0000-0000DE010000}"/>
    <cellStyle name="Normal 2 3" xfId="486" xr:uid="{00000000-0005-0000-0000-0000DF010000}"/>
    <cellStyle name="Normal 2 3 2" xfId="487" xr:uid="{00000000-0005-0000-0000-0000E0010000}"/>
    <cellStyle name="Normal 2 3 3" xfId="488" xr:uid="{00000000-0005-0000-0000-0000E1010000}"/>
    <cellStyle name="Normal 2 30" xfId="489" xr:uid="{00000000-0005-0000-0000-0000E2010000}"/>
    <cellStyle name="Normal 2 31" xfId="490" xr:uid="{00000000-0005-0000-0000-0000E3010000}"/>
    <cellStyle name="Normal 2 32" xfId="491" xr:uid="{00000000-0005-0000-0000-0000E4010000}"/>
    <cellStyle name="Normal 2 33" xfId="492" xr:uid="{00000000-0005-0000-0000-0000E5010000}"/>
    <cellStyle name="Normal 2 34" xfId="493" xr:uid="{00000000-0005-0000-0000-0000E6010000}"/>
    <cellStyle name="Normal 2 35" xfId="494" xr:uid="{00000000-0005-0000-0000-0000E7010000}"/>
    <cellStyle name="Normal 2 37" xfId="495" xr:uid="{00000000-0005-0000-0000-0000E8010000}"/>
    <cellStyle name="Normal 2 38" xfId="496" xr:uid="{00000000-0005-0000-0000-0000E9010000}"/>
    <cellStyle name="Normal 2 39" xfId="497" xr:uid="{00000000-0005-0000-0000-0000EA010000}"/>
    <cellStyle name="Normal 2 4" xfId="498" xr:uid="{00000000-0005-0000-0000-0000EB010000}"/>
    <cellStyle name="Normal 2 4 2" xfId="499" xr:uid="{00000000-0005-0000-0000-0000EC010000}"/>
    <cellStyle name="Normal 2 40" xfId="500" xr:uid="{00000000-0005-0000-0000-0000ED010000}"/>
    <cellStyle name="Normal 2 41" xfId="501" xr:uid="{00000000-0005-0000-0000-0000EE010000}"/>
    <cellStyle name="Normal 2 42" xfId="502" xr:uid="{00000000-0005-0000-0000-0000EF010000}"/>
    <cellStyle name="Normal 2 43" xfId="503" xr:uid="{00000000-0005-0000-0000-0000F0010000}"/>
    <cellStyle name="Normal 2 44" xfId="504" xr:uid="{00000000-0005-0000-0000-0000F1010000}"/>
    <cellStyle name="Normal 2 45" xfId="505" xr:uid="{00000000-0005-0000-0000-0000F2010000}"/>
    <cellStyle name="Normal 2 46" xfId="506" xr:uid="{00000000-0005-0000-0000-0000F3010000}"/>
    <cellStyle name="Normal 2 47" xfId="507" xr:uid="{00000000-0005-0000-0000-0000F4010000}"/>
    <cellStyle name="Normal 2 48" xfId="508" xr:uid="{00000000-0005-0000-0000-0000F5010000}"/>
    <cellStyle name="Normal 2 49" xfId="509" xr:uid="{00000000-0005-0000-0000-0000F6010000}"/>
    <cellStyle name="Normal 2 5" xfId="510" xr:uid="{00000000-0005-0000-0000-0000F7010000}"/>
    <cellStyle name="Normal 2 50" xfId="511" xr:uid="{00000000-0005-0000-0000-0000F8010000}"/>
    <cellStyle name="Normal 2 51" xfId="512" xr:uid="{00000000-0005-0000-0000-0000F9010000}"/>
    <cellStyle name="Normal 2 52" xfId="513" xr:uid="{00000000-0005-0000-0000-0000FA010000}"/>
    <cellStyle name="Normal 2 53" xfId="514" xr:uid="{00000000-0005-0000-0000-0000FB010000}"/>
    <cellStyle name="Normal 2 54" xfId="515" xr:uid="{00000000-0005-0000-0000-0000FC010000}"/>
    <cellStyle name="Normal 2 55" xfId="516" xr:uid="{00000000-0005-0000-0000-0000FD010000}"/>
    <cellStyle name="Normal 2 56" xfId="517" xr:uid="{00000000-0005-0000-0000-0000FE010000}"/>
    <cellStyle name="Normal 2 57" xfId="518" xr:uid="{00000000-0005-0000-0000-0000FF010000}"/>
    <cellStyle name="Normal 2 58" xfId="519" xr:uid="{00000000-0005-0000-0000-000000020000}"/>
    <cellStyle name="Normal 2 59" xfId="520" xr:uid="{00000000-0005-0000-0000-000001020000}"/>
    <cellStyle name="Normal 2 6" xfId="521" xr:uid="{00000000-0005-0000-0000-000002020000}"/>
    <cellStyle name="Normal 2 60" xfId="522" xr:uid="{00000000-0005-0000-0000-000003020000}"/>
    <cellStyle name="Normal 2 61" xfId="523" xr:uid="{00000000-0005-0000-0000-000004020000}"/>
    <cellStyle name="Normal 2 62" xfId="524" xr:uid="{00000000-0005-0000-0000-000005020000}"/>
    <cellStyle name="Normal 2 63" xfId="525" xr:uid="{00000000-0005-0000-0000-000006020000}"/>
    <cellStyle name="Normal 2 64" xfId="526" xr:uid="{00000000-0005-0000-0000-000007020000}"/>
    <cellStyle name="Normal 2 65" xfId="527" xr:uid="{00000000-0005-0000-0000-000008020000}"/>
    <cellStyle name="Normal 2 66" xfId="528" xr:uid="{00000000-0005-0000-0000-000009020000}"/>
    <cellStyle name="Normal 2 67" xfId="529" xr:uid="{00000000-0005-0000-0000-00000A020000}"/>
    <cellStyle name="Normal 2 68" xfId="530" xr:uid="{00000000-0005-0000-0000-00000B020000}"/>
    <cellStyle name="Normal 2 69" xfId="531" xr:uid="{00000000-0005-0000-0000-00000C020000}"/>
    <cellStyle name="Normal 2 7" xfId="532" xr:uid="{00000000-0005-0000-0000-00000D020000}"/>
    <cellStyle name="Normal 2 70" xfId="533" xr:uid="{00000000-0005-0000-0000-00000E020000}"/>
    <cellStyle name="Normal 2 71" xfId="534" xr:uid="{00000000-0005-0000-0000-00000F020000}"/>
    <cellStyle name="Normal 2 72" xfId="535" xr:uid="{00000000-0005-0000-0000-000010020000}"/>
    <cellStyle name="Normal 2 73" xfId="536" xr:uid="{00000000-0005-0000-0000-000011020000}"/>
    <cellStyle name="Normal 2 74" xfId="537" xr:uid="{00000000-0005-0000-0000-000012020000}"/>
    <cellStyle name="Normal 2 75" xfId="538" xr:uid="{00000000-0005-0000-0000-000013020000}"/>
    <cellStyle name="Normal 2 77" xfId="539" xr:uid="{00000000-0005-0000-0000-000014020000}"/>
    <cellStyle name="Normal 2 78" xfId="540" xr:uid="{00000000-0005-0000-0000-000015020000}"/>
    <cellStyle name="Normal 2 79" xfId="541" xr:uid="{00000000-0005-0000-0000-000016020000}"/>
    <cellStyle name="Normal 2 8" xfId="542" xr:uid="{00000000-0005-0000-0000-000017020000}"/>
    <cellStyle name="Normal 2 80" xfId="543" xr:uid="{00000000-0005-0000-0000-000018020000}"/>
    <cellStyle name="Normal 2 81" xfId="544" xr:uid="{00000000-0005-0000-0000-000019020000}"/>
    <cellStyle name="Normal 2 82" xfId="545" xr:uid="{00000000-0005-0000-0000-00001A020000}"/>
    <cellStyle name="Normal 2 83" xfId="546" xr:uid="{00000000-0005-0000-0000-00001B020000}"/>
    <cellStyle name="Normal 2 84" xfId="547" xr:uid="{00000000-0005-0000-0000-00001C020000}"/>
    <cellStyle name="Normal 2 85" xfId="548" xr:uid="{00000000-0005-0000-0000-00001D020000}"/>
    <cellStyle name="Normal 2 86" xfId="549" xr:uid="{00000000-0005-0000-0000-00001E020000}"/>
    <cellStyle name="Normal 2 87" xfId="550" xr:uid="{00000000-0005-0000-0000-00001F020000}"/>
    <cellStyle name="Normal 2 88" xfId="551" xr:uid="{00000000-0005-0000-0000-000020020000}"/>
    <cellStyle name="Normal 2 89" xfId="552" xr:uid="{00000000-0005-0000-0000-000021020000}"/>
    <cellStyle name="Normal 2 9" xfId="553" xr:uid="{00000000-0005-0000-0000-000022020000}"/>
    <cellStyle name="Normal 2 90" xfId="554" xr:uid="{00000000-0005-0000-0000-000023020000}"/>
    <cellStyle name="Normal 2 91" xfId="555" xr:uid="{00000000-0005-0000-0000-000024020000}"/>
    <cellStyle name="Normal 2 93" xfId="556" xr:uid="{00000000-0005-0000-0000-000025020000}"/>
    <cellStyle name="Normal 2 94" xfId="557" xr:uid="{00000000-0005-0000-0000-000026020000}"/>
    <cellStyle name="Normal 2 95" xfId="558" xr:uid="{00000000-0005-0000-0000-000027020000}"/>
    <cellStyle name="Normal 2 96" xfId="559" xr:uid="{00000000-0005-0000-0000-000028020000}"/>
    <cellStyle name="Normal 2 97" xfId="560" xr:uid="{00000000-0005-0000-0000-000029020000}"/>
    <cellStyle name="Normal 2 98" xfId="561" xr:uid="{00000000-0005-0000-0000-00002A020000}"/>
    <cellStyle name="Normal 2 99" xfId="562" xr:uid="{00000000-0005-0000-0000-00002B020000}"/>
    <cellStyle name="Normal 2_04 รายงานประชุมกิจการ ต.ค.52 ตต.1(ส่งเสริมคุณภาพ)" xfId="563" xr:uid="{00000000-0005-0000-0000-00002C020000}"/>
    <cellStyle name="Normal 20" xfId="564" xr:uid="{00000000-0005-0000-0000-00002D020000}"/>
    <cellStyle name="Normal 20 2" xfId="565" xr:uid="{00000000-0005-0000-0000-00002E020000}"/>
    <cellStyle name="Normal 21" xfId="566" xr:uid="{00000000-0005-0000-0000-00002F020000}"/>
    <cellStyle name="Normal 22" xfId="567" xr:uid="{00000000-0005-0000-0000-000030020000}"/>
    <cellStyle name="Normal 23" xfId="568" xr:uid="{00000000-0005-0000-0000-000031020000}"/>
    <cellStyle name="Normal 24" xfId="569" xr:uid="{00000000-0005-0000-0000-000032020000}"/>
    <cellStyle name="Normal 25" xfId="570" xr:uid="{00000000-0005-0000-0000-000033020000}"/>
    <cellStyle name="Normal 26" xfId="571" xr:uid="{00000000-0005-0000-0000-000034020000}"/>
    <cellStyle name="Normal 27" xfId="572" xr:uid="{00000000-0005-0000-0000-000035020000}"/>
    <cellStyle name="Normal 28" xfId="573" xr:uid="{00000000-0005-0000-0000-000036020000}"/>
    <cellStyle name="Normal 29" xfId="574" xr:uid="{00000000-0005-0000-0000-000037020000}"/>
    <cellStyle name="Normal 3" xfId="575" xr:uid="{00000000-0005-0000-0000-000038020000}"/>
    <cellStyle name="Normal 3 2" xfId="576" xr:uid="{00000000-0005-0000-0000-000039020000}"/>
    <cellStyle name="Normal 3 2 2" xfId="577" xr:uid="{00000000-0005-0000-0000-00003A020000}"/>
    <cellStyle name="Normal 3 2 3" xfId="578" xr:uid="{00000000-0005-0000-0000-00003B020000}"/>
    <cellStyle name="Normal 3 3" xfId="579" xr:uid="{00000000-0005-0000-0000-00003C020000}"/>
    <cellStyle name="Normal 3 3 2" xfId="580" xr:uid="{00000000-0005-0000-0000-00003D020000}"/>
    <cellStyle name="Normal 3 4" xfId="581" xr:uid="{00000000-0005-0000-0000-00003E020000}"/>
    <cellStyle name="Normal 3 4 2" xfId="582" xr:uid="{00000000-0005-0000-0000-00003F020000}"/>
    <cellStyle name="Normal 3 4 3" xfId="583" xr:uid="{00000000-0005-0000-0000-000040020000}"/>
    <cellStyle name="Normal 3 5" xfId="7" xr:uid="{00000000-0005-0000-0000-000041020000}"/>
    <cellStyle name="Normal 3 6" xfId="584" xr:uid="{00000000-0005-0000-0000-000042020000}"/>
    <cellStyle name="Normal 3_3.ประชุมกิจการ FC ภน เดือน มีนาคม 56" xfId="585" xr:uid="{00000000-0005-0000-0000-000043020000}"/>
    <cellStyle name="Normal 30" xfId="586" xr:uid="{00000000-0005-0000-0000-000044020000}"/>
    <cellStyle name="Normal 31" xfId="6" xr:uid="{00000000-0005-0000-0000-000093010000}"/>
    <cellStyle name="Normal 32" xfId="587" xr:uid="{00000000-0005-0000-0000-000045020000}"/>
    <cellStyle name="Normal 33" xfId="1484" xr:uid="{00000000-0005-0000-0000-000000060000}"/>
    <cellStyle name="Normal 34" xfId="1530" xr:uid="{00000000-0005-0000-0000-000004060000}"/>
    <cellStyle name="Normal 35" xfId="1485" xr:uid="{00000000-0005-0000-0000-000019060000}"/>
    <cellStyle name="Normal 36" xfId="1529" xr:uid="{00000000-0005-0000-0000-00001D060000}"/>
    <cellStyle name="Normal 37" xfId="1490" xr:uid="{00000000-0005-0000-0000-000032060000}"/>
    <cellStyle name="Normal 38" xfId="1535" xr:uid="{00000000-0005-0000-0000-000033060000}"/>
    <cellStyle name="Normal 39" xfId="1536" xr:uid="{00000000-0005-0000-0000-000075060000}"/>
    <cellStyle name="Normal 4" xfId="588" xr:uid="{00000000-0005-0000-0000-000046020000}"/>
    <cellStyle name="Normal 4 2" xfId="589" xr:uid="{00000000-0005-0000-0000-000047020000}"/>
    <cellStyle name="Normal 4 3" xfId="590" xr:uid="{00000000-0005-0000-0000-000048020000}"/>
    <cellStyle name="Normal 4 4" xfId="591" xr:uid="{00000000-0005-0000-0000-000049020000}"/>
    <cellStyle name="Normal 4 5" xfId="592" xr:uid="{00000000-0005-0000-0000-00004A020000}"/>
    <cellStyle name="Normal 5" xfId="593" xr:uid="{00000000-0005-0000-0000-00004B020000}"/>
    <cellStyle name="Normal 5 2" xfId="594" xr:uid="{00000000-0005-0000-0000-00004C020000}"/>
    <cellStyle name="Normal 5 2 2" xfId="595" xr:uid="{00000000-0005-0000-0000-00004D020000}"/>
    <cellStyle name="Normal 5 3" xfId="596" xr:uid="{00000000-0005-0000-0000-00004E020000}"/>
    <cellStyle name="Normal 5 4" xfId="597" xr:uid="{00000000-0005-0000-0000-00004F020000}"/>
    <cellStyle name="Normal 5 5" xfId="598" xr:uid="{00000000-0005-0000-0000-000050020000}"/>
    <cellStyle name="Normal 6" xfId="599" xr:uid="{00000000-0005-0000-0000-000051020000}"/>
    <cellStyle name="Normal 6 2" xfId="600" xr:uid="{00000000-0005-0000-0000-000052020000}"/>
    <cellStyle name="Normal 6 3" xfId="601" xr:uid="{00000000-0005-0000-0000-000053020000}"/>
    <cellStyle name="Normal 7" xfId="602" xr:uid="{00000000-0005-0000-0000-000054020000}"/>
    <cellStyle name="Normal 7 2" xfId="603" xr:uid="{00000000-0005-0000-0000-000055020000}"/>
    <cellStyle name="Normal 7 2 2" xfId="604" xr:uid="{00000000-0005-0000-0000-000056020000}"/>
    <cellStyle name="Normal 7 3" xfId="605" xr:uid="{00000000-0005-0000-0000-000057020000}"/>
    <cellStyle name="Normal 7 4" xfId="606" xr:uid="{00000000-0005-0000-0000-000058020000}"/>
    <cellStyle name="Normal 7 5" xfId="607" xr:uid="{00000000-0005-0000-0000-000059020000}"/>
    <cellStyle name="Normal 8" xfId="608" xr:uid="{00000000-0005-0000-0000-00005A020000}"/>
    <cellStyle name="Normal 8 2" xfId="609" xr:uid="{00000000-0005-0000-0000-00005B020000}"/>
    <cellStyle name="Normal 8 3" xfId="610" xr:uid="{00000000-0005-0000-0000-00005C020000}"/>
    <cellStyle name="Normal 8 4" xfId="611" xr:uid="{00000000-0005-0000-0000-00005D020000}"/>
    <cellStyle name="Normal 9" xfId="612" xr:uid="{00000000-0005-0000-0000-00005E020000}"/>
    <cellStyle name="Normal 9 2" xfId="613" xr:uid="{00000000-0005-0000-0000-00005F020000}"/>
    <cellStyle name="Normal_Database Franchise rev.2" xfId="1" xr:uid="{3D8115AD-8BA1-46DC-8CB0-3C9A006DE2DB}"/>
    <cellStyle name="Normal_E-Mail พนักงาน 1 เม.ย. 54" xfId="3" xr:uid="{62949D4C-8D31-4DB7-B191-72685244EC80}"/>
    <cellStyle name="Normal_FC Type S -Update มิ.ย.54 2" xfId="5" xr:uid="{5894EDF0-9984-4301-B6B4-56C348680DC4}"/>
    <cellStyle name="Normal_Sheet1" xfId="2" xr:uid="{DBFA787E-017A-47A5-B6D9-E1BA1CB27205}"/>
    <cellStyle name="Note 2" xfId="614" xr:uid="{00000000-0005-0000-0000-000066020000}"/>
    <cellStyle name="Note 2 2" xfId="615" xr:uid="{00000000-0005-0000-0000-000067020000}"/>
    <cellStyle name="Note 2 2 2" xfId="616" xr:uid="{00000000-0005-0000-0000-000068020000}"/>
    <cellStyle name="Note 2 2 2 2" xfId="1520" xr:uid="{00000000-0005-0000-0000-000068020000}"/>
    <cellStyle name="Note 2 2 2 2 2" xfId="1663" xr:uid="{00000000-0005-0000-0000-000068020000}"/>
    <cellStyle name="Note 2 2 2 3" xfId="1507" xr:uid="{00000000-0005-0000-0000-000068020000}"/>
    <cellStyle name="Note 2 2 2 3 2" xfId="1650" xr:uid="{00000000-0005-0000-0000-000068020000}"/>
    <cellStyle name="Note 2 2 2 4" xfId="1601" xr:uid="{00000000-0005-0000-0000-000068020000}"/>
    <cellStyle name="Note 2 2 3" xfId="1521" xr:uid="{00000000-0005-0000-0000-000067020000}"/>
    <cellStyle name="Note 2 2 3 2" xfId="1664" xr:uid="{00000000-0005-0000-0000-000067020000}"/>
    <cellStyle name="Note 2 2 4" xfId="1508" xr:uid="{00000000-0005-0000-0000-000067020000}"/>
    <cellStyle name="Note 2 2 4 2" xfId="1651" xr:uid="{00000000-0005-0000-0000-000067020000}"/>
    <cellStyle name="Note 2 2 5" xfId="1600" xr:uid="{00000000-0005-0000-0000-000067020000}"/>
    <cellStyle name="Note 2 3" xfId="617" xr:uid="{00000000-0005-0000-0000-000069020000}"/>
    <cellStyle name="Note 2 3 2" xfId="1519" xr:uid="{00000000-0005-0000-0000-000069020000}"/>
    <cellStyle name="Note 2 3 2 2" xfId="1662" xr:uid="{00000000-0005-0000-0000-000069020000}"/>
    <cellStyle name="Note 2 3 3" xfId="1506" xr:uid="{00000000-0005-0000-0000-000069020000}"/>
    <cellStyle name="Note 2 3 3 2" xfId="1649" xr:uid="{00000000-0005-0000-0000-000069020000}"/>
    <cellStyle name="Note 2 3 4" xfId="1602" xr:uid="{00000000-0005-0000-0000-000069020000}"/>
    <cellStyle name="Note 2 4" xfId="618" xr:uid="{00000000-0005-0000-0000-00006A020000}"/>
    <cellStyle name="Note 2 4 2" xfId="1518" xr:uid="{00000000-0005-0000-0000-00006A020000}"/>
    <cellStyle name="Note 2 4 2 2" xfId="1661" xr:uid="{00000000-0005-0000-0000-00006A020000}"/>
    <cellStyle name="Note 2 4 3" xfId="1505" xr:uid="{00000000-0005-0000-0000-00006A020000}"/>
    <cellStyle name="Note 2 4 3 2" xfId="1648" xr:uid="{00000000-0005-0000-0000-00006A020000}"/>
    <cellStyle name="Note 2 4 4" xfId="1603" xr:uid="{00000000-0005-0000-0000-00006A020000}"/>
    <cellStyle name="Note 2 5" xfId="1522" xr:uid="{00000000-0005-0000-0000-000066020000}"/>
    <cellStyle name="Note 2 5 2" xfId="1665" xr:uid="{00000000-0005-0000-0000-000066020000}"/>
    <cellStyle name="Note 2 6" xfId="1509" xr:uid="{00000000-0005-0000-0000-000066020000}"/>
    <cellStyle name="Note 2 6 2" xfId="1652" xr:uid="{00000000-0005-0000-0000-000066020000}"/>
    <cellStyle name="Note 2 7" xfId="1599" xr:uid="{00000000-0005-0000-0000-000066020000}"/>
    <cellStyle name="Note 3" xfId="619" xr:uid="{00000000-0005-0000-0000-00006B020000}"/>
    <cellStyle name="Note 3 2" xfId="620" xr:uid="{00000000-0005-0000-0000-00006C020000}"/>
    <cellStyle name="Note 3 2 2" xfId="1515" xr:uid="{00000000-0005-0000-0000-00006C020000}"/>
    <cellStyle name="Note 3 2 2 2" xfId="1658" xr:uid="{00000000-0005-0000-0000-00006C020000}"/>
    <cellStyle name="Note 3 2 3" xfId="1503" xr:uid="{00000000-0005-0000-0000-00006C020000}"/>
    <cellStyle name="Note 3 2 3 2" xfId="1646" xr:uid="{00000000-0005-0000-0000-00006C020000}"/>
    <cellStyle name="Note 3 2 4" xfId="1605" xr:uid="{00000000-0005-0000-0000-00006C020000}"/>
    <cellStyle name="Note 3 3" xfId="621" xr:uid="{00000000-0005-0000-0000-00006D020000}"/>
    <cellStyle name="Note 3 3 2" xfId="1514" xr:uid="{00000000-0005-0000-0000-00006D020000}"/>
    <cellStyle name="Note 3 3 2 2" xfId="1657" xr:uid="{00000000-0005-0000-0000-00006D020000}"/>
    <cellStyle name="Note 3 3 3" xfId="1502" xr:uid="{00000000-0005-0000-0000-00006D020000}"/>
    <cellStyle name="Note 3 3 3 2" xfId="1645" xr:uid="{00000000-0005-0000-0000-00006D020000}"/>
    <cellStyle name="Note 3 3 4" xfId="1606" xr:uid="{00000000-0005-0000-0000-00006D020000}"/>
    <cellStyle name="Note 3 4" xfId="622" xr:uid="{00000000-0005-0000-0000-00006E020000}"/>
    <cellStyle name="Note 3 4 2" xfId="1513" xr:uid="{00000000-0005-0000-0000-00006E020000}"/>
    <cellStyle name="Note 3 4 2 2" xfId="1656" xr:uid="{00000000-0005-0000-0000-00006E020000}"/>
    <cellStyle name="Note 3 4 3" xfId="1501" xr:uid="{00000000-0005-0000-0000-00006E020000}"/>
    <cellStyle name="Note 3 4 3 2" xfId="1644" xr:uid="{00000000-0005-0000-0000-00006E020000}"/>
    <cellStyle name="Note 3 4 4" xfId="1607" xr:uid="{00000000-0005-0000-0000-00006E020000}"/>
    <cellStyle name="Note 3 5" xfId="1517" xr:uid="{00000000-0005-0000-0000-00006B020000}"/>
    <cellStyle name="Note 3 5 2" xfId="1660" xr:uid="{00000000-0005-0000-0000-00006B020000}"/>
    <cellStyle name="Note 3 6" xfId="1504" xr:uid="{00000000-0005-0000-0000-00006B020000}"/>
    <cellStyle name="Note 3 6 2" xfId="1647" xr:uid="{00000000-0005-0000-0000-00006B020000}"/>
    <cellStyle name="Note 3 7" xfId="1604" xr:uid="{00000000-0005-0000-0000-00006B020000}"/>
    <cellStyle name="Note 4" xfId="623" xr:uid="{00000000-0005-0000-0000-00006F020000}"/>
    <cellStyle name="Note 4 2" xfId="624" xr:uid="{00000000-0005-0000-0000-000070020000}"/>
    <cellStyle name="Note 4 2 2" xfId="1511" xr:uid="{00000000-0005-0000-0000-000070020000}"/>
    <cellStyle name="Note 4 2 2 2" xfId="1654" xr:uid="{00000000-0005-0000-0000-000070020000}"/>
    <cellStyle name="Note 4 2 3" xfId="1499" xr:uid="{00000000-0005-0000-0000-000070020000}"/>
    <cellStyle name="Note 4 2 3 2" xfId="1642" xr:uid="{00000000-0005-0000-0000-000070020000}"/>
    <cellStyle name="Note 4 2 4" xfId="1609" xr:uid="{00000000-0005-0000-0000-000070020000}"/>
    <cellStyle name="Note 4 3" xfId="625" xr:uid="{00000000-0005-0000-0000-000071020000}"/>
    <cellStyle name="Note 4 3 2" xfId="1510" xr:uid="{00000000-0005-0000-0000-000071020000}"/>
    <cellStyle name="Note 4 3 2 2" xfId="1653" xr:uid="{00000000-0005-0000-0000-000071020000}"/>
    <cellStyle name="Note 4 3 3" xfId="1498" xr:uid="{00000000-0005-0000-0000-000071020000}"/>
    <cellStyle name="Note 4 3 3 2" xfId="1641" xr:uid="{00000000-0005-0000-0000-000071020000}"/>
    <cellStyle name="Note 4 3 4" xfId="1610" xr:uid="{00000000-0005-0000-0000-000071020000}"/>
    <cellStyle name="Note 4 4" xfId="1512" xr:uid="{00000000-0005-0000-0000-00006F020000}"/>
    <cellStyle name="Note 4 4 2" xfId="1655" xr:uid="{00000000-0005-0000-0000-00006F020000}"/>
    <cellStyle name="Note 4 5" xfId="1500" xr:uid="{00000000-0005-0000-0000-00006F020000}"/>
    <cellStyle name="Note 4 5 2" xfId="1643" xr:uid="{00000000-0005-0000-0000-00006F020000}"/>
    <cellStyle name="Note 4 6" xfId="1608" xr:uid="{00000000-0005-0000-0000-00006F020000}"/>
    <cellStyle name="Note 5" xfId="626" xr:uid="{00000000-0005-0000-0000-000072020000}"/>
    <cellStyle name="Note 5 2" xfId="1516" xr:uid="{00000000-0005-0000-0000-000072020000}"/>
    <cellStyle name="Note 5 2 2" xfId="1659" xr:uid="{00000000-0005-0000-0000-000072020000}"/>
    <cellStyle name="Note 5 3" xfId="1497" xr:uid="{00000000-0005-0000-0000-000072020000}"/>
    <cellStyle name="Note 5 3 2" xfId="1640" xr:uid="{00000000-0005-0000-0000-000072020000}"/>
    <cellStyle name="Note 5 4" xfId="1611" xr:uid="{00000000-0005-0000-0000-000072020000}"/>
    <cellStyle name="Output 2" xfId="627" xr:uid="{00000000-0005-0000-0000-000073020000}"/>
    <cellStyle name="Output 2 2" xfId="628" xr:uid="{00000000-0005-0000-0000-000074020000}"/>
    <cellStyle name="Output 2 2 2" xfId="1613" xr:uid="{00000000-0005-0000-0000-000074020000}"/>
    <cellStyle name="Output 2 3" xfId="629" xr:uid="{00000000-0005-0000-0000-000075020000}"/>
    <cellStyle name="Output 2 3 2" xfId="1614" xr:uid="{00000000-0005-0000-0000-000075020000}"/>
    <cellStyle name="Output 2 4" xfId="1612" xr:uid="{00000000-0005-0000-0000-000073020000}"/>
    <cellStyle name="Output 3" xfId="630" xr:uid="{00000000-0005-0000-0000-000076020000}"/>
    <cellStyle name="Output 3 2" xfId="1615" xr:uid="{00000000-0005-0000-0000-000076020000}"/>
    <cellStyle name="Percent [2]" xfId="631" xr:uid="{00000000-0005-0000-0000-000077020000}"/>
    <cellStyle name="Percent [2] 2" xfId="632" xr:uid="{00000000-0005-0000-0000-000078020000}"/>
    <cellStyle name="Percent [2] 2 2" xfId="633" xr:uid="{00000000-0005-0000-0000-000079020000}"/>
    <cellStyle name="Percent [2] 3" xfId="634" xr:uid="{00000000-0005-0000-0000-00007A020000}"/>
    <cellStyle name="Percent [2] 4" xfId="635" xr:uid="{00000000-0005-0000-0000-00007B020000}"/>
    <cellStyle name="Percent 10" xfId="636" xr:uid="{00000000-0005-0000-0000-00007C020000}"/>
    <cellStyle name="Percent 11" xfId="637" xr:uid="{00000000-0005-0000-0000-00007D020000}"/>
    <cellStyle name="Percent 12" xfId="638" xr:uid="{00000000-0005-0000-0000-00007E020000}"/>
    <cellStyle name="Percent 12 2" xfId="639" xr:uid="{00000000-0005-0000-0000-00007F020000}"/>
    <cellStyle name="Percent 12 3" xfId="640" xr:uid="{00000000-0005-0000-0000-000080020000}"/>
    <cellStyle name="Percent 13" xfId="641" xr:uid="{00000000-0005-0000-0000-000081020000}"/>
    <cellStyle name="Percent 13 2" xfId="642" xr:uid="{00000000-0005-0000-0000-000082020000}"/>
    <cellStyle name="Percent 14" xfId="643" xr:uid="{00000000-0005-0000-0000-000083020000}"/>
    <cellStyle name="Percent 14 2" xfId="644" xr:uid="{00000000-0005-0000-0000-000084020000}"/>
    <cellStyle name="Percent 15" xfId="645" xr:uid="{00000000-0005-0000-0000-000085020000}"/>
    <cellStyle name="Percent 19" xfId="646" xr:uid="{00000000-0005-0000-0000-000086020000}"/>
    <cellStyle name="Percent 2" xfId="647" xr:uid="{00000000-0005-0000-0000-000087020000}"/>
    <cellStyle name="Percent 2 2" xfId="648" xr:uid="{00000000-0005-0000-0000-000088020000}"/>
    <cellStyle name="Percent 2 2 2" xfId="649" xr:uid="{00000000-0005-0000-0000-000089020000}"/>
    <cellStyle name="Percent 2 3" xfId="650" xr:uid="{00000000-0005-0000-0000-00008A020000}"/>
    <cellStyle name="Percent 2 3 2" xfId="651" xr:uid="{00000000-0005-0000-0000-00008B020000}"/>
    <cellStyle name="Percent 2 4" xfId="652" xr:uid="{00000000-0005-0000-0000-00008C020000}"/>
    <cellStyle name="Percent 3" xfId="653" xr:uid="{00000000-0005-0000-0000-00008D020000}"/>
    <cellStyle name="Percent 3 2" xfId="654" xr:uid="{00000000-0005-0000-0000-00008E020000}"/>
    <cellStyle name="Percent 3 3" xfId="655" xr:uid="{00000000-0005-0000-0000-00008F020000}"/>
    <cellStyle name="Percent 3 4" xfId="656" xr:uid="{00000000-0005-0000-0000-000090020000}"/>
    <cellStyle name="Percent 3 5" xfId="657" xr:uid="{00000000-0005-0000-0000-000091020000}"/>
    <cellStyle name="Percent 4" xfId="658" xr:uid="{00000000-0005-0000-0000-000092020000}"/>
    <cellStyle name="Percent 4 2" xfId="659" xr:uid="{00000000-0005-0000-0000-000093020000}"/>
    <cellStyle name="Percent 4 3" xfId="660" xr:uid="{00000000-0005-0000-0000-000094020000}"/>
    <cellStyle name="Percent 4 4" xfId="661" xr:uid="{00000000-0005-0000-0000-000095020000}"/>
    <cellStyle name="Percent 5" xfId="662" xr:uid="{00000000-0005-0000-0000-000096020000}"/>
    <cellStyle name="Percent 5 2" xfId="663" xr:uid="{00000000-0005-0000-0000-000097020000}"/>
    <cellStyle name="Percent 6" xfId="664" xr:uid="{00000000-0005-0000-0000-000098020000}"/>
    <cellStyle name="Percent 7" xfId="665" xr:uid="{00000000-0005-0000-0000-000099020000}"/>
    <cellStyle name="Percent 8" xfId="666" xr:uid="{00000000-0005-0000-0000-00009A020000}"/>
    <cellStyle name="Percent 9" xfId="667" xr:uid="{00000000-0005-0000-0000-00009B020000}"/>
    <cellStyle name="PLAN" xfId="668" xr:uid="{00000000-0005-0000-0000-00009C020000}"/>
    <cellStyle name="Q" xfId="669" xr:uid="{00000000-0005-0000-0000-00009D020000}"/>
    <cellStyle name="Q 2" xfId="670" xr:uid="{00000000-0005-0000-0000-00009E020000}"/>
    <cellStyle name="Q 3" xfId="671" xr:uid="{00000000-0005-0000-0000-00009F020000}"/>
    <cellStyle name="Q 4" xfId="672" xr:uid="{00000000-0005-0000-0000-0000A0020000}"/>
    <cellStyle name="Q_10.TQC ข้อมูล คปภ.ต.ค.51" xfId="673" xr:uid="{00000000-0005-0000-0000-0000A1020000}"/>
    <cellStyle name="Q_3.vara3.1_0450 " xfId="674" xr:uid="{00000000-0005-0000-0000-0000A2020000}"/>
    <cellStyle name="Q_9 รง.ฉะเชิงเทรา" xfId="675" xr:uid="{00000000-0005-0000-0000-0000A3020000}"/>
    <cellStyle name="Q_Book2" xfId="676" xr:uid="{00000000-0005-0000-0000-0000A4020000}"/>
    <cellStyle name="Q_Book2 2" xfId="677" xr:uid="{00000000-0005-0000-0000-0000A5020000}"/>
    <cellStyle name="Q_Book2 2 2" xfId="678" xr:uid="{00000000-0005-0000-0000-0000A6020000}"/>
    <cellStyle name="Q_Book2 3" xfId="679" xr:uid="{00000000-0005-0000-0000-0000A7020000}"/>
    <cellStyle name="Q_Book2 3 2" xfId="680" xr:uid="{00000000-0005-0000-0000-0000A8020000}"/>
    <cellStyle name="Q_Book2 4" xfId="681" xr:uid="{00000000-0005-0000-0000-0000A9020000}"/>
    <cellStyle name="Q_Book2 4 2" xfId="682" xr:uid="{00000000-0005-0000-0000-0000AA020000}"/>
    <cellStyle name="Q_Book2 5" xfId="683" xr:uid="{00000000-0005-0000-0000-0000AB020000}"/>
    <cellStyle name="Q_Book2_Copyof6รายงานป" xfId="684" xr:uid="{00000000-0005-0000-0000-0000AC020000}"/>
    <cellStyle name="Q_Book2_Copyof6รายงานป 2" xfId="685" xr:uid="{00000000-0005-0000-0000-0000AD020000}"/>
    <cellStyle name="Q_Book2_plan กิจกรรม Southern 4" xfId="686" xr:uid="{00000000-0005-0000-0000-0000AE020000}"/>
    <cellStyle name="Q_Book2_Sep09" xfId="687" xr:uid="{00000000-0005-0000-0000-0000AF020000}"/>
    <cellStyle name="Q_Book2_Sep09 2" xfId="688" xr:uid="{00000000-0005-0000-0000-0000B0020000}"/>
    <cellStyle name="Q_Book2_รายงานประชุมกิจการ (Aug09) final  by Tippatai" xfId="689" xr:uid="{00000000-0005-0000-0000-0000B1020000}"/>
    <cellStyle name="Q_Book2_รายงานประชุมกิจการ ก.ย.52_west2" xfId="690" xr:uid="{00000000-0005-0000-0000-0000B2020000}"/>
    <cellStyle name="Q_Book2_รายงานประชุมกิจการ ก.ย.52_west2 2" xfId="691" xr:uid="{00000000-0005-0000-0000-0000B3020000}"/>
    <cellStyle name="Q_Book2_รายงานประชุมกิจการ กย.52_ตต.2" xfId="692" xr:uid="{00000000-0005-0000-0000-0000B4020000}"/>
    <cellStyle name="Q_Book2_รายงานประชุมกิจการ ส.ค.52 ตต.1(ส่งเสริมคุณภาพ)" xfId="693" xr:uid="{00000000-0005-0000-0000-0000B5020000}"/>
    <cellStyle name="Q_Book2_รายงานประชุมกิจการ ส.ค.52 ตต.1(ส่งเสริมคุณภาพ) 2" xfId="694" xr:uid="{00000000-0005-0000-0000-0000B6020000}"/>
    <cellStyle name="Q_Book2_รายงานประชุมกิจการ อยุธยา 09 2009" xfId="695" xr:uid="{00000000-0005-0000-0000-0000B7020000}"/>
    <cellStyle name="Q_bsc 0254" xfId="696" xr:uid="{00000000-0005-0000-0000-0000B8020000}"/>
    <cellStyle name="Q_bsc 0254 2" xfId="697" xr:uid="{00000000-0005-0000-0000-0000B9020000}"/>
    <cellStyle name="Q_BSC_APR2008" xfId="698" xr:uid="{00000000-0005-0000-0000-0000BA020000}"/>
    <cellStyle name="Q_BSC_APR2008 2" xfId="699" xr:uid="{00000000-0005-0000-0000-0000BB020000}"/>
    <cellStyle name="Q_BSC_APR2008 3" xfId="700" xr:uid="{00000000-0005-0000-0000-0000BC020000}"/>
    <cellStyle name="Q_BSC_APR2008 4" xfId="701" xr:uid="{00000000-0005-0000-0000-0000BD020000}"/>
    <cellStyle name="Q_BSC_APR2008_bsc 0254" xfId="702" xr:uid="{00000000-0005-0000-0000-0000BE020000}"/>
    <cellStyle name="Q_BSC_APR2008_bsc 0254 2" xfId="703" xr:uid="{00000000-0005-0000-0000-0000BF020000}"/>
    <cellStyle name="Q_BSC_APR2008_Copy of SDCPKAUG" xfId="704" xr:uid="{00000000-0005-0000-0000-0000C0020000}"/>
    <cellStyle name="Q_BSC_APR2008_Copyof6รายงานป" xfId="705" xr:uid="{00000000-0005-0000-0000-0000C1020000}"/>
    <cellStyle name="Q_BSC_APR2008_Sep09" xfId="706" xr:uid="{00000000-0005-0000-0000-0000C2020000}"/>
    <cellStyle name="Q_BSC_APR2008_แบบฟอร์มอธิบาย SD_CPK ภน.4 เดือน พ.ย.53" xfId="713" xr:uid="{00000000-0005-0000-0000-0000C9020000}"/>
    <cellStyle name="Q_BSC_APR2008_แบบฟอร์มอธิบาย SD_CPK ภน.4 เดือน พ.ย.53 2" xfId="714" xr:uid="{00000000-0005-0000-0000-0000CA020000}"/>
    <cellStyle name="Q_BSC_APR2008_กำลังอัด" xfId="707" xr:uid="{00000000-0005-0000-0000-0000C3020000}"/>
    <cellStyle name="Q_BSC_APR2008_กำลังอัด 2" xfId="708" xr:uid="{00000000-0005-0000-0000-0000C4020000}"/>
    <cellStyle name="Q_BSC_APR2008_กำลังอัดรวมกิจการภาคเหนือ มค.54  (1)" xfId="709" xr:uid="{00000000-0005-0000-0000-0000C5020000}"/>
    <cellStyle name="Q_BSC_APR2008_กำลังอัดรวมกิจการภาคเหนือ มค.54  (1) 2" xfId="710" xr:uid="{00000000-0005-0000-0000-0000C6020000}"/>
    <cellStyle name="Q_BSC_APR2008_ขอข้อมูล รายงานผลดำเนินงาน(new)_ผจก ภ ตต สคธจ ตต_Sep09" xfId="711" xr:uid="{00000000-0005-0000-0000-0000C7020000}"/>
    <cellStyle name="Q_BSC_APR2008_ขอข้อมูล รายงานผลดำเนินงาน(new)_ภาค3ครับ" xfId="712" xr:uid="{00000000-0005-0000-0000-0000C8020000}"/>
    <cellStyle name="Q_BSC_APR2008_รายงานประชุมกิจการ (Aug09) final  by Tippatai" xfId="715" xr:uid="{00000000-0005-0000-0000-0000CB020000}"/>
    <cellStyle name="Q_BSC_APR2008_รายงานประชุมกิจการ ก.ย.52_west2" xfId="716" xr:uid="{00000000-0005-0000-0000-0000CC020000}"/>
    <cellStyle name="Q_BSC_APR2008_รายงานประชุมกิจการ กย.52_ตต.2" xfId="717" xr:uid="{00000000-0005-0000-0000-0000CD020000}"/>
    <cellStyle name="Q_BSC_APR2008_รายงานประชุมกิจการ กย.52_ตต.2_v1" xfId="718" xr:uid="{00000000-0005-0000-0000-0000CE020000}"/>
    <cellStyle name="Q_BSC_APR2008_รายงานประชุมกิจการ ส.ค.52 ตต.1(ส่งเสริมคุณภาพ)" xfId="719" xr:uid="{00000000-0005-0000-0000-0000CF020000}"/>
    <cellStyle name="Q_BSC_APR2008_รายงานประชุมกิจการ อยุธยา 09 2009" xfId="720" xr:uid="{00000000-0005-0000-0000-0000D0020000}"/>
    <cellStyle name="Q_BSC_APR2008_รายงานประชุมกิจการ(Aug09)ไม่มีรูป" xfId="721" xr:uid="{00000000-0005-0000-0000-0000D1020000}"/>
    <cellStyle name="Q_BSC_APR2008_วิเคราะห์กำลังอัดรวมกิจการ ธันวาคม_Pพิเศษ(1)" xfId="722" xr:uid="{00000000-0005-0000-0000-0000D2020000}"/>
    <cellStyle name="Q_BSC_APR2008_วิเคราะห์กำลังอัดรวมกิจการ ธันวาคม_Pพิเศษ(1) 2" xfId="723" xr:uid="{00000000-0005-0000-0000-0000D3020000}"/>
    <cellStyle name="Q_BSC_APR2008_วิเคราะห์คุณภาพรวมกิจการ" xfId="724" xr:uid="{00000000-0005-0000-0000-0000D4020000}"/>
    <cellStyle name="Q_BSC_APR2008_วิเคราะห์คุณภาพรวมกิจการ 2" xfId="725" xr:uid="{00000000-0005-0000-0000-0000D5020000}"/>
    <cellStyle name="Q_BSC_APR2008_วิเคราะห์คุณภาพรวมกิจการ ก.ย. (1)" xfId="726" xr:uid="{00000000-0005-0000-0000-0000D6020000}"/>
    <cellStyle name="Q_BSC_APR2008_วิเคราะห์คุณภาพรวมกิจการ ก.ย. (1) 2" xfId="727" xr:uid="{00000000-0005-0000-0000-0000D7020000}"/>
    <cellStyle name="Q_BSC_APR2008_วิเคราะห์คุณภาพรวมกิจการ(แก้ไขล่าสุด)" xfId="728" xr:uid="{00000000-0005-0000-0000-0000D8020000}"/>
    <cellStyle name="Q_BSC_APR2008_วิเคราะห์คุณภาพรวมกิจการ(แก้ไขล่าสุด) 2" xfId="729" xr:uid="{00000000-0005-0000-0000-0000D9020000}"/>
    <cellStyle name="Q_Compare_SaleVolume" xfId="730" xr:uid="{00000000-0005-0000-0000-0000DA020000}"/>
    <cellStyle name="Q_Compare_SaleVolume 2" xfId="731" xr:uid="{00000000-0005-0000-0000-0000DB020000}"/>
    <cellStyle name="Q_Compare_SaleVolume 2 2" xfId="732" xr:uid="{00000000-0005-0000-0000-0000DC020000}"/>
    <cellStyle name="Q_Compare_SaleVolume 3" xfId="733" xr:uid="{00000000-0005-0000-0000-0000DD020000}"/>
    <cellStyle name="Q_Compare_SaleVolume 3 2" xfId="734" xr:uid="{00000000-0005-0000-0000-0000DE020000}"/>
    <cellStyle name="Q_Compare_SaleVolume 4" xfId="735" xr:uid="{00000000-0005-0000-0000-0000DF020000}"/>
    <cellStyle name="Q_Compare_SaleVolume 4 2" xfId="736" xr:uid="{00000000-0005-0000-0000-0000E0020000}"/>
    <cellStyle name="Q_Compare_SaleVolume 5" xfId="737" xr:uid="{00000000-0005-0000-0000-0000E1020000}"/>
    <cellStyle name="Q_Compare_SaleVolume_Copyof6รายงานป" xfId="738" xr:uid="{00000000-0005-0000-0000-0000E2020000}"/>
    <cellStyle name="Q_Compare_SaleVolume_Copyof6รายงานป 2" xfId="739" xr:uid="{00000000-0005-0000-0000-0000E3020000}"/>
    <cellStyle name="Q_Compare_SaleVolume_Sep09" xfId="740" xr:uid="{00000000-0005-0000-0000-0000E4020000}"/>
    <cellStyle name="Q_Compare_SaleVolume_Sep09 2" xfId="741" xr:uid="{00000000-0005-0000-0000-0000E5020000}"/>
    <cellStyle name="Q_Compare_SaleVolume_รายงานประชุมกิจการ (Aug09) final  by Tippatai" xfId="742" xr:uid="{00000000-0005-0000-0000-0000E6020000}"/>
    <cellStyle name="Q_Compare_SaleVolume_รายงานประชุมกิจการ ก.ย.52_west2" xfId="743" xr:uid="{00000000-0005-0000-0000-0000E7020000}"/>
    <cellStyle name="Q_Compare_SaleVolume_รายงานประชุมกิจการ ก.ย.52_west2 2" xfId="744" xr:uid="{00000000-0005-0000-0000-0000E8020000}"/>
    <cellStyle name="Q_Compare_SaleVolume_รายงานประชุมกิจการ กย.52_ตต.2" xfId="745" xr:uid="{00000000-0005-0000-0000-0000E9020000}"/>
    <cellStyle name="Q_Compare_SaleVolume_รายงานประชุมกิจการ ส.ค.52 ตต.1(ส่งเสริมคุณภาพ)" xfId="746" xr:uid="{00000000-0005-0000-0000-0000EA020000}"/>
    <cellStyle name="Q_Compare_SaleVolume_รายงานประชุมกิจการ ส.ค.52 ตต.1(ส่งเสริมคุณภาพ) 2" xfId="747" xr:uid="{00000000-0005-0000-0000-0000EB020000}"/>
    <cellStyle name="Q_Compare_SaleVolume_รายงานประชุมกิจการ อยุธยา 09 2009" xfId="748" xr:uid="{00000000-0005-0000-0000-0000EC020000}"/>
    <cellStyle name="Q_Copy of SDCPKAUG" xfId="749" xr:uid="{00000000-0005-0000-0000-0000ED020000}"/>
    <cellStyle name="Q_Copyof6รายงานป" xfId="750" xr:uid="{00000000-0005-0000-0000-0000EE020000}"/>
    <cellStyle name="Q_Data_update" xfId="751" xr:uid="{00000000-0005-0000-0000-0000EF020000}"/>
    <cellStyle name="Q_Data_update 2" xfId="752" xr:uid="{00000000-0005-0000-0000-0000F0020000}"/>
    <cellStyle name="Q_Data_update 3" xfId="753" xr:uid="{00000000-0005-0000-0000-0000F1020000}"/>
    <cellStyle name="Q_Data_update 4" xfId="754" xr:uid="{00000000-0005-0000-0000-0000F2020000}"/>
    <cellStyle name="Q_Data_update_bsc 0254" xfId="755" xr:uid="{00000000-0005-0000-0000-0000F3020000}"/>
    <cellStyle name="Q_Data_update_bsc 0254 2" xfId="756" xr:uid="{00000000-0005-0000-0000-0000F4020000}"/>
    <cellStyle name="Q_Data_update_Copy of SDCPKAUG" xfId="757" xr:uid="{00000000-0005-0000-0000-0000F5020000}"/>
    <cellStyle name="Q_Data_update_Copyof6รายงานป" xfId="758" xr:uid="{00000000-0005-0000-0000-0000F6020000}"/>
    <cellStyle name="Q_Data_update_Sep09" xfId="759" xr:uid="{00000000-0005-0000-0000-0000F7020000}"/>
    <cellStyle name="Q_Data_update_แบบฟอร์มอธิบาย SD_CPK ภน.4 เดือน พ.ย.53" xfId="766" xr:uid="{00000000-0005-0000-0000-0000FE020000}"/>
    <cellStyle name="Q_Data_update_แบบฟอร์มอธิบาย SD_CPK ภน.4 เดือน พ.ย.53 2" xfId="767" xr:uid="{00000000-0005-0000-0000-0000FF020000}"/>
    <cellStyle name="Q_Data_update_กำลังอัด" xfId="760" xr:uid="{00000000-0005-0000-0000-0000F8020000}"/>
    <cellStyle name="Q_Data_update_กำลังอัด 2" xfId="761" xr:uid="{00000000-0005-0000-0000-0000F9020000}"/>
    <cellStyle name="Q_Data_update_กำลังอัดรวมกิจการภาคเหนือ มค.54  (1)" xfId="762" xr:uid="{00000000-0005-0000-0000-0000FA020000}"/>
    <cellStyle name="Q_Data_update_กำลังอัดรวมกิจการภาคเหนือ มค.54  (1) 2" xfId="763" xr:uid="{00000000-0005-0000-0000-0000FB020000}"/>
    <cellStyle name="Q_Data_update_ขอข้อมูล รายงานผลดำเนินงาน(new)_ผจก ภ ตต สคธจ ตต_Sep09" xfId="764" xr:uid="{00000000-0005-0000-0000-0000FC020000}"/>
    <cellStyle name="Q_Data_update_ขอข้อมูล รายงานผลดำเนินงาน(new)_ภาค3ครับ" xfId="765" xr:uid="{00000000-0005-0000-0000-0000FD020000}"/>
    <cellStyle name="Q_Data_update_รายงานประชุมกิจการ (Aug09) final  by Tippatai" xfId="768" xr:uid="{00000000-0005-0000-0000-000000030000}"/>
    <cellStyle name="Q_Data_update_รายงานประชุมกิจการ ก.ย.52_west2" xfId="769" xr:uid="{00000000-0005-0000-0000-000001030000}"/>
    <cellStyle name="Q_Data_update_รายงานประชุมกิจการ กย.52_ตต.2" xfId="770" xr:uid="{00000000-0005-0000-0000-000002030000}"/>
    <cellStyle name="Q_Data_update_รายงานประชุมกิจการ กย.52_ตต.2_v1" xfId="771" xr:uid="{00000000-0005-0000-0000-000003030000}"/>
    <cellStyle name="Q_Data_update_รายงานประชุมกิจการ ส.ค.52 ตต.1(ส่งเสริมคุณภาพ)" xfId="772" xr:uid="{00000000-0005-0000-0000-000004030000}"/>
    <cellStyle name="Q_Data_update_รายงานประชุมกิจการ อยุธยา 09 2009" xfId="773" xr:uid="{00000000-0005-0000-0000-000005030000}"/>
    <cellStyle name="Q_Data_update_รายงานประชุมกิจการ(Aug09)ไม่มีรูป" xfId="774" xr:uid="{00000000-0005-0000-0000-000006030000}"/>
    <cellStyle name="Q_Data_update_วิเคราะห์กำลังอัดรวมกิจการ ธันวาคม_Pพิเศษ(1)" xfId="775" xr:uid="{00000000-0005-0000-0000-000007030000}"/>
    <cellStyle name="Q_Data_update_วิเคราะห์กำลังอัดรวมกิจการ ธันวาคม_Pพิเศษ(1) 2" xfId="776" xr:uid="{00000000-0005-0000-0000-000008030000}"/>
    <cellStyle name="Q_Data_update_วิเคราะห์คุณภาพรวมกิจการ" xfId="777" xr:uid="{00000000-0005-0000-0000-000009030000}"/>
    <cellStyle name="Q_Data_update_วิเคราะห์คุณภาพรวมกิจการ 2" xfId="778" xr:uid="{00000000-0005-0000-0000-00000A030000}"/>
    <cellStyle name="Q_Data_update_วิเคราะห์คุณภาพรวมกิจการ ก.ย. (1)" xfId="779" xr:uid="{00000000-0005-0000-0000-00000B030000}"/>
    <cellStyle name="Q_Data_update_วิเคราะห์คุณภาพรวมกิจการ ก.ย. (1) 2" xfId="780" xr:uid="{00000000-0005-0000-0000-00000C030000}"/>
    <cellStyle name="Q_Data_update_วิเคราะห์คุณภาพรวมกิจการ(แก้ไขล่าสุด)" xfId="781" xr:uid="{00000000-0005-0000-0000-00000D030000}"/>
    <cellStyle name="Q_Data_update_วิเคราะห์คุณภาพรวมกิจการ(แก้ไขล่าสุด) 2" xfId="782" xr:uid="{00000000-0005-0000-0000-00000E030000}"/>
    <cellStyle name="Q_op_0451" xfId="783" xr:uid="{00000000-0005-0000-0000-00000F030000}"/>
    <cellStyle name="Q_op_0451 2" xfId="784" xr:uid="{00000000-0005-0000-0000-000010030000}"/>
    <cellStyle name="Q_op_0451 3" xfId="785" xr:uid="{00000000-0005-0000-0000-000011030000}"/>
    <cellStyle name="Q_op_0451 4" xfId="786" xr:uid="{00000000-0005-0000-0000-000012030000}"/>
    <cellStyle name="Q_op_0451_bsc 0254" xfId="787" xr:uid="{00000000-0005-0000-0000-000013030000}"/>
    <cellStyle name="Q_op_0451_bsc 0254 2" xfId="788" xr:uid="{00000000-0005-0000-0000-000014030000}"/>
    <cellStyle name="Q_op_0451_Copy of SDCPKAUG" xfId="789" xr:uid="{00000000-0005-0000-0000-000015030000}"/>
    <cellStyle name="Q_op_0451_Copyof6รายงานป" xfId="790" xr:uid="{00000000-0005-0000-0000-000016030000}"/>
    <cellStyle name="Q_op_0451_Sep09" xfId="791" xr:uid="{00000000-0005-0000-0000-000017030000}"/>
    <cellStyle name="Q_op_0451_แบบฟอร์มอธิบาย SD_CPK ภน.4 เดือน พ.ย.53" xfId="798" xr:uid="{00000000-0005-0000-0000-00001E030000}"/>
    <cellStyle name="Q_op_0451_แบบฟอร์มอธิบาย SD_CPK ภน.4 เดือน พ.ย.53 2" xfId="799" xr:uid="{00000000-0005-0000-0000-00001F030000}"/>
    <cellStyle name="Q_op_0451_กำลังอัด" xfId="792" xr:uid="{00000000-0005-0000-0000-000018030000}"/>
    <cellStyle name="Q_op_0451_กำลังอัด 2" xfId="793" xr:uid="{00000000-0005-0000-0000-000019030000}"/>
    <cellStyle name="Q_op_0451_กำลังอัดรวมกิจการภาคเหนือ มค.54  (1)" xfId="794" xr:uid="{00000000-0005-0000-0000-00001A030000}"/>
    <cellStyle name="Q_op_0451_กำลังอัดรวมกิจการภาคเหนือ มค.54  (1) 2" xfId="795" xr:uid="{00000000-0005-0000-0000-00001B030000}"/>
    <cellStyle name="Q_op_0451_ขอข้อมูล รายงานผลดำเนินงาน(new)_ผจก ภ ตต สคธจ ตต_Sep09" xfId="796" xr:uid="{00000000-0005-0000-0000-00001C030000}"/>
    <cellStyle name="Q_op_0451_ขอข้อมูล รายงานผลดำเนินงาน(new)_ภาค3ครับ" xfId="797" xr:uid="{00000000-0005-0000-0000-00001D030000}"/>
    <cellStyle name="Q_op_0451_รายงานประชุมกิจการ (Aug09) final  by Tippatai" xfId="800" xr:uid="{00000000-0005-0000-0000-000020030000}"/>
    <cellStyle name="Q_op_0451_รายงานประชุมกิจการ ก.ย.52_west2" xfId="801" xr:uid="{00000000-0005-0000-0000-000021030000}"/>
    <cellStyle name="Q_op_0451_รายงานประชุมกิจการ กย.52_ตต.2" xfId="802" xr:uid="{00000000-0005-0000-0000-000022030000}"/>
    <cellStyle name="Q_op_0451_รายงานประชุมกิจการ กย.52_ตต.2_v1" xfId="803" xr:uid="{00000000-0005-0000-0000-000023030000}"/>
    <cellStyle name="Q_op_0451_รายงานประชุมกิจการ ส.ค.52 ตต.1(ส่งเสริมคุณภาพ)" xfId="804" xr:uid="{00000000-0005-0000-0000-000024030000}"/>
    <cellStyle name="Q_op_0451_รายงานประชุมกิจการ อยุธยา 09 2009" xfId="805" xr:uid="{00000000-0005-0000-0000-000025030000}"/>
    <cellStyle name="Q_op_0451_รายงานประชุมกิจการ(Aug09)ไม่มีรูป" xfId="806" xr:uid="{00000000-0005-0000-0000-000026030000}"/>
    <cellStyle name="Q_op_0451_วิเคราะห์กำลังอัดรวมกิจการ ธันวาคม_Pพิเศษ(1)" xfId="807" xr:uid="{00000000-0005-0000-0000-000027030000}"/>
    <cellStyle name="Q_op_0451_วิเคราะห์กำลังอัดรวมกิจการ ธันวาคม_Pพิเศษ(1) 2" xfId="808" xr:uid="{00000000-0005-0000-0000-000028030000}"/>
    <cellStyle name="Q_op_0451_วิเคราะห์คุณภาพรวมกิจการ" xfId="809" xr:uid="{00000000-0005-0000-0000-000029030000}"/>
    <cellStyle name="Q_op_0451_วิเคราะห์คุณภาพรวมกิจการ 2" xfId="810" xr:uid="{00000000-0005-0000-0000-00002A030000}"/>
    <cellStyle name="Q_op_0451_วิเคราะห์คุณภาพรวมกิจการ ก.ย. (1)" xfId="811" xr:uid="{00000000-0005-0000-0000-00002B030000}"/>
    <cellStyle name="Q_op_0451_วิเคราะห์คุณภาพรวมกิจการ ก.ย. (1) 2" xfId="812" xr:uid="{00000000-0005-0000-0000-00002C030000}"/>
    <cellStyle name="Q_op_0451_วิเคราะห์คุณภาพรวมกิจการ(แก้ไขล่าสุด)" xfId="813" xr:uid="{00000000-0005-0000-0000-00002D030000}"/>
    <cellStyle name="Q_op_0451_วิเคราะห์คุณภาพรวมกิจการ(แก้ไขล่าสุด) 2" xfId="814" xr:uid="{00000000-0005-0000-0000-00002E030000}"/>
    <cellStyle name="Q_PFA" xfId="815" xr:uid="{00000000-0005-0000-0000-00002F030000}"/>
    <cellStyle name="Q_PFA 2" xfId="816" xr:uid="{00000000-0005-0000-0000-000030030000}"/>
    <cellStyle name="Q_PFA 3" xfId="817" xr:uid="{00000000-0005-0000-0000-000031030000}"/>
    <cellStyle name="Q_PFA 4" xfId="818" xr:uid="{00000000-0005-0000-0000-000032030000}"/>
    <cellStyle name="Q_PFA_bsc 0254" xfId="819" xr:uid="{00000000-0005-0000-0000-000033030000}"/>
    <cellStyle name="Q_PFA_bsc 0254 2" xfId="820" xr:uid="{00000000-0005-0000-0000-000034030000}"/>
    <cellStyle name="Q_PFA_Copy of SDCPKAUG" xfId="821" xr:uid="{00000000-0005-0000-0000-000035030000}"/>
    <cellStyle name="Q_PFA_Copyof6รายงานป" xfId="822" xr:uid="{00000000-0005-0000-0000-000036030000}"/>
    <cellStyle name="Q_PFA_Sep09" xfId="823" xr:uid="{00000000-0005-0000-0000-000037030000}"/>
    <cellStyle name="Q_PFA_แบบฟอร์มอธิบาย SD_CPK ภน.4 เดือน พ.ย.53" xfId="830" xr:uid="{00000000-0005-0000-0000-00003E030000}"/>
    <cellStyle name="Q_PFA_แบบฟอร์มอธิบาย SD_CPK ภน.4 เดือน พ.ย.53 2" xfId="831" xr:uid="{00000000-0005-0000-0000-00003F030000}"/>
    <cellStyle name="Q_PFA_กำลังอัด" xfId="824" xr:uid="{00000000-0005-0000-0000-000038030000}"/>
    <cellStyle name="Q_PFA_กำลังอัด 2" xfId="825" xr:uid="{00000000-0005-0000-0000-000039030000}"/>
    <cellStyle name="Q_PFA_กำลังอัดรวมกิจการภาคเหนือ มค.54  (1)" xfId="826" xr:uid="{00000000-0005-0000-0000-00003A030000}"/>
    <cellStyle name="Q_PFA_กำลังอัดรวมกิจการภาคเหนือ มค.54  (1) 2" xfId="827" xr:uid="{00000000-0005-0000-0000-00003B030000}"/>
    <cellStyle name="Q_PFA_ขอข้อมูล รายงานผลดำเนินงาน(new)_ผจก ภ ตต สคธจ ตต_Sep09" xfId="828" xr:uid="{00000000-0005-0000-0000-00003C030000}"/>
    <cellStyle name="Q_PFA_ขอข้อมูล รายงานผลดำเนินงาน(new)_ภาค3ครับ" xfId="829" xr:uid="{00000000-0005-0000-0000-00003D030000}"/>
    <cellStyle name="Q_PFA_รายงานประชุมกิจการ (Aug09) final  by Tippatai" xfId="832" xr:uid="{00000000-0005-0000-0000-000040030000}"/>
    <cellStyle name="Q_PFA_รายงานประชุมกิจการ ก.ย.52_west2" xfId="833" xr:uid="{00000000-0005-0000-0000-000041030000}"/>
    <cellStyle name="Q_PFA_รายงานประชุมกิจการ กย.52_ตต.2" xfId="834" xr:uid="{00000000-0005-0000-0000-000042030000}"/>
    <cellStyle name="Q_PFA_รายงานประชุมกิจการ กย.52_ตต.2_v1" xfId="835" xr:uid="{00000000-0005-0000-0000-000043030000}"/>
    <cellStyle name="Q_PFA_รายงานประชุมกิจการ ส.ค.52 ตต.1(ส่งเสริมคุณภาพ)" xfId="836" xr:uid="{00000000-0005-0000-0000-000044030000}"/>
    <cellStyle name="Q_PFA_รายงานประชุมกิจการ อยุธยา 09 2009" xfId="837" xr:uid="{00000000-0005-0000-0000-000045030000}"/>
    <cellStyle name="Q_PFA_รายงานประชุมกิจการ(Aug09)ไม่มีรูป" xfId="838" xr:uid="{00000000-0005-0000-0000-000046030000}"/>
    <cellStyle name="Q_PFA_วิเคราะห์กำลังอัดรวมกิจการ ธันวาคม_Pพิเศษ(1)" xfId="839" xr:uid="{00000000-0005-0000-0000-000047030000}"/>
    <cellStyle name="Q_PFA_วิเคราะห์กำลังอัดรวมกิจการ ธันวาคม_Pพิเศษ(1) 2" xfId="840" xr:uid="{00000000-0005-0000-0000-000048030000}"/>
    <cellStyle name="Q_PFA_วิเคราะห์คุณภาพรวมกิจการ" xfId="841" xr:uid="{00000000-0005-0000-0000-000049030000}"/>
    <cellStyle name="Q_PFA_วิเคราะห์คุณภาพรวมกิจการ 2" xfId="842" xr:uid="{00000000-0005-0000-0000-00004A030000}"/>
    <cellStyle name="Q_PFA_วิเคราะห์คุณภาพรวมกิจการ ก.ย. (1)" xfId="843" xr:uid="{00000000-0005-0000-0000-00004B030000}"/>
    <cellStyle name="Q_PFA_วิเคราะห์คุณภาพรวมกิจการ ก.ย. (1) 2" xfId="844" xr:uid="{00000000-0005-0000-0000-00004C030000}"/>
    <cellStyle name="Q_PFA_วิเคราะห์คุณภาพรวมกิจการ(แก้ไขล่าสุด)" xfId="845" xr:uid="{00000000-0005-0000-0000-00004D030000}"/>
    <cellStyle name="Q_PFA_วิเคราะห์คุณภาพรวมกิจการ(แก้ไขล่าสุด) 2" xfId="846" xr:uid="{00000000-0005-0000-0000-00004E030000}"/>
    <cellStyle name="Q_plan กิจกรรม Southern 4" xfId="847" xr:uid="{00000000-0005-0000-0000-00004F030000}"/>
    <cellStyle name="Q_s0_PG_MAY2007" xfId="848" xr:uid="{00000000-0005-0000-0000-000050030000}"/>
    <cellStyle name="Q_s0_PG_MAY2007 2" xfId="849" xr:uid="{00000000-0005-0000-0000-000051030000}"/>
    <cellStyle name="Q_s0_PG_MAY2007 3" xfId="850" xr:uid="{00000000-0005-0000-0000-000052030000}"/>
    <cellStyle name="Q_s0_PG_MAY2007 4" xfId="851" xr:uid="{00000000-0005-0000-0000-000053030000}"/>
    <cellStyle name="Q_s0_PG_MAY2007_bsc 0254" xfId="852" xr:uid="{00000000-0005-0000-0000-000054030000}"/>
    <cellStyle name="Q_s0_PG_MAY2007_bsc 0254 2" xfId="853" xr:uid="{00000000-0005-0000-0000-000055030000}"/>
    <cellStyle name="Q_s0_PG_MAY2007_Copy of SDCPKAUG" xfId="854" xr:uid="{00000000-0005-0000-0000-000056030000}"/>
    <cellStyle name="Q_s0_PG_MAY2007_Copyof6รายงานป" xfId="855" xr:uid="{00000000-0005-0000-0000-000057030000}"/>
    <cellStyle name="Q_s0_PG_MAY2007_Sep09" xfId="856" xr:uid="{00000000-0005-0000-0000-000058030000}"/>
    <cellStyle name="Q_s0_PG_MAY2007_แบบฟอร์มอธิบาย SD_CPK ภน.4 เดือน พ.ย.53" xfId="863" xr:uid="{00000000-0005-0000-0000-00005F030000}"/>
    <cellStyle name="Q_s0_PG_MAY2007_แบบฟอร์มอธิบาย SD_CPK ภน.4 เดือน พ.ย.53 2" xfId="864" xr:uid="{00000000-0005-0000-0000-000060030000}"/>
    <cellStyle name="Q_s0_PG_MAY2007_กำลังอัด" xfId="857" xr:uid="{00000000-0005-0000-0000-000059030000}"/>
    <cellStyle name="Q_s0_PG_MAY2007_กำลังอัด 2" xfId="858" xr:uid="{00000000-0005-0000-0000-00005A030000}"/>
    <cellStyle name="Q_s0_PG_MAY2007_กำลังอัดรวมกิจการภาคเหนือ มค.54  (1)" xfId="859" xr:uid="{00000000-0005-0000-0000-00005B030000}"/>
    <cellStyle name="Q_s0_PG_MAY2007_กำลังอัดรวมกิจการภาคเหนือ มค.54  (1) 2" xfId="860" xr:uid="{00000000-0005-0000-0000-00005C030000}"/>
    <cellStyle name="Q_s0_PG_MAY2007_ขอข้อมูล รายงานผลดำเนินงาน(new)_ผจก ภ ตต สคธจ ตต_Sep09" xfId="861" xr:uid="{00000000-0005-0000-0000-00005D030000}"/>
    <cellStyle name="Q_s0_PG_MAY2007_ขอข้อมูล รายงานผลดำเนินงาน(new)_ภาค3ครับ" xfId="862" xr:uid="{00000000-0005-0000-0000-00005E030000}"/>
    <cellStyle name="Q_s0_PG_MAY2007_รายงานประชุมกิจการ (Aug09) final  by Tippatai" xfId="865" xr:uid="{00000000-0005-0000-0000-000061030000}"/>
    <cellStyle name="Q_s0_PG_MAY2007_รายงานประชุมกิจการ ก.ย.52_west2" xfId="866" xr:uid="{00000000-0005-0000-0000-000062030000}"/>
    <cellStyle name="Q_s0_PG_MAY2007_รายงานประชุมกิจการ กย.52_ตต.2" xfId="867" xr:uid="{00000000-0005-0000-0000-000063030000}"/>
    <cellStyle name="Q_s0_PG_MAY2007_รายงานประชุมกิจการ กย.52_ตต.2_v1" xfId="868" xr:uid="{00000000-0005-0000-0000-000064030000}"/>
    <cellStyle name="Q_s0_PG_MAY2007_รายงานประชุมกิจการ ส.ค.52 ตต.1(ส่งเสริมคุณภาพ)" xfId="869" xr:uid="{00000000-0005-0000-0000-000065030000}"/>
    <cellStyle name="Q_s0_PG_MAY2007_รายงานประชุมกิจการ อยุธยา 09 2009" xfId="870" xr:uid="{00000000-0005-0000-0000-000066030000}"/>
    <cellStyle name="Q_s0_PG_MAY2007_รายงานประชุมกิจการ(Aug09)ไม่มีรูป" xfId="871" xr:uid="{00000000-0005-0000-0000-000067030000}"/>
    <cellStyle name="Q_s0_PG_MAY2007_วิเคราะห์กำลังอัดรวมกิจการ ธันวาคม_Pพิเศษ(1)" xfId="872" xr:uid="{00000000-0005-0000-0000-000068030000}"/>
    <cellStyle name="Q_s0_PG_MAY2007_วิเคราะห์กำลังอัดรวมกิจการ ธันวาคม_Pพิเศษ(1) 2" xfId="873" xr:uid="{00000000-0005-0000-0000-000069030000}"/>
    <cellStyle name="Q_s0_PG_MAY2007_วิเคราะห์คุณภาพรวมกิจการ" xfId="874" xr:uid="{00000000-0005-0000-0000-00006A030000}"/>
    <cellStyle name="Q_s0_PG_MAY2007_วิเคราะห์คุณภาพรวมกิจการ 2" xfId="875" xr:uid="{00000000-0005-0000-0000-00006B030000}"/>
    <cellStyle name="Q_s0_PG_MAY2007_วิเคราะห์คุณภาพรวมกิจการ ก.ย. (1)" xfId="876" xr:uid="{00000000-0005-0000-0000-00006C030000}"/>
    <cellStyle name="Q_s0_PG_MAY2007_วิเคราะห์คุณภาพรวมกิจการ ก.ย. (1) 2" xfId="877" xr:uid="{00000000-0005-0000-0000-00006D030000}"/>
    <cellStyle name="Q_s0_PG_MAY2007_วิเคราะห์คุณภาพรวมกิจการ(แก้ไขล่าสุด)" xfId="878" xr:uid="{00000000-0005-0000-0000-00006E030000}"/>
    <cellStyle name="Q_s0_PG_MAY2007_วิเคราะห์คุณภาพรวมกิจการ(แก้ไขล่าสุด) 2" xfId="879" xr:uid="{00000000-0005-0000-0000-00006F030000}"/>
    <cellStyle name="Q_Sand allocation H106(11 Jan 2006)" xfId="880" xr:uid="{00000000-0005-0000-0000-000070030000}"/>
    <cellStyle name="Q_Sand allocation H106(11 Jan 2006) 2" xfId="881" xr:uid="{00000000-0005-0000-0000-000071030000}"/>
    <cellStyle name="Q_Sand allocation H106(11 Jan 2006) 2 2" xfId="882" xr:uid="{00000000-0005-0000-0000-000072030000}"/>
    <cellStyle name="Q_Sand allocation H106(11 Jan 2006) 3" xfId="883" xr:uid="{00000000-0005-0000-0000-000073030000}"/>
    <cellStyle name="Q_Sand allocation H106(11 Jan 2006) 3 2" xfId="884" xr:uid="{00000000-0005-0000-0000-000074030000}"/>
    <cellStyle name="Q_Sand allocation H106(11 Jan 2006) 4" xfId="885" xr:uid="{00000000-0005-0000-0000-000075030000}"/>
    <cellStyle name="Q_Sand allocation H106(11 Jan 2006) 4 2" xfId="886" xr:uid="{00000000-0005-0000-0000-000076030000}"/>
    <cellStyle name="Q_Sand allocation H106(11 Jan 2006) 5" xfId="887" xr:uid="{00000000-0005-0000-0000-000077030000}"/>
    <cellStyle name="Q_Sand allocation H106(11 Jan 2006)_Copyof6รายงานป" xfId="888" xr:uid="{00000000-0005-0000-0000-000078030000}"/>
    <cellStyle name="Q_Sand allocation H106(11 Jan 2006)_Copyof6รายงานป 2" xfId="889" xr:uid="{00000000-0005-0000-0000-000079030000}"/>
    <cellStyle name="Q_Sand allocation H106(11 Jan 2006)_plan กิจกรรม Southern 4" xfId="890" xr:uid="{00000000-0005-0000-0000-00007A030000}"/>
    <cellStyle name="Q_Sand allocation H106(11 Jan 2006)_Sep09" xfId="891" xr:uid="{00000000-0005-0000-0000-00007B030000}"/>
    <cellStyle name="Q_Sand allocation H106(11 Jan 2006)_Sep09 2" xfId="892" xr:uid="{00000000-0005-0000-0000-00007C030000}"/>
    <cellStyle name="Q_Sand allocation H106(11 Jan 2006)_รายงานประชุมกิจการ (Aug09) final  by Tippatai" xfId="893" xr:uid="{00000000-0005-0000-0000-00007D030000}"/>
    <cellStyle name="Q_Sand allocation H106(11 Jan 2006)_รายงานประชุมกิจการ ก.ย.52_west2" xfId="894" xr:uid="{00000000-0005-0000-0000-00007E030000}"/>
    <cellStyle name="Q_Sand allocation H106(11 Jan 2006)_รายงานประชุมกิจการ ก.ย.52_west2 2" xfId="895" xr:uid="{00000000-0005-0000-0000-00007F030000}"/>
    <cellStyle name="Q_Sand allocation H106(11 Jan 2006)_รายงานประชุมกิจการ กย.52_ตต.2" xfId="896" xr:uid="{00000000-0005-0000-0000-000080030000}"/>
    <cellStyle name="Q_Sand allocation H106(11 Jan 2006)_รายงานประชุมกิจการ ส.ค.52 ตต.1(ส่งเสริมคุณภาพ)" xfId="897" xr:uid="{00000000-0005-0000-0000-000081030000}"/>
    <cellStyle name="Q_Sand allocation H106(11 Jan 2006)_รายงานประชุมกิจการ ส.ค.52 ตต.1(ส่งเสริมคุณภาพ) 2" xfId="898" xr:uid="{00000000-0005-0000-0000-000082030000}"/>
    <cellStyle name="Q_Sand allocation H106(11 Jan 2006)_รายงานประชุมกิจการ อยุธยา 09 2009" xfId="899" xr:uid="{00000000-0005-0000-0000-000083030000}"/>
    <cellStyle name="Q_Sep09" xfId="900" xr:uid="{00000000-0005-0000-0000-000084030000}"/>
    <cellStyle name="Q_แบบฟอร์มอธิบาย SD_CPK ภน.4 เดือน พ.ย.53" xfId="926" xr:uid="{00000000-0005-0000-0000-00009E030000}"/>
    <cellStyle name="Q_แบบฟอร์มอธิบาย SD_CPK ภน.4 เดือน พ.ย.53 2" xfId="927" xr:uid="{00000000-0005-0000-0000-00009F030000}"/>
    <cellStyle name="Q_แผนก.วถ.ปี 2550 (220949)" xfId="928" xr:uid="{00000000-0005-0000-0000-0000A0030000}"/>
    <cellStyle name="Q_แผนก.วถ.ปี 2550 (220949) 2" xfId="929" xr:uid="{00000000-0005-0000-0000-0000A1030000}"/>
    <cellStyle name="Q_แผนก.วถ.ปี 2550 (220949) 2 2" xfId="930" xr:uid="{00000000-0005-0000-0000-0000A2030000}"/>
    <cellStyle name="Q_แผนก.วถ.ปี 2550 (220949) 3" xfId="931" xr:uid="{00000000-0005-0000-0000-0000A3030000}"/>
    <cellStyle name="Q_แผนก.วถ.ปี 2550 (220949) 3 2" xfId="932" xr:uid="{00000000-0005-0000-0000-0000A4030000}"/>
    <cellStyle name="Q_แผนก.วถ.ปี 2550 (220949) 4" xfId="933" xr:uid="{00000000-0005-0000-0000-0000A5030000}"/>
    <cellStyle name="Q_แผนก.วถ.ปี 2550 (220949) 4 2" xfId="934" xr:uid="{00000000-0005-0000-0000-0000A6030000}"/>
    <cellStyle name="Q_แผนก.วถ.ปี 2550 (220949) 5" xfId="935" xr:uid="{00000000-0005-0000-0000-0000A7030000}"/>
    <cellStyle name="Q_แผนก.วถ.ปี 2550 (220949)_Copyof6รายงานป" xfId="936" xr:uid="{00000000-0005-0000-0000-0000A8030000}"/>
    <cellStyle name="Q_แผนก.วถ.ปี 2550 (220949)_Copyof6รายงานป 2" xfId="937" xr:uid="{00000000-0005-0000-0000-0000A9030000}"/>
    <cellStyle name="Q_แผนก.วถ.ปี 2550 (220949)_plan กิจกรรม Southern 4" xfId="938" xr:uid="{00000000-0005-0000-0000-0000AA030000}"/>
    <cellStyle name="Q_แผนก.วถ.ปี 2550 (220949)_Sep09" xfId="939" xr:uid="{00000000-0005-0000-0000-0000AB030000}"/>
    <cellStyle name="Q_แผนก.วถ.ปี 2550 (220949)_Sep09 2" xfId="940" xr:uid="{00000000-0005-0000-0000-0000AC030000}"/>
    <cellStyle name="Q_แผนก.วถ.ปี 2550 (220949)_รายงานประชุมกิจการ (Aug09) final  by Tippatai" xfId="941" xr:uid="{00000000-0005-0000-0000-0000AD030000}"/>
    <cellStyle name="Q_แผนก.วถ.ปี 2550 (220949)_รายงานประชุมกิจการ ก.ย.52_west2" xfId="942" xr:uid="{00000000-0005-0000-0000-0000AE030000}"/>
    <cellStyle name="Q_แผนก.วถ.ปี 2550 (220949)_รายงานประชุมกิจการ ก.ย.52_west2 2" xfId="943" xr:uid="{00000000-0005-0000-0000-0000AF030000}"/>
    <cellStyle name="Q_แผนก.วถ.ปี 2550 (220949)_รายงานประชุมกิจการ กย.52_ตต.2" xfId="944" xr:uid="{00000000-0005-0000-0000-0000B0030000}"/>
    <cellStyle name="Q_แผนก.วถ.ปี 2550 (220949)_รายงานประชุมกิจการ ส.ค.52 ตต.1(ส่งเสริมคุณภาพ)" xfId="945" xr:uid="{00000000-0005-0000-0000-0000B1030000}"/>
    <cellStyle name="Q_แผนก.วถ.ปี 2550 (220949)_รายงานประชุมกิจการ ส.ค.52 ตต.1(ส่งเสริมคุณภาพ) 2" xfId="946" xr:uid="{00000000-0005-0000-0000-0000B2030000}"/>
    <cellStyle name="Q_แผนก.วถ.ปี 2550 (220949)_รายงานประชุมกิจการ อยุธยา 09 2009" xfId="947" xr:uid="{00000000-0005-0000-0000-0000B3030000}"/>
    <cellStyle name="Q_แผนจัดสรรหิน 2550" xfId="948" xr:uid="{00000000-0005-0000-0000-0000B4030000}"/>
    <cellStyle name="Q_แผนจัดสรรหิน 2550 2" xfId="949" xr:uid="{00000000-0005-0000-0000-0000B5030000}"/>
    <cellStyle name="Q_แผนจัดสรรหิน 2550 3" xfId="950" xr:uid="{00000000-0005-0000-0000-0000B6030000}"/>
    <cellStyle name="Q_แผนจัดสรรหิน 2550 4" xfId="951" xr:uid="{00000000-0005-0000-0000-0000B7030000}"/>
    <cellStyle name="Q_แผนจัดสรรหิน 2550_bsc 0254" xfId="952" xr:uid="{00000000-0005-0000-0000-0000B8030000}"/>
    <cellStyle name="Q_แผนจัดสรรหิน 2550_bsc 0254 2" xfId="953" xr:uid="{00000000-0005-0000-0000-0000B9030000}"/>
    <cellStyle name="Q_แผนจัดสรรหิน 2550_Copy of SDCPKAUG" xfId="954" xr:uid="{00000000-0005-0000-0000-0000BA030000}"/>
    <cellStyle name="Q_แผนจัดสรรหิน 2550_Copyof6รายงานป" xfId="955" xr:uid="{00000000-0005-0000-0000-0000BB030000}"/>
    <cellStyle name="Q_แผนจัดสรรหิน 2550_plan กิจกรรม Southern 4" xfId="956" xr:uid="{00000000-0005-0000-0000-0000BC030000}"/>
    <cellStyle name="Q_แผนจัดสรรหิน 2550_Sep09" xfId="957" xr:uid="{00000000-0005-0000-0000-0000BD030000}"/>
    <cellStyle name="Q_แผนจัดสรรหิน 2550_แบบฟอร์มอธิบาย SD_CPK ภน.4 เดือน พ.ย.53" xfId="964" xr:uid="{00000000-0005-0000-0000-0000C4030000}"/>
    <cellStyle name="Q_แผนจัดสรรหิน 2550_แบบฟอร์มอธิบาย SD_CPK ภน.4 เดือน พ.ย.53 2" xfId="965" xr:uid="{00000000-0005-0000-0000-0000C5030000}"/>
    <cellStyle name="Q_แผนจัดสรรหิน 2550_กำลังอัด" xfId="958" xr:uid="{00000000-0005-0000-0000-0000BE030000}"/>
    <cellStyle name="Q_แผนจัดสรรหิน 2550_กำลังอัด 2" xfId="959" xr:uid="{00000000-0005-0000-0000-0000BF030000}"/>
    <cellStyle name="Q_แผนจัดสรรหิน 2550_กำลังอัดรวมกิจการภาคเหนือ มค.54  (1)" xfId="960" xr:uid="{00000000-0005-0000-0000-0000C0030000}"/>
    <cellStyle name="Q_แผนจัดสรรหิน 2550_กำลังอัดรวมกิจการภาคเหนือ มค.54  (1) 2" xfId="961" xr:uid="{00000000-0005-0000-0000-0000C1030000}"/>
    <cellStyle name="Q_แผนจัดสรรหิน 2550_ขอข้อมูล รายงานผลดำเนินงาน(new)_ผจก ภ ตต สคธจ ตต_Sep09" xfId="962" xr:uid="{00000000-0005-0000-0000-0000C2030000}"/>
    <cellStyle name="Q_แผนจัดสรรหิน 2550_ขอข้อมูล รายงานผลดำเนินงาน(new)_ภาค3ครับ" xfId="963" xr:uid="{00000000-0005-0000-0000-0000C3030000}"/>
    <cellStyle name="Q_แผนจัดสรรหิน 2550_รายงานประชุมกิจการ (Aug09) final  by Tippatai" xfId="966" xr:uid="{00000000-0005-0000-0000-0000C6030000}"/>
    <cellStyle name="Q_แผนจัดสรรหิน 2550_รายงานประชุมกิจการ ก.ย.52_west2" xfId="967" xr:uid="{00000000-0005-0000-0000-0000C7030000}"/>
    <cellStyle name="Q_แผนจัดสรรหิน 2550_รายงานประชุมกิจการ กย.52_ตต.2" xfId="968" xr:uid="{00000000-0005-0000-0000-0000C8030000}"/>
    <cellStyle name="Q_แผนจัดสรรหิน 2550_รายงานประชุมกิจการ กย.52_ตต.2_v1" xfId="969" xr:uid="{00000000-0005-0000-0000-0000C9030000}"/>
    <cellStyle name="Q_แผนจัดสรรหิน 2550_รายงานประชุมกิจการ ส.ค.52 ตต.1(ส่งเสริมคุณภาพ)" xfId="970" xr:uid="{00000000-0005-0000-0000-0000CA030000}"/>
    <cellStyle name="Q_แผนจัดสรรหิน 2550_รายงานประชุมกิจการ อยุธยา 09 2009" xfId="971" xr:uid="{00000000-0005-0000-0000-0000CB030000}"/>
    <cellStyle name="Q_แผนจัดสรรหิน 2550_รายงานประชุมกิจการ(Aug09)ไม่มีรูป" xfId="972" xr:uid="{00000000-0005-0000-0000-0000CC030000}"/>
    <cellStyle name="Q_แผนจัดสรรหิน 2550_วิเคราะห์กำลังอัดรวมกิจการ ธันวาคม_Pพิเศษ(1)" xfId="973" xr:uid="{00000000-0005-0000-0000-0000CD030000}"/>
    <cellStyle name="Q_แผนจัดสรรหิน 2550_วิเคราะห์กำลังอัดรวมกิจการ ธันวาคม_Pพิเศษ(1) 2" xfId="974" xr:uid="{00000000-0005-0000-0000-0000CE030000}"/>
    <cellStyle name="Q_แผนจัดสรรหิน 2550_วิเคราะห์คุณภาพรวมกิจการ" xfId="975" xr:uid="{00000000-0005-0000-0000-0000CF030000}"/>
    <cellStyle name="Q_แผนจัดสรรหิน 2550_วิเคราะห์คุณภาพรวมกิจการ 2" xfId="976" xr:uid="{00000000-0005-0000-0000-0000D0030000}"/>
    <cellStyle name="Q_แผนจัดสรรหิน 2550_วิเคราะห์คุณภาพรวมกิจการ ก.ย. (1)" xfId="977" xr:uid="{00000000-0005-0000-0000-0000D1030000}"/>
    <cellStyle name="Q_แผนจัดสรรหิน 2550_วิเคราะห์คุณภาพรวมกิจการ ก.ย. (1) 2" xfId="978" xr:uid="{00000000-0005-0000-0000-0000D2030000}"/>
    <cellStyle name="Q_แผนจัดสรรหิน 2550_วิเคราะห์คุณภาพรวมกิจการ(แก้ไขล่าสุด)" xfId="979" xr:uid="{00000000-0005-0000-0000-0000D3030000}"/>
    <cellStyle name="Q_แผนจัดสรรหิน 2550_วิเคราะห์คุณภาพรวมกิจการ(แก้ไขล่าสุด) 2" xfId="980" xr:uid="{00000000-0005-0000-0000-0000D4030000}"/>
    <cellStyle name="Q_แผนจ่ายทราย (สิงหาคม)" xfId="981" xr:uid="{00000000-0005-0000-0000-0000D5030000}"/>
    <cellStyle name="Q_แผนจ่ายทราย (สิงหาคม) 2" xfId="982" xr:uid="{00000000-0005-0000-0000-0000D6030000}"/>
    <cellStyle name="Q_แผนจ่ายทราย (สิงหาคม) 3" xfId="983" xr:uid="{00000000-0005-0000-0000-0000D7030000}"/>
    <cellStyle name="Q_แผนจ่ายทราย (สิงหาคม) 4" xfId="984" xr:uid="{00000000-0005-0000-0000-0000D8030000}"/>
    <cellStyle name="Q_แผนจ่ายทราย (สิงหาคม)_bsc 0254" xfId="985" xr:uid="{00000000-0005-0000-0000-0000D9030000}"/>
    <cellStyle name="Q_แผนจ่ายทราย (สิงหาคม)_bsc 0254 2" xfId="986" xr:uid="{00000000-0005-0000-0000-0000DA030000}"/>
    <cellStyle name="Q_แผนจ่ายทราย (สิงหาคม)_Copy of SDCPKAUG" xfId="987" xr:uid="{00000000-0005-0000-0000-0000DB030000}"/>
    <cellStyle name="Q_แผนจ่ายทราย (สิงหาคม)_Copyof6รายงานป" xfId="988" xr:uid="{00000000-0005-0000-0000-0000DC030000}"/>
    <cellStyle name="Q_แผนจ่ายทราย (สิงหาคม)_plan กิจกรรม Southern 4" xfId="989" xr:uid="{00000000-0005-0000-0000-0000DD030000}"/>
    <cellStyle name="Q_แผนจ่ายทราย (สิงหาคม)_Sep09" xfId="990" xr:uid="{00000000-0005-0000-0000-0000DE030000}"/>
    <cellStyle name="Q_แผนจ่ายทราย (สิงหาคม)_แบบฟอร์มอธิบาย SD_CPK ภน.4 เดือน พ.ย.53" xfId="997" xr:uid="{00000000-0005-0000-0000-0000E5030000}"/>
    <cellStyle name="Q_แผนจ่ายทราย (สิงหาคม)_แบบฟอร์มอธิบาย SD_CPK ภน.4 เดือน พ.ย.53 2" xfId="998" xr:uid="{00000000-0005-0000-0000-0000E6030000}"/>
    <cellStyle name="Q_แผนจ่ายทราย (สิงหาคม)_กำลังอัด" xfId="991" xr:uid="{00000000-0005-0000-0000-0000DF030000}"/>
    <cellStyle name="Q_แผนจ่ายทราย (สิงหาคม)_กำลังอัด 2" xfId="992" xr:uid="{00000000-0005-0000-0000-0000E0030000}"/>
    <cellStyle name="Q_แผนจ่ายทราย (สิงหาคม)_กำลังอัดรวมกิจการภาคเหนือ มค.54  (1)" xfId="993" xr:uid="{00000000-0005-0000-0000-0000E1030000}"/>
    <cellStyle name="Q_แผนจ่ายทราย (สิงหาคม)_กำลังอัดรวมกิจการภาคเหนือ มค.54  (1) 2" xfId="994" xr:uid="{00000000-0005-0000-0000-0000E2030000}"/>
    <cellStyle name="Q_แผนจ่ายทราย (สิงหาคม)_ขอข้อมูล รายงานผลดำเนินงาน(new)_ผจก ภ ตต สคธจ ตต_Sep09" xfId="995" xr:uid="{00000000-0005-0000-0000-0000E3030000}"/>
    <cellStyle name="Q_แผนจ่ายทราย (สิงหาคม)_ขอข้อมูล รายงานผลดำเนินงาน(new)_ภาค3ครับ" xfId="996" xr:uid="{00000000-0005-0000-0000-0000E4030000}"/>
    <cellStyle name="Q_แผนจ่ายทราย (สิงหาคม)_รายงานประชุมกิจการ (Aug09) final  by Tippatai" xfId="999" xr:uid="{00000000-0005-0000-0000-0000E7030000}"/>
    <cellStyle name="Q_แผนจ่ายทราย (สิงหาคม)_รายงานประชุมกิจการ ก.ย.52_west2" xfId="1000" xr:uid="{00000000-0005-0000-0000-0000E8030000}"/>
    <cellStyle name="Q_แผนจ่ายทราย (สิงหาคม)_รายงานประชุมกิจการ กย.52_ตต.2" xfId="1001" xr:uid="{00000000-0005-0000-0000-0000E9030000}"/>
    <cellStyle name="Q_แผนจ่ายทราย (สิงหาคม)_รายงานประชุมกิจการ กย.52_ตต.2_v1" xfId="1002" xr:uid="{00000000-0005-0000-0000-0000EA030000}"/>
    <cellStyle name="Q_แผนจ่ายทราย (สิงหาคม)_รายงานประชุมกิจการ ส.ค.52 ตต.1(ส่งเสริมคุณภาพ)" xfId="1003" xr:uid="{00000000-0005-0000-0000-0000EB030000}"/>
    <cellStyle name="Q_แผนจ่ายทราย (สิงหาคม)_รายงานประชุมกิจการ อยุธยา 09 2009" xfId="1004" xr:uid="{00000000-0005-0000-0000-0000EC030000}"/>
    <cellStyle name="Q_แผนจ่ายทราย (สิงหาคม)_รายงานประชุมกิจการ(Aug09)ไม่มีรูป" xfId="1005" xr:uid="{00000000-0005-0000-0000-0000ED030000}"/>
    <cellStyle name="Q_แผนจ่ายทราย (สิงหาคม)_วิเคราะห์กำลังอัดรวมกิจการ ธันวาคม_Pพิเศษ(1)" xfId="1006" xr:uid="{00000000-0005-0000-0000-0000EE030000}"/>
    <cellStyle name="Q_แผนจ่ายทราย (สิงหาคม)_วิเคราะห์กำลังอัดรวมกิจการ ธันวาคม_Pพิเศษ(1) 2" xfId="1007" xr:uid="{00000000-0005-0000-0000-0000EF030000}"/>
    <cellStyle name="Q_แผนจ่ายทราย (สิงหาคม)_วิเคราะห์คุณภาพรวมกิจการ" xfId="1008" xr:uid="{00000000-0005-0000-0000-0000F0030000}"/>
    <cellStyle name="Q_แผนจ่ายทราย (สิงหาคม)_วิเคราะห์คุณภาพรวมกิจการ 2" xfId="1009" xr:uid="{00000000-0005-0000-0000-0000F1030000}"/>
    <cellStyle name="Q_แผนจ่ายทราย (สิงหาคม)_วิเคราะห์คุณภาพรวมกิจการ ก.ย. (1)" xfId="1010" xr:uid="{00000000-0005-0000-0000-0000F2030000}"/>
    <cellStyle name="Q_แผนจ่ายทราย (สิงหาคม)_วิเคราะห์คุณภาพรวมกิจการ ก.ย. (1) 2" xfId="1011" xr:uid="{00000000-0005-0000-0000-0000F3030000}"/>
    <cellStyle name="Q_แผนจ่ายทราย (สิงหาคม)_วิเคราะห์คุณภาพรวมกิจการ(แก้ไขล่าสุด)" xfId="1012" xr:uid="{00000000-0005-0000-0000-0000F4030000}"/>
    <cellStyle name="Q_แผนจ่ายทราย (สิงหาคม)_วิเคราะห์คุณภาพรวมกิจการ(แก้ไขล่าสุด) 2" xfId="1013" xr:uid="{00000000-0005-0000-0000-0000F5030000}"/>
    <cellStyle name="Q_แผนปฏิบัติงาน 51 (trip)" xfId="1014" xr:uid="{00000000-0005-0000-0000-0000F6030000}"/>
    <cellStyle name="Q_โพย" xfId="1015" xr:uid="{00000000-0005-0000-0000-0000F7030000}"/>
    <cellStyle name="Q_กวถ" xfId="901" xr:uid="{00000000-0005-0000-0000-000085030000}"/>
    <cellStyle name="Q_กวถ 2" xfId="902" xr:uid="{00000000-0005-0000-0000-000086030000}"/>
    <cellStyle name="Q_กวถ 2 2" xfId="903" xr:uid="{00000000-0005-0000-0000-000087030000}"/>
    <cellStyle name="Q_กวถ 3" xfId="904" xr:uid="{00000000-0005-0000-0000-000088030000}"/>
    <cellStyle name="Q_กวถ 3 2" xfId="905" xr:uid="{00000000-0005-0000-0000-000089030000}"/>
    <cellStyle name="Q_กวถ 4" xfId="906" xr:uid="{00000000-0005-0000-0000-00008A030000}"/>
    <cellStyle name="Q_กวถ 4 2" xfId="907" xr:uid="{00000000-0005-0000-0000-00008B030000}"/>
    <cellStyle name="Q_กวถ 5" xfId="908" xr:uid="{00000000-0005-0000-0000-00008C030000}"/>
    <cellStyle name="Q_กวถ_Copyof6รายงานป" xfId="909" xr:uid="{00000000-0005-0000-0000-00008D030000}"/>
    <cellStyle name="Q_กวถ_Copyof6รายงานป 2" xfId="910" xr:uid="{00000000-0005-0000-0000-00008E030000}"/>
    <cellStyle name="Q_กวถ_Sep09" xfId="911" xr:uid="{00000000-0005-0000-0000-00008F030000}"/>
    <cellStyle name="Q_กวถ_Sep09 2" xfId="912" xr:uid="{00000000-0005-0000-0000-000090030000}"/>
    <cellStyle name="Q_กวถ_รายงานประชุมกิจการ (Aug09) final  by Tippatai" xfId="913" xr:uid="{00000000-0005-0000-0000-000091030000}"/>
    <cellStyle name="Q_กวถ_รายงานประชุมกิจการ ก.ย.52_west2" xfId="914" xr:uid="{00000000-0005-0000-0000-000092030000}"/>
    <cellStyle name="Q_กวถ_รายงานประชุมกิจการ ก.ย.52_west2 2" xfId="915" xr:uid="{00000000-0005-0000-0000-000093030000}"/>
    <cellStyle name="Q_กวถ_รายงานประชุมกิจการ กย.52_ตต.2" xfId="916" xr:uid="{00000000-0005-0000-0000-000094030000}"/>
    <cellStyle name="Q_กวถ_รายงานประชุมกิจการ ส.ค.52 ตต.1(ส่งเสริมคุณภาพ)" xfId="917" xr:uid="{00000000-0005-0000-0000-000095030000}"/>
    <cellStyle name="Q_กวถ_รายงานประชุมกิจการ ส.ค.52 ตต.1(ส่งเสริมคุณภาพ) 2" xfId="918" xr:uid="{00000000-0005-0000-0000-000096030000}"/>
    <cellStyle name="Q_กวถ_รายงานประชุมกิจการ อยุธยา 09 2009" xfId="919" xr:uid="{00000000-0005-0000-0000-000097030000}"/>
    <cellStyle name="Q_กำลังอัด" xfId="920" xr:uid="{00000000-0005-0000-0000-000098030000}"/>
    <cellStyle name="Q_กำลังอัด 2" xfId="921" xr:uid="{00000000-0005-0000-0000-000099030000}"/>
    <cellStyle name="Q_กำลังอัดรวมกิจการภาคเหนือ มค.54  (1)" xfId="922" xr:uid="{00000000-0005-0000-0000-00009A030000}"/>
    <cellStyle name="Q_กำลังอัดรวมกิจการภาคเหนือ มค.54  (1) 2" xfId="923" xr:uid="{00000000-0005-0000-0000-00009B030000}"/>
    <cellStyle name="Q_ขอข้อมูล รายงานผลดำเนินงาน(new)_ผจก ภ ตต สคธจ ตต_Sep09" xfId="924" xr:uid="{00000000-0005-0000-0000-00009C030000}"/>
    <cellStyle name="Q_ขอข้อมูล รายงานผลดำเนินงาน(new)_ภาค3ครับ" xfId="925" xr:uid="{00000000-0005-0000-0000-00009D030000}"/>
    <cellStyle name="Q_รายงานประชุมกิจการ (Aug09) final  by Tippatai" xfId="1016" xr:uid="{00000000-0005-0000-0000-0000F8030000}"/>
    <cellStyle name="Q_รายงานประชุมกิจการ ก.ย.52_west2" xfId="1017" xr:uid="{00000000-0005-0000-0000-0000F9030000}"/>
    <cellStyle name="Q_รายงานประชุมกิจการ กย.52_ตต.2" xfId="1018" xr:uid="{00000000-0005-0000-0000-0000FA030000}"/>
    <cellStyle name="Q_รายงานประชุมกิจการ กย.52_ตต.2_v1" xfId="1019" xr:uid="{00000000-0005-0000-0000-0000FB030000}"/>
    <cellStyle name="Q_รายงานประชุมกิจการ ส.ค.52 ตต.1(ส่งเสริมคุณภาพ)" xfId="1020" xr:uid="{00000000-0005-0000-0000-0000FC030000}"/>
    <cellStyle name="Q_รายงานประชุมกิจการ อยุธยา 09 2009" xfId="1021" xr:uid="{00000000-0005-0000-0000-0000FD030000}"/>
    <cellStyle name="Q_รายงานประชุมกิจการ(Aug09)ไม่มีรูป" xfId="1022" xr:uid="{00000000-0005-0000-0000-0000FE030000}"/>
    <cellStyle name="Q_วาระที่ 3.1 " xfId="1023" xr:uid="{00000000-0005-0000-0000-0000FF030000}"/>
    <cellStyle name="Q_วิเคราะห์กำลังอัดรวมกิจการ ธันวาคม_Pพิเศษ(1)" xfId="1024" xr:uid="{00000000-0005-0000-0000-000000040000}"/>
    <cellStyle name="Q_วิเคราะห์กำลังอัดรวมกิจการ ธันวาคม_Pพิเศษ(1) 2" xfId="1025" xr:uid="{00000000-0005-0000-0000-000001040000}"/>
    <cellStyle name="Q_วิเคราะห์คุณภาพรวมกิจการ" xfId="1026" xr:uid="{00000000-0005-0000-0000-000002040000}"/>
    <cellStyle name="Q_วิเคราะห์คุณภาพรวมกิจการ 2" xfId="1027" xr:uid="{00000000-0005-0000-0000-000003040000}"/>
    <cellStyle name="Q_วิเคราะห์คุณภาพรวมกิจการ ก.ย. (1)" xfId="1028" xr:uid="{00000000-0005-0000-0000-000004040000}"/>
    <cellStyle name="Q_วิเคราะห์คุณภาพรวมกิจการ ก.ย. (1) 2" xfId="1029" xr:uid="{00000000-0005-0000-0000-000005040000}"/>
    <cellStyle name="Q_วิเคราะห์คุณภาพรวมกิจการ(แก้ไขล่าสุด)" xfId="1030" xr:uid="{00000000-0005-0000-0000-000006040000}"/>
    <cellStyle name="Q_วิเคราะห์คุณภาพรวมกิจการ(แก้ไขล่าสุด) 2" xfId="1031" xr:uid="{00000000-0005-0000-0000-000007040000}"/>
    <cellStyle name="Q_สถานการณ์ ปัญหา ก.พ. และแผนดือน มี.ค.ภาคใต้ 1" xfId="1032" xr:uid="{00000000-0005-0000-0000-000008040000}"/>
    <cellStyle name="Quantity" xfId="1033" xr:uid="{00000000-0005-0000-0000-000009040000}"/>
    <cellStyle name="Quantity 2" xfId="1034" xr:uid="{00000000-0005-0000-0000-00000A040000}"/>
    <cellStyle name="Quantity 2 2" xfId="1035" xr:uid="{00000000-0005-0000-0000-00000B040000}"/>
    <cellStyle name="Quantity 3" xfId="1036" xr:uid="{00000000-0005-0000-0000-00000C040000}"/>
    <cellStyle name="Quantity 4" xfId="1037" xr:uid="{00000000-0005-0000-0000-00000D040000}"/>
    <cellStyle name="Quantity_Copy of SDCPKAUG" xfId="1038" xr:uid="{00000000-0005-0000-0000-00000E040000}"/>
    <cellStyle name="small border line" xfId="1039" xr:uid="{00000000-0005-0000-0000-00000F040000}"/>
    <cellStyle name="small border line 2" xfId="1040" xr:uid="{00000000-0005-0000-0000-000010040000}"/>
    <cellStyle name="small border line 2 2" xfId="1041" xr:uid="{00000000-0005-0000-0000-000011040000}"/>
    <cellStyle name="small border line 3" xfId="1042" xr:uid="{00000000-0005-0000-0000-000012040000}"/>
    <cellStyle name="small border line 3 2" xfId="1043" xr:uid="{00000000-0005-0000-0000-000013040000}"/>
    <cellStyle name="small border line 4" xfId="1044" xr:uid="{00000000-0005-0000-0000-000014040000}"/>
    <cellStyle name="small border line 4 2" xfId="1045" xr:uid="{00000000-0005-0000-0000-000015040000}"/>
    <cellStyle name="small border line 5" xfId="1046" xr:uid="{00000000-0005-0000-0000-000016040000}"/>
    <cellStyle name="small border line_Copy of SDCPKAUG" xfId="1047" xr:uid="{00000000-0005-0000-0000-000017040000}"/>
    <cellStyle name="Style 1" xfId="4" xr:uid="{54E41928-8E89-4AFB-9787-724DD81AC840}"/>
    <cellStyle name="Style 1 2" xfId="1048" xr:uid="{00000000-0005-0000-0000-000019040000}"/>
    <cellStyle name="Title 2" xfId="1049" xr:uid="{00000000-0005-0000-0000-00001A040000}"/>
    <cellStyle name="Title 3" xfId="1050" xr:uid="{00000000-0005-0000-0000-00001B040000}"/>
    <cellStyle name="Total 2" xfId="1051" xr:uid="{00000000-0005-0000-0000-00001C040000}"/>
    <cellStyle name="Total 2 2" xfId="1052" xr:uid="{00000000-0005-0000-0000-00001D040000}"/>
    <cellStyle name="Total 2 2 2" xfId="1617" xr:uid="{00000000-0005-0000-0000-00001D040000}"/>
    <cellStyle name="Total 2 3" xfId="1616" xr:uid="{00000000-0005-0000-0000-00001C040000}"/>
    <cellStyle name="Total 3" xfId="1053" xr:uid="{00000000-0005-0000-0000-00001E040000}"/>
    <cellStyle name="Total 3 2" xfId="1618" xr:uid="{00000000-0005-0000-0000-00001E040000}"/>
    <cellStyle name="TU" xfId="1054" xr:uid="{00000000-0005-0000-0000-00001F040000}"/>
    <cellStyle name="TU 2" xfId="1055" xr:uid="{00000000-0005-0000-0000-000020040000}"/>
    <cellStyle name="TU 2 2" xfId="1495" xr:uid="{00000000-0005-0000-0000-000020040000}"/>
    <cellStyle name="TU 2 2 2" xfId="1638" xr:uid="{00000000-0005-0000-0000-000020040000}"/>
    <cellStyle name="TU 2 3" xfId="1492" xr:uid="{00000000-0005-0000-0000-000020040000}"/>
    <cellStyle name="TU 2 3 2" xfId="1635" xr:uid="{00000000-0005-0000-0000-000020040000}"/>
    <cellStyle name="TU 2 4" xfId="1620" xr:uid="{00000000-0005-0000-0000-000020040000}"/>
    <cellStyle name="TU 3" xfId="1056" xr:uid="{00000000-0005-0000-0000-000021040000}"/>
    <cellStyle name="TU 3 2" xfId="1494" xr:uid="{00000000-0005-0000-0000-000021040000}"/>
    <cellStyle name="TU 3 2 2" xfId="1637" xr:uid="{00000000-0005-0000-0000-000021040000}"/>
    <cellStyle name="TU 3 3" xfId="1491" xr:uid="{00000000-0005-0000-0000-000021040000}"/>
    <cellStyle name="TU 3 3 2" xfId="1634" xr:uid="{00000000-0005-0000-0000-000021040000}"/>
    <cellStyle name="TU 3 4" xfId="1621" xr:uid="{00000000-0005-0000-0000-000021040000}"/>
    <cellStyle name="TU 4" xfId="1496" xr:uid="{00000000-0005-0000-0000-00001F040000}"/>
    <cellStyle name="TU 4 2" xfId="1639" xr:uid="{00000000-0005-0000-0000-00001F040000}"/>
    <cellStyle name="TU 5" xfId="1493" xr:uid="{00000000-0005-0000-0000-00001F040000}"/>
    <cellStyle name="TU 5 2" xfId="1636" xr:uid="{00000000-0005-0000-0000-00001F040000}"/>
    <cellStyle name="TU 6" xfId="1619" xr:uid="{00000000-0005-0000-0000-00001F040000}"/>
    <cellStyle name="Valuta (0)" xfId="1057" xr:uid="{00000000-0005-0000-0000-000022040000}"/>
    <cellStyle name="Valuta (0) 2" xfId="1058" xr:uid="{00000000-0005-0000-0000-000023040000}"/>
    <cellStyle name="Valuta (0) 3" xfId="1059" xr:uid="{00000000-0005-0000-0000-000024040000}"/>
    <cellStyle name="Valuta (0) 4" xfId="1060" xr:uid="{00000000-0005-0000-0000-000025040000}"/>
    <cellStyle name="W" xfId="1061" xr:uid="{00000000-0005-0000-0000-000026040000}"/>
    <cellStyle name="W 2" xfId="1062" xr:uid="{00000000-0005-0000-0000-000027040000}"/>
    <cellStyle name="W 3" xfId="1063" xr:uid="{00000000-0005-0000-0000-000028040000}"/>
    <cellStyle name="W 4" xfId="1064" xr:uid="{00000000-0005-0000-0000-000029040000}"/>
    <cellStyle name="W_10.TQC ข้อมูล คปภ.ต.ค.51" xfId="1065" xr:uid="{00000000-0005-0000-0000-00002A040000}"/>
    <cellStyle name="W_3.vara3.1_0450 " xfId="1066" xr:uid="{00000000-0005-0000-0000-00002B040000}"/>
    <cellStyle name="W_9 รง.ฉะเชิงเทรา" xfId="1067" xr:uid="{00000000-0005-0000-0000-00002C040000}"/>
    <cellStyle name="W_Book2" xfId="1068" xr:uid="{00000000-0005-0000-0000-00002D040000}"/>
    <cellStyle name="W_Book2 2" xfId="1069" xr:uid="{00000000-0005-0000-0000-00002E040000}"/>
    <cellStyle name="W_Book2 2 2" xfId="1070" xr:uid="{00000000-0005-0000-0000-00002F040000}"/>
    <cellStyle name="W_Book2 3" xfId="1071" xr:uid="{00000000-0005-0000-0000-000030040000}"/>
    <cellStyle name="W_Book2 3 2" xfId="1072" xr:uid="{00000000-0005-0000-0000-000031040000}"/>
    <cellStyle name="W_Book2 4" xfId="1073" xr:uid="{00000000-0005-0000-0000-000032040000}"/>
    <cellStyle name="W_Book2 4 2" xfId="1074" xr:uid="{00000000-0005-0000-0000-000033040000}"/>
    <cellStyle name="W_Book2 5" xfId="1075" xr:uid="{00000000-0005-0000-0000-000034040000}"/>
    <cellStyle name="W_Book2_Copyof6รายงานป" xfId="1076" xr:uid="{00000000-0005-0000-0000-000035040000}"/>
    <cellStyle name="W_Book2_Copyof6รายงานป 2" xfId="1077" xr:uid="{00000000-0005-0000-0000-000036040000}"/>
    <cellStyle name="W_Book2_plan กิจกรรม Southern 4" xfId="1078" xr:uid="{00000000-0005-0000-0000-000037040000}"/>
    <cellStyle name="W_Book2_Sep09" xfId="1079" xr:uid="{00000000-0005-0000-0000-000038040000}"/>
    <cellStyle name="W_Book2_Sep09 2" xfId="1080" xr:uid="{00000000-0005-0000-0000-000039040000}"/>
    <cellStyle name="W_Book2_รายงานประชุมกิจการ (Aug09) final  by Tippatai" xfId="1081" xr:uid="{00000000-0005-0000-0000-00003A040000}"/>
    <cellStyle name="W_Book2_รายงานประชุมกิจการ ก.ย.52_west2" xfId="1082" xr:uid="{00000000-0005-0000-0000-00003B040000}"/>
    <cellStyle name="W_Book2_รายงานประชุมกิจการ ก.ย.52_west2 2" xfId="1083" xr:uid="{00000000-0005-0000-0000-00003C040000}"/>
    <cellStyle name="W_Book2_รายงานประชุมกิจการ กย.52_ตต.2" xfId="1084" xr:uid="{00000000-0005-0000-0000-00003D040000}"/>
    <cellStyle name="W_Book2_รายงานประชุมกิจการ ส.ค.52 ตต.1(ส่งเสริมคุณภาพ)" xfId="1085" xr:uid="{00000000-0005-0000-0000-00003E040000}"/>
    <cellStyle name="W_Book2_รายงานประชุมกิจการ ส.ค.52 ตต.1(ส่งเสริมคุณภาพ) 2" xfId="1086" xr:uid="{00000000-0005-0000-0000-00003F040000}"/>
    <cellStyle name="W_Book2_รายงานประชุมกิจการ อยุธยา 09 2009" xfId="1087" xr:uid="{00000000-0005-0000-0000-000040040000}"/>
    <cellStyle name="W_bsc 0254" xfId="1088" xr:uid="{00000000-0005-0000-0000-000041040000}"/>
    <cellStyle name="W_bsc 0254 2" xfId="1089" xr:uid="{00000000-0005-0000-0000-000042040000}"/>
    <cellStyle name="W_BSC_APR2008" xfId="1090" xr:uid="{00000000-0005-0000-0000-000043040000}"/>
    <cellStyle name="W_BSC_APR2008 2" xfId="1091" xr:uid="{00000000-0005-0000-0000-000044040000}"/>
    <cellStyle name="W_BSC_APR2008 3" xfId="1092" xr:uid="{00000000-0005-0000-0000-000045040000}"/>
    <cellStyle name="W_BSC_APR2008 4" xfId="1093" xr:uid="{00000000-0005-0000-0000-000046040000}"/>
    <cellStyle name="W_BSC_APR2008_bsc 0254" xfId="1094" xr:uid="{00000000-0005-0000-0000-000047040000}"/>
    <cellStyle name="W_BSC_APR2008_bsc 0254 2" xfId="1095" xr:uid="{00000000-0005-0000-0000-000048040000}"/>
    <cellStyle name="W_BSC_APR2008_Copy of SDCPKAUG" xfId="1096" xr:uid="{00000000-0005-0000-0000-000049040000}"/>
    <cellStyle name="W_BSC_APR2008_Copyof6รายงานป" xfId="1097" xr:uid="{00000000-0005-0000-0000-00004A040000}"/>
    <cellStyle name="W_BSC_APR2008_Sep09" xfId="1098" xr:uid="{00000000-0005-0000-0000-00004B040000}"/>
    <cellStyle name="W_BSC_APR2008_แบบฟอร์มอธิบาย SD_CPK ภน.4 เดือน พ.ย.53" xfId="1105" xr:uid="{00000000-0005-0000-0000-000052040000}"/>
    <cellStyle name="W_BSC_APR2008_แบบฟอร์มอธิบาย SD_CPK ภน.4 เดือน พ.ย.53 2" xfId="1106" xr:uid="{00000000-0005-0000-0000-000053040000}"/>
    <cellStyle name="W_BSC_APR2008_กำลังอัด" xfId="1099" xr:uid="{00000000-0005-0000-0000-00004C040000}"/>
    <cellStyle name="W_BSC_APR2008_กำลังอัด 2" xfId="1100" xr:uid="{00000000-0005-0000-0000-00004D040000}"/>
    <cellStyle name="W_BSC_APR2008_กำลังอัดรวมกิจการภาคเหนือ มค.54  (1)" xfId="1101" xr:uid="{00000000-0005-0000-0000-00004E040000}"/>
    <cellStyle name="W_BSC_APR2008_กำลังอัดรวมกิจการภาคเหนือ มค.54  (1) 2" xfId="1102" xr:uid="{00000000-0005-0000-0000-00004F040000}"/>
    <cellStyle name="W_BSC_APR2008_ขอข้อมูล รายงานผลดำเนินงาน(new)_ผจก ภ ตต สคธจ ตต_Sep09" xfId="1103" xr:uid="{00000000-0005-0000-0000-000050040000}"/>
    <cellStyle name="W_BSC_APR2008_ขอข้อมูล รายงานผลดำเนินงาน(new)_ภาค3ครับ" xfId="1104" xr:uid="{00000000-0005-0000-0000-000051040000}"/>
    <cellStyle name="W_BSC_APR2008_รายงานประชุมกิจการ (Aug09) final  by Tippatai" xfId="1107" xr:uid="{00000000-0005-0000-0000-000054040000}"/>
    <cellStyle name="W_BSC_APR2008_รายงานประชุมกิจการ ก.ย.52_west2" xfId="1108" xr:uid="{00000000-0005-0000-0000-000055040000}"/>
    <cellStyle name="W_BSC_APR2008_รายงานประชุมกิจการ กย.52_ตต.2" xfId="1109" xr:uid="{00000000-0005-0000-0000-000056040000}"/>
    <cellStyle name="W_BSC_APR2008_รายงานประชุมกิจการ กย.52_ตต.2_v1" xfId="1110" xr:uid="{00000000-0005-0000-0000-000057040000}"/>
    <cellStyle name="W_BSC_APR2008_รายงานประชุมกิจการ ส.ค.52 ตต.1(ส่งเสริมคุณภาพ)" xfId="1111" xr:uid="{00000000-0005-0000-0000-000058040000}"/>
    <cellStyle name="W_BSC_APR2008_รายงานประชุมกิจการ อยุธยา 09 2009" xfId="1112" xr:uid="{00000000-0005-0000-0000-000059040000}"/>
    <cellStyle name="W_BSC_APR2008_รายงานประชุมกิจการ(Aug09)ไม่มีรูป" xfId="1113" xr:uid="{00000000-0005-0000-0000-00005A040000}"/>
    <cellStyle name="W_BSC_APR2008_วิเคราะห์กำลังอัดรวมกิจการ ธันวาคม_Pพิเศษ(1)" xfId="1114" xr:uid="{00000000-0005-0000-0000-00005B040000}"/>
    <cellStyle name="W_BSC_APR2008_วิเคราะห์กำลังอัดรวมกิจการ ธันวาคม_Pพิเศษ(1) 2" xfId="1115" xr:uid="{00000000-0005-0000-0000-00005C040000}"/>
    <cellStyle name="W_BSC_APR2008_วิเคราะห์คุณภาพรวมกิจการ" xfId="1116" xr:uid="{00000000-0005-0000-0000-00005D040000}"/>
    <cellStyle name="W_BSC_APR2008_วิเคราะห์คุณภาพรวมกิจการ 2" xfId="1117" xr:uid="{00000000-0005-0000-0000-00005E040000}"/>
    <cellStyle name="W_BSC_APR2008_วิเคราะห์คุณภาพรวมกิจการ ก.ย. (1)" xfId="1118" xr:uid="{00000000-0005-0000-0000-00005F040000}"/>
    <cellStyle name="W_BSC_APR2008_วิเคราะห์คุณภาพรวมกิจการ ก.ย. (1) 2" xfId="1119" xr:uid="{00000000-0005-0000-0000-000060040000}"/>
    <cellStyle name="W_BSC_APR2008_วิเคราะห์คุณภาพรวมกิจการ(แก้ไขล่าสุด)" xfId="1120" xr:uid="{00000000-0005-0000-0000-000061040000}"/>
    <cellStyle name="W_BSC_APR2008_วิเคราะห์คุณภาพรวมกิจการ(แก้ไขล่าสุด) 2" xfId="1121" xr:uid="{00000000-0005-0000-0000-000062040000}"/>
    <cellStyle name="W_Compare_SaleVolume" xfId="1122" xr:uid="{00000000-0005-0000-0000-000063040000}"/>
    <cellStyle name="W_Compare_SaleVolume 2" xfId="1123" xr:uid="{00000000-0005-0000-0000-000064040000}"/>
    <cellStyle name="W_Compare_SaleVolume 2 2" xfId="1124" xr:uid="{00000000-0005-0000-0000-000065040000}"/>
    <cellStyle name="W_Compare_SaleVolume 3" xfId="1125" xr:uid="{00000000-0005-0000-0000-000066040000}"/>
    <cellStyle name="W_Compare_SaleVolume 3 2" xfId="1126" xr:uid="{00000000-0005-0000-0000-000067040000}"/>
    <cellStyle name="W_Compare_SaleVolume 4" xfId="1127" xr:uid="{00000000-0005-0000-0000-000068040000}"/>
    <cellStyle name="W_Compare_SaleVolume 4 2" xfId="1128" xr:uid="{00000000-0005-0000-0000-000069040000}"/>
    <cellStyle name="W_Compare_SaleVolume 5" xfId="1129" xr:uid="{00000000-0005-0000-0000-00006A040000}"/>
    <cellStyle name="W_Compare_SaleVolume_Copyof6รายงานป" xfId="1130" xr:uid="{00000000-0005-0000-0000-00006B040000}"/>
    <cellStyle name="W_Compare_SaleVolume_Copyof6รายงานป 2" xfId="1131" xr:uid="{00000000-0005-0000-0000-00006C040000}"/>
    <cellStyle name="W_Compare_SaleVolume_Sep09" xfId="1132" xr:uid="{00000000-0005-0000-0000-00006D040000}"/>
    <cellStyle name="W_Compare_SaleVolume_Sep09 2" xfId="1133" xr:uid="{00000000-0005-0000-0000-00006E040000}"/>
    <cellStyle name="W_Compare_SaleVolume_รายงานประชุมกิจการ (Aug09) final  by Tippatai" xfId="1134" xr:uid="{00000000-0005-0000-0000-00006F040000}"/>
    <cellStyle name="W_Compare_SaleVolume_รายงานประชุมกิจการ ก.ย.52_west2" xfId="1135" xr:uid="{00000000-0005-0000-0000-000070040000}"/>
    <cellStyle name="W_Compare_SaleVolume_รายงานประชุมกิจการ ก.ย.52_west2 2" xfId="1136" xr:uid="{00000000-0005-0000-0000-000071040000}"/>
    <cellStyle name="W_Compare_SaleVolume_รายงานประชุมกิจการ กย.52_ตต.2" xfId="1137" xr:uid="{00000000-0005-0000-0000-000072040000}"/>
    <cellStyle name="W_Compare_SaleVolume_รายงานประชุมกิจการ ส.ค.52 ตต.1(ส่งเสริมคุณภาพ)" xfId="1138" xr:uid="{00000000-0005-0000-0000-000073040000}"/>
    <cellStyle name="W_Compare_SaleVolume_รายงานประชุมกิจการ ส.ค.52 ตต.1(ส่งเสริมคุณภาพ) 2" xfId="1139" xr:uid="{00000000-0005-0000-0000-000074040000}"/>
    <cellStyle name="W_Compare_SaleVolume_รายงานประชุมกิจการ อยุธยา 09 2009" xfId="1140" xr:uid="{00000000-0005-0000-0000-000075040000}"/>
    <cellStyle name="W_Copy of SDCPKAUG" xfId="1141" xr:uid="{00000000-0005-0000-0000-000076040000}"/>
    <cellStyle name="W_Copyof6รายงานป" xfId="1142" xr:uid="{00000000-0005-0000-0000-000077040000}"/>
    <cellStyle name="W_Data_update" xfId="1143" xr:uid="{00000000-0005-0000-0000-000078040000}"/>
    <cellStyle name="W_Data_update 2" xfId="1144" xr:uid="{00000000-0005-0000-0000-000079040000}"/>
    <cellStyle name="W_Data_update 3" xfId="1145" xr:uid="{00000000-0005-0000-0000-00007A040000}"/>
    <cellStyle name="W_Data_update 4" xfId="1146" xr:uid="{00000000-0005-0000-0000-00007B040000}"/>
    <cellStyle name="W_Data_update_bsc 0254" xfId="1147" xr:uid="{00000000-0005-0000-0000-00007C040000}"/>
    <cellStyle name="W_Data_update_bsc 0254 2" xfId="1148" xr:uid="{00000000-0005-0000-0000-00007D040000}"/>
    <cellStyle name="W_Data_update_Copy of SDCPKAUG" xfId="1149" xr:uid="{00000000-0005-0000-0000-00007E040000}"/>
    <cellStyle name="W_Data_update_Copyof6รายงานป" xfId="1150" xr:uid="{00000000-0005-0000-0000-00007F040000}"/>
    <cellStyle name="W_Data_update_Sep09" xfId="1151" xr:uid="{00000000-0005-0000-0000-000080040000}"/>
    <cellStyle name="W_Data_update_แบบฟอร์มอธิบาย SD_CPK ภน.4 เดือน พ.ย.53" xfId="1158" xr:uid="{00000000-0005-0000-0000-000087040000}"/>
    <cellStyle name="W_Data_update_แบบฟอร์มอธิบาย SD_CPK ภน.4 เดือน พ.ย.53 2" xfId="1159" xr:uid="{00000000-0005-0000-0000-000088040000}"/>
    <cellStyle name="W_Data_update_กำลังอัด" xfId="1152" xr:uid="{00000000-0005-0000-0000-000081040000}"/>
    <cellStyle name="W_Data_update_กำลังอัด 2" xfId="1153" xr:uid="{00000000-0005-0000-0000-000082040000}"/>
    <cellStyle name="W_Data_update_กำลังอัดรวมกิจการภาคเหนือ มค.54  (1)" xfId="1154" xr:uid="{00000000-0005-0000-0000-000083040000}"/>
    <cellStyle name="W_Data_update_กำลังอัดรวมกิจการภาคเหนือ มค.54  (1) 2" xfId="1155" xr:uid="{00000000-0005-0000-0000-000084040000}"/>
    <cellStyle name="W_Data_update_ขอข้อมูล รายงานผลดำเนินงาน(new)_ผจก ภ ตต สคธจ ตต_Sep09" xfId="1156" xr:uid="{00000000-0005-0000-0000-000085040000}"/>
    <cellStyle name="W_Data_update_ขอข้อมูล รายงานผลดำเนินงาน(new)_ภาค3ครับ" xfId="1157" xr:uid="{00000000-0005-0000-0000-000086040000}"/>
    <cellStyle name="W_Data_update_รายงานประชุมกิจการ (Aug09) final  by Tippatai" xfId="1160" xr:uid="{00000000-0005-0000-0000-000089040000}"/>
    <cellStyle name="W_Data_update_รายงานประชุมกิจการ ก.ย.52_west2" xfId="1161" xr:uid="{00000000-0005-0000-0000-00008A040000}"/>
    <cellStyle name="W_Data_update_รายงานประชุมกิจการ กย.52_ตต.2" xfId="1162" xr:uid="{00000000-0005-0000-0000-00008B040000}"/>
    <cellStyle name="W_Data_update_รายงานประชุมกิจการ กย.52_ตต.2_v1" xfId="1163" xr:uid="{00000000-0005-0000-0000-00008C040000}"/>
    <cellStyle name="W_Data_update_รายงานประชุมกิจการ ส.ค.52 ตต.1(ส่งเสริมคุณภาพ)" xfId="1164" xr:uid="{00000000-0005-0000-0000-00008D040000}"/>
    <cellStyle name="W_Data_update_รายงานประชุมกิจการ อยุธยา 09 2009" xfId="1165" xr:uid="{00000000-0005-0000-0000-00008E040000}"/>
    <cellStyle name="W_Data_update_รายงานประชุมกิจการ(Aug09)ไม่มีรูป" xfId="1166" xr:uid="{00000000-0005-0000-0000-00008F040000}"/>
    <cellStyle name="W_Data_update_วิเคราะห์กำลังอัดรวมกิจการ ธันวาคม_Pพิเศษ(1)" xfId="1167" xr:uid="{00000000-0005-0000-0000-000090040000}"/>
    <cellStyle name="W_Data_update_วิเคราะห์กำลังอัดรวมกิจการ ธันวาคม_Pพิเศษ(1) 2" xfId="1168" xr:uid="{00000000-0005-0000-0000-000091040000}"/>
    <cellStyle name="W_Data_update_วิเคราะห์คุณภาพรวมกิจการ" xfId="1169" xr:uid="{00000000-0005-0000-0000-000092040000}"/>
    <cellStyle name="W_Data_update_วิเคราะห์คุณภาพรวมกิจการ 2" xfId="1170" xr:uid="{00000000-0005-0000-0000-000093040000}"/>
    <cellStyle name="W_Data_update_วิเคราะห์คุณภาพรวมกิจการ ก.ย. (1)" xfId="1171" xr:uid="{00000000-0005-0000-0000-000094040000}"/>
    <cellStyle name="W_Data_update_วิเคราะห์คุณภาพรวมกิจการ ก.ย. (1) 2" xfId="1172" xr:uid="{00000000-0005-0000-0000-000095040000}"/>
    <cellStyle name="W_Data_update_วิเคราะห์คุณภาพรวมกิจการ(แก้ไขล่าสุด)" xfId="1173" xr:uid="{00000000-0005-0000-0000-000096040000}"/>
    <cellStyle name="W_Data_update_วิเคราะห์คุณภาพรวมกิจการ(แก้ไขล่าสุด) 2" xfId="1174" xr:uid="{00000000-0005-0000-0000-000097040000}"/>
    <cellStyle name="W_op_0451" xfId="1175" xr:uid="{00000000-0005-0000-0000-000098040000}"/>
    <cellStyle name="W_op_0451 2" xfId="1176" xr:uid="{00000000-0005-0000-0000-000099040000}"/>
    <cellStyle name="W_op_0451 3" xfId="1177" xr:uid="{00000000-0005-0000-0000-00009A040000}"/>
    <cellStyle name="W_op_0451 4" xfId="1178" xr:uid="{00000000-0005-0000-0000-00009B040000}"/>
    <cellStyle name="W_op_0451_bsc 0254" xfId="1179" xr:uid="{00000000-0005-0000-0000-00009C040000}"/>
    <cellStyle name="W_op_0451_bsc 0254 2" xfId="1180" xr:uid="{00000000-0005-0000-0000-00009D040000}"/>
    <cellStyle name="W_op_0451_Copy of SDCPKAUG" xfId="1181" xr:uid="{00000000-0005-0000-0000-00009E040000}"/>
    <cellStyle name="W_op_0451_Copyof6รายงานป" xfId="1182" xr:uid="{00000000-0005-0000-0000-00009F040000}"/>
    <cellStyle name="W_op_0451_Sep09" xfId="1183" xr:uid="{00000000-0005-0000-0000-0000A0040000}"/>
    <cellStyle name="W_op_0451_แบบฟอร์มอธิบาย SD_CPK ภน.4 เดือน พ.ย.53" xfId="1190" xr:uid="{00000000-0005-0000-0000-0000A7040000}"/>
    <cellStyle name="W_op_0451_แบบฟอร์มอธิบาย SD_CPK ภน.4 เดือน พ.ย.53 2" xfId="1191" xr:uid="{00000000-0005-0000-0000-0000A8040000}"/>
    <cellStyle name="W_op_0451_กำลังอัด" xfId="1184" xr:uid="{00000000-0005-0000-0000-0000A1040000}"/>
    <cellStyle name="W_op_0451_กำลังอัด 2" xfId="1185" xr:uid="{00000000-0005-0000-0000-0000A2040000}"/>
    <cellStyle name="W_op_0451_กำลังอัดรวมกิจการภาคเหนือ มค.54  (1)" xfId="1186" xr:uid="{00000000-0005-0000-0000-0000A3040000}"/>
    <cellStyle name="W_op_0451_กำลังอัดรวมกิจการภาคเหนือ มค.54  (1) 2" xfId="1187" xr:uid="{00000000-0005-0000-0000-0000A4040000}"/>
    <cellStyle name="W_op_0451_ขอข้อมูล รายงานผลดำเนินงาน(new)_ผจก ภ ตต สคธจ ตต_Sep09" xfId="1188" xr:uid="{00000000-0005-0000-0000-0000A5040000}"/>
    <cellStyle name="W_op_0451_ขอข้อมูล รายงานผลดำเนินงาน(new)_ภาค3ครับ" xfId="1189" xr:uid="{00000000-0005-0000-0000-0000A6040000}"/>
    <cellStyle name="W_op_0451_รายงานประชุมกิจการ (Aug09) final  by Tippatai" xfId="1192" xr:uid="{00000000-0005-0000-0000-0000A9040000}"/>
    <cellStyle name="W_op_0451_รายงานประชุมกิจการ ก.ย.52_west2" xfId="1193" xr:uid="{00000000-0005-0000-0000-0000AA040000}"/>
    <cellStyle name="W_op_0451_รายงานประชุมกิจการ กย.52_ตต.2" xfId="1194" xr:uid="{00000000-0005-0000-0000-0000AB040000}"/>
    <cellStyle name="W_op_0451_รายงานประชุมกิจการ กย.52_ตต.2_v1" xfId="1195" xr:uid="{00000000-0005-0000-0000-0000AC040000}"/>
    <cellStyle name="W_op_0451_รายงานประชุมกิจการ ส.ค.52 ตต.1(ส่งเสริมคุณภาพ)" xfId="1196" xr:uid="{00000000-0005-0000-0000-0000AD040000}"/>
    <cellStyle name="W_op_0451_รายงานประชุมกิจการ อยุธยา 09 2009" xfId="1197" xr:uid="{00000000-0005-0000-0000-0000AE040000}"/>
    <cellStyle name="W_op_0451_รายงานประชุมกิจการ(Aug09)ไม่มีรูป" xfId="1198" xr:uid="{00000000-0005-0000-0000-0000AF040000}"/>
    <cellStyle name="W_op_0451_วิเคราะห์กำลังอัดรวมกิจการ ธันวาคม_Pพิเศษ(1)" xfId="1199" xr:uid="{00000000-0005-0000-0000-0000B0040000}"/>
    <cellStyle name="W_op_0451_วิเคราะห์กำลังอัดรวมกิจการ ธันวาคม_Pพิเศษ(1) 2" xfId="1200" xr:uid="{00000000-0005-0000-0000-0000B1040000}"/>
    <cellStyle name="W_op_0451_วิเคราะห์คุณภาพรวมกิจการ" xfId="1201" xr:uid="{00000000-0005-0000-0000-0000B2040000}"/>
    <cellStyle name="W_op_0451_วิเคราะห์คุณภาพรวมกิจการ 2" xfId="1202" xr:uid="{00000000-0005-0000-0000-0000B3040000}"/>
    <cellStyle name="W_op_0451_วิเคราะห์คุณภาพรวมกิจการ ก.ย. (1)" xfId="1203" xr:uid="{00000000-0005-0000-0000-0000B4040000}"/>
    <cellStyle name="W_op_0451_วิเคราะห์คุณภาพรวมกิจการ ก.ย. (1) 2" xfId="1204" xr:uid="{00000000-0005-0000-0000-0000B5040000}"/>
    <cellStyle name="W_op_0451_วิเคราะห์คุณภาพรวมกิจการ(แก้ไขล่าสุด)" xfId="1205" xr:uid="{00000000-0005-0000-0000-0000B6040000}"/>
    <cellStyle name="W_op_0451_วิเคราะห์คุณภาพรวมกิจการ(แก้ไขล่าสุด) 2" xfId="1206" xr:uid="{00000000-0005-0000-0000-0000B7040000}"/>
    <cellStyle name="W_PFA" xfId="1207" xr:uid="{00000000-0005-0000-0000-0000B8040000}"/>
    <cellStyle name="W_PFA 2" xfId="1208" xr:uid="{00000000-0005-0000-0000-0000B9040000}"/>
    <cellStyle name="W_PFA 3" xfId="1209" xr:uid="{00000000-0005-0000-0000-0000BA040000}"/>
    <cellStyle name="W_PFA 4" xfId="1210" xr:uid="{00000000-0005-0000-0000-0000BB040000}"/>
    <cellStyle name="W_PFA_bsc 0254" xfId="1211" xr:uid="{00000000-0005-0000-0000-0000BC040000}"/>
    <cellStyle name="W_PFA_bsc 0254 2" xfId="1212" xr:uid="{00000000-0005-0000-0000-0000BD040000}"/>
    <cellStyle name="W_PFA_Copy of SDCPKAUG" xfId="1213" xr:uid="{00000000-0005-0000-0000-0000BE040000}"/>
    <cellStyle name="W_PFA_Copyof6รายงานป" xfId="1214" xr:uid="{00000000-0005-0000-0000-0000BF040000}"/>
    <cellStyle name="W_PFA_Sep09" xfId="1215" xr:uid="{00000000-0005-0000-0000-0000C0040000}"/>
    <cellStyle name="W_PFA_แบบฟอร์มอธิบาย SD_CPK ภน.4 เดือน พ.ย.53" xfId="1222" xr:uid="{00000000-0005-0000-0000-0000C7040000}"/>
    <cellStyle name="W_PFA_แบบฟอร์มอธิบาย SD_CPK ภน.4 เดือน พ.ย.53 2" xfId="1223" xr:uid="{00000000-0005-0000-0000-0000C8040000}"/>
    <cellStyle name="W_PFA_กำลังอัด" xfId="1216" xr:uid="{00000000-0005-0000-0000-0000C1040000}"/>
    <cellStyle name="W_PFA_กำลังอัด 2" xfId="1217" xr:uid="{00000000-0005-0000-0000-0000C2040000}"/>
    <cellStyle name="W_PFA_กำลังอัดรวมกิจการภาคเหนือ มค.54  (1)" xfId="1218" xr:uid="{00000000-0005-0000-0000-0000C3040000}"/>
    <cellStyle name="W_PFA_กำลังอัดรวมกิจการภาคเหนือ มค.54  (1) 2" xfId="1219" xr:uid="{00000000-0005-0000-0000-0000C4040000}"/>
    <cellStyle name="W_PFA_ขอข้อมูล รายงานผลดำเนินงาน(new)_ผจก ภ ตต สคธจ ตต_Sep09" xfId="1220" xr:uid="{00000000-0005-0000-0000-0000C5040000}"/>
    <cellStyle name="W_PFA_ขอข้อมูล รายงานผลดำเนินงาน(new)_ภาค3ครับ" xfId="1221" xr:uid="{00000000-0005-0000-0000-0000C6040000}"/>
    <cellStyle name="W_PFA_รายงานประชุมกิจการ (Aug09) final  by Tippatai" xfId="1224" xr:uid="{00000000-0005-0000-0000-0000C9040000}"/>
    <cellStyle name="W_PFA_รายงานประชุมกิจการ ก.ย.52_west2" xfId="1225" xr:uid="{00000000-0005-0000-0000-0000CA040000}"/>
    <cellStyle name="W_PFA_รายงานประชุมกิจการ กย.52_ตต.2" xfId="1226" xr:uid="{00000000-0005-0000-0000-0000CB040000}"/>
    <cellStyle name="W_PFA_รายงานประชุมกิจการ กย.52_ตต.2_v1" xfId="1227" xr:uid="{00000000-0005-0000-0000-0000CC040000}"/>
    <cellStyle name="W_PFA_รายงานประชุมกิจการ ส.ค.52 ตต.1(ส่งเสริมคุณภาพ)" xfId="1228" xr:uid="{00000000-0005-0000-0000-0000CD040000}"/>
    <cellStyle name="W_PFA_รายงานประชุมกิจการ อยุธยา 09 2009" xfId="1229" xr:uid="{00000000-0005-0000-0000-0000CE040000}"/>
    <cellStyle name="W_PFA_รายงานประชุมกิจการ(Aug09)ไม่มีรูป" xfId="1230" xr:uid="{00000000-0005-0000-0000-0000CF040000}"/>
    <cellStyle name="W_PFA_วิเคราะห์กำลังอัดรวมกิจการ ธันวาคม_Pพิเศษ(1)" xfId="1231" xr:uid="{00000000-0005-0000-0000-0000D0040000}"/>
    <cellStyle name="W_PFA_วิเคราะห์กำลังอัดรวมกิจการ ธันวาคม_Pพิเศษ(1) 2" xfId="1232" xr:uid="{00000000-0005-0000-0000-0000D1040000}"/>
    <cellStyle name="W_PFA_วิเคราะห์คุณภาพรวมกิจการ" xfId="1233" xr:uid="{00000000-0005-0000-0000-0000D2040000}"/>
    <cellStyle name="W_PFA_วิเคราะห์คุณภาพรวมกิจการ 2" xfId="1234" xr:uid="{00000000-0005-0000-0000-0000D3040000}"/>
    <cellStyle name="W_PFA_วิเคราะห์คุณภาพรวมกิจการ ก.ย. (1)" xfId="1235" xr:uid="{00000000-0005-0000-0000-0000D4040000}"/>
    <cellStyle name="W_PFA_วิเคราะห์คุณภาพรวมกิจการ ก.ย. (1) 2" xfId="1236" xr:uid="{00000000-0005-0000-0000-0000D5040000}"/>
    <cellStyle name="W_PFA_วิเคราะห์คุณภาพรวมกิจการ(แก้ไขล่าสุด)" xfId="1237" xr:uid="{00000000-0005-0000-0000-0000D6040000}"/>
    <cellStyle name="W_PFA_วิเคราะห์คุณภาพรวมกิจการ(แก้ไขล่าสุด) 2" xfId="1238" xr:uid="{00000000-0005-0000-0000-0000D7040000}"/>
    <cellStyle name="W_plan กิจกรรม Southern 4" xfId="1239" xr:uid="{00000000-0005-0000-0000-0000D8040000}"/>
    <cellStyle name="W_s0_PG_MAY2007" xfId="1240" xr:uid="{00000000-0005-0000-0000-0000D9040000}"/>
    <cellStyle name="W_s0_PG_MAY2007 2" xfId="1241" xr:uid="{00000000-0005-0000-0000-0000DA040000}"/>
    <cellStyle name="W_s0_PG_MAY2007 3" xfId="1242" xr:uid="{00000000-0005-0000-0000-0000DB040000}"/>
    <cellStyle name="W_s0_PG_MAY2007 4" xfId="1243" xr:uid="{00000000-0005-0000-0000-0000DC040000}"/>
    <cellStyle name="W_s0_PG_MAY2007_bsc 0254" xfId="1244" xr:uid="{00000000-0005-0000-0000-0000DD040000}"/>
    <cellStyle name="W_s0_PG_MAY2007_bsc 0254 2" xfId="1245" xr:uid="{00000000-0005-0000-0000-0000DE040000}"/>
    <cellStyle name="W_s0_PG_MAY2007_Copy of SDCPKAUG" xfId="1246" xr:uid="{00000000-0005-0000-0000-0000DF040000}"/>
    <cellStyle name="W_s0_PG_MAY2007_Copyof6รายงานป" xfId="1247" xr:uid="{00000000-0005-0000-0000-0000E0040000}"/>
    <cellStyle name="W_s0_PG_MAY2007_Sep09" xfId="1248" xr:uid="{00000000-0005-0000-0000-0000E1040000}"/>
    <cellStyle name="W_s0_PG_MAY2007_แบบฟอร์มอธิบาย SD_CPK ภน.4 เดือน พ.ย.53" xfId="1255" xr:uid="{00000000-0005-0000-0000-0000E8040000}"/>
    <cellStyle name="W_s0_PG_MAY2007_แบบฟอร์มอธิบาย SD_CPK ภน.4 เดือน พ.ย.53 2" xfId="1256" xr:uid="{00000000-0005-0000-0000-0000E9040000}"/>
    <cellStyle name="W_s0_PG_MAY2007_กำลังอัด" xfId="1249" xr:uid="{00000000-0005-0000-0000-0000E2040000}"/>
    <cellStyle name="W_s0_PG_MAY2007_กำลังอัด 2" xfId="1250" xr:uid="{00000000-0005-0000-0000-0000E3040000}"/>
    <cellStyle name="W_s0_PG_MAY2007_กำลังอัดรวมกิจการภาคเหนือ มค.54  (1)" xfId="1251" xr:uid="{00000000-0005-0000-0000-0000E4040000}"/>
    <cellStyle name="W_s0_PG_MAY2007_กำลังอัดรวมกิจการภาคเหนือ มค.54  (1) 2" xfId="1252" xr:uid="{00000000-0005-0000-0000-0000E5040000}"/>
    <cellStyle name="W_s0_PG_MAY2007_ขอข้อมูล รายงานผลดำเนินงาน(new)_ผจก ภ ตต สคธจ ตต_Sep09" xfId="1253" xr:uid="{00000000-0005-0000-0000-0000E6040000}"/>
    <cellStyle name="W_s0_PG_MAY2007_ขอข้อมูล รายงานผลดำเนินงาน(new)_ภาค3ครับ" xfId="1254" xr:uid="{00000000-0005-0000-0000-0000E7040000}"/>
    <cellStyle name="W_s0_PG_MAY2007_รายงานประชุมกิจการ (Aug09) final  by Tippatai" xfId="1257" xr:uid="{00000000-0005-0000-0000-0000EA040000}"/>
    <cellStyle name="W_s0_PG_MAY2007_รายงานประชุมกิจการ ก.ย.52_west2" xfId="1258" xr:uid="{00000000-0005-0000-0000-0000EB040000}"/>
    <cellStyle name="W_s0_PG_MAY2007_รายงานประชุมกิจการ กย.52_ตต.2" xfId="1259" xr:uid="{00000000-0005-0000-0000-0000EC040000}"/>
    <cellStyle name="W_s0_PG_MAY2007_รายงานประชุมกิจการ กย.52_ตต.2_v1" xfId="1260" xr:uid="{00000000-0005-0000-0000-0000ED040000}"/>
    <cellStyle name="W_s0_PG_MAY2007_รายงานประชุมกิจการ ส.ค.52 ตต.1(ส่งเสริมคุณภาพ)" xfId="1261" xr:uid="{00000000-0005-0000-0000-0000EE040000}"/>
    <cellStyle name="W_s0_PG_MAY2007_รายงานประชุมกิจการ อยุธยา 09 2009" xfId="1262" xr:uid="{00000000-0005-0000-0000-0000EF040000}"/>
    <cellStyle name="W_s0_PG_MAY2007_รายงานประชุมกิจการ(Aug09)ไม่มีรูป" xfId="1263" xr:uid="{00000000-0005-0000-0000-0000F0040000}"/>
    <cellStyle name="W_s0_PG_MAY2007_วิเคราะห์กำลังอัดรวมกิจการ ธันวาคม_Pพิเศษ(1)" xfId="1264" xr:uid="{00000000-0005-0000-0000-0000F1040000}"/>
    <cellStyle name="W_s0_PG_MAY2007_วิเคราะห์กำลังอัดรวมกิจการ ธันวาคม_Pพิเศษ(1) 2" xfId="1265" xr:uid="{00000000-0005-0000-0000-0000F2040000}"/>
    <cellStyle name="W_s0_PG_MAY2007_วิเคราะห์คุณภาพรวมกิจการ" xfId="1266" xr:uid="{00000000-0005-0000-0000-0000F3040000}"/>
    <cellStyle name="W_s0_PG_MAY2007_วิเคราะห์คุณภาพรวมกิจการ 2" xfId="1267" xr:uid="{00000000-0005-0000-0000-0000F4040000}"/>
    <cellStyle name="W_s0_PG_MAY2007_วิเคราะห์คุณภาพรวมกิจการ ก.ย. (1)" xfId="1268" xr:uid="{00000000-0005-0000-0000-0000F5040000}"/>
    <cellStyle name="W_s0_PG_MAY2007_วิเคราะห์คุณภาพรวมกิจการ ก.ย. (1) 2" xfId="1269" xr:uid="{00000000-0005-0000-0000-0000F6040000}"/>
    <cellStyle name="W_s0_PG_MAY2007_วิเคราะห์คุณภาพรวมกิจการ(แก้ไขล่าสุด)" xfId="1270" xr:uid="{00000000-0005-0000-0000-0000F7040000}"/>
    <cellStyle name="W_s0_PG_MAY2007_วิเคราะห์คุณภาพรวมกิจการ(แก้ไขล่าสุด) 2" xfId="1271" xr:uid="{00000000-0005-0000-0000-0000F8040000}"/>
    <cellStyle name="W_Sand allocation H106(11 Jan 2006)" xfId="1272" xr:uid="{00000000-0005-0000-0000-0000F9040000}"/>
    <cellStyle name="W_Sand allocation H106(11 Jan 2006) 2" xfId="1273" xr:uid="{00000000-0005-0000-0000-0000FA040000}"/>
    <cellStyle name="W_Sand allocation H106(11 Jan 2006) 2 2" xfId="1274" xr:uid="{00000000-0005-0000-0000-0000FB040000}"/>
    <cellStyle name="W_Sand allocation H106(11 Jan 2006) 3" xfId="1275" xr:uid="{00000000-0005-0000-0000-0000FC040000}"/>
    <cellStyle name="W_Sand allocation H106(11 Jan 2006) 3 2" xfId="1276" xr:uid="{00000000-0005-0000-0000-0000FD040000}"/>
    <cellStyle name="W_Sand allocation H106(11 Jan 2006) 4" xfId="1277" xr:uid="{00000000-0005-0000-0000-0000FE040000}"/>
    <cellStyle name="W_Sand allocation H106(11 Jan 2006) 4 2" xfId="1278" xr:uid="{00000000-0005-0000-0000-0000FF040000}"/>
    <cellStyle name="W_Sand allocation H106(11 Jan 2006) 5" xfId="1279" xr:uid="{00000000-0005-0000-0000-000000050000}"/>
    <cellStyle name="W_Sand allocation H106(11 Jan 2006)_Copyof6รายงานป" xfId="1280" xr:uid="{00000000-0005-0000-0000-000001050000}"/>
    <cellStyle name="W_Sand allocation H106(11 Jan 2006)_Copyof6รายงานป 2" xfId="1281" xr:uid="{00000000-0005-0000-0000-000002050000}"/>
    <cellStyle name="W_Sand allocation H106(11 Jan 2006)_plan กิจกรรม Southern 4" xfId="1282" xr:uid="{00000000-0005-0000-0000-000003050000}"/>
    <cellStyle name="W_Sand allocation H106(11 Jan 2006)_Sep09" xfId="1283" xr:uid="{00000000-0005-0000-0000-000004050000}"/>
    <cellStyle name="W_Sand allocation H106(11 Jan 2006)_Sep09 2" xfId="1284" xr:uid="{00000000-0005-0000-0000-000005050000}"/>
    <cellStyle name="W_Sand allocation H106(11 Jan 2006)_รายงานประชุมกิจการ (Aug09) final  by Tippatai" xfId="1285" xr:uid="{00000000-0005-0000-0000-000006050000}"/>
    <cellStyle name="W_Sand allocation H106(11 Jan 2006)_รายงานประชุมกิจการ ก.ย.52_west2" xfId="1286" xr:uid="{00000000-0005-0000-0000-000007050000}"/>
    <cellStyle name="W_Sand allocation H106(11 Jan 2006)_รายงานประชุมกิจการ ก.ย.52_west2 2" xfId="1287" xr:uid="{00000000-0005-0000-0000-000008050000}"/>
    <cellStyle name="W_Sand allocation H106(11 Jan 2006)_รายงานประชุมกิจการ กย.52_ตต.2" xfId="1288" xr:uid="{00000000-0005-0000-0000-000009050000}"/>
    <cellStyle name="W_Sand allocation H106(11 Jan 2006)_รายงานประชุมกิจการ ส.ค.52 ตต.1(ส่งเสริมคุณภาพ)" xfId="1289" xr:uid="{00000000-0005-0000-0000-00000A050000}"/>
    <cellStyle name="W_Sand allocation H106(11 Jan 2006)_รายงานประชุมกิจการ ส.ค.52 ตต.1(ส่งเสริมคุณภาพ) 2" xfId="1290" xr:uid="{00000000-0005-0000-0000-00000B050000}"/>
    <cellStyle name="W_Sand allocation H106(11 Jan 2006)_รายงานประชุมกิจการ อยุธยา 09 2009" xfId="1291" xr:uid="{00000000-0005-0000-0000-00000C050000}"/>
    <cellStyle name="W_Sep09" xfId="1292" xr:uid="{00000000-0005-0000-0000-00000D050000}"/>
    <cellStyle name="W_แบบฟอร์มอธิบาย SD_CPK ภน.4 เดือน พ.ย.53" xfId="1318" xr:uid="{00000000-0005-0000-0000-000027050000}"/>
    <cellStyle name="W_แบบฟอร์มอธิบาย SD_CPK ภน.4 เดือน พ.ย.53 2" xfId="1319" xr:uid="{00000000-0005-0000-0000-000028050000}"/>
    <cellStyle name="W_แผนก.วถ.ปี 2550 (220949)" xfId="1320" xr:uid="{00000000-0005-0000-0000-000029050000}"/>
    <cellStyle name="W_แผนก.วถ.ปี 2550 (220949) 2" xfId="1321" xr:uid="{00000000-0005-0000-0000-00002A050000}"/>
    <cellStyle name="W_แผนก.วถ.ปี 2550 (220949) 2 2" xfId="1322" xr:uid="{00000000-0005-0000-0000-00002B050000}"/>
    <cellStyle name="W_แผนก.วถ.ปี 2550 (220949) 3" xfId="1323" xr:uid="{00000000-0005-0000-0000-00002C050000}"/>
    <cellStyle name="W_แผนก.วถ.ปี 2550 (220949) 3 2" xfId="1324" xr:uid="{00000000-0005-0000-0000-00002D050000}"/>
    <cellStyle name="W_แผนก.วถ.ปี 2550 (220949) 4" xfId="1325" xr:uid="{00000000-0005-0000-0000-00002E050000}"/>
    <cellStyle name="W_แผนก.วถ.ปี 2550 (220949) 4 2" xfId="1326" xr:uid="{00000000-0005-0000-0000-00002F050000}"/>
    <cellStyle name="W_แผนก.วถ.ปี 2550 (220949) 5" xfId="1327" xr:uid="{00000000-0005-0000-0000-000030050000}"/>
    <cellStyle name="W_แผนก.วถ.ปี 2550 (220949)_Copyof6รายงานป" xfId="1328" xr:uid="{00000000-0005-0000-0000-000031050000}"/>
    <cellStyle name="W_แผนก.วถ.ปี 2550 (220949)_Copyof6รายงานป 2" xfId="1329" xr:uid="{00000000-0005-0000-0000-000032050000}"/>
    <cellStyle name="W_แผนก.วถ.ปี 2550 (220949)_plan กิจกรรม Southern 4" xfId="1330" xr:uid="{00000000-0005-0000-0000-000033050000}"/>
    <cellStyle name="W_แผนก.วถ.ปี 2550 (220949)_Sep09" xfId="1331" xr:uid="{00000000-0005-0000-0000-000034050000}"/>
    <cellStyle name="W_แผนก.วถ.ปี 2550 (220949)_Sep09 2" xfId="1332" xr:uid="{00000000-0005-0000-0000-000035050000}"/>
    <cellStyle name="W_แผนก.วถ.ปี 2550 (220949)_รายงานประชุมกิจการ (Aug09) final  by Tippatai" xfId="1333" xr:uid="{00000000-0005-0000-0000-000036050000}"/>
    <cellStyle name="W_แผนก.วถ.ปี 2550 (220949)_รายงานประชุมกิจการ ก.ย.52_west2" xfId="1334" xr:uid="{00000000-0005-0000-0000-000037050000}"/>
    <cellStyle name="W_แผนก.วถ.ปี 2550 (220949)_รายงานประชุมกิจการ ก.ย.52_west2 2" xfId="1335" xr:uid="{00000000-0005-0000-0000-000038050000}"/>
    <cellStyle name="W_แผนก.วถ.ปี 2550 (220949)_รายงานประชุมกิจการ กย.52_ตต.2" xfId="1336" xr:uid="{00000000-0005-0000-0000-000039050000}"/>
    <cellStyle name="W_แผนก.วถ.ปี 2550 (220949)_รายงานประชุมกิจการ ส.ค.52 ตต.1(ส่งเสริมคุณภาพ)" xfId="1337" xr:uid="{00000000-0005-0000-0000-00003A050000}"/>
    <cellStyle name="W_แผนก.วถ.ปี 2550 (220949)_รายงานประชุมกิจการ ส.ค.52 ตต.1(ส่งเสริมคุณภาพ) 2" xfId="1338" xr:uid="{00000000-0005-0000-0000-00003B050000}"/>
    <cellStyle name="W_แผนก.วถ.ปี 2550 (220949)_รายงานประชุมกิจการ อยุธยา 09 2009" xfId="1339" xr:uid="{00000000-0005-0000-0000-00003C050000}"/>
    <cellStyle name="W_แผนจัดสรรหิน 2550" xfId="1340" xr:uid="{00000000-0005-0000-0000-00003D050000}"/>
    <cellStyle name="W_แผนจัดสรรหิน 2550 2" xfId="1341" xr:uid="{00000000-0005-0000-0000-00003E050000}"/>
    <cellStyle name="W_แผนจัดสรรหิน 2550 3" xfId="1342" xr:uid="{00000000-0005-0000-0000-00003F050000}"/>
    <cellStyle name="W_แผนจัดสรรหิน 2550 4" xfId="1343" xr:uid="{00000000-0005-0000-0000-000040050000}"/>
    <cellStyle name="W_แผนจัดสรรหิน 2550_bsc 0254" xfId="1344" xr:uid="{00000000-0005-0000-0000-000041050000}"/>
    <cellStyle name="W_แผนจัดสรรหิน 2550_bsc 0254 2" xfId="1345" xr:uid="{00000000-0005-0000-0000-000042050000}"/>
    <cellStyle name="W_แผนจัดสรรหิน 2550_Copy of SDCPKAUG" xfId="1346" xr:uid="{00000000-0005-0000-0000-000043050000}"/>
    <cellStyle name="W_แผนจัดสรรหิน 2550_Copyof6รายงานป" xfId="1347" xr:uid="{00000000-0005-0000-0000-000044050000}"/>
    <cellStyle name="W_แผนจัดสรรหิน 2550_plan กิจกรรม Southern 4" xfId="1348" xr:uid="{00000000-0005-0000-0000-000045050000}"/>
    <cellStyle name="W_แผนจัดสรรหิน 2550_Sep09" xfId="1349" xr:uid="{00000000-0005-0000-0000-000046050000}"/>
    <cellStyle name="W_แผนจัดสรรหิน 2550_แบบฟอร์มอธิบาย SD_CPK ภน.4 เดือน พ.ย.53" xfId="1356" xr:uid="{00000000-0005-0000-0000-00004D050000}"/>
    <cellStyle name="W_แผนจัดสรรหิน 2550_แบบฟอร์มอธิบาย SD_CPK ภน.4 เดือน พ.ย.53 2" xfId="1357" xr:uid="{00000000-0005-0000-0000-00004E050000}"/>
    <cellStyle name="W_แผนจัดสรรหิน 2550_กำลังอัด" xfId="1350" xr:uid="{00000000-0005-0000-0000-000047050000}"/>
    <cellStyle name="W_แผนจัดสรรหิน 2550_กำลังอัด 2" xfId="1351" xr:uid="{00000000-0005-0000-0000-000048050000}"/>
    <cellStyle name="W_แผนจัดสรรหิน 2550_กำลังอัดรวมกิจการภาคเหนือ มค.54  (1)" xfId="1352" xr:uid="{00000000-0005-0000-0000-000049050000}"/>
    <cellStyle name="W_แผนจัดสรรหิน 2550_กำลังอัดรวมกิจการภาคเหนือ มค.54  (1) 2" xfId="1353" xr:uid="{00000000-0005-0000-0000-00004A050000}"/>
    <cellStyle name="W_แผนจัดสรรหิน 2550_ขอข้อมูล รายงานผลดำเนินงาน(new)_ผจก ภ ตต สคธจ ตต_Sep09" xfId="1354" xr:uid="{00000000-0005-0000-0000-00004B050000}"/>
    <cellStyle name="W_แผนจัดสรรหิน 2550_ขอข้อมูล รายงานผลดำเนินงาน(new)_ภาค3ครับ" xfId="1355" xr:uid="{00000000-0005-0000-0000-00004C050000}"/>
    <cellStyle name="W_แผนจัดสรรหิน 2550_รายงานประชุมกิจการ (Aug09) final  by Tippatai" xfId="1358" xr:uid="{00000000-0005-0000-0000-00004F050000}"/>
    <cellStyle name="W_แผนจัดสรรหิน 2550_รายงานประชุมกิจการ ก.ย.52_west2" xfId="1359" xr:uid="{00000000-0005-0000-0000-000050050000}"/>
    <cellStyle name="W_แผนจัดสรรหิน 2550_รายงานประชุมกิจการ กย.52_ตต.2" xfId="1360" xr:uid="{00000000-0005-0000-0000-000051050000}"/>
    <cellStyle name="W_แผนจัดสรรหิน 2550_รายงานประชุมกิจการ กย.52_ตต.2_v1" xfId="1361" xr:uid="{00000000-0005-0000-0000-000052050000}"/>
    <cellStyle name="W_แผนจัดสรรหิน 2550_รายงานประชุมกิจการ ส.ค.52 ตต.1(ส่งเสริมคุณภาพ)" xfId="1362" xr:uid="{00000000-0005-0000-0000-000053050000}"/>
    <cellStyle name="W_แผนจัดสรรหิน 2550_รายงานประชุมกิจการ อยุธยา 09 2009" xfId="1363" xr:uid="{00000000-0005-0000-0000-000054050000}"/>
    <cellStyle name="W_แผนจัดสรรหิน 2550_รายงานประชุมกิจการ(Aug09)ไม่มีรูป" xfId="1364" xr:uid="{00000000-0005-0000-0000-000055050000}"/>
    <cellStyle name="W_แผนจัดสรรหิน 2550_วิเคราะห์กำลังอัดรวมกิจการ ธันวาคม_Pพิเศษ(1)" xfId="1365" xr:uid="{00000000-0005-0000-0000-000056050000}"/>
    <cellStyle name="W_แผนจัดสรรหิน 2550_วิเคราะห์กำลังอัดรวมกิจการ ธันวาคม_Pพิเศษ(1) 2" xfId="1366" xr:uid="{00000000-0005-0000-0000-000057050000}"/>
    <cellStyle name="W_แผนจัดสรรหิน 2550_วิเคราะห์คุณภาพรวมกิจการ" xfId="1367" xr:uid="{00000000-0005-0000-0000-000058050000}"/>
    <cellStyle name="W_แผนจัดสรรหิน 2550_วิเคราะห์คุณภาพรวมกิจการ 2" xfId="1368" xr:uid="{00000000-0005-0000-0000-000059050000}"/>
    <cellStyle name="W_แผนจัดสรรหิน 2550_วิเคราะห์คุณภาพรวมกิจการ ก.ย. (1)" xfId="1369" xr:uid="{00000000-0005-0000-0000-00005A050000}"/>
    <cellStyle name="W_แผนจัดสรรหิน 2550_วิเคราะห์คุณภาพรวมกิจการ ก.ย. (1) 2" xfId="1370" xr:uid="{00000000-0005-0000-0000-00005B050000}"/>
    <cellStyle name="W_แผนจัดสรรหิน 2550_วิเคราะห์คุณภาพรวมกิจการ(แก้ไขล่าสุด)" xfId="1371" xr:uid="{00000000-0005-0000-0000-00005C050000}"/>
    <cellStyle name="W_แผนจัดสรรหิน 2550_วิเคราะห์คุณภาพรวมกิจการ(แก้ไขล่าสุด) 2" xfId="1372" xr:uid="{00000000-0005-0000-0000-00005D050000}"/>
    <cellStyle name="W_แผนจ่ายทราย (สิงหาคม)" xfId="1373" xr:uid="{00000000-0005-0000-0000-00005E050000}"/>
    <cellStyle name="W_แผนจ่ายทราย (สิงหาคม) 2" xfId="1374" xr:uid="{00000000-0005-0000-0000-00005F050000}"/>
    <cellStyle name="W_แผนจ่ายทราย (สิงหาคม) 3" xfId="1375" xr:uid="{00000000-0005-0000-0000-000060050000}"/>
    <cellStyle name="W_แผนจ่ายทราย (สิงหาคม) 4" xfId="1376" xr:uid="{00000000-0005-0000-0000-000061050000}"/>
    <cellStyle name="W_แผนจ่ายทราย (สิงหาคม)_bsc 0254" xfId="1377" xr:uid="{00000000-0005-0000-0000-000062050000}"/>
    <cellStyle name="W_แผนจ่ายทราย (สิงหาคม)_bsc 0254 2" xfId="1378" xr:uid="{00000000-0005-0000-0000-000063050000}"/>
    <cellStyle name="W_แผนจ่ายทราย (สิงหาคม)_Copy of SDCPKAUG" xfId="1379" xr:uid="{00000000-0005-0000-0000-000064050000}"/>
    <cellStyle name="W_แผนจ่ายทราย (สิงหาคม)_Copyof6รายงานป" xfId="1380" xr:uid="{00000000-0005-0000-0000-000065050000}"/>
    <cellStyle name="W_แผนจ่ายทราย (สิงหาคม)_plan กิจกรรม Southern 4" xfId="1381" xr:uid="{00000000-0005-0000-0000-000066050000}"/>
    <cellStyle name="W_แผนจ่ายทราย (สิงหาคม)_Sep09" xfId="1382" xr:uid="{00000000-0005-0000-0000-000067050000}"/>
    <cellStyle name="W_แผนจ่ายทราย (สิงหาคม)_แบบฟอร์มอธิบาย SD_CPK ภน.4 เดือน พ.ย.53" xfId="1389" xr:uid="{00000000-0005-0000-0000-00006E050000}"/>
    <cellStyle name="W_แผนจ่ายทราย (สิงหาคม)_แบบฟอร์มอธิบาย SD_CPK ภน.4 เดือน พ.ย.53 2" xfId="1390" xr:uid="{00000000-0005-0000-0000-00006F050000}"/>
    <cellStyle name="W_แผนจ่ายทราย (สิงหาคม)_กำลังอัด" xfId="1383" xr:uid="{00000000-0005-0000-0000-000068050000}"/>
    <cellStyle name="W_แผนจ่ายทราย (สิงหาคม)_กำลังอัด 2" xfId="1384" xr:uid="{00000000-0005-0000-0000-000069050000}"/>
    <cellStyle name="W_แผนจ่ายทราย (สิงหาคม)_กำลังอัดรวมกิจการภาคเหนือ มค.54  (1)" xfId="1385" xr:uid="{00000000-0005-0000-0000-00006A050000}"/>
    <cellStyle name="W_แผนจ่ายทราย (สิงหาคม)_กำลังอัดรวมกิจการภาคเหนือ มค.54  (1) 2" xfId="1386" xr:uid="{00000000-0005-0000-0000-00006B050000}"/>
    <cellStyle name="W_แผนจ่ายทราย (สิงหาคม)_ขอข้อมูล รายงานผลดำเนินงาน(new)_ผจก ภ ตต สคธจ ตต_Sep09" xfId="1387" xr:uid="{00000000-0005-0000-0000-00006C050000}"/>
    <cellStyle name="W_แผนจ่ายทราย (สิงหาคม)_ขอข้อมูล รายงานผลดำเนินงาน(new)_ภาค3ครับ" xfId="1388" xr:uid="{00000000-0005-0000-0000-00006D050000}"/>
    <cellStyle name="W_แผนจ่ายทราย (สิงหาคม)_รายงานประชุมกิจการ (Aug09) final  by Tippatai" xfId="1391" xr:uid="{00000000-0005-0000-0000-000070050000}"/>
    <cellStyle name="W_แผนจ่ายทราย (สิงหาคม)_รายงานประชุมกิจการ ก.ย.52_west2" xfId="1392" xr:uid="{00000000-0005-0000-0000-000071050000}"/>
    <cellStyle name="W_แผนจ่ายทราย (สิงหาคม)_รายงานประชุมกิจการ กย.52_ตต.2" xfId="1393" xr:uid="{00000000-0005-0000-0000-000072050000}"/>
    <cellStyle name="W_แผนจ่ายทราย (สิงหาคม)_รายงานประชุมกิจการ กย.52_ตต.2_v1" xfId="1394" xr:uid="{00000000-0005-0000-0000-000073050000}"/>
    <cellStyle name="W_แผนจ่ายทราย (สิงหาคม)_รายงานประชุมกิจการ ส.ค.52 ตต.1(ส่งเสริมคุณภาพ)" xfId="1395" xr:uid="{00000000-0005-0000-0000-000074050000}"/>
    <cellStyle name="W_แผนจ่ายทราย (สิงหาคม)_รายงานประชุมกิจการ อยุธยา 09 2009" xfId="1396" xr:uid="{00000000-0005-0000-0000-000075050000}"/>
    <cellStyle name="W_แผนจ่ายทราย (สิงหาคม)_รายงานประชุมกิจการ(Aug09)ไม่มีรูป" xfId="1397" xr:uid="{00000000-0005-0000-0000-000076050000}"/>
    <cellStyle name="W_แผนจ่ายทราย (สิงหาคม)_วิเคราะห์กำลังอัดรวมกิจการ ธันวาคม_Pพิเศษ(1)" xfId="1398" xr:uid="{00000000-0005-0000-0000-000077050000}"/>
    <cellStyle name="W_แผนจ่ายทราย (สิงหาคม)_วิเคราะห์กำลังอัดรวมกิจการ ธันวาคม_Pพิเศษ(1) 2" xfId="1399" xr:uid="{00000000-0005-0000-0000-000078050000}"/>
    <cellStyle name="W_แผนจ่ายทราย (สิงหาคม)_วิเคราะห์คุณภาพรวมกิจการ" xfId="1400" xr:uid="{00000000-0005-0000-0000-000079050000}"/>
    <cellStyle name="W_แผนจ่ายทราย (สิงหาคม)_วิเคราะห์คุณภาพรวมกิจการ 2" xfId="1401" xr:uid="{00000000-0005-0000-0000-00007A050000}"/>
    <cellStyle name="W_แผนจ่ายทราย (สิงหาคม)_วิเคราะห์คุณภาพรวมกิจการ ก.ย. (1)" xfId="1402" xr:uid="{00000000-0005-0000-0000-00007B050000}"/>
    <cellStyle name="W_แผนจ่ายทราย (สิงหาคม)_วิเคราะห์คุณภาพรวมกิจการ ก.ย. (1) 2" xfId="1403" xr:uid="{00000000-0005-0000-0000-00007C050000}"/>
    <cellStyle name="W_แผนจ่ายทราย (สิงหาคม)_วิเคราะห์คุณภาพรวมกิจการ(แก้ไขล่าสุด)" xfId="1404" xr:uid="{00000000-0005-0000-0000-00007D050000}"/>
    <cellStyle name="W_แผนจ่ายทราย (สิงหาคม)_วิเคราะห์คุณภาพรวมกิจการ(แก้ไขล่าสุด) 2" xfId="1405" xr:uid="{00000000-0005-0000-0000-00007E050000}"/>
    <cellStyle name="W_แผนปฏิบัติงาน 51 (trip)" xfId="1406" xr:uid="{00000000-0005-0000-0000-00007F050000}"/>
    <cellStyle name="W_โพย" xfId="1407" xr:uid="{00000000-0005-0000-0000-000080050000}"/>
    <cellStyle name="W_กวถ" xfId="1293" xr:uid="{00000000-0005-0000-0000-00000E050000}"/>
    <cellStyle name="W_กวถ 2" xfId="1294" xr:uid="{00000000-0005-0000-0000-00000F050000}"/>
    <cellStyle name="W_กวถ 2 2" xfId="1295" xr:uid="{00000000-0005-0000-0000-000010050000}"/>
    <cellStyle name="W_กวถ 3" xfId="1296" xr:uid="{00000000-0005-0000-0000-000011050000}"/>
    <cellStyle name="W_กวถ 3 2" xfId="1297" xr:uid="{00000000-0005-0000-0000-000012050000}"/>
    <cellStyle name="W_กวถ 4" xfId="1298" xr:uid="{00000000-0005-0000-0000-000013050000}"/>
    <cellStyle name="W_กวถ 4 2" xfId="1299" xr:uid="{00000000-0005-0000-0000-000014050000}"/>
    <cellStyle name="W_กวถ 5" xfId="1300" xr:uid="{00000000-0005-0000-0000-000015050000}"/>
    <cellStyle name="W_กวถ_Copyof6รายงานป" xfId="1301" xr:uid="{00000000-0005-0000-0000-000016050000}"/>
    <cellStyle name="W_กวถ_Copyof6รายงานป 2" xfId="1302" xr:uid="{00000000-0005-0000-0000-000017050000}"/>
    <cellStyle name="W_กวถ_Sep09" xfId="1303" xr:uid="{00000000-0005-0000-0000-000018050000}"/>
    <cellStyle name="W_กวถ_Sep09 2" xfId="1304" xr:uid="{00000000-0005-0000-0000-000019050000}"/>
    <cellStyle name="W_กวถ_รายงานประชุมกิจการ (Aug09) final  by Tippatai" xfId="1305" xr:uid="{00000000-0005-0000-0000-00001A050000}"/>
    <cellStyle name="W_กวถ_รายงานประชุมกิจการ ก.ย.52_west2" xfId="1306" xr:uid="{00000000-0005-0000-0000-00001B050000}"/>
    <cellStyle name="W_กวถ_รายงานประชุมกิจการ ก.ย.52_west2 2" xfId="1307" xr:uid="{00000000-0005-0000-0000-00001C050000}"/>
    <cellStyle name="W_กวถ_รายงานประชุมกิจการ กย.52_ตต.2" xfId="1308" xr:uid="{00000000-0005-0000-0000-00001D050000}"/>
    <cellStyle name="W_กวถ_รายงานประชุมกิจการ ส.ค.52 ตต.1(ส่งเสริมคุณภาพ)" xfId="1309" xr:uid="{00000000-0005-0000-0000-00001E050000}"/>
    <cellStyle name="W_กวถ_รายงานประชุมกิจการ ส.ค.52 ตต.1(ส่งเสริมคุณภาพ) 2" xfId="1310" xr:uid="{00000000-0005-0000-0000-00001F050000}"/>
    <cellStyle name="W_กวถ_รายงานประชุมกิจการ อยุธยา 09 2009" xfId="1311" xr:uid="{00000000-0005-0000-0000-000020050000}"/>
    <cellStyle name="W_กำลังอัด" xfId="1312" xr:uid="{00000000-0005-0000-0000-000021050000}"/>
    <cellStyle name="W_กำลังอัด 2" xfId="1313" xr:uid="{00000000-0005-0000-0000-000022050000}"/>
    <cellStyle name="W_กำลังอัดรวมกิจการภาคเหนือ มค.54  (1)" xfId="1314" xr:uid="{00000000-0005-0000-0000-000023050000}"/>
    <cellStyle name="W_กำลังอัดรวมกิจการภาคเหนือ มค.54  (1) 2" xfId="1315" xr:uid="{00000000-0005-0000-0000-000024050000}"/>
    <cellStyle name="W_ขอข้อมูล รายงานผลดำเนินงาน(new)_ผจก ภ ตต สคธจ ตต_Sep09" xfId="1316" xr:uid="{00000000-0005-0000-0000-000025050000}"/>
    <cellStyle name="W_ขอข้อมูล รายงานผลดำเนินงาน(new)_ภาค3ครับ" xfId="1317" xr:uid="{00000000-0005-0000-0000-000026050000}"/>
    <cellStyle name="W_รายงานประชุมกิจการ (Aug09) final  by Tippatai" xfId="1408" xr:uid="{00000000-0005-0000-0000-000081050000}"/>
    <cellStyle name="W_รายงานประชุมกิจการ ก.ย.52_west2" xfId="1409" xr:uid="{00000000-0005-0000-0000-000082050000}"/>
    <cellStyle name="W_รายงานประชุมกิจการ กย.52_ตต.2" xfId="1410" xr:uid="{00000000-0005-0000-0000-000083050000}"/>
    <cellStyle name="W_รายงานประชุมกิจการ กย.52_ตต.2_v1" xfId="1411" xr:uid="{00000000-0005-0000-0000-000084050000}"/>
    <cellStyle name="W_รายงานประชุมกิจการ ส.ค.52 ตต.1(ส่งเสริมคุณภาพ)" xfId="1412" xr:uid="{00000000-0005-0000-0000-000085050000}"/>
    <cellStyle name="W_รายงานประชุมกิจการ อยุธยา 09 2009" xfId="1413" xr:uid="{00000000-0005-0000-0000-000086050000}"/>
    <cellStyle name="W_รายงานประชุมกิจการ(Aug09)ไม่มีรูป" xfId="1414" xr:uid="{00000000-0005-0000-0000-000087050000}"/>
    <cellStyle name="W_วาระที่ 3.1 " xfId="1415" xr:uid="{00000000-0005-0000-0000-000088050000}"/>
    <cellStyle name="W_วิเคราะห์กำลังอัดรวมกิจการ ธันวาคม_Pพิเศษ(1)" xfId="1416" xr:uid="{00000000-0005-0000-0000-000089050000}"/>
    <cellStyle name="W_วิเคราะห์กำลังอัดรวมกิจการ ธันวาคม_Pพิเศษ(1) 2" xfId="1417" xr:uid="{00000000-0005-0000-0000-00008A050000}"/>
    <cellStyle name="W_วิเคราะห์คุณภาพรวมกิจการ" xfId="1418" xr:uid="{00000000-0005-0000-0000-00008B050000}"/>
    <cellStyle name="W_วิเคราะห์คุณภาพรวมกิจการ 2" xfId="1419" xr:uid="{00000000-0005-0000-0000-00008C050000}"/>
    <cellStyle name="W_วิเคราะห์คุณภาพรวมกิจการ ก.ย. (1)" xfId="1420" xr:uid="{00000000-0005-0000-0000-00008D050000}"/>
    <cellStyle name="W_วิเคราะห์คุณภาพรวมกิจการ ก.ย. (1) 2" xfId="1421" xr:uid="{00000000-0005-0000-0000-00008E050000}"/>
    <cellStyle name="W_วิเคราะห์คุณภาพรวมกิจการ(แก้ไขล่าสุด)" xfId="1422" xr:uid="{00000000-0005-0000-0000-00008F050000}"/>
    <cellStyle name="W_วิเคราะห์คุณภาพรวมกิจการ(แก้ไขล่าสุด) 2" xfId="1423" xr:uid="{00000000-0005-0000-0000-000090050000}"/>
    <cellStyle name="W_สถานการณ์ ปัญหา ก.พ. และแผนดือน มี.ค.ภาคใต้ 1" xfId="1424" xr:uid="{00000000-0005-0000-0000-000091050000}"/>
    <cellStyle name="Warning Text 2" xfId="1425" xr:uid="{00000000-0005-0000-0000-000092050000}"/>
    <cellStyle name="Warning Text 3" xfId="1426" xr:uid="{00000000-0005-0000-0000-000093050000}"/>
    <cellStyle name="เครื่องหมายจุลภาค [0]_Aging_Oct" xfId="1430" xr:uid="{00000000-0005-0000-0000-000097050000}"/>
    <cellStyle name="เครื่องหมายจุลภาค 2" xfId="1431" xr:uid="{00000000-0005-0000-0000-000098050000}"/>
    <cellStyle name="เครื่องหมายจุลภาค 2 2" xfId="1432" xr:uid="{00000000-0005-0000-0000-000099050000}"/>
    <cellStyle name="เครื่องหมายจุลภาค 3" xfId="1433" xr:uid="{00000000-0005-0000-0000-00009A050000}"/>
    <cellStyle name="เครื่องหมายจุลภาค 3 2" xfId="1434" xr:uid="{00000000-0005-0000-0000-00009B050000}"/>
    <cellStyle name="เครื่องหมายจุลภาค 7" xfId="1435" xr:uid="{00000000-0005-0000-0000-00009C050000}"/>
    <cellStyle name="เครื่องหมายจุลภาค_Aging_Oct" xfId="1436" xr:uid="{00000000-0005-0000-0000-00009D050000}"/>
    <cellStyle name="เครื่องหมายสกุลเงิน [0]_Aging_Oct" xfId="1437" xr:uid="{00000000-0005-0000-0000-00009E050000}"/>
    <cellStyle name="เครื่องหมายสกุลเงิน_Aging_Oct" xfId="1438" xr:uid="{00000000-0005-0000-0000-00009F050000}"/>
    <cellStyle name="เชื่อมโยงหลายมิติ" xfId="1440" xr:uid="{00000000-0005-0000-0000-0000A1050000}"/>
    <cellStyle name="เชื่อมโยงหลายมิติ 2" xfId="1441" xr:uid="{00000000-0005-0000-0000-0000A2050000}"/>
    <cellStyle name="เชื่อมโยงหลายมิติ 3" xfId="1442" xr:uid="{00000000-0005-0000-0000-0000A3050000}"/>
    <cellStyle name="เชื่อมโยงหลายมิติ 4" xfId="1443" xr:uid="{00000000-0005-0000-0000-0000A4050000}"/>
    <cellStyle name="เชื่อมโยงหลายมิติ_04 รายงานประชุมกิจการ ต.ค.52 ตต.1(ส่งเสริมคุณภาพ)" xfId="1444" xr:uid="{00000000-0005-0000-0000-0000A5050000}"/>
    <cellStyle name="เซลล์ตรวจสอบ" xfId="1445" xr:uid="{00000000-0005-0000-0000-0000A6050000}"/>
    <cellStyle name="เซลล์ที่มีการเชื่อมโยง" xfId="1446" xr:uid="{00000000-0005-0000-0000-0000A7050000}"/>
    <cellStyle name="เซลล์ที่มีการเชื่อมโยง 2" xfId="1447" xr:uid="{00000000-0005-0000-0000-0000A8050000}"/>
    <cellStyle name="แย่" xfId="1461" xr:uid="{00000000-0005-0000-0000-0000B6050000}"/>
    <cellStyle name="แสดงผล" xfId="1475" xr:uid="{00000000-0005-0000-0000-0000C4050000}"/>
    <cellStyle name="แสดงผล 2" xfId="1625" xr:uid="{00000000-0005-0000-0000-0000C4050000}"/>
    <cellStyle name="การคำนวณ" xfId="1427" xr:uid="{00000000-0005-0000-0000-000094050000}"/>
    <cellStyle name="การคำนวณ 2" xfId="1622" xr:uid="{00000000-0005-0000-0000-000094050000}"/>
    <cellStyle name="ข้อความเตือน" xfId="1428" xr:uid="{00000000-0005-0000-0000-000095050000}"/>
    <cellStyle name="ข้อความอธิบาย" xfId="1429" xr:uid="{00000000-0005-0000-0000-000096050000}"/>
    <cellStyle name="ชื่อเรื่อง" xfId="1439" xr:uid="{00000000-0005-0000-0000-0000A0050000}"/>
    <cellStyle name="ดี" xfId="1448" xr:uid="{00000000-0005-0000-0000-0000A9050000}"/>
    <cellStyle name="ตามการเชื่อมโยงหลายมิติ" xfId="1449" xr:uid="{00000000-0005-0000-0000-0000AA050000}"/>
    <cellStyle name="น้บะภฒ_95" xfId="1450" xr:uid="{00000000-0005-0000-0000-0000AB050000}"/>
    <cellStyle name="ปกติ 2" xfId="1451" xr:uid="{00000000-0005-0000-0000-0000AC050000}"/>
    <cellStyle name="ปกติ 2 2" xfId="1452" xr:uid="{00000000-0005-0000-0000-0000AD050000}"/>
    <cellStyle name="ปกติ 2 2 2" xfId="1453" xr:uid="{00000000-0005-0000-0000-0000AE050000}"/>
    <cellStyle name="ปกติ 3" xfId="1454" xr:uid="{00000000-0005-0000-0000-0000AF050000}"/>
    <cellStyle name="ปกติ 3 2" xfId="1455" xr:uid="{00000000-0005-0000-0000-0000B0050000}"/>
    <cellStyle name="ปกติ 5" xfId="1456" xr:uid="{00000000-0005-0000-0000-0000B1050000}"/>
    <cellStyle name="ปกติ_04.รายงาย เม.ย.49" xfId="1457" xr:uid="{00000000-0005-0000-0000-0000B2050000}"/>
    <cellStyle name="ป้อนค่า" xfId="1458" xr:uid="{00000000-0005-0000-0000-0000B3050000}"/>
    <cellStyle name="ป้อนค่า 2" xfId="1623" xr:uid="{00000000-0005-0000-0000-0000B3050000}"/>
    <cellStyle name="ปานกลาง" xfId="1459" xr:uid="{00000000-0005-0000-0000-0000B4050000}"/>
    <cellStyle name="ผลรวม" xfId="1460" xr:uid="{00000000-0005-0000-0000-0000B5050000}"/>
    <cellStyle name="ผลรวม 2" xfId="1624" xr:uid="{00000000-0005-0000-0000-0000B5050000}"/>
    <cellStyle name="ฤธถ [0]_95" xfId="1462" xr:uid="{00000000-0005-0000-0000-0000B7050000}"/>
    <cellStyle name="ฤธถ_95" xfId="1463" xr:uid="{00000000-0005-0000-0000-0000B8050000}"/>
    <cellStyle name="ล๋ศญ [0]_95" xfId="1464" xr:uid="{00000000-0005-0000-0000-0000B9050000}"/>
    <cellStyle name="ล๋ศญ_95" xfId="1465" xr:uid="{00000000-0005-0000-0000-0000BA050000}"/>
    <cellStyle name="ลักษณะ 1" xfId="1466" xr:uid="{00000000-0005-0000-0000-0000BB050000}"/>
    <cellStyle name="ลักษณะ 1 2" xfId="1467" xr:uid="{00000000-0005-0000-0000-0000BC050000}"/>
    <cellStyle name="วฅมุ_4ฟ๙ฝวภ๛" xfId="1468" xr:uid="{00000000-0005-0000-0000-0000BD050000}"/>
    <cellStyle name="ส่วนที่ถูกเน้น1" xfId="1469" xr:uid="{00000000-0005-0000-0000-0000BE050000}"/>
    <cellStyle name="ส่วนที่ถูกเน้น2" xfId="1470" xr:uid="{00000000-0005-0000-0000-0000BF050000}"/>
    <cellStyle name="ส่วนที่ถูกเน้น3" xfId="1471" xr:uid="{00000000-0005-0000-0000-0000C0050000}"/>
    <cellStyle name="ส่วนที่ถูกเน้น4" xfId="1472" xr:uid="{00000000-0005-0000-0000-0000C1050000}"/>
    <cellStyle name="ส่วนที่ถูกเน้น5" xfId="1473" xr:uid="{00000000-0005-0000-0000-0000C2050000}"/>
    <cellStyle name="ส่วนที่ถูกเน้น6" xfId="1474" xr:uid="{00000000-0005-0000-0000-0000C3050000}"/>
    <cellStyle name="หมายเหตุ" xfId="1476" xr:uid="{00000000-0005-0000-0000-0000C5050000}"/>
    <cellStyle name="หมายเหตุ 2" xfId="1477" xr:uid="{00000000-0005-0000-0000-0000C6050000}"/>
    <cellStyle name="หมายเหตุ 2 2" xfId="1478" xr:uid="{00000000-0005-0000-0000-0000C7050000}"/>
    <cellStyle name="หมายเหตุ 2 2 2" xfId="1487" xr:uid="{00000000-0005-0000-0000-0000C7050000}"/>
    <cellStyle name="หมายเหตุ 2 2 2 2" xfId="1631" xr:uid="{00000000-0005-0000-0000-0000C7050000}"/>
    <cellStyle name="หมายเหตุ 2 2 3" xfId="1533" xr:uid="{00000000-0005-0000-0000-0000C7050000}"/>
    <cellStyle name="หมายเหตุ 2 2 3 2" xfId="1674" xr:uid="{00000000-0005-0000-0000-0000C7050000}"/>
    <cellStyle name="หมายเหตุ 2 2 4" xfId="1628" xr:uid="{00000000-0005-0000-0000-0000C7050000}"/>
    <cellStyle name="หมายเหตุ 2 3" xfId="1479" xr:uid="{00000000-0005-0000-0000-0000C8050000}"/>
    <cellStyle name="หมายเหตุ 2 3 2" xfId="1486" xr:uid="{00000000-0005-0000-0000-0000C8050000}"/>
    <cellStyle name="หมายเหตุ 2 3 2 2" xfId="1630" xr:uid="{00000000-0005-0000-0000-0000C8050000}"/>
    <cellStyle name="หมายเหตุ 2 3 3" xfId="1534" xr:uid="{00000000-0005-0000-0000-0000C8050000}"/>
    <cellStyle name="หมายเหตุ 2 3 3 2" xfId="1675" xr:uid="{00000000-0005-0000-0000-0000C8050000}"/>
    <cellStyle name="หมายเหตุ 2 3 4" xfId="1629" xr:uid="{00000000-0005-0000-0000-0000C8050000}"/>
    <cellStyle name="หมายเหตุ 2 4" xfId="1488" xr:uid="{00000000-0005-0000-0000-0000C6050000}"/>
    <cellStyle name="หมายเหตุ 2 4 2" xfId="1632" xr:uid="{00000000-0005-0000-0000-0000C6050000}"/>
    <cellStyle name="หมายเหตุ 2 5" xfId="1532" xr:uid="{00000000-0005-0000-0000-0000C6050000}"/>
    <cellStyle name="หมายเหตุ 2 5 2" xfId="1673" xr:uid="{00000000-0005-0000-0000-0000C6050000}"/>
    <cellStyle name="หมายเหตุ 2 6" xfId="1627" xr:uid="{00000000-0005-0000-0000-0000C6050000}"/>
    <cellStyle name="หมายเหตุ 3" xfId="1489" xr:uid="{00000000-0005-0000-0000-0000C5050000}"/>
    <cellStyle name="หมายเหตุ 3 2" xfId="1633" xr:uid="{00000000-0005-0000-0000-0000C5050000}"/>
    <cellStyle name="หมายเหตุ 4" xfId="1531" xr:uid="{00000000-0005-0000-0000-0000C5050000}"/>
    <cellStyle name="หมายเหตุ 4 2" xfId="1672" xr:uid="{00000000-0005-0000-0000-0000C5050000}"/>
    <cellStyle name="หมายเหตุ 5" xfId="1626" xr:uid="{00000000-0005-0000-0000-0000C5050000}"/>
    <cellStyle name="หัวเรื่อง 1" xfId="1480" xr:uid="{00000000-0005-0000-0000-0000C9050000}"/>
    <cellStyle name="หัวเรื่อง 2" xfId="1481" xr:uid="{00000000-0005-0000-0000-0000CA050000}"/>
    <cellStyle name="หัวเรื่อง 3" xfId="1482" xr:uid="{00000000-0005-0000-0000-0000CB050000}"/>
    <cellStyle name="หัวเรื่อง 4" xfId="1483" xr:uid="{00000000-0005-0000-0000-0000CC050000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99FF33"/>
      <color rgb="FFCCFF66"/>
      <color rgb="FFCCFFCC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sharedStrings" Target="sharedStrings.xml"/><Relationship Id="rId5" Type="http://schemas.openxmlformats.org/officeDocument/2006/relationships/externalLink" Target="externalLinks/externalLink2.xml"/><Relationship Id="rId10" Type="http://schemas.openxmlformats.org/officeDocument/2006/relationships/styles" Target="styles.xml"/><Relationship Id="rId4" Type="http://schemas.openxmlformats.org/officeDocument/2006/relationships/externalLink" Target="externalLinks/externalLink1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irst\0-sap\keng\STATITIC\S_agent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Documents%20and%20Settings\Cpac\Local%20Settings\Temporary%20Internet%20Files\Content.IE5\ZXTRDGBN\&#3648;&#3623;&#3621;&#3634;&#3648;&#3593;&#3621;&#3637;&#3656;&#3618;%20&#3585;&#3618;2010%20-%20&#3626;&#3588;2011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&#3591;&#3634;&#3609;\&#3614;&#3637;&#3656;&#3652;&#3585;&#3656;\&#3592;&#3633;&#3604;&#3604;&#3634;&#3623;\2560\&#3592;&#3633;&#3604;&#3648;&#3585;&#3619;&#3604;%202560-rev1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/&#3591;&#3634;&#3609;/&#3614;&#3637;&#3656;&#3652;&#3585;&#3656;/&#3592;&#3633;&#3604;&#3604;&#3634;&#3623;/2560/&#3592;&#3633;&#3604;&#3648;&#3585;&#3619;&#3604;%202560-rev1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Documents%20and%20Settings\Cpac\Local%20Settings\Temporary%20Internet%20Files\OLK2B\Documents%20and%20Settings\Cpac\Local%20Settings\Temporary%20Internet%20Files\Content.IE5\OVARQ1KD\Copy%20of%20aging%20franchise16-2-2010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ม.ค."/>
      <sheetName val="ก.พ."/>
      <sheetName val="มี.ค."/>
      <sheetName val="เม.ย."/>
      <sheetName val="พ.ค."/>
      <sheetName val="มิ.ย."/>
      <sheetName val="ก.ค."/>
      <sheetName val="ส.ค."/>
      <sheetName val="ก.ย."/>
      <sheetName val="ต.ค."/>
      <sheetName val="พ.ย."/>
      <sheetName val="ธ.ค."/>
      <sheetName val="ยอดขาย"/>
      <sheetName val="ม_ค_"/>
      <sheetName val="ก_พ_"/>
      <sheetName val="มี_ค_"/>
      <sheetName val="เม_ย_"/>
      <sheetName val="พ_ค_"/>
      <sheetName val="มิ_ย_"/>
      <sheetName val="ก_ค_"/>
      <sheetName val="ส_ค_"/>
      <sheetName val="ก_ย_"/>
      <sheetName val="ต_ค_"/>
      <sheetName val="พ_ย_"/>
      <sheetName val="ธ_ค_"/>
      <sheetName val="ม_ค_1"/>
      <sheetName val="ก_พ_1"/>
      <sheetName val="มี_ค_1"/>
      <sheetName val="เม_ย_1"/>
      <sheetName val="พ_ค_1"/>
      <sheetName val="มิ_ย_1"/>
      <sheetName val="ก_ค_1"/>
      <sheetName val="ส_ค_1"/>
      <sheetName val="ก_ย_1"/>
      <sheetName val="ต_ค_1"/>
      <sheetName val="พ_ย_1"/>
      <sheetName val="ธ_ค_1"/>
      <sheetName val="S_agent"/>
      <sheetName val="ม_ค_2"/>
      <sheetName val="ก_พ_2"/>
      <sheetName val="มี_ค_2"/>
      <sheetName val="เม_ย_2"/>
      <sheetName val="พ_ค_2"/>
      <sheetName val="มิ_ย_2"/>
      <sheetName val="ก_ค_2"/>
      <sheetName val="ส_ค_2"/>
      <sheetName val="ก_ย_2"/>
      <sheetName val="ต_ค_2"/>
      <sheetName val="พ_ย_2"/>
      <sheetName val="ธ_ค_2"/>
      <sheetName val="วิเคราะห์ยอดและราคา   "/>
      <sheetName val="ม_ค_3"/>
      <sheetName val="ก_พ_3"/>
      <sheetName val="มี_ค_3"/>
      <sheetName val="เม_ย_3"/>
      <sheetName val="พ_ค_3"/>
      <sheetName val="มิ_ย_3"/>
      <sheetName val="ก_ค_3"/>
      <sheetName val="ส_ค_3"/>
      <sheetName val="ก_ย_3"/>
      <sheetName val="ต_ค_3"/>
      <sheetName val="พ_ย_3"/>
      <sheetName val="ธ_ค_3"/>
      <sheetName val="วิเคราะห์ยอดและราคา___"/>
      <sheetName val="ตัวเลือก"/>
      <sheetName val="ดาต้า"/>
      <sheetName val="Mth_Actual"/>
      <sheetName val="M2 ภาคตะวันออก"/>
      <sheetName val="ม_ค_4"/>
      <sheetName val="ก_พ_4"/>
      <sheetName val="มี_ค_4"/>
      <sheetName val="เม_ย_4"/>
      <sheetName val="พ_ค_4"/>
      <sheetName val="มิ_ย_4"/>
      <sheetName val="ก_ค_4"/>
      <sheetName val="ส_ค_4"/>
      <sheetName val="ก_ย_4"/>
      <sheetName val="ต_ค_4"/>
      <sheetName val="พ_ย_4"/>
      <sheetName val="ธ_ค_4"/>
      <sheetName val="วิเคราะห์ยอดและราคา___1"/>
      <sheetName val="M2_ภาคตะวันออก"/>
      <sheetName val="ม_ค_5"/>
      <sheetName val="ก_พ_5"/>
      <sheetName val="มี_ค_5"/>
      <sheetName val="เม_ย_5"/>
      <sheetName val="พ_ค_5"/>
      <sheetName val="มิ_ย_5"/>
      <sheetName val="ก_ค_5"/>
      <sheetName val="ส_ค_5"/>
      <sheetName val="ก_ย_5"/>
      <sheetName val="ต_ค_5"/>
      <sheetName val="พ_ย_5"/>
      <sheetName val="ธ_ค_5"/>
      <sheetName val="วิเคราะห์ยอดและราคา___2"/>
      <sheetName val="M2_ภาคตะวันออก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 refreshError="1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 refreshError="1"/>
      <sheetData sheetId="48" refreshError="1"/>
      <sheetData sheetId="49"/>
      <sheetData sheetId="50" refreshError="1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 refreshError="1"/>
      <sheetData sheetId="65"/>
      <sheetData sheetId="66" refreshError="1"/>
      <sheetData sheetId="67" refreshError="1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ep"/>
      <sheetName val="Oct"/>
      <sheetName val="Nov"/>
      <sheetName val="Dec2010"/>
      <sheetName val="Jan2011"/>
      <sheetName val="Feb"/>
      <sheetName val="Mar"/>
      <sheetName val="Apr"/>
      <sheetName val="May"/>
      <sheetName val="Jun"/>
      <sheetName val="Jul"/>
      <sheetName val="Aug"/>
      <sheetName val="All"/>
    </sheetNames>
    <sheetDataSet>
      <sheetData sheetId="0">
        <row r="3">
          <cell r="G3">
            <v>1.7546296296296338E-2</v>
          </cell>
        </row>
        <row r="4">
          <cell r="G4">
            <v>1.0497685185185235E-2</v>
          </cell>
        </row>
        <row r="5">
          <cell r="G5">
            <v>4.2129629629629184E-3</v>
          </cell>
        </row>
        <row r="6">
          <cell r="G6">
            <v>3.7037037037037646E-3</v>
          </cell>
        </row>
        <row r="7">
          <cell r="G7">
            <v>4.5370370370371171E-3</v>
          </cell>
        </row>
        <row r="8">
          <cell r="G8">
            <v>2.615740740740724E-3</v>
          </cell>
        </row>
        <row r="9">
          <cell r="G9">
            <v>7.8124999999999445E-3</v>
          </cell>
        </row>
        <row r="10">
          <cell r="G10">
            <v>5.3240740740740922E-3</v>
          </cell>
        </row>
        <row r="11">
          <cell r="G11">
            <v>4.9768518518518157E-3</v>
          </cell>
        </row>
        <row r="12">
          <cell r="G12">
            <v>2.372685185185186E-3</v>
          </cell>
        </row>
        <row r="13">
          <cell r="G13">
            <v>2.2800925925925419E-3</v>
          </cell>
        </row>
        <row r="14">
          <cell r="G14">
            <v>2.2337962962963864E-3</v>
          </cell>
        </row>
        <row r="15">
          <cell r="G15">
            <v>1.9259259259259309E-2</v>
          </cell>
        </row>
        <row r="16">
          <cell r="G16">
            <v>9.7337962962963376E-3</v>
          </cell>
        </row>
        <row r="17">
          <cell r="G17">
            <v>2.2453703703703143E-3</v>
          </cell>
        </row>
        <row r="18">
          <cell r="G18">
            <v>2.1296296296297035E-3</v>
          </cell>
        </row>
        <row r="19">
          <cell r="G19">
            <v>1.042824074074078E-2</v>
          </cell>
        </row>
        <row r="20">
          <cell r="G20">
            <v>3.3333333333332993E-3</v>
          </cell>
        </row>
        <row r="21">
          <cell r="G21">
            <v>2.17592592592597E-3</v>
          </cell>
        </row>
        <row r="22">
          <cell r="G22">
            <v>2.5462962962962132E-3</v>
          </cell>
        </row>
        <row r="23">
          <cell r="G23">
            <v>2.6504629629630072E-3</v>
          </cell>
        </row>
        <row r="24">
          <cell r="G24">
            <v>2.5000000000000577E-3</v>
          </cell>
        </row>
        <row r="25">
          <cell r="G25">
            <v>2.3263888888889195E-3</v>
          </cell>
        </row>
        <row r="26">
          <cell r="G26">
            <v>1.4918981481481519E-2</v>
          </cell>
        </row>
        <row r="27">
          <cell r="G27">
            <v>2.3032407407408417E-3</v>
          </cell>
        </row>
        <row r="28">
          <cell r="G28">
            <v>1.2870370370370532E-2</v>
          </cell>
        </row>
        <row r="29">
          <cell r="G29">
            <v>2.3495370370369972E-3</v>
          </cell>
        </row>
        <row r="30">
          <cell r="G30">
            <v>2.7314814814815014E-3</v>
          </cell>
        </row>
        <row r="31">
          <cell r="G31">
            <v>3.9930555555555691E-3</v>
          </cell>
        </row>
        <row r="32">
          <cell r="G32">
            <v>1.3831018518518479E-2</v>
          </cell>
        </row>
        <row r="33">
          <cell r="G33">
            <v>6.5624999999999711E-3</v>
          </cell>
        </row>
        <row r="34">
          <cell r="G34">
            <v>1.9444444444445264E-3</v>
          </cell>
        </row>
        <row r="35">
          <cell r="G35">
            <v>6.4699074074073826E-3</v>
          </cell>
        </row>
        <row r="36">
          <cell r="G36">
            <v>9.1666666666666563E-3</v>
          </cell>
        </row>
        <row r="37">
          <cell r="G37">
            <v>4.5949074074073115E-3</v>
          </cell>
        </row>
        <row r="38">
          <cell r="G38">
            <v>7.7777777777778834E-3</v>
          </cell>
        </row>
        <row r="39">
          <cell r="G39">
            <v>6.9560185185185697E-3</v>
          </cell>
        </row>
        <row r="40">
          <cell r="G40">
            <v>4.1203703703703853E-3</v>
          </cell>
        </row>
        <row r="41">
          <cell r="G41">
            <v>2.9976851851851727E-3</v>
          </cell>
        </row>
        <row r="42">
          <cell r="G42">
            <v>1.0983796296296311E-2</v>
          </cell>
        </row>
        <row r="43">
          <cell r="G43">
            <v>3.5879629629630427E-3</v>
          </cell>
        </row>
        <row r="44">
          <cell r="G44">
            <v>9.5023148148148939E-3</v>
          </cell>
        </row>
        <row r="45">
          <cell r="G45">
            <v>4.1898148148148406E-3</v>
          </cell>
        </row>
        <row r="46">
          <cell r="G46">
            <v>4.1087962962963465E-3</v>
          </cell>
        </row>
        <row r="47">
          <cell r="G47">
            <v>3.5763888888888928E-3</v>
          </cell>
        </row>
        <row r="48">
          <cell r="G48">
            <v>2.2106481481480866E-3</v>
          </cell>
        </row>
        <row r="49">
          <cell r="G49">
            <v>1.4386574074074066E-2</v>
          </cell>
        </row>
        <row r="50">
          <cell r="G50">
            <v>2.476851851851869E-3</v>
          </cell>
        </row>
        <row r="51">
          <cell r="G51">
            <v>2.2916666666666918E-3</v>
          </cell>
        </row>
        <row r="52">
          <cell r="G52">
            <v>7.9976851851850661E-3</v>
          </cell>
        </row>
        <row r="53">
          <cell r="G53">
            <v>2.5462962962963243E-3</v>
          </cell>
        </row>
        <row r="54">
          <cell r="G54">
            <v>2.4884259259259078E-3</v>
          </cell>
        </row>
        <row r="55">
          <cell r="G55">
            <v>2.2453703703704253E-3</v>
          </cell>
        </row>
        <row r="56">
          <cell r="G56">
            <v>3.1134259259258945E-3</v>
          </cell>
        </row>
        <row r="57">
          <cell r="G57">
            <v>2.175925925925859E-3</v>
          </cell>
        </row>
        <row r="58">
          <cell r="G58">
            <v>7.7430555555555447E-3</v>
          </cell>
        </row>
        <row r="59">
          <cell r="G59">
            <v>1.317129629629632E-2</v>
          </cell>
        </row>
        <row r="60">
          <cell r="G60">
            <v>3.3217592592592049E-3</v>
          </cell>
        </row>
        <row r="61">
          <cell r="G61">
            <v>3.7499999999999756E-3</v>
          </cell>
        </row>
        <row r="62">
          <cell r="G62">
            <v>4.0277777777777413E-3</v>
          </cell>
        </row>
        <row r="63">
          <cell r="G63">
            <v>5.0000000000000044E-3</v>
          </cell>
        </row>
        <row r="64">
          <cell r="G64">
            <v>5.2083333333333703E-3</v>
          </cell>
        </row>
        <row r="65">
          <cell r="G65">
            <v>2.1875000000000089E-3</v>
          </cell>
        </row>
        <row r="66">
          <cell r="G66">
            <v>7.9976851851851216E-3</v>
          </cell>
        </row>
        <row r="67">
          <cell r="G67">
            <v>1.7002314814814845E-2</v>
          </cell>
        </row>
        <row r="68">
          <cell r="G68">
            <v>4.0393518518518912E-3</v>
          </cell>
        </row>
        <row r="69">
          <cell r="G69">
            <v>1.9444444444444708E-3</v>
          </cell>
        </row>
        <row r="70">
          <cell r="G70">
            <v>2.0370370370370594E-3</v>
          </cell>
        </row>
        <row r="71">
          <cell r="G71">
            <v>1.5462962962962901E-2</v>
          </cell>
        </row>
        <row r="72">
          <cell r="G72">
            <v>2.1990740740741033E-3</v>
          </cell>
        </row>
        <row r="73">
          <cell r="G73">
            <v>2.1180555555555536E-3</v>
          </cell>
        </row>
        <row r="74">
          <cell r="G74">
            <v>5.2083333333332593E-3</v>
          </cell>
        </row>
        <row r="75">
          <cell r="G75">
            <v>1.10069444444445E-2</v>
          </cell>
        </row>
        <row r="76">
          <cell r="G76">
            <v>1.9884259259259296E-2</v>
          </cell>
        </row>
        <row r="77">
          <cell r="G77">
            <v>8.703703703703658E-3</v>
          </cell>
        </row>
        <row r="78">
          <cell r="G78">
            <v>2.2569444444444642E-3</v>
          </cell>
        </row>
        <row r="79">
          <cell r="G79">
            <v>1.288194444444446E-2</v>
          </cell>
        </row>
        <row r="80">
          <cell r="G80">
            <v>2.1180555555555536E-3</v>
          </cell>
        </row>
        <row r="81">
          <cell r="G81">
            <v>2.1180555555555536E-3</v>
          </cell>
        </row>
        <row r="82">
          <cell r="G82">
            <v>4.2129629629629739E-3</v>
          </cell>
        </row>
        <row r="83">
          <cell r="G83">
            <v>1.8599537037037095E-2</v>
          </cell>
        </row>
        <row r="84">
          <cell r="G84">
            <v>5.2199074074073537E-3</v>
          </cell>
        </row>
        <row r="85">
          <cell r="G85">
            <v>5.4282407407407196E-3</v>
          </cell>
        </row>
        <row r="86">
          <cell r="G86">
            <v>2.7083333333333126E-3</v>
          </cell>
        </row>
        <row r="87">
          <cell r="G87">
            <v>2.0717592592592871E-3</v>
          </cell>
        </row>
        <row r="88">
          <cell r="G88">
            <v>2.0833333333333814E-3</v>
          </cell>
        </row>
        <row r="89">
          <cell r="G89">
            <v>2.1527777777777812E-3</v>
          </cell>
        </row>
        <row r="90">
          <cell r="G90">
            <v>2.4421296296296413E-3</v>
          </cell>
        </row>
        <row r="91">
          <cell r="G91">
            <v>2.0949074074074203E-3</v>
          </cell>
        </row>
        <row r="92">
          <cell r="G92">
            <v>3.159722222222161E-3</v>
          </cell>
        </row>
        <row r="93">
          <cell r="G93">
            <v>9.8148148148148318E-3</v>
          </cell>
        </row>
        <row r="94">
          <cell r="G94">
            <v>2.1412037037036868E-3</v>
          </cell>
        </row>
        <row r="95">
          <cell r="G95">
            <v>3.5416666666665542E-3</v>
          </cell>
        </row>
        <row r="96">
          <cell r="G96">
            <v>5.3240740740740922E-3</v>
          </cell>
        </row>
        <row r="97">
          <cell r="G97">
            <v>2.1527777777776702E-3</v>
          </cell>
        </row>
        <row r="98">
          <cell r="G98">
            <v>2.1527777777778923E-3</v>
          </cell>
        </row>
        <row r="99">
          <cell r="G99">
            <v>3.657407407407498E-3</v>
          </cell>
        </row>
        <row r="100">
          <cell r="G100">
            <v>2.0949074074073648E-3</v>
          </cell>
        </row>
        <row r="101">
          <cell r="G101">
            <v>2.1296296296297035E-3</v>
          </cell>
        </row>
        <row r="102">
          <cell r="G102">
            <v>3.2175925925925775E-3</v>
          </cell>
        </row>
        <row r="103">
          <cell r="G103">
            <v>5.138888888888915E-3</v>
          </cell>
        </row>
        <row r="104">
          <cell r="G104">
            <v>2.1990740740741588E-3</v>
          </cell>
        </row>
        <row r="105">
          <cell r="G105">
            <v>2.1180555555555536E-3</v>
          </cell>
        </row>
        <row r="106">
          <cell r="G106">
            <v>1.1030092592592577E-2</v>
          </cell>
        </row>
        <row r="107">
          <cell r="G107">
            <v>6.2152777777777501E-3</v>
          </cell>
        </row>
        <row r="108">
          <cell r="G108">
            <v>1.4780092592592609E-2</v>
          </cell>
        </row>
        <row r="109">
          <cell r="G109">
            <v>3.0324074074073448E-3</v>
          </cell>
        </row>
        <row r="110">
          <cell r="G110">
            <v>1.6250000000000042E-2</v>
          </cell>
        </row>
        <row r="111">
          <cell r="G111">
            <v>1.0474537037037102E-2</v>
          </cell>
        </row>
        <row r="112">
          <cell r="G112">
            <v>1.6446759259259258E-2</v>
          </cell>
        </row>
        <row r="113">
          <cell r="G113">
            <v>1.207175925925924E-2</v>
          </cell>
        </row>
        <row r="114">
          <cell r="G114">
            <v>1.1666666666666659E-2</v>
          </cell>
        </row>
        <row r="115">
          <cell r="G115">
            <v>1.0833333333333306E-2</v>
          </cell>
        </row>
        <row r="116">
          <cell r="G116">
            <v>7.2337962962963354E-3</v>
          </cell>
        </row>
        <row r="117">
          <cell r="G117">
            <v>2.3379629629629584E-3</v>
          </cell>
        </row>
        <row r="118">
          <cell r="G118">
            <v>1.1631944444444431E-2</v>
          </cell>
        </row>
        <row r="119">
          <cell r="G119">
            <v>3.7499999999999756E-3</v>
          </cell>
        </row>
        <row r="120">
          <cell r="G120">
            <v>2.0486111111110983E-3</v>
          </cell>
        </row>
        <row r="121">
          <cell r="G121">
            <v>4.8263888888888662E-3</v>
          </cell>
        </row>
        <row r="122">
          <cell r="G122">
            <v>2.0023148148147762E-3</v>
          </cell>
        </row>
        <row r="123">
          <cell r="G123">
            <v>3.807870370370392E-3</v>
          </cell>
        </row>
        <row r="124">
          <cell r="G124">
            <v>2.0370370370370594E-3</v>
          </cell>
        </row>
        <row r="125">
          <cell r="G125">
            <v>1.6724537037036968E-2</v>
          </cell>
        </row>
        <row r="126">
          <cell r="G126">
            <v>1.3321759259259269E-2</v>
          </cell>
        </row>
        <row r="127">
          <cell r="G127">
            <v>9.5254629629630272E-3</v>
          </cell>
        </row>
        <row r="128">
          <cell r="G128">
            <v>9.1782407407407507E-3</v>
          </cell>
        </row>
        <row r="129">
          <cell r="G129">
            <v>8.6574074074073915E-3</v>
          </cell>
        </row>
        <row r="130">
          <cell r="G130">
            <v>7.0601851851851416E-3</v>
          </cell>
        </row>
        <row r="131">
          <cell r="G131">
            <v>5.4282407407407751E-3</v>
          </cell>
        </row>
        <row r="132">
          <cell r="G132">
            <v>5.439814814814925E-3</v>
          </cell>
        </row>
        <row r="133">
          <cell r="G133">
            <v>2.5810185185184409E-3</v>
          </cell>
        </row>
        <row r="134">
          <cell r="G134">
            <v>5.0578703703703098E-3</v>
          </cell>
        </row>
        <row r="135">
          <cell r="G135">
            <v>4.2129629629630294E-3</v>
          </cell>
        </row>
        <row r="136">
          <cell r="G136">
            <v>5.243055555555487E-3</v>
          </cell>
        </row>
        <row r="137">
          <cell r="G137">
            <v>2.4189814814815636E-3</v>
          </cell>
        </row>
        <row r="138">
          <cell r="G138">
            <v>2.2337962962962754E-3</v>
          </cell>
        </row>
        <row r="139">
          <cell r="G139">
            <v>1.54861111111112E-2</v>
          </cell>
        </row>
        <row r="140">
          <cell r="G140">
            <v>2.4525462962962874E-2</v>
          </cell>
        </row>
        <row r="141">
          <cell r="G141">
            <v>1.1944444444444313E-2</v>
          </cell>
        </row>
        <row r="142">
          <cell r="G142">
            <v>1.1817129629629664E-2</v>
          </cell>
        </row>
        <row r="143">
          <cell r="G143">
            <v>1.7407407407407427E-2</v>
          </cell>
        </row>
        <row r="144">
          <cell r="G144">
            <v>7.025462962963025E-3</v>
          </cell>
        </row>
        <row r="145">
          <cell r="G145">
            <v>6.0995370370370283E-3</v>
          </cell>
        </row>
        <row r="146">
          <cell r="G146">
            <v>2.1875000000000089E-2</v>
          </cell>
        </row>
        <row r="147">
          <cell r="G147">
            <v>6.0532407407407618E-3</v>
          </cell>
        </row>
        <row r="148">
          <cell r="G148">
            <v>2.0138888888889817E-3</v>
          </cell>
        </row>
        <row r="149">
          <cell r="G149">
            <v>7.2800925925925464E-3</v>
          </cell>
        </row>
        <row r="150">
          <cell r="G150">
            <v>2.2222222222222365E-3</v>
          </cell>
        </row>
        <row r="151">
          <cell r="G151">
            <v>2.0949074074074758E-3</v>
          </cell>
        </row>
        <row r="152">
          <cell r="G152">
            <v>4.0393518518518912E-3</v>
          </cell>
        </row>
        <row r="153">
          <cell r="G153">
            <v>3.8888888888889417E-3</v>
          </cell>
        </row>
        <row r="154">
          <cell r="G154">
            <v>4.2245370370369573E-3</v>
          </cell>
        </row>
        <row r="155">
          <cell r="G155">
            <v>3.2870370370370328E-3</v>
          </cell>
        </row>
        <row r="156">
          <cell r="G156">
            <v>2.569444444444513E-3</v>
          </cell>
        </row>
        <row r="157">
          <cell r="G157">
            <v>1.5810185185185177E-2</v>
          </cell>
        </row>
        <row r="158">
          <cell r="G158">
            <v>3.9351851851852082E-3</v>
          </cell>
        </row>
        <row r="159">
          <cell r="G159">
            <v>2.071759259259176E-3</v>
          </cell>
        </row>
        <row r="160">
          <cell r="G160">
            <v>2.0601851851851372E-3</v>
          </cell>
        </row>
        <row r="161">
          <cell r="G161">
            <v>2.2453703703704253E-3</v>
          </cell>
        </row>
        <row r="162">
          <cell r="G162">
            <v>2.0138888888889817E-3</v>
          </cell>
        </row>
        <row r="163">
          <cell r="G163">
            <v>2.0370370370370594E-3</v>
          </cell>
        </row>
        <row r="164">
          <cell r="G164">
            <v>5.1967592592593315E-3</v>
          </cell>
        </row>
        <row r="165">
          <cell r="G165">
            <v>1.778935185185182E-2</v>
          </cell>
        </row>
        <row r="166">
          <cell r="G166">
            <v>1.0138888888888919E-2</v>
          </cell>
        </row>
        <row r="167">
          <cell r="G167">
            <v>5.9270833333333273E-2</v>
          </cell>
        </row>
        <row r="168">
          <cell r="G168">
            <v>5.3506944444444426E-2</v>
          </cell>
        </row>
        <row r="169">
          <cell r="G169">
            <v>4.817129629629624E-2</v>
          </cell>
        </row>
        <row r="170">
          <cell r="G170">
            <v>4.6770833333333317E-2</v>
          </cell>
        </row>
        <row r="171">
          <cell r="G171">
            <v>4.2569444444444438E-2</v>
          </cell>
        </row>
        <row r="172">
          <cell r="G172">
            <v>2.9293981481481435E-2</v>
          </cell>
        </row>
        <row r="173">
          <cell r="G173">
            <v>1.7905092592592597E-2</v>
          </cell>
        </row>
        <row r="174">
          <cell r="G174">
            <v>2.4432870370370341E-2</v>
          </cell>
        </row>
        <row r="175">
          <cell r="G175">
            <v>1.4363425925925877E-2</v>
          </cell>
        </row>
        <row r="176">
          <cell r="G176">
            <v>1.959490740740738E-2</v>
          </cell>
        </row>
        <row r="177">
          <cell r="G177">
            <v>1.5115740740740735E-2</v>
          </cell>
        </row>
        <row r="178">
          <cell r="G178">
            <v>1.439814814814816E-2</v>
          </cell>
        </row>
        <row r="179">
          <cell r="G179">
            <v>7.5925925925925952E-3</v>
          </cell>
        </row>
        <row r="180">
          <cell r="G180">
            <v>3.4490740740741321E-3</v>
          </cell>
        </row>
        <row r="181">
          <cell r="G181">
            <v>7.7314814814815058E-3</v>
          </cell>
        </row>
        <row r="182">
          <cell r="G182">
            <v>1.0243055555555602E-2</v>
          </cell>
        </row>
        <row r="183">
          <cell r="G183">
            <v>8.7962962962963021E-3</v>
          </cell>
        </row>
        <row r="184">
          <cell r="G184">
            <v>4.5601851851852504E-3</v>
          </cell>
        </row>
        <row r="185">
          <cell r="G185">
            <v>3.854166666666603E-3</v>
          </cell>
        </row>
        <row r="186">
          <cell r="G186">
            <v>2.17592592592597E-3</v>
          </cell>
        </row>
        <row r="187">
          <cell r="G187">
            <v>1.7824074074074825E-3</v>
          </cell>
        </row>
        <row r="188">
          <cell r="G188">
            <v>2.3842592592591694E-3</v>
          </cell>
        </row>
        <row r="189">
          <cell r="G189">
            <v>2.7083333333333126E-3</v>
          </cell>
        </row>
        <row r="190">
          <cell r="G190">
            <v>1.5011574074074052E-2</v>
          </cell>
        </row>
        <row r="191">
          <cell r="G191">
            <v>3.2291666666666163E-3</v>
          </cell>
        </row>
        <row r="192">
          <cell r="G192">
            <v>2.9513888888889062E-3</v>
          </cell>
        </row>
        <row r="193">
          <cell r="G193">
            <v>2.9861111111110228E-3</v>
          </cell>
        </row>
        <row r="194">
          <cell r="G194">
            <v>1.0891203703703667E-2</v>
          </cell>
        </row>
        <row r="195">
          <cell r="G195">
            <v>2.0138888888888706E-3</v>
          </cell>
        </row>
        <row r="196">
          <cell r="G196">
            <v>4.3749999999999067E-3</v>
          </cell>
        </row>
        <row r="197">
          <cell r="G197">
            <v>4.2592592592592959E-3</v>
          </cell>
        </row>
        <row r="198">
          <cell r="G198">
            <v>1.0868055555555589E-2</v>
          </cell>
        </row>
        <row r="199">
          <cell r="G199">
            <v>2.5347222222222854E-3</v>
          </cell>
        </row>
        <row r="200">
          <cell r="G200">
            <v>4.2013888888888795E-3</v>
          </cell>
        </row>
        <row r="201">
          <cell r="G201">
            <v>8.3680555555555314E-3</v>
          </cell>
        </row>
        <row r="202">
          <cell r="G202">
            <v>6.4351851851851549E-3</v>
          </cell>
        </row>
        <row r="203">
          <cell r="G203">
            <v>3.6226851851852704E-3</v>
          </cell>
        </row>
        <row r="204">
          <cell r="G204">
            <v>3.263888888888844E-3</v>
          </cell>
        </row>
        <row r="205">
          <cell r="G205">
            <v>2.5231481481482465E-3</v>
          </cell>
        </row>
        <row r="206">
          <cell r="G206">
            <v>1.8287037037038045E-3</v>
          </cell>
        </row>
        <row r="207">
          <cell r="G207">
            <v>1.8634259259259212E-3</v>
          </cell>
        </row>
        <row r="208">
          <cell r="G208">
            <v>3.2106481481481541E-2</v>
          </cell>
        </row>
        <row r="209">
          <cell r="G209">
            <v>3.0902777777778168E-3</v>
          </cell>
        </row>
        <row r="210">
          <cell r="G210">
            <v>1.8900462962962994E-2</v>
          </cell>
        </row>
        <row r="211">
          <cell r="G211">
            <v>9.6875000000000711E-3</v>
          </cell>
        </row>
        <row r="212">
          <cell r="G212">
            <v>1.0856481481481439E-2</v>
          </cell>
        </row>
        <row r="213">
          <cell r="G213">
            <v>4.6296296296296502E-3</v>
          </cell>
        </row>
        <row r="214">
          <cell r="G214">
            <v>8.1365740740740877E-3</v>
          </cell>
        </row>
        <row r="215">
          <cell r="G215">
            <v>3.6921296296295036E-3</v>
          </cell>
        </row>
        <row r="216">
          <cell r="G216">
            <v>1.2337962962962856E-2</v>
          </cell>
        </row>
        <row r="217">
          <cell r="G217">
            <v>4.6064814814815724E-3</v>
          </cell>
        </row>
        <row r="218">
          <cell r="G218">
            <v>2.0138888888887596E-3</v>
          </cell>
        </row>
        <row r="219">
          <cell r="G219">
            <v>3.2175925925925775E-3</v>
          </cell>
        </row>
        <row r="220">
          <cell r="G220">
            <v>2.569444444444402E-3</v>
          </cell>
        </row>
        <row r="221">
          <cell r="G221">
            <v>8.113425925925899E-3</v>
          </cell>
        </row>
        <row r="222">
          <cell r="G222">
            <v>2.719907407407407E-3</v>
          </cell>
        </row>
        <row r="223">
          <cell r="G223">
            <v>2.5115740740740411E-3</v>
          </cell>
        </row>
        <row r="224">
          <cell r="G224">
            <v>3.7037037037036535E-3</v>
          </cell>
        </row>
        <row r="225">
          <cell r="G225">
            <v>3.3217592592593159E-3</v>
          </cell>
        </row>
        <row r="226">
          <cell r="G226">
            <v>3.8888888888888862E-3</v>
          </cell>
        </row>
        <row r="227">
          <cell r="G227">
            <v>3.1365740740740278E-3</v>
          </cell>
        </row>
        <row r="228">
          <cell r="G228">
            <v>2.3842592592592249E-3</v>
          </cell>
        </row>
        <row r="229">
          <cell r="G229">
            <v>2.2569444444444642E-3</v>
          </cell>
        </row>
        <row r="230">
          <cell r="G230">
            <v>3.9351851851852082E-3</v>
          </cell>
        </row>
        <row r="231">
          <cell r="G231">
            <v>4.8263888888888662E-3</v>
          </cell>
        </row>
        <row r="232">
          <cell r="G232">
            <v>1.9143518518518476E-2</v>
          </cell>
        </row>
        <row r="233">
          <cell r="G233">
            <v>2.2337962962963864E-3</v>
          </cell>
        </row>
        <row r="234">
          <cell r="G234">
            <v>1.2858796296296271E-2</v>
          </cell>
        </row>
        <row r="235">
          <cell r="G235">
            <v>2.4537037037037912E-3</v>
          </cell>
        </row>
        <row r="236">
          <cell r="G236">
            <v>9.3518518518518334E-3</v>
          </cell>
        </row>
        <row r="237">
          <cell r="G237">
            <v>9.490740740740744E-3</v>
          </cell>
        </row>
        <row r="238">
          <cell r="G238">
            <v>1.0162037037036997E-2</v>
          </cell>
        </row>
        <row r="239">
          <cell r="G239">
            <v>8.8078703703703409E-3</v>
          </cell>
        </row>
        <row r="240">
          <cell r="G240">
            <v>9.0856481481480511E-3</v>
          </cell>
        </row>
        <row r="241">
          <cell r="G241">
            <v>8.2291666666667318E-3</v>
          </cell>
        </row>
        <row r="242">
          <cell r="G242">
            <v>8.8425925925925686E-3</v>
          </cell>
        </row>
        <row r="243">
          <cell r="G243">
            <v>7.2453703703703187E-3</v>
          </cell>
        </row>
        <row r="244">
          <cell r="G244">
            <v>1.4421296296296293E-2</v>
          </cell>
        </row>
        <row r="245">
          <cell r="G245">
            <v>1.4548611111111165E-2</v>
          </cell>
        </row>
        <row r="246">
          <cell r="G246">
            <v>1.2708333333333321E-2</v>
          </cell>
        </row>
        <row r="247">
          <cell r="G247">
            <v>1.41782407407407E-2</v>
          </cell>
        </row>
        <row r="248">
          <cell r="G248">
            <v>3.0902777777777057E-3</v>
          </cell>
        </row>
        <row r="249">
          <cell r="G249">
            <v>1.8865740740741099E-3</v>
          </cell>
        </row>
        <row r="250">
          <cell r="G250">
            <v>3.1018518518518556E-3</v>
          </cell>
        </row>
        <row r="251">
          <cell r="G251">
            <v>1.7939814814814659E-3</v>
          </cell>
        </row>
        <row r="252">
          <cell r="G252">
            <v>9.3055555555555669E-3</v>
          </cell>
        </row>
        <row r="253">
          <cell r="G253">
            <v>1.0405092592592702E-2</v>
          </cell>
        </row>
        <row r="254">
          <cell r="G254">
            <v>9.6875000000000711E-3</v>
          </cell>
        </row>
        <row r="255">
          <cell r="G255">
            <v>2.2916666666666918E-3</v>
          </cell>
        </row>
        <row r="256">
          <cell r="G256">
            <v>4.7222222222221832E-3</v>
          </cell>
        </row>
        <row r="257">
          <cell r="G257">
            <v>2.0138888888887596E-3</v>
          </cell>
        </row>
        <row r="258">
          <cell r="G258">
            <v>1.9652777777777741E-2</v>
          </cell>
        </row>
        <row r="259">
          <cell r="G259">
            <v>1.9490740740740753E-2</v>
          </cell>
        </row>
        <row r="260">
          <cell r="G260">
            <v>1.7291666666666594E-2</v>
          </cell>
        </row>
        <row r="261">
          <cell r="G261">
            <v>2.0717592592592315E-3</v>
          </cell>
        </row>
        <row r="262">
          <cell r="G262">
            <v>2.0023148148147762E-3</v>
          </cell>
        </row>
        <row r="263">
          <cell r="G263">
            <v>5.0810185185184431E-3</v>
          </cell>
        </row>
        <row r="264">
          <cell r="G264">
            <v>1.2256944444444473E-2</v>
          </cell>
        </row>
        <row r="265">
          <cell r="G265">
            <v>9.8611111111110983E-3</v>
          </cell>
        </row>
        <row r="266">
          <cell r="G266">
            <v>9.4560185185185719E-3</v>
          </cell>
        </row>
        <row r="267">
          <cell r="G267">
            <v>5.6944444444444464E-3</v>
          </cell>
        </row>
        <row r="268">
          <cell r="G268">
            <v>4.8611111111111494E-3</v>
          </cell>
        </row>
        <row r="269">
          <cell r="G269">
            <v>2.4490740740740757E-2</v>
          </cell>
        </row>
        <row r="270">
          <cell r="G270">
            <v>2.0486111111110983E-3</v>
          </cell>
        </row>
        <row r="271">
          <cell r="G271">
            <v>9.143518518518523E-3</v>
          </cell>
        </row>
        <row r="272">
          <cell r="G272">
            <v>8.6226851851852193E-3</v>
          </cell>
        </row>
        <row r="273">
          <cell r="G273">
            <v>5.6018518518518579E-3</v>
          </cell>
        </row>
        <row r="274">
          <cell r="G274">
            <v>6.3657407407406996E-3</v>
          </cell>
        </row>
        <row r="275">
          <cell r="G275">
            <v>1.4664351851851887E-2</v>
          </cell>
        </row>
        <row r="276">
          <cell r="G276">
            <v>1.4282407407407383E-2</v>
          </cell>
        </row>
        <row r="277">
          <cell r="G277">
            <v>2.0717592592592871E-3</v>
          </cell>
        </row>
        <row r="278">
          <cell r="G278">
            <v>3.3796296296296768E-3</v>
          </cell>
        </row>
        <row r="279">
          <cell r="G279">
            <v>1.0057870370370425E-2</v>
          </cell>
        </row>
        <row r="280">
          <cell r="G280">
            <v>7.4189814814815125E-3</v>
          </cell>
        </row>
        <row r="281">
          <cell r="G281">
            <v>8.7268518518519023E-3</v>
          </cell>
        </row>
        <row r="282">
          <cell r="G282">
            <v>5.1273148148147651E-3</v>
          </cell>
        </row>
        <row r="283">
          <cell r="G283">
            <v>1.0833333333333361E-2</v>
          </cell>
        </row>
        <row r="284">
          <cell r="G284">
            <v>4.8032407407406774E-3</v>
          </cell>
        </row>
        <row r="285">
          <cell r="G285">
            <v>1.0046296296296331E-2</v>
          </cell>
        </row>
        <row r="286">
          <cell r="G286">
            <v>1.2685185185185244E-2</v>
          </cell>
        </row>
        <row r="287">
          <cell r="G287">
            <v>1.1446759259259309E-2</v>
          </cell>
        </row>
        <row r="288">
          <cell r="G288">
            <v>9.0393518518518956E-3</v>
          </cell>
        </row>
        <row r="289">
          <cell r="G289">
            <v>4.3634259259258679E-3</v>
          </cell>
        </row>
        <row r="290">
          <cell r="G290">
            <v>1.388888888888884E-2</v>
          </cell>
        </row>
        <row r="291">
          <cell r="G291">
            <v>5.4513888888888529E-3</v>
          </cell>
        </row>
        <row r="292">
          <cell r="G292">
            <v>1.8935185185185111E-2</v>
          </cell>
        </row>
        <row r="293">
          <cell r="G293">
            <v>2.5231481481480245E-3</v>
          </cell>
        </row>
        <row r="294">
          <cell r="G294">
            <v>2.2453703703703143E-3</v>
          </cell>
        </row>
        <row r="295">
          <cell r="G295">
            <v>6.3888888888887774E-3</v>
          </cell>
        </row>
        <row r="296">
          <cell r="G296">
            <v>1.5243055555555496E-2</v>
          </cell>
        </row>
        <row r="297">
          <cell r="G297">
            <v>3.0092592592593226E-3</v>
          </cell>
        </row>
        <row r="298">
          <cell r="G298">
            <v>1.460648148148147E-2</v>
          </cell>
        </row>
        <row r="299">
          <cell r="G299">
            <v>1.5289351851851873E-2</v>
          </cell>
        </row>
        <row r="300">
          <cell r="G300">
            <v>1.4432870370370443E-2</v>
          </cell>
        </row>
        <row r="301">
          <cell r="G301">
            <v>1.6030092592592582E-2</v>
          </cell>
        </row>
        <row r="302">
          <cell r="G302">
            <v>2.1064814814814037E-3</v>
          </cell>
        </row>
        <row r="303">
          <cell r="G303">
            <v>1.1261574074074021E-2</v>
          </cell>
        </row>
        <row r="304">
          <cell r="G304">
            <v>2.2685185185185031E-3</v>
          </cell>
        </row>
        <row r="305">
          <cell r="G305">
            <v>1.5405092592592595E-2</v>
          </cell>
        </row>
        <row r="306">
          <cell r="G306">
            <v>7.8703703703703054E-3</v>
          </cell>
        </row>
        <row r="307">
          <cell r="G307">
            <v>8.5185185185184809E-3</v>
          </cell>
        </row>
        <row r="308">
          <cell r="G308">
            <v>3.1134259259258945E-3</v>
          </cell>
        </row>
        <row r="309">
          <cell r="G309">
            <v>2.3495370370368862E-3</v>
          </cell>
        </row>
        <row r="310">
          <cell r="G310">
            <v>1.2384259259259234E-2</v>
          </cell>
        </row>
        <row r="311">
          <cell r="G311">
            <v>2.9976851851851727E-3</v>
          </cell>
        </row>
        <row r="312">
          <cell r="G312">
            <v>2.3032407407406197E-3</v>
          </cell>
        </row>
        <row r="313">
          <cell r="G313">
            <v>1.4768518518518459E-2</v>
          </cell>
        </row>
        <row r="314">
          <cell r="G314">
            <v>3.9351851851852082E-3</v>
          </cell>
        </row>
        <row r="315">
          <cell r="G315">
            <v>9.2361111111112226E-3</v>
          </cell>
        </row>
        <row r="316">
          <cell r="G316">
            <v>7.4305555555553848E-3</v>
          </cell>
        </row>
        <row r="317">
          <cell r="G317">
            <v>3.7962962962962976E-3</v>
          </cell>
        </row>
        <row r="318">
          <cell r="G318">
            <v>1.1840277777777852E-2</v>
          </cell>
        </row>
        <row r="319">
          <cell r="G319">
            <v>1.2002314814814841E-2</v>
          </cell>
        </row>
        <row r="320">
          <cell r="G320">
            <v>2.4074074074074137E-3</v>
          </cell>
        </row>
        <row r="321">
          <cell r="G321">
            <v>1.5451388888888862E-2</v>
          </cell>
        </row>
        <row r="322">
          <cell r="G322">
            <v>1.2453703703703689E-2</v>
          </cell>
        </row>
        <row r="323">
          <cell r="G323">
            <v>1.2291666666666812E-2</v>
          </cell>
        </row>
        <row r="324">
          <cell r="G324">
            <v>4.2939814814813015E-3</v>
          </cell>
        </row>
        <row r="325">
          <cell r="G325">
            <v>3.3796296296295658E-3</v>
          </cell>
        </row>
        <row r="326">
          <cell r="G326">
            <v>1.0891203703703667E-2</v>
          </cell>
        </row>
        <row r="327">
          <cell r="G327">
            <v>2.7777777777777679E-3</v>
          </cell>
        </row>
        <row r="328">
          <cell r="G328">
            <v>2.9166666666666785E-3</v>
          </cell>
        </row>
        <row r="329">
          <cell r="G329">
            <v>1.2974537037037104E-2</v>
          </cell>
        </row>
        <row r="330">
          <cell r="G330">
            <v>1.3148148148148187E-2</v>
          </cell>
        </row>
        <row r="331">
          <cell r="G331">
            <v>1.2268518518518512E-2</v>
          </cell>
        </row>
        <row r="332">
          <cell r="G332">
            <v>1.4363425925925932E-2</v>
          </cell>
        </row>
        <row r="333">
          <cell r="G333">
            <v>7.3611111111111516E-3</v>
          </cell>
        </row>
        <row r="334">
          <cell r="G334">
            <v>3.6342592592592537E-3</v>
          </cell>
        </row>
        <row r="335">
          <cell r="G335">
            <v>1.9710648148148102E-2</v>
          </cell>
        </row>
        <row r="336">
          <cell r="G336">
            <v>4.3750000000000178E-3</v>
          </cell>
        </row>
        <row r="337">
          <cell r="G337">
            <v>1.0972222222222272E-2</v>
          </cell>
        </row>
        <row r="338">
          <cell r="G338">
            <v>2.326388888888864E-3</v>
          </cell>
        </row>
        <row r="339">
          <cell r="G339">
            <v>1.431712962962961E-2</v>
          </cell>
        </row>
        <row r="340">
          <cell r="G340">
            <v>1.4537037037037126E-2</v>
          </cell>
        </row>
        <row r="341">
          <cell r="G341">
            <v>1.3206018518518547E-2</v>
          </cell>
        </row>
        <row r="342">
          <cell r="G342">
            <v>9.6180555555555047E-3</v>
          </cell>
        </row>
        <row r="343">
          <cell r="G343">
            <v>1.3206018518518603E-2</v>
          </cell>
        </row>
        <row r="344">
          <cell r="G344">
            <v>1.3275462962962947E-2</v>
          </cell>
        </row>
        <row r="345">
          <cell r="G345">
            <v>2.2569444444445197E-3</v>
          </cell>
        </row>
        <row r="346">
          <cell r="G346">
            <v>5.0578703703704209E-3</v>
          </cell>
        </row>
        <row r="347">
          <cell r="G347">
            <v>2.6504629629630072E-3</v>
          </cell>
        </row>
        <row r="348">
          <cell r="G348">
            <v>2.8819444444443398E-3</v>
          </cell>
        </row>
        <row r="349">
          <cell r="G349">
            <v>1.3993055555555522E-2</v>
          </cell>
        </row>
        <row r="350">
          <cell r="G350">
            <v>2.6041666666666297E-3</v>
          </cell>
        </row>
        <row r="351">
          <cell r="G351">
            <v>2.0949074074074758E-3</v>
          </cell>
        </row>
        <row r="352">
          <cell r="G352">
            <v>3.5185185185184764E-3</v>
          </cell>
        </row>
        <row r="353">
          <cell r="G353">
            <v>4.6180555555556113E-3</v>
          </cell>
        </row>
        <row r="354">
          <cell r="G354">
            <v>1.0983796296296311E-2</v>
          </cell>
        </row>
        <row r="355">
          <cell r="G355">
            <v>1.3043981481481448E-2</v>
          </cell>
        </row>
        <row r="356">
          <cell r="G356">
            <v>1.5289351851851762E-2</v>
          </cell>
        </row>
        <row r="357">
          <cell r="G357">
            <v>1.2916666666666687E-2</v>
          </cell>
        </row>
        <row r="358">
          <cell r="G358">
            <v>1.5856481481481444E-2</v>
          </cell>
        </row>
        <row r="359">
          <cell r="G359">
            <v>4.9189814814813992E-3</v>
          </cell>
        </row>
        <row r="360">
          <cell r="G360">
            <v>2.8819444444443398E-3</v>
          </cell>
        </row>
        <row r="361">
          <cell r="G361">
            <v>9.5023148148147829E-3</v>
          </cell>
        </row>
        <row r="362">
          <cell r="G362">
            <v>9.097222222222312E-3</v>
          </cell>
        </row>
        <row r="363">
          <cell r="G363">
            <v>2.0138888888888706E-3</v>
          </cell>
        </row>
        <row r="364">
          <cell r="G364">
            <v>1.216435185185194E-2</v>
          </cell>
        </row>
        <row r="365">
          <cell r="G365">
            <v>2.4074074074074137E-3</v>
          </cell>
        </row>
        <row r="366">
          <cell r="G366">
            <v>2.2337962962962754E-3</v>
          </cell>
        </row>
        <row r="367">
          <cell r="G367">
            <v>1.2928240740740726E-2</v>
          </cell>
        </row>
        <row r="368">
          <cell r="G368">
            <v>1.0092592592592653E-2</v>
          </cell>
        </row>
        <row r="369">
          <cell r="G369">
            <v>1.3043981481481559E-2</v>
          </cell>
        </row>
        <row r="370">
          <cell r="G370">
            <v>1.1886574074074119E-2</v>
          </cell>
        </row>
        <row r="371">
          <cell r="G371">
            <v>8.3217592592591538E-3</v>
          </cell>
        </row>
        <row r="372">
          <cell r="G372">
            <v>1.5347222222222179E-2</v>
          </cell>
        </row>
        <row r="373">
          <cell r="G373">
            <v>1.5324074074074101E-2</v>
          </cell>
        </row>
        <row r="374">
          <cell r="G374">
            <v>1.0312499999999947E-2</v>
          </cell>
        </row>
        <row r="375">
          <cell r="G375">
            <v>1.2986111111111143E-2</v>
          </cell>
        </row>
        <row r="376">
          <cell r="G376">
            <v>2.3148148148148806E-3</v>
          </cell>
        </row>
        <row r="377">
          <cell r="G377">
            <v>8.4259259259259478E-3</v>
          </cell>
        </row>
        <row r="378">
          <cell r="G378">
            <v>5.6597222222221077E-3</v>
          </cell>
        </row>
        <row r="379">
          <cell r="G379">
            <v>1.1111111111111072E-2</v>
          </cell>
        </row>
        <row r="380">
          <cell r="G380">
            <v>1.3518518518518596E-2</v>
          </cell>
        </row>
        <row r="381">
          <cell r="G381">
            <v>2.3263888888889195E-3</v>
          </cell>
        </row>
        <row r="382">
          <cell r="G382">
            <v>6.8749999999999645E-3</v>
          </cell>
        </row>
        <row r="383">
          <cell r="G383">
            <v>2.3148148148147696E-3</v>
          </cell>
        </row>
        <row r="384">
          <cell r="G384">
            <v>1.6840277777777746E-2</v>
          </cell>
        </row>
        <row r="385">
          <cell r="G385">
            <v>2.1724537037037028E-2</v>
          </cell>
        </row>
        <row r="386">
          <cell r="G386">
            <v>2.3229166666666745E-2</v>
          </cell>
        </row>
        <row r="387">
          <cell r="G387">
            <v>1.6921296296296351E-2</v>
          </cell>
        </row>
        <row r="388">
          <cell r="G388">
            <v>2.3148148148146586E-3</v>
          </cell>
        </row>
        <row r="389">
          <cell r="G389">
            <v>1.4201388888888888E-2</v>
          </cell>
        </row>
        <row r="390">
          <cell r="G390">
            <v>2.4421296296296968E-3</v>
          </cell>
        </row>
        <row r="391">
          <cell r="G391">
            <v>1.5717592592592589E-2</v>
          </cell>
        </row>
        <row r="392">
          <cell r="G392">
            <v>2.2685185185186141E-3</v>
          </cell>
        </row>
        <row r="393">
          <cell r="G393">
            <v>1.0740740740740717E-2</v>
          </cell>
        </row>
        <row r="394">
          <cell r="G394">
            <v>1.2222222222222245E-2</v>
          </cell>
        </row>
        <row r="395">
          <cell r="G395">
            <v>7.4421296296296457E-3</v>
          </cell>
        </row>
        <row r="396">
          <cell r="G396">
            <v>1.7384259259259238E-2</v>
          </cell>
        </row>
        <row r="397">
          <cell r="G397">
            <v>1.2268518518518512E-2</v>
          </cell>
        </row>
        <row r="398">
          <cell r="G398">
            <v>1.9803240740740691E-2</v>
          </cell>
        </row>
        <row r="399">
          <cell r="G399">
            <v>1.2291666666666701E-2</v>
          </cell>
        </row>
        <row r="400">
          <cell r="G400">
            <v>1.2337962962962967E-2</v>
          </cell>
        </row>
        <row r="401">
          <cell r="G401">
            <v>5.6018518518519134E-3</v>
          </cell>
        </row>
        <row r="402">
          <cell r="G402">
            <v>2.0023148148147207E-3</v>
          </cell>
        </row>
        <row r="403">
          <cell r="G403">
            <v>1.6365740740740709E-2</v>
          </cell>
        </row>
        <row r="404">
          <cell r="G404">
            <v>6.6087962962962932E-3</v>
          </cell>
        </row>
        <row r="405">
          <cell r="G405">
            <v>2.6874999999999871E-2</v>
          </cell>
        </row>
        <row r="406">
          <cell r="G406">
            <v>2.8009259259259567E-3</v>
          </cell>
        </row>
        <row r="407">
          <cell r="G407">
            <v>1.3113425925925903E-2</v>
          </cell>
        </row>
        <row r="408">
          <cell r="G408">
            <v>3.6689814814815369E-3</v>
          </cell>
        </row>
        <row r="409">
          <cell r="G409">
            <v>1.1064814814814805E-2</v>
          </cell>
        </row>
        <row r="410">
          <cell r="G410">
            <v>2.2685185185186141E-3</v>
          </cell>
        </row>
        <row r="411">
          <cell r="G411">
            <v>9.9074074074074758E-3</v>
          </cell>
        </row>
        <row r="412">
          <cell r="G412">
            <v>4.8263888888887552E-3</v>
          </cell>
        </row>
        <row r="413">
          <cell r="G413">
            <v>7.3263888888888129E-3</v>
          </cell>
        </row>
        <row r="414">
          <cell r="G414">
            <v>1.7453703703703805E-2</v>
          </cell>
        </row>
        <row r="415">
          <cell r="G415">
            <v>1.0740740740740606E-2</v>
          </cell>
        </row>
        <row r="416">
          <cell r="G416">
            <v>9.6412037037036935E-3</v>
          </cell>
        </row>
        <row r="417">
          <cell r="G417">
            <v>1.6712962962962874E-2</v>
          </cell>
        </row>
        <row r="418">
          <cell r="G418">
            <v>1.5254629629629646E-2</v>
          </cell>
        </row>
        <row r="419">
          <cell r="G419">
            <v>1.5590277777777772E-2</v>
          </cell>
        </row>
        <row r="420">
          <cell r="G420">
            <v>5.046296296296382E-3</v>
          </cell>
        </row>
        <row r="421">
          <cell r="G421">
            <v>5.2662037037037868E-3</v>
          </cell>
        </row>
        <row r="422">
          <cell r="G422">
            <v>1.1655092592592675E-2</v>
          </cell>
        </row>
        <row r="423">
          <cell r="G423">
            <v>4.8032407407406774E-3</v>
          </cell>
        </row>
        <row r="424">
          <cell r="G424">
            <v>3.5069444444443265E-3</v>
          </cell>
        </row>
        <row r="425">
          <cell r="G425">
            <v>1.1053240740740766E-2</v>
          </cell>
        </row>
        <row r="426">
          <cell r="G426">
            <v>2.2569444444444642E-3</v>
          </cell>
        </row>
        <row r="427">
          <cell r="G427">
            <v>2.7314814814815014E-3</v>
          </cell>
        </row>
        <row r="428">
          <cell r="G428">
            <v>2.6504629629630072E-3</v>
          </cell>
        </row>
        <row r="429">
          <cell r="G429">
            <v>2.9513888888887951E-3</v>
          </cell>
        </row>
        <row r="430">
          <cell r="G430">
            <v>1.6956018518518579E-2</v>
          </cell>
        </row>
        <row r="431">
          <cell r="G431">
            <v>1.883101851851865E-2</v>
          </cell>
        </row>
        <row r="432">
          <cell r="G432">
            <v>1.5995370370370354E-2</v>
          </cell>
        </row>
        <row r="433">
          <cell r="G433">
            <v>1.7962962962962958E-2</v>
          </cell>
        </row>
        <row r="434">
          <cell r="G434">
            <v>2.0474537037037055E-2</v>
          </cell>
        </row>
        <row r="435">
          <cell r="G435">
            <v>2.126157407407403E-2</v>
          </cell>
        </row>
        <row r="436">
          <cell r="G436">
            <v>3.263888888888955E-3</v>
          </cell>
        </row>
        <row r="437">
          <cell r="G437">
            <v>2.7314814814814903E-2</v>
          </cell>
        </row>
        <row r="438">
          <cell r="G438">
            <v>1.8125000000000058E-2</v>
          </cell>
        </row>
        <row r="439">
          <cell r="G439">
            <v>1.1076388888888955E-2</v>
          </cell>
        </row>
        <row r="440">
          <cell r="G440">
            <v>1.1122685185185222E-2</v>
          </cell>
        </row>
        <row r="441">
          <cell r="G441">
            <v>1.1620370370370336E-2</v>
          </cell>
        </row>
        <row r="442">
          <cell r="G442">
            <v>2.9976851851851727E-3</v>
          </cell>
        </row>
        <row r="443">
          <cell r="G443">
            <v>7.1759259259259189E-3</v>
          </cell>
        </row>
        <row r="444">
          <cell r="G444">
            <v>9.6412037037036935E-3</v>
          </cell>
        </row>
        <row r="445">
          <cell r="G445">
            <v>1.3865740740740762E-2</v>
          </cell>
        </row>
        <row r="446">
          <cell r="G446">
            <v>9.8495370370370039E-3</v>
          </cell>
        </row>
        <row r="447">
          <cell r="G447">
            <v>8.7152777777778079E-3</v>
          </cell>
        </row>
        <row r="448">
          <cell r="G448">
            <v>8.8657407407407574E-3</v>
          </cell>
        </row>
        <row r="449">
          <cell r="G449">
            <v>8.1481481481481821E-3</v>
          </cell>
        </row>
        <row r="450">
          <cell r="G450">
            <v>8.9236111111110628E-3</v>
          </cell>
        </row>
        <row r="451">
          <cell r="G451">
            <v>7.3379629629629073E-3</v>
          </cell>
        </row>
        <row r="452">
          <cell r="G452">
            <v>4.0046296296296635E-3</v>
          </cell>
        </row>
        <row r="453">
          <cell r="G453">
            <v>3.133101851851855E-2</v>
          </cell>
        </row>
        <row r="454">
          <cell r="G454">
            <v>1.2870370370370365E-2</v>
          </cell>
        </row>
        <row r="455">
          <cell r="G455">
            <v>1.0347222222222174E-2</v>
          </cell>
        </row>
        <row r="456">
          <cell r="G456">
            <v>1.005787037037037E-2</v>
          </cell>
        </row>
        <row r="457">
          <cell r="G457">
            <v>8.4375000000000422E-3</v>
          </cell>
        </row>
        <row r="458">
          <cell r="G458">
            <v>1.4432870370370332E-2</v>
          </cell>
        </row>
        <row r="459">
          <cell r="G459">
            <v>1.1956018518518519E-2</v>
          </cell>
        </row>
        <row r="460">
          <cell r="G460">
            <v>1.1944444444444424E-2</v>
          </cell>
        </row>
        <row r="461">
          <cell r="G461">
            <v>3.1157407407407356E-2</v>
          </cell>
        </row>
        <row r="462">
          <cell r="G462">
            <v>3.5300925925925153E-3</v>
          </cell>
        </row>
        <row r="463">
          <cell r="G463">
            <v>1.3043981481481448E-2</v>
          </cell>
        </row>
        <row r="464">
          <cell r="G464">
            <v>1.6793981481481479E-2</v>
          </cell>
        </row>
        <row r="465">
          <cell r="G465">
            <v>2.1053240740740775E-2</v>
          </cell>
        </row>
        <row r="466">
          <cell r="G466">
            <v>2.2604166666666647E-2</v>
          </cell>
        </row>
        <row r="467">
          <cell r="G467">
            <v>2.9097222222222219E-2</v>
          </cell>
        </row>
        <row r="468">
          <cell r="G468">
            <v>2.6238425925925957E-2</v>
          </cell>
        </row>
        <row r="469">
          <cell r="G469">
            <v>8.8888888888889461E-3</v>
          </cell>
        </row>
        <row r="470">
          <cell r="G470">
            <v>2.4212962962962936E-2</v>
          </cell>
        </row>
        <row r="471">
          <cell r="G471">
            <v>2.2962962962962963E-2</v>
          </cell>
        </row>
        <row r="472">
          <cell r="G472">
            <v>4.4444444444444731E-3</v>
          </cell>
        </row>
        <row r="473">
          <cell r="G473">
            <v>6.331018518518583E-3</v>
          </cell>
        </row>
        <row r="474">
          <cell r="G474">
            <v>1.4733796296296342E-2</v>
          </cell>
        </row>
        <row r="475">
          <cell r="G475">
            <v>1.40393518518519E-2</v>
          </cell>
        </row>
        <row r="476">
          <cell r="G476">
            <v>1.2500000000000067E-2</v>
          </cell>
        </row>
        <row r="477">
          <cell r="G477">
            <v>1.2951388888889026E-2</v>
          </cell>
        </row>
        <row r="478">
          <cell r="G478">
            <v>3.4837962962962488E-3</v>
          </cell>
        </row>
        <row r="479">
          <cell r="G479">
            <v>9.4675925925925553E-3</v>
          </cell>
        </row>
        <row r="480">
          <cell r="G480">
            <v>2.1875000000000089E-3</v>
          </cell>
        </row>
        <row r="481">
          <cell r="G481">
            <v>8.7384259259258856E-3</v>
          </cell>
        </row>
        <row r="482">
          <cell r="G482">
            <v>3.7037037037036535E-3</v>
          </cell>
        </row>
        <row r="483">
          <cell r="G483">
            <v>1.9085648148148171E-2</v>
          </cell>
        </row>
        <row r="484">
          <cell r="G484">
            <v>4.3749999999999067E-3</v>
          </cell>
        </row>
        <row r="485">
          <cell r="G485">
            <v>1.7407407407407427E-2</v>
          </cell>
        </row>
        <row r="486">
          <cell r="G486">
            <v>1.0289351851851869E-2</v>
          </cell>
        </row>
        <row r="487">
          <cell r="G487">
            <v>9.7106481481481488E-3</v>
          </cell>
        </row>
        <row r="488">
          <cell r="G488">
            <v>2.17592592592597E-3</v>
          </cell>
        </row>
        <row r="489">
          <cell r="G489">
            <v>6.2152777777778612E-3</v>
          </cell>
        </row>
        <row r="490">
          <cell r="G490">
            <v>5.1967592592592204E-3</v>
          </cell>
        </row>
        <row r="491">
          <cell r="G491">
            <v>1.0740740740740717E-2</v>
          </cell>
        </row>
        <row r="492">
          <cell r="G492">
            <v>1.0243055555555602E-2</v>
          </cell>
        </row>
        <row r="493">
          <cell r="G493">
            <v>2.4884259259259078E-3</v>
          </cell>
        </row>
        <row r="494">
          <cell r="G494">
            <v>2.4421296296296413E-3</v>
          </cell>
        </row>
        <row r="495">
          <cell r="G495">
            <v>3.5879629629629317E-3</v>
          </cell>
        </row>
        <row r="496">
          <cell r="G496">
            <v>1.2569444444444411E-2</v>
          </cell>
        </row>
        <row r="497">
          <cell r="G497">
            <v>2.3032407407407307E-3</v>
          </cell>
        </row>
        <row r="498">
          <cell r="G498">
            <v>2.2337962962961644E-3</v>
          </cell>
        </row>
        <row r="499">
          <cell r="G499">
            <v>5.5092592592591583E-3</v>
          </cell>
        </row>
        <row r="500">
          <cell r="G500">
            <v>6.0069444444444953E-3</v>
          </cell>
        </row>
        <row r="501">
          <cell r="G501">
            <v>1.7453703703703694E-2</v>
          </cell>
        </row>
        <row r="502">
          <cell r="G502">
            <v>2.2222222222222365E-3</v>
          </cell>
        </row>
        <row r="503">
          <cell r="G503">
            <v>1.6435185185185164E-2</v>
          </cell>
        </row>
        <row r="504">
          <cell r="G504">
            <v>1.4131944444444433E-2</v>
          </cell>
        </row>
        <row r="505">
          <cell r="G505">
            <v>2.7569444444444313E-2</v>
          </cell>
        </row>
        <row r="506">
          <cell r="G506">
            <v>2.5462962962963021E-2</v>
          </cell>
        </row>
        <row r="507">
          <cell r="G507">
            <v>1.3321759259259158E-2</v>
          </cell>
        </row>
        <row r="508">
          <cell r="G508">
            <v>4.6990740740739945E-3</v>
          </cell>
        </row>
        <row r="509">
          <cell r="G509">
            <v>1.3807870370370345E-2</v>
          </cell>
        </row>
        <row r="510">
          <cell r="G510">
            <v>2.7546296296295791E-3</v>
          </cell>
        </row>
        <row r="511">
          <cell r="G511">
            <v>1.6030092592592582E-2</v>
          </cell>
        </row>
        <row r="512">
          <cell r="G512">
            <v>1.2916666666666687E-2</v>
          </cell>
        </row>
        <row r="513">
          <cell r="G513">
            <v>9.1203703703703898E-3</v>
          </cell>
        </row>
        <row r="514">
          <cell r="G514">
            <v>6.3541666666666607E-3</v>
          </cell>
        </row>
        <row r="515">
          <cell r="G515">
            <v>8.7384259259259411E-3</v>
          </cell>
        </row>
        <row r="516">
          <cell r="G516">
            <v>3.0208333333333059E-3</v>
          </cell>
        </row>
        <row r="517">
          <cell r="G517">
            <v>3.2407407407407107E-3</v>
          </cell>
        </row>
        <row r="518">
          <cell r="G518">
            <v>1.4814814814814836E-2</v>
          </cell>
        </row>
        <row r="519">
          <cell r="G519">
            <v>1.3414351851851913E-2</v>
          </cell>
        </row>
        <row r="520">
          <cell r="G520">
            <v>7.4189814814814015E-3</v>
          </cell>
        </row>
        <row r="521">
          <cell r="G521">
            <v>1.3564814814814863E-2</v>
          </cell>
        </row>
        <row r="522">
          <cell r="G522">
            <v>9.9189814814815147E-3</v>
          </cell>
        </row>
        <row r="523">
          <cell r="G523">
            <v>1.1041666666666672E-2</v>
          </cell>
        </row>
        <row r="524">
          <cell r="G524">
            <v>2.1527777777777257E-3</v>
          </cell>
        </row>
        <row r="525">
          <cell r="G525">
            <v>1.3148148148148131E-2</v>
          </cell>
        </row>
        <row r="526">
          <cell r="G526">
            <v>1.4594907407407376E-2</v>
          </cell>
        </row>
        <row r="527">
          <cell r="G527">
            <v>1.3194444444444509E-2</v>
          </cell>
        </row>
        <row r="528">
          <cell r="G528">
            <v>1.8425925925925957E-2</v>
          </cell>
        </row>
        <row r="529">
          <cell r="G529">
            <v>1.1527777777777692E-2</v>
          </cell>
        </row>
        <row r="530">
          <cell r="G530">
            <v>1.0752314814814867E-2</v>
          </cell>
        </row>
        <row r="531">
          <cell r="G531">
            <v>1.1840277777777741E-2</v>
          </cell>
        </row>
        <row r="532">
          <cell r="G532">
            <v>1.0648148148148184E-2</v>
          </cell>
        </row>
        <row r="533">
          <cell r="G533">
            <v>8.4374999999999867E-3</v>
          </cell>
        </row>
        <row r="534">
          <cell r="G534">
            <v>1.1597222222222259E-2</v>
          </cell>
        </row>
        <row r="535">
          <cell r="G535">
            <v>1.1157407407407338E-2</v>
          </cell>
        </row>
        <row r="536">
          <cell r="G536">
            <v>1.4629629629629659E-2</v>
          </cell>
        </row>
        <row r="537">
          <cell r="G537">
            <v>1.1805555555555514E-2</v>
          </cell>
        </row>
        <row r="538">
          <cell r="G538">
            <v>8.7152777777776969E-3</v>
          </cell>
        </row>
        <row r="539">
          <cell r="G539">
            <v>2.17592592592597E-3</v>
          </cell>
        </row>
        <row r="540">
          <cell r="G540">
            <v>2.372685185185297E-3</v>
          </cell>
        </row>
        <row r="541">
          <cell r="G541">
            <v>5.0231481481480822E-3</v>
          </cell>
        </row>
        <row r="542">
          <cell r="G542">
            <v>1.0914351851851856E-2</v>
          </cell>
        </row>
        <row r="543">
          <cell r="G543">
            <v>1.1909722222222197E-2</v>
          </cell>
        </row>
        <row r="544">
          <cell r="G544">
            <v>9.3865740740739501E-3</v>
          </cell>
        </row>
        <row r="545">
          <cell r="G545">
            <v>2.8935185185184897E-3</v>
          </cell>
        </row>
        <row r="546">
          <cell r="G546">
            <v>1.2962962962963065E-2</v>
          </cell>
        </row>
        <row r="547">
          <cell r="G547">
            <v>2.17592592592597E-3</v>
          </cell>
        </row>
        <row r="548">
          <cell r="G548">
            <v>2.17592592592597E-3</v>
          </cell>
        </row>
        <row r="549">
          <cell r="G549">
            <v>1.2569444444444411E-2</v>
          </cell>
        </row>
        <row r="550">
          <cell r="G550">
            <v>1.5312499999999951E-2</v>
          </cell>
        </row>
        <row r="551">
          <cell r="G551">
            <v>1.4398148148148215E-2</v>
          </cell>
        </row>
        <row r="552">
          <cell r="G552">
            <v>2.1527777777776702E-3</v>
          </cell>
        </row>
        <row r="553">
          <cell r="G553">
            <v>1.4120370370370394E-2</v>
          </cell>
        </row>
        <row r="554">
          <cell r="G554">
            <v>2.673611111111085E-3</v>
          </cell>
        </row>
        <row r="555">
          <cell r="G555">
            <v>1.2638888888888866E-2</v>
          </cell>
        </row>
        <row r="556">
          <cell r="G556">
            <v>1.4918981481481519E-2</v>
          </cell>
        </row>
        <row r="557">
          <cell r="G557">
            <v>2.1064814814815147E-3</v>
          </cell>
        </row>
        <row r="558">
          <cell r="G558">
            <v>1.736111111111116E-2</v>
          </cell>
        </row>
        <row r="559">
          <cell r="G559">
            <v>1.7175925925925983E-2</v>
          </cell>
        </row>
        <row r="560">
          <cell r="G560">
            <v>5.9027777777777013E-3</v>
          </cell>
        </row>
        <row r="561">
          <cell r="G561">
            <v>3.5995370370370261E-3</v>
          </cell>
        </row>
        <row r="562">
          <cell r="G562">
            <v>3.1354166666666683E-2</v>
          </cell>
        </row>
        <row r="563">
          <cell r="G563">
            <v>2.1990740740740478E-3</v>
          </cell>
        </row>
        <row r="564">
          <cell r="G564">
            <v>1.3726851851851851E-2</v>
          </cell>
        </row>
        <row r="565">
          <cell r="G565">
            <v>1.3182870370370359E-2</v>
          </cell>
        </row>
        <row r="566">
          <cell r="G566">
            <v>1.5358796296296273E-2</v>
          </cell>
        </row>
        <row r="567">
          <cell r="G567">
            <v>5.5555555555556468E-3</v>
          </cell>
        </row>
        <row r="568">
          <cell r="G568">
            <v>4.8726851851852437E-3</v>
          </cell>
        </row>
        <row r="569">
          <cell r="G569">
            <v>2.1412037037036868E-3</v>
          </cell>
        </row>
        <row r="570">
          <cell r="G570">
            <v>2.5000000000000022E-3</v>
          </cell>
        </row>
        <row r="571">
          <cell r="G571">
            <v>1.8981481481481488E-3</v>
          </cell>
        </row>
        <row r="572">
          <cell r="G572">
            <v>1.1527777777777803E-2</v>
          </cell>
        </row>
        <row r="573">
          <cell r="G573">
            <v>1.1759259259259247E-2</v>
          </cell>
        </row>
        <row r="574">
          <cell r="G574">
            <v>1.2303240740740684E-2</v>
          </cell>
        </row>
        <row r="575">
          <cell r="G575">
            <v>6.9791666666667029E-3</v>
          </cell>
        </row>
        <row r="576">
          <cell r="G576">
            <v>9.7337962962962821E-3</v>
          </cell>
        </row>
        <row r="577">
          <cell r="G577">
            <v>1.0601851851851862E-2</v>
          </cell>
        </row>
        <row r="578">
          <cell r="G578">
            <v>7.8935185185184942E-3</v>
          </cell>
        </row>
        <row r="579">
          <cell r="G579">
            <v>3.9467592592593026E-3</v>
          </cell>
        </row>
        <row r="580">
          <cell r="G580">
            <v>1.2303240740740629E-2</v>
          </cell>
        </row>
        <row r="581">
          <cell r="G581">
            <v>2.7777777777777679E-3</v>
          </cell>
        </row>
        <row r="582">
          <cell r="G582">
            <v>1.4537037037037015E-2</v>
          </cell>
        </row>
        <row r="583">
          <cell r="G583">
            <v>5.6250000000001021E-3</v>
          </cell>
        </row>
        <row r="584">
          <cell r="G584">
            <v>1.1365740740740704E-2</v>
          </cell>
        </row>
        <row r="585">
          <cell r="G585">
            <v>1.7650462962963021E-2</v>
          </cell>
        </row>
        <row r="586">
          <cell r="G586">
            <v>1.1053240740740766E-2</v>
          </cell>
        </row>
        <row r="587">
          <cell r="G587">
            <v>4.5949074074073115E-3</v>
          </cell>
        </row>
        <row r="588">
          <cell r="G588">
            <v>3.8773148148149028E-3</v>
          </cell>
        </row>
        <row r="589">
          <cell r="G589">
            <v>7.3379629629629628E-3</v>
          </cell>
        </row>
        <row r="590">
          <cell r="G590">
            <v>5.0925925925925375E-3</v>
          </cell>
        </row>
        <row r="591">
          <cell r="G591">
            <v>9.3958333333333477E-2</v>
          </cell>
        </row>
        <row r="592">
          <cell r="G592">
            <v>3.1365740740740833E-3</v>
          </cell>
        </row>
        <row r="593">
          <cell r="G593">
            <v>6.921296296296342E-3</v>
          </cell>
        </row>
        <row r="594">
          <cell r="G594">
            <v>7.5000000000000622E-3</v>
          </cell>
        </row>
        <row r="595">
          <cell r="G595">
            <v>1.1990740740740802E-2</v>
          </cell>
        </row>
        <row r="596">
          <cell r="G596">
            <v>2.1643518518519311E-3</v>
          </cell>
        </row>
        <row r="597">
          <cell r="G597">
            <v>2.1527777777777812E-3</v>
          </cell>
        </row>
        <row r="598">
          <cell r="G598">
            <v>7.8009259259259611E-3</v>
          </cell>
        </row>
        <row r="599">
          <cell r="G599">
            <v>6.2268518518519E-3</v>
          </cell>
        </row>
        <row r="600">
          <cell r="G600">
            <v>7.2685185185185075E-3</v>
          </cell>
        </row>
        <row r="601">
          <cell r="G601">
            <v>7.7083333333334281E-3</v>
          </cell>
        </row>
        <row r="602">
          <cell r="G602">
            <v>9.6990740740739989E-3</v>
          </cell>
        </row>
        <row r="603">
          <cell r="G603">
            <v>2.3402777777777772E-2</v>
          </cell>
        </row>
        <row r="604">
          <cell r="G604">
            <v>2.17592592592597E-3</v>
          </cell>
        </row>
        <row r="605">
          <cell r="G605">
            <v>6.8865740740741144E-3</v>
          </cell>
        </row>
        <row r="606">
          <cell r="G606">
            <v>3.067129629629628E-3</v>
          </cell>
        </row>
        <row r="607">
          <cell r="G607">
            <v>3.4259259259258323E-3</v>
          </cell>
        </row>
        <row r="608">
          <cell r="G608">
            <v>2.9861111111111338E-3</v>
          </cell>
        </row>
        <row r="609">
          <cell r="G609">
            <v>3.0393518518518459E-2</v>
          </cell>
        </row>
        <row r="610">
          <cell r="G610">
            <v>2.1064814814816257E-3</v>
          </cell>
        </row>
        <row r="611">
          <cell r="G611">
            <v>4.7222222222221832E-3</v>
          </cell>
        </row>
        <row r="612">
          <cell r="G612">
            <v>2.4884259259260189E-3</v>
          </cell>
        </row>
        <row r="613">
          <cell r="G613">
            <v>2.4537037037037357E-3</v>
          </cell>
        </row>
        <row r="614">
          <cell r="G614">
            <v>6.1226851851851616E-3</v>
          </cell>
        </row>
        <row r="615">
          <cell r="G615">
            <v>5.1273148148148207E-3</v>
          </cell>
        </row>
        <row r="616">
          <cell r="G616">
            <v>4.0509259259259855E-3</v>
          </cell>
        </row>
        <row r="617">
          <cell r="G617">
            <v>1.4050925925925883E-2</v>
          </cell>
        </row>
        <row r="618">
          <cell r="G618">
            <v>7.4421296296296457E-3</v>
          </cell>
        </row>
        <row r="619">
          <cell r="G619">
            <v>1.2094907407407429E-2</v>
          </cell>
        </row>
        <row r="620">
          <cell r="G620">
            <v>3.2407407407407107E-3</v>
          </cell>
        </row>
        <row r="621">
          <cell r="G621">
            <v>2.6851851851851793E-3</v>
          </cell>
        </row>
        <row r="622">
          <cell r="G622">
            <v>1.3506944444444446E-2</v>
          </cell>
        </row>
        <row r="623">
          <cell r="G623">
            <v>2.1493055555555585E-2</v>
          </cell>
        </row>
        <row r="624">
          <cell r="G624">
            <v>2.9282407407407174E-3</v>
          </cell>
        </row>
        <row r="625">
          <cell r="G625">
            <v>7.8125000000000555E-3</v>
          </cell>
        </row>
        <row r="626">
          <cell r="G626">
            <v>1.5219907407407418E-2</v>
          </cell>
        </row>
        <row r="627">
          <cell r="G627">
            <v>2.9166666666666785E-3</v>
          </cell>
        </row>
        <row r="628">
          <cell r="G628">
            <v>1.4409722222222254E-2</v>
          </cell>
        </row>
        <row r="629">
          <cell r="G629">
            <v>1.504629629629628E-2</v>
          </cell>
        </row>
        <row r="630">
          <cell r="G630">
            <v>2.0000000000000018E-2</v>
          </cell>
        </row>
        <row r="631">
          <cell r="G631">
            <v>1.7048611111111112E-2</v>
          </cell>
        </row>
        <row r="632">
          <cell r="G632">
            <v>1.4953703703703747E-2</v>
          </cell>
        </row>
        <row r="633">
          <cell r="G633">
            <v>1.0289351851851869E-2</v>
          </cell>
        </row>
        <row r="634">
          <cell r="G634">
            <v>1.3344907407407347E-2</v>
          </cell>
        </row>
        <row r="635">
          <cell r="G635">
            <v>9.2129629629629228E-3</v>
          </cell>
        </row>
        <row r="636">
          <cell r="G636">
            <v>1.0277777777777719E-2</v>
          </cell>
        </row>
        <row r="637">
          <cell r="G637">
            <v>1.4224537037037077E-2</v>
          </cell>
        </row>
        <row r="638">
          <cell r="G638">
            <v>4.7685185185184498E-3</v>
          </cell>
        </row>
        <row r="639">
          <cell r="G639">
            <v>1.4120370370370283E-2</v>
          </cell>
        </row>
        <row r="640">
          <cell r="G640">
            <v>1.1388888888888893E-2</v>
          </cell>
        </row>
        <row r="641">
          <cell r="G641">
            <v>1.7662037037037059E-2</v>
          </cell>
        </row>
        <row r="642">
          <cell r="G642">
            <v>1.1226851851851904E-2</v>
          </cell>
        </row>
        <row r="643">
          <cell r="G643">
            <v>1.5289351851851984E-2</v>
          </cell>
        </row>
        <row r="644">
          <cell r="G644">
            <v>1.3090277777777715E-2</v>
          </cell>
        </row>
        <row r="645">
          <cell r="G645">
            <v>2.1041666666666625E-2</v>
          </cell>
        </row>
        <row r="646">
          <cell r="G646">
            <v>1.1828703703703702E-2</v>
          </cell>
        </row>
        <row r="647">
          <cell r="G647">
            <v>3.11342592592595E-3</v>
          </cell>
        </row>
        <row r="648">
          <cell r="G648">
            <v>2.5925925925926463E-3</v>
          </cell>
        </row>
        <row r="649">
          <cell r="G649">
            <v>3.3796296296296768E-3</v>
          </cell>
        </row>
        <row r="650">
          <cell r="G650">
            <v>2.4768518518517579E-3</v>
          </cell>
        </row>
        <row r="651">
          <cell r="G651">
            <v>1.5798611111111138E-2</v>
          </cell>
        </row>
        <row r="652">
          <cell r="G652">
            <v>1.2569444444444466E-2</v>
          </cell>
        </row>
        <row r="653">
          <cell r="G653">
            <v>2.2453703703703698E-3</v>
          </cell>
        </row>
        <row r="654">
          <cell r="G654">
            <v>6.7129629629628651E-3</v>
          </cell>
        </row>
        <row r="655">
          <cell r="G655">
            <v>9.3055555555556224E-3</v>
          </cell>
        </row>
        <row r="656">
          <cell r="G656">
            <v>9.3402777777777946E-3</v>
          </cell>
        </row>
        <row r="657">
          <cell r="G657">
            <v>9.791666666666643E-3</v>
          </cell>
        </row>
        <row r="658">
          <cell r="G658">
            <v>6.0069444444444953E-3</v>
          </cell>
        </row>
        <row r="659">
          <cell r="G659">
            <v>7.0486111111111582E-3</v>
          </cell>
        </row>
        <row r="660">
          <cell r="G660">
            <v>6.0416666666666674E-3</v>
          </cell>
        </row>
        <row r="661">
          <cell r="G661">
            <v>8.356481481481548E-3</v>
          </cell>
        </row>
        <row r="662">
          <cell r="G662">
            <v>1.0567129629629635E-2</v>
          </cell>
        </row>
        <row r="663">
          <cell r="G663">
            <v>3.2986111111110716E-3</v>
          </cell>
        </row>
        <row r="664">
          <cell r="G664">
            <v>9.1666666666666008E-3</v>
          </cell>
        </row>
        <row r="665">
          <cell r="G665">
            <v>1.3032407407407465E-2</v>
          </cell>
        </row>
        <row r="666">
          <cell r="G666">
            <v>9.5370370370370106E-3</v>
          </cell>
        </row>
        <row r="667">
          <cell r="G667">
            <v>4.6180555555555558E-3</v>
          </cell>
        </row>
        <row r="668">
          <cell r="G668">
            <v>4.4212962962963398E-3</v>
          </cell>
        </row>
        <row r="669">
          <cell r="G669">
            <v>8.4374999999999867E-3</v>
          </cell>
        </row>
        <row r="670">
          <cell r="G670">
            <v>2.8472222222222232E-3</v>
          </cell>
        </row>
        <row r="671">
          <cell r="G671">
            <v>5.1157407407407263E-3</v>
          </cell>
        </row>
        <row r="672">
          <cell r="G672">
            <v>2.1226851851851802E-2</v>
          </cell>
        </row>
        <row r="673">
          <cell r="G673">
            <v>3.5416666666665542E-3</v>
          </cell>
        </row>
        <row r="674">
          <cell r="G674">
            <v>1.9479166666666714E-2</v>
          </cell>
        </row>
        <row r="675">
          <cell r="G675">
            <v>2.5474537037036948E-2</v>
          </cell>
        </row>
        <row r="676">
          <cell r="G676">
            <v>1.7719907407407476E-2</v>
          </cell>
        </row>
        <row r="677">
          <cell r="G677">
            <v>5.7986111111111294E-3</v>
          </cell>
        </row>
        <row r="678">
          <cell r="G678">
            <v>1.447916666666671E-2</v>
          </cell>
        </row>
        <row r="679">
          <cell r="G679">
            <v>1.4259259259259305E-2</v>
          </cell>
        </row>
        <row r="680">
          <cell r="G680">
            <v>1.1261574074074021E-2</v>
          </cell>
        </row>
        <row r="681">
          <cell r="G681">
            <v>9.5717592592592382E-3</v>
          </cell>
        </row>
        <row r="682">
          <cell r="G682">
            <v>9.3865740740739501E-3</v>
          </cell>
        </row>
        <row r="683">
          <cell r="G683">
            <v>1.3263888888888853E-2</v>
          </cell>
        </row>
        <row r="684">
          <cell r="G684">
            <v>1.0219907407407414E-2</v>
          </cell>
        </row>
        <row r="685">
          <cell r="G685">
            <v>2.9745370370369839E-3</v>
          </cell>
        </row>
        <row r="686">
          <cell r="G686">
            <v>2.5231481481482465E-3</v>
          </cell>
        </row>
        <row r="687">
          <cell r="G687">
            <v>1.3842592592592573E-2</v>
          </cell>
        </row>
        <row r="688">
          <cell r="G688">
            <v>1.620370370370372E-2</v>
          </cell>
        </row>
        <row r="689">
          <cell r="G689">
            <v>1.9537037037036908E-2</v>
          </cell>
        </row>
        <row r="690">
          <cell r="G690">
            <v>1.2974537037037104E-2</v>
          </cell>
        </row>
        <row r="691">
          <cell r="G691">
            <v>1.0671296296296262E-2</v>
          </cell>
        </row>
        <row r="692">
          <cell r="G692">
            <v>1.201388888888888E-2</v>
          </cell>
        </row>
        <row r="693">
          <cell r="G693">
            <v>3.9930555555555136E-3</v>
          </cell>
        </row>
        <row r="694">
          <cell r="G694">
            <v>2.4074074074074137E-3</v>
          </cell>
        </row>
        <row r="695">
          <cell r="G695">
            <v>1.0081018518518392E-2</v>
          </cell>
        </row>
        <row r="696">
          <cell r="G696">
            <v>2.4537037037035692E-3</v>
          </cell>
        </row>
        <row r="697">
          <cell r="G697">
            <v>7.2337962962962798E-3</v>
          </cell>
        </row>
        <row r="698">
          <cell r="G698">
            <v>1.4733796296296231E-2</v>
          </cell>
        </row>
        <row r="699">
          <cell r="G699">
            <v>1.7349537037037122E-2</v>
          </cell>
        </row>
        <row r="700">
          <cell r="G700">
            <v>2.3483796296296378E-2</v>
          </cell>
        </row>
        <row r="701">
          <cell r="G701">
            <v>2.7199074074075735E-3</v>
          </cell>
        </row>
        <row r="702">
          <cell r="G702">
            <v>2.0231481481481572E-2</v>
          </cell>
        </row>
        <row r="703">
          <cell r="G703">
            <v>1.1296296296296249E-2</v>
          </cell>
        </row>
        <row r="704">
          <cell r="G704">
            <v>6.6203703703704431E-3</v>
          </cell>
        </row>
        <row r="705">
          <cell r="G705">
            <v>1.5023148148148091E-2</v>
          </cell>
        </row>
        <row r="706">
          <cell r="G706">
            <v>3.3217592592591494E-3</v>
          </cell>
        </row>
        <row r="707">
          <cell r="G707">
            <v>5.0347222222222321E-3</v>
          </cell>
        </row>
        <row r="708">
          <cell r="G708">
            <v>1.3831018518518534E-2</v>
          </cell>
        </row>
        <row r="709">
          <cell r="G709">
            <v>1.2627314814814827E-2</v>
          </cell>
        </row>
        <row r="710">
          <cell r="G710">
            <v>5.7060185185185408E-3</v>
          </cell>
        </row>
        <row r="711">
          <cell r="G711">
            <v>1.7824074074074825E-3</v>
          </cell>
        </row>
        <row r="712">
          <cell r="G712">
            <v>1.3622685185185224E-2</v>
          </cell>
        </row>
        <row r="713">
          <cell r="G713">
            <v>1.1921296296296291E-2</v>
          </cell>
        </row>
        <row r="714">
          <cell r="G714">
            <v>2.5000000000000022E-3</v>
          </cell>
        </row>
        <row r="715">
          <cell r="G715">
            <v>8.8078703703703964E-3</v>
          </cell>
        </row>
        <row r="716">
          <cell r="G716">
            <v>9.8726851851851927E-3</v>
          </cell>
        </row>
        <row r="717">
          <cell r="G717">
            <v>8.74999999999998E-3</v>
          </cell>
        </row>
        <row r="718">
          <cell r="G718">
            <v>2.1793981481481539E-2</v>
          </cell>
        </row>
        <row r="719">
          <cell r="G719">
            <v>5.4976851851851749E-3</v>
          </cell>
        </row>
        <row r="720">
          <cell r="G720">
            <v>1.5474537037037051E-2</v>
          </cell>
        </row>
        <row r="721">
          <cell r="G721">
            <v>1.4849537037037119E-2</v>
          </cell>
        </row>
        <row r="722">
          <cell r="G722">
            <v>1.4016203703703711E-2</v>
          </cell>
        </row>
        <row r="723">
          <cell r="G723">
            <v>2.0370370370369484E-3</v>
          </cell>
        </row>
        <row r="724">
          <cell r="G724">
            <v>1.0925925925925895E-2</v>
          </cell>
        </row>
        <row r="725">
          <cell r="G725">
            <v>1.5092592592592546E-2</v>
          </cell>
        </row>
        <row r="726">
          <cell r="G726">
            <v>1.3923611111111067E-2</v>
          </cell>
        </row>
        <row r="727">
          <cell r="G727">
            <v>2.0254629629630205E-3</v>
          </cell>
        </row>
        <row r="728">
          <cell r="G728">
            <v>1.7939814814814103E-3</v>
          </cell>
        </row>
        <row r="729">
          <cell r="G729">
            <v>1.4155092592592566E-2</v>
          </cell>
        </row>
        <row r="730">
          <cell r="G730">
            <v>2.0601851851851927E-3</v>
          </cell>
        </row>
        <row r="731">
          <cell r="G731">
            <v>1.6006944444444504E-2</v>
          </cell>
        </row>
        <row r="732">
          <cell r="G732">
            <v>7.2337962962962798E-3</v>
          </cell>
        </row>
        <row r="733">
          <cell r="G733">
            <v>4.2708333333332238E-3</v>
          </cell>
        </row>
        <row r="734">
          <cell r="G734">
            <v>2.0370370370370594E-3</v>
          </cell>
        </row>
        <row r="735">
          <cell r="G735">
            <v>4.0393518518518912E-3</v>
          </cell>
        </row>
        <row r="736">
          <cell r="G736">
            <v>1.2905092592592649E-2</v>
          </cell>
        </row>
        <row r="737">
          <cell r="G737">
            <v>2.0486111111110983E-3</v>
          </cell>
        </row>
        <row r="738">
          <cell r="G738">
            <v>2.0370370370370594E-3</v>
          </cell>
        </row>
        <row r="739">
          <cell r="G739">
            <v>1.3252314814814814E-2</v>
          </cell>
        </row>
        <row r="740">
          <cell r="G740">
            <v>2.1643518518518201E-3</v>
          </cell>
        </row>
        <row r="741">
          <cell r="G741">
            <v>3.3796296296296768E-3</v>
          </cell>
        </row>
        <row r="742">
          <cell r="G742">
            <v>1.0648148148148073E-2</v>
          </cell>
        </row>
        <row r="743">
          <cell r="G743">
            <v>1.055555555555554E-2</v>
          </cell>
        </row>
        <row r="744">
          <cell r="G744">
            <v>7.5578703703703676E-3</v>
          </cell>
        </row>
        <row r="745">
          <cell r="G745">
            <v>7.5578703703702566E-3</v>
          </cell>
        </row>
        <row r="746">
          <cell r="G746">
            <v>2.8587962962963731E-3</v>
          </cell>
        </row>
        <row r="747">
          <cell r="G747">
            <v>2.0486111111110983E-3</v>
          </cell>
        </row>
        <row r="748">
          <cell r="G748">
            <v>8.3680555555555314E-3</v>
          </cell>
        </row>
        <row r="749">
          <cell r="G749">
            <v>9.490740740740744E-3</v>
          </cell>
        </row>
        <row r="750">
          <cell r="G750">
            <v>9.2824074074073781E-3</v>
          </cell>
        </row>
        <row r="751">
          <cell r="G751">
            <v>1.0486111111111085E-2</v>
          </cell>
        </row>
        <row r="752">
          <cell r="G752">
            <v>1.3067129629629637E-2</v>
          </cell>
        </row>
        <row r="753">
          <cell r="G753">
            <v>1.9108796296296249E-2</v>
          </cell>
        </row>
        <row r="754">
          <cell r="G754">
            <v>1.678240740740744E-2</v>
          </cell>
        </row>
        <row r="755">
          <cell r="G755">
            <v>1.2372685185185306E-2</v>
          </cell>
        </row>
        <row r="756">
          <cell r="G756">
            <v>1.4907407407407369E-2</v>
          </cell>
        </row>
        <row r="757">
          <cell r="G757">
            <v>1.7164351851851833E-2</v>
          </cell>
        </row>
        <row r="758">
          <cell r="G758">
            <v>1.3321759259259269E-2</v>
          </cell>
        </row>
        <row r="759">
          <cell r="G759">
            <v>1.649305555555558E-2</v>
          </cell>
        </row>
        <row r="760">
          <cell r="G760">
            <v>3.4374999999999822E-3</v>
          </cell>
        </row>
        <row r="761">
          <cell r="G761">
            <v>1.490740740740748E-2</v>
          </cell>
        </row>
        <row r="762">
          <cell r="G762">
            <v>1.2384259259259345E-2</v>
          </cell>
        </row>
        <row r="763">
          <cell r="G763">
            <v>4.5023148148148895E-3</v>
          </cell>
        </row>
        <row r="764">
          <cell r="G764">
            <v>2.2511574074074003E-2</v>
          </cell>
        </row>
        <row r="765">
          <cell r="G765">
            <v>6.5972222222222543E-3</v>
          </cell>
        </row>
        <row r="766">
          <cell r="G766">
            <v>1.5277777777777724E-2</v>
          </cell>
        </row>
        <row r="767">
          <cell r="G767">
            <v>2.2453703703705363E-3</v>
          </cell>
        </row>
        <row r="768">
          <cell r="G768">
            <v>9.8263888888888706E-3</v>
          </cell>
        </row>
        <row r="769">
          <cell r="G769">
            <v>1.0601851851851918E-2</v>
          </cell>
        </row>
        <row r="770">
          <cell r="G770">
            <v>8.4375000000000977E-3</v>
          </cell>
        </row>
        <row r="771">
          <cell r="G771">
            <v>3.7499999999999201E-3</v>
          </cell>
        </row>
        <row r="772">
          <cell r="G772">
            <v>1.6354166666666559E-2</v>
          </cell>
        </row>
        <row r="773">
          <cell r="G773">
            <v>1.4675925925925926E-2</v>
          </cell>
        </row>
        <row r="774">
          <cell r="G774">
            <v>2.476851851851869E-3</v>
          </cell>
        </row>
        <row r="775">
          <cell r="G775">
            <v>3.0497685185185142E-2</v>
          </cell>
        </row>
        <row r="776">
          <cell r="G776">
            <v>1.7534722222222188E-2</v>
          </cell>
        </row>
        <row r="777">
          <cell r="G777">
            <v>2.4074074074074137E-3</v>
          </cell>
        </row>
        <row r="778">
          <cell r="G778">
            <v>7.2916666666666408E-3</v>
          </cell>
        </row>
        <row r="779">
          <cell r="G779">
            <v>1.3414351851851802E-2</v>
          </cell>
        </row>
        <row r="780">
          <cell r="G780">
            <v>1.0486111111111085E-2</v>
          </cell>
        </row>
        <row r="781">
          <cell r="G781">
            <v>3.2638888888888995E-3</v>
          </cell>
        </row>
        <row r="782">
          <cell r="G782">
            <v>2.8472222222222232E-3</v>
          </cell>
        </row>
        <row r="783">
          <cell r="G783">
            <v>1.8252314814814818E-2</v>
          </cell>
        </row>
        <row r="784">
          <cell r="G784">
            <v>9.9537037037036868E-3</v>
          </cell>
        </row>
        <row r="785">
          <cell r="G785">
            <v>9.9537037037036868E-3</v>
          </cell>
        </row>
        <row r="786">
          <cell r="G786">
            <v>2.0023148148148318E-3</v>
          </cell>
        </row>
        <row r="787">
          <cell r="G787">
            <v>9.6180555555555602E-3</v>
          </cell>
        </row>
        <row r="788">
          <cell r="G788">
            <v>3.2986111111111827E-3</v>
          </cell>
        </row>
        <row r="789">
          <cell r="G789">
            <v>5.9027777777778123E-3</v>
          </cell>
        </row>
        <row r="790">
          <cell r="G790">
            <v>4.5601851851851949E-3</v>
          </cell>
        </row>
        <row r="791">
          <cell r="G791">
            <v>4.0046296296296635E-3</v>
          </cell>
        </row>
        <row r="792">
          <cell r="G792">
            <v>4.0509259259259855E-3</v>
          </cell>
        </row>
        <row r="793">
          <cell r="G793">
            <v>8.356481481481437E-3</v>
          </cell>
        </row>
        <row r="794">
          <cell r="G794">
            <v>3.8773148148147918E-3</v>
          </cell>
        </row>
        <row r="795">
          <cell r="G795">
            <v>1.0405092592592535E-2</v>
          </cell>
        </row>
        <row r="796">
          <cell r="G796">
            <v>8.6921296296296191E-3</v>
          </cell>
        </row>
        <row r="797">
          <cell r="G797">
            <v>1.3287037037037042E-2</v>
          </cell>
        </row>
        <row r="798">
          <cell r="G798">
            <v>2.1539351851851796E-2</v>
          </cell>
        </row>
        <row r="799">
          <cell r="G799">
            <v>1.7060185185185206E-2</v>
          </cell>
        </row>
        <row r="800">
          <cell r="G800">
            <v>1.5844907407407349E-2</v>
          </cell>
        </row>
        <row r="801">
          <cell r="G801">
            <v>1.4224537037037077E-2</v>
          </cell>
        </row>
        <row r="802">
          <cell r="G802">
            <v>5.9374999999999289E-3</v>
          </cell>
        </row>
        <row r="803">
          <cell r="G803">
            <v>1.5300925925925912E-2</v>
          </cell>
        </row>
        <row r="804">
          <cell r="G804">
            <v>1.1481481481481426E-2</v>
          </cell>
        </row>
        <row r="805">
          <cell r="G805">
            <v>4.5833333333333837E-3</v>
          </cell>
        </row>
        <row r="806">
          <cell r="G806">
            <v>2.766203703703729E-3</v>
          </cell>
        </row>
        <row r="807">
          <cell r="G807">
            <v>7.0138888888888751E-3</v>
          </cell>
        </row>
        <row r="808">
          <cell r="G808">
            <v>9.3749999999999112E-3</v>
          </cell>
        </row>
        <row r="809">
          <cell r="G809">
            <v>4.5370370370370061E-3</v>
          </cell>
        </row>
        <row r="810">
          <cell r="G810">
            <v>9.2708333333333393E-3</v>
          </cell>
        </row>
        <row r="811">
          <cell r="G811">
            <v>3.9236111111110583E-3</v>
          </cell>
        </row>
        <row r="812">
          <cell r="G812">
            <v>3.3217592592593714E-3</v>
          </cell>
        </row>
        <row r="813">
          <cell r="G813">
            <v>1.1898148148148158E-2</v>
          </cell>
        </row>
        <row r="814">
          <cell r="G814">
            <v>1.0486111111111196E-2</v>
          </cell>
        </row>
        <row r="815">
          <cell r="G815">
            <v>1.0671296296296262E-2</v>
          </cell>
        </row>
        <row r="816">
          <cell r="G816">
            <v>8.3912037037036091E-3</v>
          </cell>
        </row>
        <row r="817">
          <cell r="G817">
            <v>9.3981481481481E-3</v>
          </cell>
        </row>
        <row r="818">
          <cell r="G818">
            <v>2.0601851851853592E-3</v>
          </cell>
        </row>
        <row r="819">
          <cell r="G819">
            <v>1.3402777777777763E-2</v>
          </cell>
        </row>
        <row r="820">
          <cell r="G820">
            <v>9.5486111111110494E-3</v>
          </cell>
        </row>
        <row r="821">
          <cell r="G821">
            <v>9.6643518518517713E-3</v>
          </cell>
        </row>
        <row r="822">
          <cell r="G822">
            <v>1.0162037037036997E-2</v>
          </cell>
        </row>
        <row r="823">
          <cell r="G823">
            <v>1.0115740740740731E-2</v>
          </cell>
        </row>
        <row r="824">
          <cell r="G824">
            <v>1.7395833333333277E-2</v>
          </cell>
        </row>
        <row r="825">
          <cell r="G825">
            <v>1.4143518518518583E-2</v>
          </cell>
        </row>
        <row r="826">
          <cell r="G826">
            <v>1.1157407407407338E-2</v>
          </cell>
        </row>
        <row r="827">
          <cell r="G827">
            <v>1.0590277777777768E-2</v>
          </cell>
        </row>
        <row r="828">
          <cell r="G828">
            <v>6.2500000000000888E-3</v>
          </cell>
        </row>
        <row r="829">
          <cell r="G829">
            <v>1.4270833333333344E-2</v>
          </cell>
        </row>
        <row r="830">
          <cell r="G830">
            <v>1.1273148148148171E-2</v>
          </cell>
        </row>
        <row r="831">
          <cell r="G831">
            <v>1.1967592592592613E-2</v>
          </cell>
        </row>
        <row r="832">
          <cell r="G832">
            <v>8.6458333333333526E-3</v>
          </cell>
        </row>
        <row r="833">
          <cell r="G833">
            <v>3.4490740740741321E-3</v>
          </cell>
        </row>
        <row r="834">
          <cell r="G834">
            <v>2.8819444444443398E-3</v>
          </cell>
        </row>
        <row r="835">
          <cell r="G835">
            <v>2.3263888888890305E-3</v>
          </cell>
        </row>
        <row r="836">
          <cell r="G836">
            <v>2.6354166666666679E-2</v>
          </cell>
        </row>
        <row r="837">
          <cell r="G837">
            <v>1.9444444444444153E-3</v>
          </cell>
        </row>
        <row r="838">
          <cell r="G838">
            <v>2.0844907407407354E-2</v>
          </cell>
        </row>
        <row r="839">
          <cell r="G839">
            <v>2.0162037037037006E-2</v>
          </cell>
        </row>
        <row r="840">
          <cell r="G840">
            <v>8.2986111111111316E-3</v>
          </cell>
        </row>
        <row r="841">
          <cell r="G841">
            <v>3.9351851851852082E-3</v>
          </cell>
        </row>
        <row r="842">
          <cell r="G842">
            <v>1.7731481481481515E-2</v>
          </cell>
        </row>
        <row r="843">
          <cell r="G843">
            <v>7.5925925925925952E-3</v>
          </cell>
        </row>
        <row r="844">
          <cell r="G844">
            <v>8.2407407407406597E-3</v>
          </cell>
        </row>
        <row r="845">
          <cell r="G845">
            <v>6.0416666666667229E-3</v>
          </cell>
        </row>
        <row r="846">
          <cell r="G846">
            <v>2.4074074074074137E-3</v>
          </cell>
        </row>
        <row r="847">
          <cell r="G847">
            <v>9.9537037037036868E-3</v>
          </cell>
        </row>
        <row r="848">
          <cell r="G848">
            <v>1.664351851851853E-2</v>
          </cell>
        </row>
        <row r="849">
          <cell r="G849">
            <v>2.7546296296296346E-3</v>
          </cell>
        </row>
        <row r="850">
          <cell r="G850">
            <v>1.2175925925925868E-2</v>
          </cell>
        </row>
        <row r="851">
          <cell r="G851">
            <v>1.1967592592592613E-2</v>
          </cell>
        </row>
        <row r="852">
          <cell r="G852">
            <v>2.0023148148148873E-3</v>
          </cell>
        </row>
        <row r="853">
          <cell r="G853">
            <v>1.9907407407406819E-3</v>
          </cell>
        </row>
        <row r="854">
          <cell r="G854">
            <v>1.373842592592589E-2</v>
          </cell>
        </row>
        <row r="855">
          <cell r="G855">
            <v>1.3865740740740706E-2</v>
          </cell>
        </row>
        <row r="856">
          <cell r="G856">
            <v>1.0937499999999933E-2</v>
          </cell>
        </row>
        <row r="857">
          <cell r="G857">
            <v>2.1412037037036868E-3</v>
          </cell>
        </row>
        <row r="858">
          <cell r="G858">
            <v>1.4386574074074121E-2</v>
          </cell>
        </row>
        <row r="859">
          <cell r="G859">
            <v>7.1527777777777857E-3</v>
          </cell>
        </row>
        <row r="860">
          <cell r="G860">
            <v>3.6921296296296147E-3</v>
          </cell>
        </row>
        <row r="861">
          <cell r="G861">
            <v>1.315972222222217E-2</v>
          </cell>
        </row>
        <row r="862">
          <cell r="G862">
            <v>2.4120370370370292E-2</v>
          </cell>
        </row>
        <row r="863">
          <cell r="G863">
            <v>1.1886574074074008E-2</v>
          </cell>
        </row>
        <row r="864">
          <cell r="G864">
            <v>1.3263888888888964E-2</v>
          </cell>
        </row>
        <row r="865">
          <cell r="G865">
            <v>1.3298611111111081E-2</v>
          </cell>
        </row>
        <row r="866">
          <cell r="G866">
            <v>9.0393518518518956E-3</v>
          </cell>
        </row>
        <row r="867">
          <cell r="G867">
            <v>2.2569444444443532E-3</v>
          </cell>
        </row>
        <row r="868">
          <cell r="G868">
            <v>2.6388888888888573E-3</v>
          </cell>
        </row>
        <row r="869">
          <cell r="G869">
            <v>4.1435185185184631E-3</v>
          </cell>
        </row>
        <row r="870">
          <cell r="G870">
            <v>3.1250000000000444E-3</v>
          </cell>
        </row>
        <row r="871">
          <cell r="G871">
            <v>9.7337962962962266E-3</v>
          </cell>
        </row>
        <row r="872">
          <cell r="G872">
            <v>1.0810185185185173E-2</v>
          </cell>
        </row>
        <row r="873">
          <cell r="G873">
            <v>6.9328703703703809E-3</v>
          </cell>
        </row>
        <row r="874">
          <cell r="G874">
            <v>7.2569444444444686E-3</v>
          </cell>
        </row>
        <row r="875">
          <cell r="G875">
            <v>1.1365740740740704E-2</v>
          </cell>
        </row>
        <row r="876">
          <cell r="G876">
            <v>9.3055555555555669E-3</v>
          </cell>
        </row>
        <row r="877">
          <cell r="G877">
            <v>1.7939814814813548E-3</v>
          </cell>
        </row>
        <row r="878">
          <cell r="G878">
            <v>1.8969907407407338E-2</v>
          </cell>
        </row>
        <row r="879">
          <cell r="G879">
            <v>1.8321759259259163E-2</v>
          </cell>
        </row>
        <row r="880">
          <cell r="G880">
            <v>1.40162037037036E-2</v>
          </cell>
        </row>
        <row r="881">
          <cell r="G881">
            <v>1.9675925925924931E-3</v>
          </cell>
        </row>
        <row r="882">
          <cell r="G882">
            <v>6.5162037037036491E-3</v>
          </cell>
        </row>
        <row r="883">
          <cell r="G883">
            <v>1.4363425925925877E-2</v>
          </cell>
        </row>
        <row r="884">
          <cell r="G884">
            <v>1.3414351851851802E-2</v>
          </cell>
        </row>
        <row r="885">
          <cell r="G885">
            <v>1.7928240740740842E-2</v>
          </cell>
        </row>
        <row r="886">
          <cell r="G886">
            <v>1.621527777777787E-2</v>
          </cell>
        </row>
        <row r="887">
          <cell r="G887">
            <v>2.0254629629629095E-3</v>
          </cell>
        </row>
        <row r="888">
          <cell r="G888">
            <v>4.6064814814814614E-3</v>
          </cell>
        </row>
        <row r="889">
          <cell r="G889">
            <v>2.5347222222222299E-3</v>
          </cell>
        </row>
        <row r="890">
          <cell r="G890">
            <v>2.2916666666667473E-3</v>
          </cell>
        </row>
        <row r="891">
          <cell r="G891">
            <v>3.7847222222222587E-3</v>
          </cell>
        </row>
        <row r="892">
          <cell r="G892">
            <v>1.055555555555554E-2</v>
          </cell>
        </row>
        <row r="893">
          <cell r="G893">
            <v>1.5266203703703685E-2</v>
          </cell>
        </row>
        <row r="894">
          <cell r="G894">
            <v>1.8715277777777761E-2</v>
          </cell>
        </row>
        <row r="895">
          <cell r="G895">
            <v>1.9386574074074125E-2</v>
          </cell>
        </row>
        <row r="896">
          <cell r="G896">
            <v>8.599537037036975E-3</v>
          </cell>
        </row>
        <row r="897">
          <cell r="G897">
            <v>1.9907407407407929E-3</v>
          </cell>
        </row>
        <row r="898">
          <cell r="G898">
            <v>8.5416666666666696E-3</v>
          </cell>
        </row>
        <row r="899">
          <cell r="G899">
            <v>2.4884259259259078E-3</v>
          </cell>
        </row>
        <row r="900">
          <cell r="G900">
            <v>1.0104166666666692E-2</v>
          </cell>
        </row>
        <row r="901">
          <cell r="G901">
            <v>9.837962962962965E-3</v>
          </cell>
        </row>
        <row r="902">
          <cell r="G902">
            <v>1.2673611111111094E-2</v>
          </cell>
        </row>
        <row r="903">
          <cell r="G903">
            <v>5.833333333333357E-3</v>
          </cell>
        </row>
        <row r="904">
          <cell r="G904">
            <v>6.2384259259258834E-3</v>
          </cell>
        </row>
        <row r="905">
          <cell r="G905">
            <v>8.5069444444443865E-3</v>
          </cell>
        </row>
        <row r="906">
          <cell r="G906">
            <v>1.9097222222221877E-3</v>
          </cell>
        </row>
        <row r="907">
          <cell r="G907">
            <v>1.6249999999999987E-2</v>
          </cell>
        </row>
        <row r="908">
          <cell r="G908">
            <v>1.0486111111111196E-2</v>
          </cell>
        </row>
        <row r="909">
          <cell r="G909">
            <v>9.8611111111110983E-3</v>
          </cell>
        </row>
        <row r="910">
          <cell r="G910">
            <v>3.5405092592592502E-2</v>
          </cell>
        </row>
        <row r="911">
          <cell r="G911">
            <v>2.2569444444443532E-3</v>
          </cell>
        </row>
        <row r="912">
          <cell r="G912">
            <v>2.561342592592597E-2</v>
          </cell>
        </row>
        <row r="913">
          <cell r="G913">
            <v>2.5717592592592542E-2</v>
          </cell>
        </row>
        <row r="914">
          <cell r="G914">
            <v>2.5868055555555602E-2</v>
          </cell>
        </row>
        <row r="915">
          <cell r="G915">
            <v>9.0740740740740122E-3</v>
          </cell>
        </row>
        <row r="916">
          <cell r="G916">
            <v>7.2337962962963909E-3</v>
          </cell>
        </row>
        <row r="917">
          <cell r="G917">
            <v>3.4374999999999822E-3</v>
          </cell>
        </row>
        <row r="918">
          <cell r="G918">
            <v>1.6238425925925837E-2</v>
          </cell>
        </row>
        <row r="919">
          <cell r="G919">
            <v>1.5532407407407356E-2</v>
          </cell>
        </row>
        <row r="920">
          <cell r="G920">
            <v>1.5370370370370368E-2</v>
          </cell>
        </row>
        <row r="921">
          <cell r="G921">
            <v>1.8171296296296324E-2</v>
          </cell>
        </row>
        <row r="922">
          <cell r="G922">
            <v>1.5370370370370368E-2</v>
          </cell>
        </row>
        <row r="923">
          <cell r="G923">
            <v>8.2291666666666208E-3</v>
          </cell>
        </row>
        <row r="924">
          <cell r="G924">
            <v>6.134259259259256E-3</v>
          </cell>
        </row>
        <row r="925">
          <cell r="G925">
            <v>1.3923611111111178E-2</v>
          </cell>
        </row>
        <row r="926">
          <cell r="G926">
            <v>1.3414351851851802E-2</v>
          </cell>
        </row>
        <row r="927">
          <cell r="G927">
            <v>1.9444444444444153E-3</v>
          </cell>
        </row>
        <row r="928">
          <cell r="G928">
            <v>8.5648148148147474E-3</v>
          </cell>
        </row>
        <row r="929">
          <cell r="G929">
            <v>1.373842592592589E-2</v>
          </cell>
        </row>
        <row r="930">
          <cell r="G930">
            <v>1.5358796296296329E-2</v>
          </cell>
        </row>
        <row r="931">
          <cell r="G931">
            <v>1.9560185185184542E-3</v>
          </cell>
        </row>
        <row r="932">
          <cell r="G932">
            <v>9.5717592592592382E-3</v>
          </cell>
        </row>
        <row r="933">
          <cell r="G933">
            <v>3.1481481481482332E-3</v>
          </cell>
        </row>
        <row r="934">
          <cell r="G934">
            <v>1.0590277777777768E-2</v>
          </cell>
        </row>
        <row r="935">
          <cell r="G935">
            <v>1.2986111111111143E-2</v>
          </cell>
        </row>
        <row r="936">
          <cell r="G936">
            <v>1.1655092592592675E-2</v>
          </cell>
        </row>
        <row r="937">
          <cell r="G937">
            <v>1.4432870370370332E-2</v>
          </cell>
        </row>
        <row r="938">
          <cell r="G938">
            <v>1.9212962962962266E-3</v>
          </cell>
        </row>
        <row r="939">
          <cell r="G939">
            <v>1.8043981481481564E-2</v>
          </cell>
        </row>
        <row r="940">
          <cell r="G940">
            <v>1.56018518518517E-2</v>
          </cell>
        </row>
        <row r="941">
          <cell r="G941">
            <v>1.9444444444444153E-3</v>
          </cell>
        </row>
        <row r="942">
          <cell r="G942">
            <v>3.5416666666666097E-3</v>
          </cell>
        </row>
        <row r="943">
          <cell r="G943">
            <v>6.6550925925925597E-3</v>
          </cell>
        </row>
        <row r="944">
          <cell r="G944">
            <v>5.3819444444444531E-3</v>
          </cell>
        </row>
        <row r="945">
          <cell r="G945">
            <v>2.4537037037037357E-3</v>
          </cell>
        </row>
        <row r="946">
          <cell r="G946">
            <v>1.1597222222222259E-2</v>
          </cell>
        </row>
        <row r="947">
          <cell r="G947">
            <v>9.4097222222222499E-3</v>
          </cell>
        </row>
        <row r="948">
          <cell r="G948">
            <v>7.9513888888889106E-3</v>
          </cell>
        </row>
        <row r="949">
          <cell r="G949">
            <v>7.9976851851851216E-3</v>
          </cell>
        </row>
        <row r="950">
          <cell r="G950">
            <v>1.9328703703703765E-3</v>
          </cell>
        </row>
        <row r="951">
          <cell r="G951">
            <v>7.6273148148147674E-3</v>
          </cell>
        </row>
        <row r="952">
          <cell r="G952">
            <v>6.5625000000000266E-3</v>
          </cell>
        </row>
        <row r="953">
          <cell r="G953">
            <v>1.2013888888888935E-2</v>
          </cell>
        </row>
        <row r="954">
          <cell r="G954">
            <v>1.4618055555555509E-2</v>
          </cell>
        </row>
        <row r="955">
          <cell r="G955">
            <v>1.8935185185185222E-2</v>
          </cell>
        </row>
        <row r="956">
          <cell r="G956">
            <v>1.1770833333333397E-2</v>
          </cell>
        </row>
        <row r="957">
          <cell r="G957">
            <v>1.0648148148148184E-2</v>
          </cell>
        </row>
        <row r="958">
          <cell r="G958">
            <v>1.0624999999999996E-2</v>
          </cell>
        </row>
        <row r="959">
          <cell r="G959">
            <v>5.7175925925926352E-3</v>
          </cell>
        </row>
        <row r="960">
          <cell r="G960">
            <v>6.5046296296296102E-3</v>
          </cell>
        </row>
        <row r="961">
          <cell r="G961">
            <v>5.3935185185184364E-3</v>
          </cell>
        </row>
        <row r="962">
          <cell r="G962">
            <v>7.6620370370370505E-3</v>
          </cell>
        </row>
        <row r="963">
          <cell r="G963">
            <v>1.0671296296296373E-2</v>
          </cell>
        </row>
        <row r="964">
          <cell r="G964">
            <v>9.7453703703704875E-3</v>
          </cell>
        </row>
        <row r="965">
          <cell r="G965">
            <v>9.9768518518519311E-3</v>
          </cell>
        </row>
        <row r="966">
          <cell r="G966">
            <v>9.6990740740739989E-3</v>
          </cell>
        </row>
        <row r="967">
          <cell r="G967">
            <v>9.1087962962962399E-3</v>
          </cell>
        </row>
        <row r="968">
          <cell r="G968">
            <v>3.4490740740741321E-3</v>
          </cell>
        </row>
        <row r="969">
          <cell r="G969">
            <v>4.0277777777777413E-3</v>
          </cell>
        </row>
        <row r="970">
          <cell r="G970">
            <v>3.4027777777777546E-3</v>
          </cell>
        </row>
        <row r="971">
          <cell r="G971">
            <v>2.5578703703703631E-3</v>
          </cell>
        </row>
        <row r="972">
          <cell r="G972">
            <v>1.6631944444444491E-2</v>
          </cell>
        </row>
        <row r="973">
          <cell r="G973">
            <v>9.2361111111111116E-3</v>
          </cell>
        </row>
        <row r="974">
          <cell r="G974">
            <v>8.1597222222222765E-3</v>
          </cell>
        </row>
        <row r="975">
          <cell r="G975">
            <v>1.9097222222222987E-3</v>
          </cell>
        </row>
        <row r="976">
          <cell r="G976">
            <v>9.6759259259259212E-3</v>
          </cell>
        </row>
        <row r="977">
          <cell r="G977">
            <v>5.833333333333357E-3</v>
          </cell>
        </row>
        <row r="978">
          <cell r="G978">
            <v>8.7847222222221522E-3</v>
          </cell>
        </row>
        <row r="979">
          <cell r="G979">
            <v>8.807870370370452E-3</v>
          </cell>
        </row>
        <row r="980">
          <cell r="G980">
            <v>1.9328703703703765E-3</v>
          </cell>
        </row>
        <row r="981">
          <cell r="G981">
            <v>1.0601851851851807E-2</v>
          </cell>
        </row>
        <row r="982">
          <cell r="G982">
            <v>1.2905092592592649E-2</v>
          </cell>
        </row>
        <row r="983">
          <cell r="G983">
            <v>2.0023148148148096E-2</v>
          </cell>
        </row>
        <row r="984">
          <cell r="G984">
            <v>2.0648148148148193E-2</v>
          </cell>
        </row>
        <row r="985">
          <cell r="G985">
            <v>3.9467592592593581E-3</v>
          </cell>
        </row>
        <row r="986">
          <cell r="G986">
            <v>2.1018518518518547E-2</v>
          </cell>
        </row>
        <row r="987">
          <cell r="G987">
            <v>2.2569444444444642E-3</v>
          </cell>
        </row>
        <row r="988">
          <cell r="G988">
            <v>6.2962962962962443E-3</v>
          </cell>
        </row>
        <row r="989">
          <cell r="G989">
            <v>9.0277777777777457E-3</v>
          </cell>
        </row>
        <row r="990">
          <cell r="G990">
            <v>2.222222222222181E-3</v>
          </cell>
        </row>
        <row r="991">
          <cell r="G991">
            <v>1.5532407407407411E-2</v>
          </cell>
        </row>
        <row r="992">
          <cell r="G992">
            <v>1.8634259259259212E-3</v>
          </cell>
        </row>
        <row r="993">
          <cell r="G993">
            <v>2.8587962962963731E-3</v>
          </cell>
        </row>
        <row r="994">
          <cell r="G994">
            <v>1.5520833333333373E-2</v>
          </cell>
        </row>
        <row r="995">
          <cell r="G995">
            <v>9.201388888888884E-3</v>
          </cell>
        </row>
        <row r="996">
          <cell r="G996">
            <v>1.0266203703703736E-2</v>
          </cell>
        </row>
        <row r="997">
          <cell r="G997">
            <v>1.6747685185185157E-2</v>
          </cell>
        </row>
        <row r="998">
          <cell r="G998">
            <v>1.3067129629629581E-2</v>
          </cell>
        </row>
        <row r="999">
          <cell r="G999">
            <v>1.0000000000000009E-2</v>
          </cell>
        </row>
        <row r="1000">
          <cell r="G1000">
            <v>3.1249999999999334E-3</v>
          </cell>
        </row>
        <row r="1001">
          <cell r="G1001">
            <v>7.1527777777777857E-3</v>
          </cell>
        </row>
        <row r="1002">
          <cell r="G1002">
            <v>2.0833333333332704E-3</v>
          </cell>
        </row>
        <row r="1003">
          <cell r="G1003">
            <v>1.208333333333339E-2</v>
          </cell>
        </row>
        <row r="1004">
          <cell r="G1004">
            <v>2.7581018518518574E-2</v>
          </cell>
        </row>
        <row r="1005">
          <cell r="G1005">
            <v>1.620370370370372E-2</v>
          </cell>
        </row>
        <row r="1006">
          <cell r="G1006">
            <v>2.4537037037036802E-3</v>
          </cell>
        </row>
        <row r="1007">
          <cell r="G1007">
            <v>6.3425925925926219E-3</v>
          </cell>
        </row>
        <row r="1008">
          <cell r="G1008">
            <v>2.0092592592592662E-2</v>
          </cell>
        </row>
        <row r="1009">
          <cell r="G1009">
            <v>2.1875000000000089E-3</v>
          </cell>
        </row>
        <row r="1010">
          <cell r="G1010">
            <v>4.7222222222221832E-3</v>
          </cell>
        </row>
        <row r="1011">
          <cell r="G1011">
            <v>1.4791666666666647E-2</v>
          </cell>
        </row>
        <row r="1012">
          <cell r="G1012">
            <v>1.979166666666643E-3</v>
          </cell>
        </row>
        <row r="1013">
          <cell r="G1013">
            <v>1.9212962962963376E-3</v>
          </cell>
        </row>
        <row r="1014">
          <cell r="G1014">
            <v>8.1365740740740877E-3</v>
          </cell>
        </row>
        <row r="1015">
          <cell r="G1015">
            <v>1.0925925925926006E-2</v>
          </cell>
        </row>
        <row r="1016">
          <cell r="G1016">
            <v>4.3634259259259789E-3</v>
          </cell>
        </row>
        <row r="1017">
          <cell r="G1017">
            <v>1.4143518518518583E-2</v>
          </cell>
        </row>
        <row r="1018">
          <cell r="G1018">
            <v>1.7094907407407489E-2</v>
          </cell>
        </row>
        <row r="1019">
          <cell r="G1019">
            <v>9.9768518518518201E-3</v>
          </cell>
        </row>
        <row r="1020">
          <cell r="G1020">
            <v>2.2523148148148264E-2</v>
          </cell>
        </row>
        <row r="1021">
          <cell r="G1021">
            <v>1.1446759259259309E-2</v>
          </cell>
        </row>
        <row r="1022">
          <cell r="G1022">
            <v>1.5393518518518445E-2</v>
          </cell>
        </row>
        <row r="1023">
          <cell r="G1023">
            <v>1.3414351851851802E-2</v>
          </cell>
        </row>
        <row r="1024">
          <cell r="G1024">
            <v>1.6412037037037197E-2</v>
          </cell>
        </row>
        <row r="1025">
          <cell r="G1025">
            <v>1.9097222222222987E-3</v>
          </cell>
        </row>
        <row r="1026">
          <cell r="G1026">
            <v>8.5879629629628251E-3</v>
          </cell>
        </row>
        <row r="1027">
          <cell r="G1027">
            <v>7.5810185185186674E-3</v>
          </cell>
        </row>
        <row r="1028">
          <cell r="G1028">
            <v>1.3981481481481484E-2</v>
          </cell>
        </row>
        <row r="1029">
          <cell r="G1029">
            <v>6.0763888888888951E-3</v>
          </cell>
        </row>
        <row r="1030">
          <cell r="G1030">
            <v>1.8750000000000155E-3</v>
          </cell>
        </row>
        <row r="1031">
          <cell r="G1031">
            <v>1.1226851851851849E-2</v>
          </cell>
        </row>
        <row r="1032">
          <cell r="G1032">
            <v>1.0543981481481446E-2</v>
          </cell>
        </row>
        <row r="1033">
          <cell r="G1033">
            <v>4.8958333333333215E-3</v>
          </cell>
        </row>
        <row r="1034">
          <cell r="G1034">
            <v>4.6064814814814614E-3</v>
          </cell>
        </row>
        <row r="1035">
          <cell r="G1035">
            <v>8.9583333333333459E-3</v>
          </cell>
        </row>
        <row r="1036">
          <cell r="G1036">
            <v>6.2500000000000333E-3</v>
          </cell>
        </row>
        <row r="1037">
          <cell r="G1037">
            <v>7.9629629629629495E-3</v>
          </cell>
        </row>
        <row r="1038">
          <cell r="G1038">
            <v>4.9768518518518157E-3</v>
          </cell>
        </row>
        <row r="1039">
          <cell r="G1039">
            <v>6.5972222222221988E-3</v>
          </cell>
        </row>
        <row r="1040">
          <cell r="G1040">
            <v>4.2824074074074292E-3</v>
          </cell>
        </row>
        <row r="1041">
          <cell r="G1041">
            <v>6.1689814814814281E-3</v>
          </cell>
        </row>
        <row r="1042">
          <cell r="G1042">
            <v>5.9374999999999845E-3</v>
          </cell>
        </row>
        <row r="1043">
          <cell r="G1043">
            <v>4.3634259259258679E-3</v>
          </cell>
        </row>
        <row r="1044">
          <cell r="G1044">
            <v>1.0532407407407407E-2</v>
          </cell>
        </row>
        <row r="1045">
          <cell r="G1045">
            <v>1.7546296296296227E-2</v>
          </cell>
        </row>
        <row r="1046">
          <cell r="G1046">
            <v>2.673611111111085E-3</v>
          </cell>
        </row>
        <row r="1047">
          <cell r="G1047">
            <v>1.1979166666666652E-2</v>
          </cell>
        </row>
        <row r="1048">
          <cell r="G1048">
            <v>1.1585648148148164E-2</v>
          </cell>
        </row>
        <row r="1049">
          <cell r="G1049">
            <v>9.7106481481481488E-3</v>
          </cell>
        </row>
        <row r="1050">
          <cell r="G1050">
            <v>2.3263888888889195E-3</v>
          </cell>
        </row>
        <row r="1051">
          <cell r="G1051">
            <v>9.4560185185185164E-3</v>
          </cell>
        </row>
        <row r="1052">
          <cell r="G1052">
            <v>1.8287037037036935E-3</v>
          </cell>
        </row>
        <row r="1053">
          <cell r="G1053">
            <v>5.6365740740740855E-3</v>
          </cell>
        </row>
        <row r="1054">
          <cell r="G1054">
            <v>1.988425925925924E-2</v>
          </cell>
        </row>
        <row r="1055">
          <cell r="G1055">
            <v>1.9953703703703751E-2</v>
          </cell>
        </row>
        <row r="1056">
          <cell r="G1056">
            <v>4.3287037037037512E-3</v>
          </cell>
        </row>
        <row r="1057">
          <cell r="G1057">
            <v>1.4733796296296342E-2</v>
          </cell>
        </row>
        <row r="1058">
          <cell r="G1058">
            <v>1.4502314814814787E-2</v>
          </cell>
        </row>
        <row r="1059">
          <cell r="G1059">
            <v>7.7199074074074669E-3</v>
          </cell>
        </row>
        <row r="1060">
          <cell r="G1060">
            <v>1.3553240740740713E-2</v>
          </cell>
        </row>
        <row r="1061">
          <cell r="G1061">
            <v>1.3472222222222219E-2</v>
          </cell>
        </row>
        <row r="1062">
          <cell r="G1062">
            <v>1.1620370370370336E-2</v>
          </cell>
        </row>
        <row r="1063">
          <cell r="G1063">
            <v>1.0023148148148087E-2</v>
          </cell>
        </row>
        <row r="1064">
          <cell r="G1064">
            <v>3.0439814814814392E-3</v>
          </cell>
        </row>
        <row r="1065">
          <cell r="G1065">
            <v>9.594907407407316E-3</v>
          </cell>
        </row>
        <row r="1066">
          <cell r="G1066">
            <v>8.6458333333333526E-3</v>
          </cell>
        </row>
        <row r="1067">
          <cell r="G1067">
            <v>1.5000000000000013E-2</v>
          </cell>
        </row>
        <row r="1068">
          <cell r="G1068">
            <v>9.1898148148148451E-3</v>
          </cell>
        </row>
        <row r="1069">
          <cell r="G1069">
            <v>1.0509259259259274E-2</v>
          </cell>
        </row>
        <row r="1070">
          <cell r="G1070">
            <v>6.0416666666666119E-3</v>
          </cell>
        </row>
        <row r="1071">
          <cell r="G1071">
            <v>1.2106481481481524E-2</v>
          </cell>
        </row>
        <row r="1072">
          <cell r="G1072">
            <v>2.0717592592592871E-3</v>
          </cell>
        </row>
        <row r="1073">
          <cell r="G1073">
            <v>1.621527777777787E-2</v>
          </cell>
        </row>
        <row r="1074">
          <cell r="G1074">
            <v>3.1250000000000444E-3</v>
          </cell>
        </row>
        <row r="1075">
          <cell r="G1075">
            <v>2.0833333333333259E-3</v>
          </cell>
        </row>
        <row r="1076">
          <cell r="G1076">
            <v>3.1365740740740833E-3</v>
          </cell>
        </row>
        <row r="1077">
          <cell r="G1077">
            <v>1.4733796296296231E-2</v>
          </cell>
        </row>
        <row r="1078">
          <cell r="G1078">
            <v>2.2569444444444642E-3</v>
          </cell>
        </row>
        <row r="1079">
          <cell r="G1079">
            <v>2.3263888888889195E-3</v>
          </cell>
        </row>
        <row r="1080">
          <cell r="G1080">
            <v>2.7777777777777679E-3</v>
          </cell>
        </row>
        <row r="1081">
          <cell r="G1081">
            <v>1.2916666666666687E-2</v>
          </cell>
        </row>
        <row r="1082">
          <cell r="G1082">
            <v>3.7384259259258812E-3</v>
          </cell>
        </row>
        <row r="1083">
          <cell r="G1083">
            <v>7.5231481481481399E-3</v>
          </cell>
        </row>
        <row r="1084">
          <cell r="G1084">
            <v>7.1296296296295969E-3</v>
          </cell>
        </row>
        <row r="1085">
          <cell r="G1085">
            <v>1.8287037037036935E-3</v>
          </cell>
        </row>
        <row r="1086">
          <cell r="G1086">
            <v>1.1342592592592626E-2</v>
          </cell>
        </row>
        <row r="1087">
          <cell r="G1087">
            <v>9.8495370370370594E-3</v>
          </cell>
        </row>
        <row r="1088">
          <cell r="G1088">
            <v>1.2002314814814841E-2</v>
          </cell>
        </row>
        <row r="1089">
          <cell r="G1089">
            <v>2.0601851851851372E-3</v>
          </cell>
        </row>
        <row r="1090">
          <cell r="G1090">
            <v>1.7916666666666692E-2</v>
          </cell>
        </row>
        <row r="1091">
          <cell r="G1091">
            <v>1.8287037037036935E-3</v>
          </cell>
        </row>
        <row r="1092">
          <cell r="G1092">
            <v>2.4560185185185213E-2</v>
          </cell>
        </row>
        <row r="1093">
          <cell r="G1093">
            <v>2.8668981481481559E-2</v>
          </cell>
        </row>
        <row r="1094">
          <cell r="G1094">
            <v>2.5474537037037059E-2</v>
          </cell>
        </row>
        <row r="1095">
          <cell r="G1095">
            <v>5.046296296296382E-3</v>
          </cell>
        </row>
        <row r="1096">
          <cell r="G1096">
            <v>7.7546296296296946E-3</v>
          </cell>
        </row>
        <row r="1097">
          <cell r="G1097">
            <v>1.5960648148148016E-2</v>
          </cell>
        </row>
        <row r="1098">
          <cell r="G1098">
            <v>1.4375000000000027E-2</v>
          </cell>
        </row>
        <row r="1099">
          <cell r="G1099">
            <v>2.0370370370370372E-2</v>
          </cell>
        </row>
        <row r="1100">
          <cell r="G1100">
            <v>2.1307870370370408E-2</v>
          </cell>
        </row>
        <row r="1101">
          <cell r="G1101">
            <v>1.598379629629626E-2</v>
          </cell>
        </row>
        <row r="1102">
          <cell r="G1102">
            <v>1.828703703703638E-3</v>
          </cell>
        </row>
        <row r="1103">
          <cell r="G1103">
            <v>1.9791666666666763E-2</v>
          </cell>
        </row>
        <row r="1104">
          <cell r="G1104">
            <v>1.8171296296296546E-3</v>
          </cell>
        </row>
        <row r="1105">
          <cell r="G1105">
            <v>2.1261574074074141E-2</v>
          </cell>
        </row>
        <row r="1106">
          <cell r="G1106">
            <v>1.8171296296296546E-3</v>
          </cell>
        </row>
        <row r="1107">
          <cell r="G1107">
            <v>3.1828703703703498E-3</v>
          </cell>
        </row>
        <row r="1108">
          <cell r="G1108">
            <v>1.7199074074074061E-2</v>
          </cell>
        </row>
        <row r="1109">
          <cell r="G1109">
            <v>1.0509259259259274E-2</v>
          </cell>
        </row>
        <row r="1110">
          <cell r="G1110">
            <v>1.0023148148148198E-2</v>
          </cell>
        </row>
        <row r="1111">
          <cell r="G1111">
            <v>1.6458333333333353E-2</v>
          </cell>
        </row>
        <row r="1112">
          <cell r="G1112">
            <v>1.7233796296296289E-2</v>
          </cell>
        </row>
        <row r="1113">
          <cell r="G1113">
            <v>9.3518518518518334E-3</v>
          </cell>
        </row>
        <row r="1114">
          <cell r="G1114">
            <v>1.9212962962963376E-3</v>
          </cell>
        </row>
        <row r="1115">
          <cell r="G1115">
            <v>4.1666666666666519E-3</v>
          </cell>
        </row>
        <row r="1116">
          <cell r="G1116">
            <v>1.5266203703703685E-2</v>
          </cell>
        </row>
        <row r="1117">
          <cell r="G1117">
            <v>5.4050925925925863E-3</v>
          </cell>
        </row>
        <row r="1118">
          <cell r="G1118">
            <v>1.0868055555555589E-2</v>
          </cell>
        </row>
        <row r="1119">
          <cell r="G1119">
            <v>1.6365740740740709E-2</v>
          </cell>
        </row>
        <row r="1120">
          <cell r="G1120">
            <v>1.7615740740740682E-2</v>
          </cell>
        </row>
        <row r="1121">
          <cell r="G1121">
            <v>4.1203703703703853E-3</v>
          </cell>
        </row>
        <row r="1122">
          <cell r="G1122">
            <v>2.8090277777777617E-2</v>
          </cell>
        </row>
        <row r="1123">
          <cell r="G1123">
            <v>9.6412037037036935E-3</v>
          </cell>
        </row>
        <row r="1124">
          <cell r="G1124">
            <v>1.6736111111111174E-2</v>
          </cell>
        </row>
        <row r="1125">
          <cell r="G1125">
            <v>1.7187500000000022E-2</v>
          </cell>
        </row>
        <row r="1126">
          <cell r="G1126">
            <v>2.1643518518518201E-3</v>
          </cell>
        </row>
        <row r="1127">
          <cell r="G1127">
            <v>1.8055555555555047E-3</v>
          </cell>
        </row>
        <row r="1128">
          <cell r="G1128">
            <v>1.1620370370370336E-2</v>
          </cell>
        </row>
        <row r="1129">
          <cell r="G1129">
            <v>1.3287037037037042E-2</v>
          </cell>
        </row>
        <row r="1130">
          <cell r="G1130">
            <v>1.7592592592592382E-3</v>
          </cell>
        </row>
        <row r="1131">
          <cell r="G1131">
            <v>2.6087962962963007E-2</v>
          </cell>
        </row>
        <row r="1132">
          <cell r="G1132">
            <v>1.7083333333333228E-2</v>
          </cell>
        </row>
        <row r="1133">
          <cell r="G1133">
            <v>1.8599537037036984E-2</v>
          </cell>
        </row>
        <row r="1134">
          <cell r="G1134">
            <v>9.0393518518518401E-3</v>
          </cell>
        </row>
        <row r="1135">
          <cell r="G1135">
            <v>1.0960648148148122E-2</v>
          </cell>
        </row>
        <row r="1136">
          <cell r="G1136">
            <v>2.2453703703703698E-3</v>
          </cell>
        </row>
        <row r="1137">
          <cell r="G1137">
            <v>2.2453703703704253E-3</v>
          </cell>
        </row>
        <row r="1138">
          <cell r="G1138">
            <v>1.1076388888888844E-2</v>
          </cell>
        </row>
        <row r="1139">
          <cell r="G1139">
            <v>1.1168981481481488E-2</v>
          </cell>
        </row>
        <row r="1140">
          <cell r="G1140">
            <v>1.1331018518518476E-2</v>
          </cell>
        </row>
        <row r="1141">
          <cell r="G1141">
            <v>3.7731481481481643E-3</v>
          </cell>
        </row>
        <row r="1142">
          <cell r="G1142">
            <v>1.5995370370370354E-2</v>
          </cell>
        </row>
        <row r="1143">
          <cell r="G1143">
            <v>2.2800925925925419E-3</v>
          </cell>
        </row>
        <row r="1144">
          <cell r="G1144">
            <v>1.5752314814814761E-2</v>
          </cell>
        </row>
        <row r="1145">
          <cell r="G1145">
            <v>1.0810185185185173E-2</v>
          </cell>
        </row>
        <row r="1146">
          <cell r="G1146">
            <v>2.2800925925925974E-3</v>
          </cell>
        </row>
        <row r="1147">
          <cell r="G1147">
            <v>1.2986111111111087E-2</v>
          </cell>
        </row>
        <row r="1148">
          <cell r="G1148">
            <v>1.3738425925926001E-2</v>
          </cell>
        </row>
        <row r="1149">
          <cell r="G1149">
            <v>1.3564814814814863E-2</v>
          </cell>
        </row>
        <row r="1150">
          <cell r="G1150">
            <v>1.4548611111111165E-2</v>
          </cell>
        </row>
        <row r="1151">
          <cell r="G1151">
            <v>2.2106481481481977E-3</v>
          </cell>
        </row>
        <row r="1152">
          <cell r="G1152">
            <v>5.9953703703703454E-3</v>
          </cell>
        </row>
        <row r="1153">
          <cell r="G1153">
            <v>2.2106481481480866E-3</v>
          </cell>
        </row>
        <row r="1154">
          <cell r="G1154">
            <v>1.4074074074074017E-2</v>
          </cell>
        </row>
        <row r="1155">
          <cell r="G1155">
            <v>2.0023148148148096E-2</v>
          </cell>
        </row>
        <row r="1156">
          <cell r="G1156">
            <v>3.0081018518518521E-2</v>
          </cell>
        </row>
        <row r="1157">
          <cell r="G1157">
            <v>1.3344907407407458E-2</v>
          </cell>
        </row>
        <row r="1158">
          <cell r="G1158">
            <v>1.0891203703703667E-2</v>
          </cell>
        </row>
        <row r="1159">
          <cell r="G1159">
            <v>2.569444444444513E-3</v>
          </cell>
        </row>
        <row r="1160">
          <cell r="G1160">
            <v>1.2083333333333224E-2</v>
          </cell>
        </row>
        <row r="1161">
          <cell r="G1161">
            <v>1.1944444444444424E-2</v>
          </cell>
        </row>
        <row r="1162">
          <cell r="G1162">
            <v>1.8634259259259323E-2</v>
          </cell>
        </row>
        <row r="1163">
          <cell r="G1163">
            <v>3.2986111111110716E-3</v>
          </cell>
        </row>
        <row r="1164">
          <cell r="G1164">
            <v>1.4201388888888888E-2</v>
          </cell>
        </row>
        <row r="1165">
          <cell r="G1165">
            <v>1.6504629629629619E-2</v>
          </cell>
        </row>
        <row r="1166">
          <cell r="G1166">
            <v>3.6111111111110095E-3</v>
          </cell>
        </row>
        <row r="1167">
          <cell r="G1167">
            <v>1.0428240740740669E-2</v>
          </cell>
        </row>
        <row r="1168">
          <cell r="G1168">
            <v>8.1597222222222765E-3</v>
          </cell>
        </row>
        <row r="1169">
          <cell r="G1169">
            <v>4.652777777777839E-3</v>
          </cell>
        </row>
        <row r="1170">
          <cell r="G1170">
            <v>9.9189814814815147E-3</v>
          </cell>
        </row>
        <row r="1171">
          <cell r="G1171">
            <v>5.0810185185184986E-3</v>
          </cell>
        </row>
        <row r="1172">
          <cell r="G1172">
            <v>8.4259259259259478E-3</v>
          </cell>
        </row>
        <row r="1173">
          <cell r="G1173">
            <v>6.5393518518517268E-3</v>
          </cell>
        </row>
        <row r="1174">
          <cell r="G1174">
            <v>2.5000000000000577E-3</v>
          </cell>
        </row>
        <row r="1175">
          <cell r="G1175">
            <v>7.4652777777778345E-3</v>
          </cell>
        </row>
        <row r="1176">
          <cell r="G1176">
            <v>1.1608796296296298E-2</v>
          </cell>
        </row>
        <row r="1177">
          <cell r="G1177">
            <v>8.7268518518518468E-3</v>
          </cell>
        </row>
        <row r="1178">
          <cell r="G1178">
            <v>1.0902777777777817E-2</v>
          </cell>
        </row>
        <row r="1179">
          <cell r="G1179">
            <v>2.5347222222222854E-3</v>
          </cell>
        </row>
        <row r="1180">
          <cell r="G1180">
            <v>1.6863425925925934E-2</v>
          </cell>
        </row>
        <row r="1181">
          <cell r="G1181">
            <v>1.1377314814814743E-2</v>
          </cell>
        </row>
        <row r="1182">
          <cell r="G1182">
            <v>1.4016203703703822E-2</v>
          </cell>
        </row>
        <row r="1183">
          <cell r="G1183">
            <v>1.3576388888888791E-2</v>
          </cell>
        </row>
        <row r="1184">
          <cell r="G1184">
            <v>5.9606481481482287E-3</v>
          </cell>
        </row>
        <row r="1185">
          <cell r="G1185">
            <v>1.0254629629629752E-2</v>
          </cell>
        </row>
        <row r="1186">
          <cell r="G1186">
            <v>1.880787037037035E-2</v>
          </cell>
        </row>
        <row r="1187">
          <cell r="G1187">
            <v>1.5405092592592595E-2</v>
          </cell>
        </row>
        <row r="1188">
          <cell r="G1188">
            <v>2.6180555555555429E-2</v>
          </cell>
        </row>
        <row r="1189">
          <cell r="G1189">
            <v>2.4178240740740709E-2</v>
          </cell>
        </row>
        <row r="1190">
          <cell r="G1190">
            <v>2.4652777777779411E-3</v>
          </cell>
        </row>
        <row r="1191">
          <cell r="G1191">
            <v>4.0162037037037024E-3</v>
          </cell>
        </row>
        <row r="1192">
          <cell r="G1192">
            <v>1.9155092592592571E-2</v>
          </cell>
        </row>
        <row r="1193">
          <cell r="G1193">
            <v>1.0555555555555596E-2</v>
          </cell>
        </row>
        <row r="1194">
          <cell r="G1194">
            <v>2.7893518518519178E-3</v>
          </cell>
        </row>
        <row r="1195">
          <cell r="G1195">
            <v>1.2766203703703738E-2</v>
          </cell>
        </row>
        <row r="1196">
          <cell r="G1196">
            <v>1.4328703703703705E-2</v>
          </cell>
        </row>
        <row r="1197">
          <cell r="G1197">
            <v>1.2997685185185126E-2</v>
          </cell>
        </row>
        <row r="1198">
          <cell r="G1198">
            <v>1.7569444444444415E-2</v>
          </cell>
        </row>
        <row r="1199">
          <cell r="G1199">
            <v>3.0787037037037224E-3</v>
          </cell>
        </row>
        <row r="1200">
          <cell r="G1200">
            <v>3.8657407407407529E-3</v>
          </cell>
        </row>
        <row r="1201">
          <cell r="G1201">
            <v>9.4444444444444775E-3</v>
          </cell>
        </row>
        <row r="1202">
          <cell r="G1202">
            <v>1.9201388888888893E-2</v>
          </cell>
        </row>
        <row r="1203">
          <cell r="G1203">
            <v>2.2106481481481421E-2</v>
          </cell>
        </row>
        <row r="1204">
          <cell r="G1204">
            <v>2.5081018518518516E-2</v>
          </cell>
        </row>
        <row r="1205">
          <cell r="G1205">
            <v>2.0520833333333321E-2</v>
          </cell>
        </row>
        <row r="1206">
          <cell r="G1206">
            <v>1.6122685185185115E-2</v>
          </cell>
        </row>
        <row r="1207">
          <cell r="G1207">
            <v>8.4143518518519089E-3</v>
          </cell>
        </row>
        <row r="1208">
          <cell r="G1208">
            <v>2.5000000000000577E-3</v>
          </cell>
        </row>
        <row r="1209">
          <cell r="G1209">
            <v>8.3912037037037202E-3</v>
          </cell>
        </row>
        <row r="1210">
          <cell r="G1210">
            <v>7.9745370370370994E-3</v>
          </cell>
        </row>
        <row r="1211">
          <cell r="G1211">
            <v>7.7893518518519222E-3</v>
          </cell>
        </row>
        <row r="1212">
          <cell r="G1212">
            <v>8.6574074074075025E-3</v>
          </cell>
        </row>
        <row r="1213">
          <cell r="G1213">
            <v>9.9537037037036313E-3</v>
          </cell>
        </row>
        <row r="1214">
          <cell r="G1214">
            <v>8.8657407407407574E-3</v>
          </cell>
        </row>
        <row r="1215">
          <cell r="G1215">
            <v>5.4513888888888529E-3</v>
          </cell>
        </row>
        <row r="1216">
          <cell r="G1216">
            <v>2.8240740740741455E-3</v>
          </cell>
        </row>
        <row r="1217">
          <cell r="G1217">
            <v>1.0428240740740669E-2</v>
          </cell>
        </row>
        <row r="1218">
          <cell r="G1218">
            <v>1.1712962962962981E-2</v>
          </cell>
        </row>
        <row r="1219">
          <cell r="G1219">
            <v>1.4328703703703649E-2</v>
          </cell>
        </row>
        <row r="1220">
          <cell r="G1220">
            <v>1.5092592592592546E-2</v>
          </cell>
        </row>
        <row r="1221">
          <cell r="G1221">
            <v>1.5590277777777772E-2</v>
          </cell>
        </row>
        <row r="1222">
          <cell r="G1222">
            <v>2.8483796296296271E-2</v>
          </cell>
        </row>
        <row r="1223">
          <cell r="G1223">
            <v>1.1504629629629615E-2</v>
          </cell>
        </row>
        <row r="1224">
          <cell r="G1224">
            <v>1.6990740740740751E-2</v>
          </cell>
        </row>
        <row r="1225">
          <cell r="G1225">
            <v>7.4884259259258568E-3</v>
          </cell>
        </row>
        <row r="1226">
          <cell r="G1226">
            <v>6.2037037037037113E-3</v>
          </cell>
        </row>
        <row r="1227">
          <cell r="G1227">
            <v>1.4456018518518521E-2</v>
          </cell>
        </row>
        <row r="1228">
          <cell r="G1228">
            <v>4.3865740740740566E-3</v>
          </cell>
        </row>
        <row r="1229">
          <cell r="G1229">
            <v>3.1018518518519111E-3</v>
          </cell>
        </row>
        <row r="1230">
          <cell r="G1230">
            <v>2.2893518518518507E-2</v>
          </cell>
        </row>
        <row r="1231">
          <cell r="G1231">
            <v>1.2476851851851878E-2</v>
          </cell>
        </row>
        <row r="1232">
          <cell r="G1232">
            <v>6.1574074074074447E-3</v>
          </cell>
        </row>
        <row r="1233">
          <cell r="G1233">
            <v>3.0092592592592116E-3</v>
          </cell>
        </row>
        <row r="1234">
          <cell r="G1234">
            <v>4.4791666666667562E-3</v>
          </cell>
        </row>
        <row r="1235">
          <cell r="G1235">
            <v>3.8541666666666585E-3</v>
          </cell>
        </row>
        <row r="1236">
          <cell r="G1236">
            <v>1.8865740740740711E-2</v>
          </cell>
        </row>
        <row r="1237">
          <cell r="G1237">
            <v>2.6157407407406685E-3</v>
          </cell>
        </row>
        <row r="1238">
          <cell r="G1238">
            <v>3.4490740740740211E-3</v>
          </cell>
        </row>
        <row r="1239">
          <cell r="G1239">
            <v>2.8240740740740899E-3</v>
          </cell>
        </row>
        <row r="1240">
          <cell r="G1240">
            <v>2.4768518518518134E-3</v>
          </cell>
        </row>
        <row r="1241">
          <cell r="G1241">
            <v>2.1342592592592635E-2</v>
          </cell>
        </row>
        <row r="1242">
          <cell r="G1242">
            <v>2.4305555555554914E-3</v>
          </cell>
        </row>
        <row r="1243">
          <cell r="G1243">
            <v>1.1030092592592577E-2</v>
          </cell>
        </row>
        <row r="1244">
          <cell r="G1244">
            <v>1.3807870370370456E-2</v>
          </cell>
        </row>
        <row r="1245">
          <cell r="G1245">
            <v>1.5532407407407356E-2</v>
          </cell>
        </row>
        <row r="1246">
          <cell r="G1246">
            <v>2.4305555555554914E-3</v>
          </cell>
        </row>
        <row r="1247">
          <cell r="G1247">
            <v>8.3333333333333037E-3</v>
          </cell>
        </row>
        <row r="1248">
          <cell r="G1248">
            <v>5.3587962962962088E-3</v>
          </cell>
        </row>
        <row r="1249">
          <cell r="G1249">
            <v>3.5300925925926263E-3</v>
          </cell>
        </row>
        <row r="1250">
          <cell r="G1250">
            <v>3.6689814814814259E-3</v>
          </cell>
        </row>
        <row r="1251">
          <cell r="G1251">
            <v>1.663194444444438E-2</v>
          </cell>
        </row>
        <row r="1252">
          <cell r="G1252">
            <v>5.0347222222222321E-3</v>
          </cell>
        </row>
        <row r="1253">
          <cell r="G1253">
            <v>4.456018518518623E-3</v>
          </cell>
        </row>
        <row r="1254">
          <cell r="G1254">
            <v>2.4884259259259078E-3</v>
          </cell>
        </row>
        <row r="1255">
          <cell r="G1255">
            <v>8.2638888888888484E-3</v>
          </cell>
        </row>
        <row r="1256">
          <cell r="G1256">
            <v>7.7546296296296946E-3</v>
          </cell>
        </row>
        <row r="1257">
          <cell r="G1257">
            <v>8.3680555555556424E-3</v>
          </cell>
        </row>
        <row r="1258">
          <cell r="G1258">
            <v>2.0439814814814827E-2</v>
          </cell>
        </row>
        <row r="1259">
          <cell r="G1259">
            <v>8.0439814814814437E-3</v>
          </cell>
        </row>
        <row r="1260">
          <cell r="G1260">
            <v>8.0787037037037823E-3</v>
          </cell>
        </row>
        <row r="1261">
          <cell r="G1261">
            <v>1.5798611111111138E-2</v>
          </cell>
        </row>
        <row r="1262">
          <cell r="G1262">
            <v>1.8043981481481453E-2</v>
          </cell>
        </row>
        <row r="1263">
          <cell r="G1263">
            <v>1.8923611111111072E-2</v>
          </cell>
        </row>
        <row r="1264">
          <cell r="G1264">
            <v>1.9201388888888893E-2</v>
          </cell>
        </row>
        <row r="1265">
          <cell r="G1265">
            <v>1.8738425925926006E-2</v>
          </cell>
        </row>
        <row r="1266">
          <cell r="G1266">
            <v>1.706018518518515E-2</v>
          </cell>
        </row>
        <row r="1267">
          <cell r="G1267">
            <v>1.7627314814814832E-2</v>
          </cell>
        </row>
        <row r="1268">
          <cell r="G1268">
            <v>2.4004629629629681E-2</v>
          </cell>
        </row>
        <row r="1269">
          <cell r="G1269">
            <v>2.2708333333333441E-2</v>
          </cell>
        </row>
        <row r="1270">
          <cell r="G1270">
            <v>2.673611111111196E-3</v>
          </cell>
        </row>
        <row r="1271">
          <cell r="G1271">
            <v>2.7523148148148158E-2</v>
          </cell>
        </row>
        <row r="1272">
          <cell r="G1272">
            <v>4.9189814814814548E-3</v>
          </cell>
        </row>
        <row r="1273">
          <cell r="G1273">
            <v>1.5578703703703678E-2</v>
          </cell>
        </row>
        <row r="1274">
          <cell r="G1274">
            <v>1.8622685185185173E-2</v>
          </cell>
        </row>
        <row r="1275">
          <cell r="G1275">
            <v>1.5023148148148202E-2</v>
          </cell>
        </row>
        <row r="1276">
          <cell r="G1276">
            <v>2.3379629629629584E-3</v>
          </cell>
        </row>
        <row r="1277">
          <cell r="G1277">
            <v>1.1562499999999976E-2</v>
          </cell>
        </row>
        <row r="1278">
          <cell r="G1278">
            <v>1.2939814814814765E-2</v>
          </cell>
        </row>
        <row r="1279">
          <cell r="G1279">
            <v>9.2708333333333393E-3</v>
          </cell>
        </row>
        <row r="1280">
          <cell r="G1280">
            <v>9.9884259259259145E-3</v>
          </cell>
        </row>
        <row r="1281">
          <cell r="G1281">
            <v>1.018518518518513E-2</v>
          </cell>
        </row>
        <row r="1282">
          <cell r="G1282">
            <v>1.0034722222222181E-2</v>
          </cell>
        </row>
        <row r="1283">
          <cell r="G1283">
            <v>3.6689814814814814E-3</v>
          </cell>
        </row>
        <row r="1284">
          <cell r="G1284">
            <v>2.5231481481481355E-3</v>
          </cell>
        </row>
        <row r="1285">
          <cell r="G1285">
            <v>6.6203703703703876E-3</v>
          </cell>
        </row>
        <row r="1286">
          <cell r="G1286">
            <v>1.1562499999999976E-2</v>
          </cell>
        </row>
        <row r="1287">
          <cell r="G1287">
            <v>3.6111111111111205E-3</v>
          </cell>
        </row>
        <row r="1288">
          <cell r="G1288">
            <v>8.2638888888889039E-3</v>
          </cell>
        </row>
        <row r="1289">
          <cell r="G1289">
            <v>6.7708333333332815E-3</v>
          </cell>
        </row>
        <row r="1290">
          <cell r="G1290">
            <v>9.594907407407427E-3</v>
          </cell>
        </row>
        <row r="1291">
          <cell r="G1291">
            <v>9.4444444444444775E-3</v>
          </cell>
        </row>
        <row r="1292">
          <cell r="G1292">
            <v>9.3865740740741166E-3</v>
          </cell>
        </row>
        <row r="1293">
          <cell r="G1293">
            <v>8.6574074074073915E-3</v>
          </cell>
        </row>
        <row r="1294">
          <cell r="G1294">
            <v>4.1435185185184631E-3</v>
          </cell>
        </row>
        <row r="1295">
          <cell r="G1295">
            <v>3.76157407407407E-3</v>
          </cell>
        </row>
        <row r="1296">
          <cell r="G1296">
            <v>2.4074074074074137E-3</v>
          </cell>
        </row>
        <row r="1297">
          <cell r="G1297">
            <v>1.0370370370370363E-2</v>
          </cell>
        </row>
        <row r="1298">
          <cell r="G1298">
            <v>2.7060185185185159E-2</v>
          </cell>
        </row>
        <row r="1299">
          <cell r="G1299">
            <v>1.8472222222222223E-2</v>
          </cell>
        </row>
        <row r="1300">
          <cell r="G1300">
            <v>3.067129629629628E-3</v>
          </cell>
        </row>
        <row r="1301">
          <cell r="G1301">
            <v>8.3449074074073426E-3</v>
          </cell>
        </row>
        <row r="1302">
          <cell r="G1302">
            <v>1.0671296296296262E-2</v>
          </cell>
        </row>
        <row r="1303">
          <cell r="G1303">
            <v>7.3958333333332682E-3</v>
          </cell>
        </row>
        <row r="1304">
          <cell r="G1304">
            <v>1.7372685185185199E-2</v>
          </cell>
        </row>
        <row r="1305">
          <cell r="G1305">
            <v>1.0821759259259212E-2</v>
          </cell>
        </row>
        <row r="1306">
          <cell r="G1306">
            <v>1.0347222222222174E-2</v>
          </cell>
        </row>
        <row r="1307">
          <cell r="G1307">
            <v>1.3414351851851802E-2</v>
          </cell>
        </row>
        <row r="1308">
          <cell r="G1308">
            <v>4.9537037037036269E-3</v>
          </cell>
        </row>
        <row r="1309">
          <cell r="G1309">
            <v>4.7337962962963331E-3</v>
          </cell>
        </row>
        <row r="1310">
          <cell r="G1310">
            <v>1.3622685185185057E-2</v>
          </cell>
        </row>
        <row r="1311">
          <cell r="G1311">
            <v>1.1134259259259149E-2</v>
          </cell>
        </row>
        <row r="1312">
          <cell r="G1312">
            <v>2.1527777777777812E-3</v>
          </cell>
        </row>
        <row r="1313">
          <cell r="G1313">
            <v>1.0393518518518441E-2</v>
          </cell>
        </row>
        <row r="1314">
          <cell r="G1314">
            <v>7.2800925925926574E-3</v>
          </cell>
        </row>
        <row r="1315">
          <cell r="G1315">
            <v>1.70717592592593E-2</v>
          </cell>
        </row>
        <row r="1316">
          <cell r="G1316">
            <v>1.4155092592592622E-2</v>
          </cell>
        </row>
        <row r="1317">
          <cell r="G1317">
            <v>9.791666666666643E-3</v>
          </cell>
        </row>
        <row r="1318">
          <cell r="G1318">
            <v>1.2372685185185195E-2</v>
          </cell>
        </row>
        <row r="1319">
          <cell r="G1319">
            <v>1.2187500000000018E-2</v>
          </cell>
        </row>
        <row r="1320">
          <cell r="G1320">
            <v>3.7847222222222587E-3</v>
          </cell>
        </row>
        <row r="1321">
          <cell r="G1321">
            <v>1.7025462962962923E-2</v>
          </cell>
        </row>
        <row r="1322">
          <cell r="G1322">
            <v>3.8888888888889417E-3</v>
          </cell>
        </row>
        <row r="1323">
          <cell r="G1323">
            <v>3.0555555555555891E-3</v>
          </cell>
        </row>
        <row r="1324">
          <cell r="G1324">
            <v>1.0243055555555547E-2</v>
          </cell>
        </row>
        <row r="1325">
          <cell r="G1325">
            <v>4.0624999999999689E-3</v>
          </cell>
        </row>
        <row r="1326">
          <cell r="G1326">
            <v>7.5347222222222343E-3</v>
          </cell>
        </row>
        <row r="1327">
          <cell r="G1327">
            <v>3.1944444444444442E-3</v>
          </cell>
        </row>
        <row r="1328">
          <cell r="G1328">
            <v>1.2638888888888866E-2</v>
          </cell>
        </row>
        <row r="1329">
          <cell r="G1329">
            <v>8.1250000000000488E-3</v>
          </cell>
        </row>
        <row r="1330">
          <cell r="G1330">
            <v>1.1377314814814798E-2</v>
          </cell>
        </row>
        <row r="1331">
          <cell r="G1331">
            <v>8.900462962962874E-3</v>
          </cell>
        </row>
        <row r="1332">
          <cell r="G1332">
            <v>3.2060185185185386E-3</v>
          </cell>
        </row>
        <row r="1333">
          <cell r="G1333">
            <v>4.8148148148148273E-3</v>
          </cell>
        </row>
        <row r="1334">
          <cell r="G1334">
            <v>8.900462962962985E-3</v>
          </cell>
        </row>
        <row r="1335">
          <cell r="G1335">
            <v>1.280092592592591E-2</v>
          </cell>
        </row>
        <row r="1336">
          <cell r="G1336">
            <v>6.0300925925926285E-3</v>
          </cell>
        </row>
        <row r="1337">
          <cell r="G1337">
            <v>8.9583333333332904E-3</v>
          </cell>
        </row>
        <row r="1338">
          <cell r="G1338">
            <v>2.5810185185185519E-3</v>
          </cell>
        </row>
        <row r="1339">
          <cell r="G1339">
            <v>1.5231481481481568E-2</v>
          </cell>
        </row>
        <row r="1340">
          <cell r="G1340">
            <v>2.5578703703703631E-3</v>
          </cell>
        </row>
        <row r="1341">
          <cell r="G1341">
            <v>9.8958333333333259E-3</v>
          </cell>
        </row>
        <row r="1342">
          <cell r="G1342">
            <v>1.0486111111111085E-2</v>
          </cell>
        </row>
        <row r="1343">
          <cell r="G1343">
            <v>3.7384259259259922E-3</v>
          </cell>
        </row>
        <row r="1344">
          <cell r="G1344">
            <v>1.5173611111111041E-2</v>
          </cell>
        </row>
        <row r="1345">
          <cell r="G1345">
            <v>6.0069444444443842E-3</v>
          </cell>
        </row>
        <row r="1346">
          <cell r="G1346">
            <v>2.5462962962962132E-3</v>
          </cell>
        </row>
        <row r="1347">
          <cell r="G1347">
            <v>2.2800925925925419E-3</v>
          </cell>
        </row>
        <row r="1348">
          <cell r="G1348">
            <v>8.1018518518518601E-3</v>
          </cell>
        </row>
        <row r="1349">
          <cell r="G1349">
            <v>2.372685185185297E-3</v>
          </cell>
        </row>
        <row r="1350">
          <cell r="G1350">
            <v>1.9247685185185159E-2</v>
          </cell>
        </row>
        <row r="1351">
          <cell r="G1351">
            <v>2.1481481481481546E-2</v>
          </cell>
        </row>
        <row r="1352">
          <cell r="G1352">
            <v>1.3483796296296258E-2</v>
          </cell>
        </row>
        <row r="1353">
          <cell r="G1353">
            <v>3.0787037037036669E-3</v>
          </cell>
        </row>
        <row r="1354">
          <cell r="G1354">
            <v>1.5358796296296329E-2</v>
          </cell>
        </row>
        <row r="1355">
          <cell r="G1355">
            <v>1.4305555555555571E-2</v>
          </cell>
        </row>
        <row r="1356">
          <cell r="G1356">
            <v>3.46064814814806E-3</v>
          </cell>
        </row>
        <row r="1357">
          <cell r="G1357">
            <v>1.3807870370370456E-2</v>
          </cell>
        </row>
        <row r="1358">
          <cell r="G1358">
            <v>3.1828703703703498E-3</v>
          </cell>
        </row>
        <row r="1359">
          <cell r="G1359">
            <v>6.7592592592591316E-3</v>
          </cell>
        </row>
        <row r="1360">
          <cell r="G1360">
            <v>1.4699074074074003E-2</v>
          </cell>
        </row>
        <row r="1361">
          <cell r="G1361">
            <v>1.7002314814814845E-2</v>
          </cell>
        </row>
        <row r="1362">
          <cell r="G1362">
            <v>3.0555555555555891E-3</v>
          </cell>
        </row>
        <row r="1363">
          <cell r="G1363">
            <v>1.5266203703703685E-2</v>
          </cell>
        </row>
        <row r="1364">
          <cell r="G1364">
            <v>4.2708333333333348E-3</v>
          </cell>
        </row>
        <row r="1365">
          <cell r="G1365">
            <v>1.3298611111110969E-2</v>
          </cell>
        </row>
        <row r="1366">
          <cell r="G1366">
            <v>1.4085648148148167E-2</v>
          </cell>
        </row>
        <row r="1367">
          <cell r="G1367">
            <v>2.5949074074074208E-2</v>
          </cell>
        </row>
        <row r="1368">
          <cell r="G1368">
            <v>3.6458333333332371E-3</v>
          </cell>
        </row>
        <row r="1369">
          <cell r="G1369">
            <v>2.9618055555555522E-2</v>
          </cell>
        </row>
        <row r="1370">
          <cell r="G1370">
            <v>1.3703703703703718E-2</v>
          </cell>
        </row>
        <row r="1371">
          <cell r="G1371">
            <v>1.5127314814814774E-2</v>
          </cell>
        </row>
        <row r="1372">
          <cell r="G1372">
            <v>3.6689814814814814E-3</v>
          </cell>
        </row>
        <row r="1373">
          <cell r="G1373">
            <v>6.4120370370370217E-3</v>
          </cell>
        </row>
        <row r="1374">
          <cell r="G1374">
            <v>1.6111111111111076E-2</v>
          </cell>
        </row>
        <row r="1375">
          <cell r="G1375">
            <v>8.946759259259307E-3</v>
          </cell>
        </row>
        <row r="1376">
          <cell r="G1376">
            <v>4.2939814814815236E-3</v>
          </cell>
        </row>
        <row r="1377">
          <cell r="G1377">
            <v>1.4745370370370381E-2</v>
          </cell>
        </row>
        <row r="1378">
          <cell r="G1378">
            <v>8.2523148148148096E-3</v>
          </cell>
        </row>
        <row r="1379">
          <cell r="G1379">
            <v>9.8495370370370039E-3</v>
          </cell>
        </row>
        <row r="1380">
          <cell r="G1380">
            <v>1.5590277777777828E-2</v>
          </cell>
        </row>
        <row r="1381">
          <cell r="G1381">
            <v>1.4930555555555614E-2</v>
          </cell>
        </row>
        <row r="1382">
          <cell r="G1382">
            <v>3.5300925925926263E-3</v>
          </cell>
        </row>
        <row r="1383">
          <cell r="G1383">
            <v>2.9976851851851727E-3</v>
          </cell>
        </row>
        <row r="1384">
          <cell r="G1384">
            <v>1.7627314814814832E-2</v>
          </cell>
        </row>
        <row r="1385">
          <cell r="G1385">
            <v>1.3217592592592586E-2</v>
          </cell>
        </row>
        <row r="1386">
          <cell r="G1386">
            <v>2.0486111111111205E-2</v>
          </cell>
        </row>
        <row r="1387">
          <cell r="G1387">
            <v>1.4363425925925988E-2</v>
          </cell>
        </row>
        <row r="1388">
          <cell r="G1388">
            <v>1.5868055555555483E-2</v>
          </cell>
        </row>
        <row r="1389">
          <cell r="G1389">
            <v>5.0925925925925375E-3</v>
          </cell>
        </row>
        <row r="1390">
          <cell r="G1390">
            <v>1.2465277777777728E-2</v>
          </cell>
        </row>
        <row r="1391">
          <cell r="G1391">
            <v>5.8217592592593181E-3</v>
          </cell>
        </row>
        <row r="1392">
          <cell r="G1392">
            <v>5.0347222222222321E-3</v>
          </cell>
        </row>
        <row r="1393">
          <cell r="G1393">
            <v>3.5879629629629317E-3</v>
          </cell>
        </row>
        <row r="1394">
          <cell r="G1394">
            <v>1.114583333333341E-2</v>
          </cell>
        </row>
        <row r="1395">
          <cell r="G1395">
            <v>9.490740740740744E-3</v>
          </cell>
        </row>
        <row r="1396">
          <cell r="G1396">
            <v>2.673611111111085E-3</v>
          </cell>
        </row>
        <row r="1397">
          <cell r="G1397">
            <v>1.056712962962969E-2</v>
          </cell>
        </row>
        <row r="1398">
          <cell r="G1398">
            <v>3.0092592592593226E-3</v>
          </cell>
        </row>
        <row r="1399">
          <cell r="G1399">
            <v>5.0347222222222321E-3</v>
          </cell>
        </row>
        <row r="1400">
          <cell r="G1400">
            <v>1.4178240740740811E-2</v>
          </cell>
        </row>
        <row r="1401">
          <cell r="G1401">
            <v>6.7708333333332815E-3</v>
          </cell>
        </row>
        <row r="1402">
          <cell r="G1402">
            <v>1.1307870370370399E-2</v>
          </cell>
        </row>
        <row r="1403">
          <cell r="G1403">
            <v>7.9745370370370994E-3</v>
          </cell>
        </row>
        <row r="1404">
          <cell r="G1404">
            <v>8.3564814814816035E-3</v>
          </cell>
        </row>
        <row r="1405">
          <cell r="G1405">
            <v>3.5300925925925153E-3</v>
          </cell>
        </row>
        <row r="1406">
          <cell r="G1406">
            <v>3.4490740740740211E-3</v>
          </cell>
        </row>
        <row r="1407">
          <cell r="G1407">
            <v>1.5659722222222117E-2</v>
          </cell>
        </row>
        <row r="1408">
          <cell r="G1408">
            <v>2.9456018518518534E-2</v>
          </cell>
        </row>
        <row r="1409">
          <cell r="G1409">
            <v>1.3298611111111081E-2</v>
          </cell>
        </row>
        <row r="1410">
          <cell r="G1410">
            <v>1.418981481481485E-2</v>
          </cell>
        </row>
        <row r="1411">
          <cell r="G1411">
            <v>2.0648148148148082E-2</v>
          </cell>
        </row>
        <row r="1412">
          <cell r="G1412">
            <v>5.0462962962961599E-3</v>
          </cell>
        </row>
        <row r="1413">
          <cell r="G1413">
            <v>1.3333333333333308E-2</v>
          </cell>
        </row>
        <row r="1414">
          <cell r="G1414">
            <v>7.3726851851851904E-3</v>
          </cell>
        </row>
        <row r="1415">
          <cell r="G1415">
            <v>2.1435185185185057E-2</v>
          </cell>
        </row>
        <row r="1416">
          <cell r="G1416">
            <v>1.1562500000000031E-2</v>
          </cell>
        </row>
        <row r="1417">
          <cell r="G1417">
            <v>1.1284722222222099E-2</v>
          </cell>
        </row>
        <row r="1418">
          <cell r="G1418">
            <v>1.2615740740740677E-2</v>
          </cell>
        </row>
        <row r="1419">
          <cell r="G1419">
            <v>9.8842592592593426E-3</v>
          </cell>
        </row>
        <row r="1420">
          <cell r="G1420">
            <v>1.5717592592592644E-2</v>
          </cell>
        </row>
        <row r="1421">
          <cell r="G1421">
            <v>3.4374999999999822E-3</v>
          </cell>
        </row>
        <row r="1422">
          <cell r="G1422">
            <v>4.7685185185185053E-3</v>
          </cell>
        </row>
        <row r="1423">
          <cell r="G1423">
            <v>8.7615740740740744E-3</v>
          </cell>
        </row>
        <row r="1424">
          <cell r="G1424">
            <v>2.4652777777777746E-3</v>
          </cell>
        </row>
        <row r="1425">
          <cell r="G1425">
            <v>9.0624999999999734E-3</v>
          </cell>
        </row>
        <row r="1426">
          <cell r="G1426">
            <v>9.9537037037036868E-3</v>
          </cell>
        </row>
        <row r="1427">
          <cell r="G1427">
            <v>1.4328703703703705E-2</v>
          </cell>
        </row>
        <row r="1428">
          <cell r="G1428">
            <v>1.5081018518518507E-2</v>
          </cell>
        </row>
        <row r="1429">
          <cell r="G1429">
            <v>9.490740740740744E-3</v>
          </cell>
        </row>
        <row r="1430">
          <cell r="G1430">
            <v>3.5763888888888928E-3</v>
          </cell>
        </row>
        <row r="1431">
          <cell r="G1431">
            <v>9.594907407407427E-3</v>
          </cell>
        </row>
        <row r="1432">
          <cell r="G1432">
            <v>4.0162037037037024E-3</v>
          </cell>
        </row>
        <row r="1433">
          <cell r="G1433">
            <v>3.8888888888888862E-3</v>
          </cell>
        </row>
        <row r="1434">
          <cell r="G1434">
            <v>3.2407407407407662E-3</v>
          </cell>
        </row>
        <row r="1435">
          <cell r="G1435">
            <v>1.0648148148148184E-2</v>
          </cell>
        </row>
        <row r="1436">
          <cell r="G1436">
            <v>2.2453703703704253E-3</v>
          </cell>
        </row>
        <row r="1437">
          <cell r="G1437">
            <v>2.476851851851869E-3</v>
          </cell>
        </row>
        <row r="1438">
          <cell r="G1438">
            <v>9.4328703703704386E-3</v>
          </cell>
        </row>
        <row r="1439">
          <cell r="G1439">
            <v>1.1747685185185153E-2</v>
          </cell>
        </row>
        <row r="1440">
          <cell r="G1440">
            <v>4.5717592592592338E-3</v>
          </cell>
        </row>
        <row r="1441">
          <cell r="G1441">
            <v>8.6689814814815414E-3</v>
          </cell>
        </row>
        <row r="1442">
          <cell r="G1442">
            <v>8.2638888888889594E-3</v>
          </cell>
        </row>
        <row r="1443">
          <cell r="G1443">
            <v>5.7870370370370905E-3</v>
          </cell>
        </row>
        <row r="1444">
          <cell r="G1444">
            <v>3.4722222222221544E-3</v>
          </cell>
        </row>
        <row r="1445">
          <cell r="G1445">
            <v>2.8125000000000511E-3</v>
          </cell>
        </row>
        <row r="1446">
          <cell r="G1446">
            <v>1.048611111111114E-2</v>
          </cell>
        </row>
        <row r="1447">
          <cell r="G1447">
            <v>3.1597222222222165E-3</v>
          </cell>
        </row>
        <row r="1448">
          <cell r="G1448">
            <v>2.8356481481481843E-3</v>
          </cell>
        </row>
        <row r="1449">
          <cell r="G1449">
            <v>1.4270833333333344E-2</v>
          </cell>
        </row>
        <row r="1450">
          <cell r="G1450">
            <v>2.8935185185186008E-3</v>
          </cell>
        </row>
        <row r="1451">
          <cell r="G1451">
            <v>1.6967592592592617E-2</v>
          </cell>
        </row>
        <row r="1452">
          <cell r="G1452">
            <v>1.6458333333333242E-2</v>
          </cell>
        </row>
        <row r="1453">
          <cell r="G1453">
            <v>1.2986111111111032E-2</v>
          </cell>
        </row>
        <row r="1454">
          <cell r="G1454">
            <v>2.4884259259259078E-3</v>
          </cell>
        </row>
        <row r="1455">
          <cell r="G1455">
            <v>2.5000000000000577E-3</v>
          </cell>
        </row>
        <row r="1456">
          <cell r="G1456">
            <v>7.0833333333333304E-3</v>
          </cell>
        </row>
        <row r="1457">
          <cell r="G1457">
            <v>2.6157407407407796E-3</v>
          </cell>
        </row>
        <row r="1458">
          <cell r="G1458">
            <v>1.1724537037037019E-2</v>
          </cell>
        </row>
        <row r="1459">
          <cell r="G1459">
            <v>1.0717592592592529E-2</v>
          </cell>
        </row>
        <row r="1460">
          <cell r="G1460">
            <v>3.263888888888844E-3</v>
          </cell>
        </row>
        <row r="1461">
          <cell r="G1461">
            <v>2.4652777777777191E-3</v>
          </cell>
        </row>
        <row r="1462">
          <cell r="G1462">
            <v>3.9120370370369084E-3</v>
          </cell>
        </row>
        <row r="1463">
          <cell r="G1463">
            <v>1.3726851851851851E-2</v>
          </cell>
        </row>
        <row r="1464">
          <cell r="G1464">
            <v>1.1689814814814792E-2</v>
          </cell>
        </row>
        <row r="1465">
          <cell r="G1465">
            <v>1.1886574074074119E-2</v>
          </cell>
        </row>
        <row r="1466">
          <cell r="G1466">
            <v>4.745370370370483E-3</v>
          </cell>
        </row>
        <row r="1467">
          <cell r="G1467">
            <v>1.6307870370370403E-2</v>
          </cell>
        </row>
        <row r="1468">
          <cell r="G1468">
            <v>1.6168981481481381E-2</v>
          </cell>
        </row>
        <row r="1469">
          <cell r="G1469">
            <v>2.4837962962962923E-2</v>
          </cell>
        </row>
        <row r="1470">
          <cell r="G1470">
            <v>2.7314814814813904E-3</v>
          </cell>
        </row>
      </sheetData>
      <sheetData sheetId="1">
        <row r="3">
          <cell r="G3">
            <v>9.0046296296296124E-3</v>
          </cell>
        </row>
        <row r="4">
          <cell r="G4">
            <v>4.2476851851852016E-3</v>
          </cell>
        </row>
        <row r="5">
          <cell r="G5">
            <v>3.8194444444443754E-3</v>
          </cell>
        </row>
        <row r="6">
          <cell r="G6">
            <v>2.8761574074074092E-2</v>
          </cell>
        </row>
        <row r="7">
          <cell r="G7">
            <v>1.2743055555555605E-2</v>
          </cell>
        </row>
        <row r="8">
          <cell r="G8">
            <v>2.5358796296296282E-2</v>
          </cell>
        </row>
        <row r="9">
          <cell r="G9">
            <v>1.2083333333333335E-2</v>
          </cell>
        </row>
        <row r="10">
          <cell r="G10">
            <v>4.1435185185185186E-3</v>
          </cell>
        </row>
        <row r="11">
          <cell r="G11">
            <v>2.0127314814814834E-2</v>
          </cell>
        </row>
        <row r="12">
          <cell r="G12">
            <v>2.8935185185184897E-3</v>
          </cell>
        </row>
        <row r="13">
          <cell r="G13">
            <v>1.7962962962962958E-2</v>
          </cell>
        </row>
        <row r="14">
          <cell r="G14">
            <v>1.7395833333333333E-2</v>
          </cell>
        </row>
        <row r="15">
          <cell r="G15">
            <v>1.3761574074074134E-2</v>
          </cell>
        </row>
        <row r="16">
          <cell r="G16">
            <v>1.5636574074074039E-2</v>
          </cell>
        </row>
        <row r="17">
          <cell r="G17">
            <v>1.0868055555555589E-2</v>
          </cell>
        </row>
        <row r="18">
          <cell r="G18">
            <v>9.6527777777778434E-3</v>
          </cell>
        </row>
        <row r="19">
          <cell r="G19">
            <v>1.3101851851851865E-2</v>
          </cell>
        </row>
        <row r="20">
          <cell r="G20">
            <v>2.6967592592592737E-3</v>
          </cell>
        </row>
        <row r="21">
          <cell r="G21">
            <v>2.0520833333333321E-2</v>
          </cell>
        </row>
        <row r="22">
          <cell r="G22">
            <v>1.128472222222221E-2</v>
          </cell>
        </row>
        <row r="23">
          <cell r="G23">
            <v>1.2418981481481461E-2</v>
          </cell>
        </row>
        <row r="24">
          <cell r="G24">
            <v>1.2951388888888915E-2</v>
          </cell>
        </row>
        <row r="25">
          <cell r="G25">
            <v>7.8587962962962665E-3</v>
          </cell>
        </row>
        <row r="26">
          <cell r="G26">
            <v>2.4305555555554914E-3</v>
          </cell>
        </row>
        <row r="27">
          <cell r="G27">
            <v>2.8009259259258457E-3</v>
          </cell>
        </row>
        <row r="28">
          <cell r="G28">
            <v>1.748842592592581E-2</v>
          </cell>
        </row>
        <row r="29">
          <cell r="G29">
            <v>2.4421296296295303E-3</v>
          </cell>
        </row>
        <row r="30">
          <cell r="G30">
            <v>2.3842592592592249E-3</v>
          </cell>
        </row>
        <row r="31">
          <cell r="G31">
            <v>2.4189814814814525E-3</v>
          </cell>
        </row>
        <row r="32">
          <cell r="G32">
            <v>1.3680555555555474E-2</v>
          </cell>
        </row>
        <row r="33">
          <cell r="G33">
            <v>2.9861111111111338E-3</v>
          </cell>
        </row>
        <row r="34">
          <cell r="G34">
            <v>2.3148148148148806E-3</v>
          </cell>
        </row>
        <row r="35">
          <cell r="G35">
            <v>2.8240740740741455E-3</v>
          </cell>
        </row>
        <row r="36">
          <cell r="G36">
            <v>1.1747685185185208E-2</v>
          </cell>
        </row>
        <row r="37">
          <cell r="G37">
            <v>1.2743055555555549E-2</v>
          </cell>
        </row>
        <row r="38">
          <cell r="G38">
            <v>5.9837962962961955E-3</v>
          </cell>
        </row>
        <row r="39">
          <cell r="G39">
            <v>7.0370370370370638E-3</v>
          </cell>
        </row>
        <row r="40">
          <cell r="G40">
            <v>2.7546296296296902E-3</v>
          </cell>
        </row>
        <row r="41">
          <cell r="G41">
            <v>1.0393518518518552E-2</v>
          </cell>
        </row>
        <row r="42">
          <cell r="G42">
            <v>1.9421296296296298E-2</v>
          </cell>
        </row>
        <row r="43">
          <cell r="G43">
            <v>8.1250000000000488E-3</v>
          </cell>
        </row>
        <row r="44">
          <cell r="G44">
            <v>8.3333333333334147E-3</v>
          </cell>
        </row>
        <row r="45">
          <cell r="G45">
            <v>4.2592592592591849E-3</v>
          </cell>
        </row>
        <row r="46">
          <cell r="G46">
            <v>1.3842592592592573E-2</v>
          </cell>
        </row>
        <row r="47">
          <cell r="G47">
            <v>3.8946759259259278E-2</v>
          </cell>
        </row>
        <row r="48">
          <cell r="G48">
            <v>2.4189814814814525E-3</v>
          </cell>
        </row>
        <row r="49">
          <cell r="G49">
            <v>2.5578703703703631E-3</v>
          </cell>
        </row>
        <row r="50">
          <cell r="G50">
            <v>5.289351851851809E-3</v>
          </cell>
        </row>
        <row r="51">
          <cell r="G51">
            <v>1.2858796296296271E-2</v>
          </cell>
        </row>
        <row r="52">
          <cell r="G52">
            <v>2.3842592592592249E-3</v>
          </cell>
        </row>
        <row r="53">
          <cell r="G53">
            <v>3.958333333333286E-3</v>
          </cell>
        </row>
        <row r="54">
          <cell r="G54">
            <v>7.9745370370369884E-3</v>
          </cell>
        </row>
        <row r="55">
          <cell r="G55">
            <v>7.3958333333333237E-3</v>
          </cell>
        </row>
        <row r="56">
          <cell r="G56">
            <v>6.921296296296231E-3</v>
          </cell>
        </row>
        <row r="57">
          <cell r="G57">
            <v>1.2546296296296278E-2</v>
          </cell>
        </row>
        <row r="58">
          <cell r="G58">
            <v>6.2384259259259389E-3</v>
          </cell>
        </row>
        <row r="59">
          <cell r="G59">
            <v>5.9837962962963065E-3</v>
          </cell>
        </row>
        <row r="60">
          <cell r="G60">
            <v>3.3333333333333548E-3</v>
          </cell>
        </row>
        <row r="61">
          <cell r="G61">
            <v>1.1388888888888893E-2</v>
          </cell>
        </row>
        <row r="62">
          <cell r="G62">
            <v>8.9699074074074403E-3</v>
          </cell>
        </row>
        <row r="63">
          <cell r="G63">
            <v>2.9166666666666785E-3</v>
          </cell>
        </row>
        <row r="64">
          <cell r="G64">
            <v>8.2291666666667318E-3</v>
          </cell>
        </row>
        <row r="65">
          <cell r="G65">
            <v>4.548611111111045E-3</v>
          </cell>
        </row>
        <row r="66">
          <cell r="G66">
            <v>2.7453703703703702E-2</v>
          </cell>
        </row>
        <row r="67">
          <cell r="G67">
            <v>1.8194444444444513E-2</v>
          </cell>
        </row>
        <row r="68">
          <cell r="G68">
            <v>2.569444444444402E-3</v>
          </cell>
        </row>
        <row r="69">
          <cell r="G69">
            <v>5.1504629629629539E-3</v>
          </cell>
        </row>
        <row r="70">
          <cell r="G70">
            <v>3.5995370370370816E-3</v>
          </cell>
        </row>
        <row r="71">
          <cell r="G71">
            <v>3.2060185185185386E-3</v>
          </cell>
        </row>
        <row r="72">
          <cell r="G72">
            <v>1.5775462962962949E-2</v>
          </cell>
        </row>
        <row r="73">
          <cell r="G73">
            <v>1.0706018518518379E-2</v>
          </cell>
        </row>
        <row r="74">
          <cell r="G74">
            <v>1.3067129629629637E-2</v>
          </cell>
        </row>
        <row r="75">
          <cell r="G75">
            <v>1.0381944444444402E-2</v>
          </cell>
        </row>
        <row r="76">
          <cell r="G76">
            <v>3.3912037037037157E-3</v>
          </cell>
        </row>
        <row r="77">
          <cell r="G77">
            <v>1.7488425925925921E-2</v>
          </cell>
        </row>
        <row r="78">
          <cell r="G78">
            <v>1.6898148148148162E-2</v>
          </cell>
        </row>
        <row r="79">
          <cell r="G79">
            <v>3.9351851851852082E-3</v>
          </cell>
        </row>
        <row r="80">
          <cell r="G80">
            <v>1.1643518518518414E-2</v>
          </cell>
        </row>
        <row r="81">
          <cell r="G81">
            <v>1.2025462962963029E-2</v>
          </cell>
        </row>
        <row r="82">
          <cell r="G82">
            <v>1.5625E-2</v>
          </cell>
        </row>
        <row r="83">
          <cell r="G83">
            <v>1.0821759259259323E-2</v>
          </cell>
        </row>
        <row r="84">
          <cell r="G84">
            <v>1.6793981481481479E-2</v>
          </cell>
        </row>
        <row r="85">
          <cell r="G85">
            <v>1.5416666666666634E-2</v>
          </cell>
        </row>
        <row r="86">
          <cell r="G86">
            <v>1.3495370370370408E-2</v>
          </cell>
        </row>
        <row r="87">
          <cell r="G87">
            <v>2.4421296296297523E-3</v>
          </cell>
        </row>
        <row r="88">
          <cell r="G88">
            <v>1.5555555555555545E-2</v>
          </cell>
        </row>
        <row r="89">
          <cell r="G89">
            <v>1.6979166666666767E-2</v>
          </cell>
        </row>
        <row r="90">
          <cell r="G90">
            <v>1.8564814814814756E-2</v>
          </cell>
        </row>
        <row r="91">
          <cell r="G91">
            <v>1.5370370370370368E-2</v>
          </cell>
        </row>
        <row r="92">
          <cell r="G92">
            <v>2.4652777777778301E-3</v>
          </cell>
        </row>
        <row r="93">
          <cell r="G93">
            <v>1.6446759259259314E-2</v>
          </cell>
        </row>
        <row r="94">
          <cell r="G94">
            <v>2.3495370370369972E-3</v>
          </cell>
        </row>
        <row r="95">
          <cell r="G95">
            <v>1.8009259259259225E-2</v>
          </cell>
        </row>
        <row r="96">
          <cell r="G96">
            <v>1.7256944444444366E-2</v>
          </cell>
        </row>
        <row r="97">
          <cell r="G97">
            <v>1.446759259259256E-2</v>
          </cell>
        </row>
        <row r="98">
          <cell r="G98">
            <v>1.8298611111111085E-2</v>
          </cell>
        </row>
        <row r="99">
          <cell r="G99">
            <v>3.1249999999999334E-3</v>
          </cell>
        </row>
        <row r="100">
          <cell r="G100">
            <v>3.6342592592592537E-3</v>
          </cell>
        </row>
        <row r="101">
          <cell r="G101">
            <v>9.6527777777777879E-3</v>
          </cell>
        </row>
        <row r="102">
          <cell r="G102">
            <v>1.4016203703703711E-2</v>
          </cell>
        </row>
        <row r="103">
          <cell r="G103">
            <v>2.611111111111114E-2</v>
          </cell>
        </row>
        <row r="104">
          <cell r="G104">
            <v>9.4097222222222499E-3</v>
          </cell>
        </row>
        <row r="105">
          <cell r="G105">
            <v>1.7881944444444464E-2</v>
          </cell>
        </row>
        <row r="106">
          <cell r="G106">
            <v>1.4537037037037015E-2</v>
          </cell>
        </row>
        <row r="107">
          <cell r="G107">
            <v>2.0972222222222281E-2</v>
          </cell>
        </row>
        <row r="108">
          <cell r="G108">
            <v>1.1342592592592626E-2</v>
          </cell>
        </row>
        <row r="109">
          <cell r="G109">
            <v>2.402777777777787E-2</v>
          </cell>
        </row>
        <row r="110">
          <cell r="G110">
            <v>1.5162037037037113E-2</v>
          </cell>
        </row>
        <row r="111">
          <cell r="G111">
            <v>1.7476851851851771E-2</v>
          </cell>
        </row>
        <row r="112">
          <cell r="G112">
            <v>1.7604166666666643E-2</v>
          </cell>
        </row>
        <row r="113">
          <cell r="G113">
            <v>1.4988425925925863E-2</v>
          </cell>
        </row>
        <row r="114">
          <cell r="G114">
            <v>1.4074074074074017E-2</v>
          </cell>
        </row>
        <row r="115">
          <cell r="G115">
            <v>2.3495370370369972E-3</v>
          </cell>
        </row>
        <row r="116">
          <cell r="G116">
            <v>1.143518518518527E-2</v>
          </cell>
        </row>
        <row r="117">
          <cell r="G117">
            <v>1.5821759259259327E-2</v>
          </cell>
        </row>
        <row r="118">
          <cell r="G118">
            <v>1.0717592592592529E-2</v>
          </cell>
        </row>
        <row r="119">
          <cell r="G119">
            <v>1.1412037037036971E-2</v>
          </cell>
        </row>
        <row r="120">
          <cell r="G120">
            <v>1.4212962962963038E-2</v>
          </cell>
        </row>
        <row r="121">
          <cell r="G121">
            <v>1.6840277777777746E-2</v>
          </cell>
        </row>
        <row r="122">
          <cell r="G122">
            <v>2.1157407407407347E-2</v>
          </cell>
        </row>
        <row r="123">
          <cell r="G123">
            <v>2.0219907407407312E-2</v>
          </cell>
        </row>
        <row r="124">
          <cell r="G124">
            <v>2.0011574074074057E-2</v>
          </cell>
        </row>
        <row r="125">
          <cell r="G125">
            <v>1.8437499999999996E-2</v>
          </cell>
        </row>
        <row r="126">
          <cell r="G126">
            <v>1.6793981481481479E-2</v>
          </cell>
        </row>
        <row r="127">
          <cell r="G127">
            <v>2.5729166666666692E-2</v>
          </cell>
        </row>
        <row r="128">
          <cell r="G128">
            <v>1.8206018518518663E-2</v>
          </cell>
        </row>
        <row r="129">
          <cell r="G129">
            <v>1.6562499999999925E-2</v>
          </cell>
        </row>
        <row r="130">
          <cell r="G130">
            <v>8.7731481481482243E-3</v>
          </cell>
        </row>
        <row r="131">
          <cell r="G131">
            <v>1.099537037037035E-2</v>
          </cell>
        </row>
        <row r="132">
          <cell r="G132">
            <v>1.8553240740740717E-2</v>
          </cell>
        </row>
        <row r="133">
          <cell r="G133">
            <v>1.5694444444444566E-2</v>
          </cell>
        </row>
        <row r="134">
          <cell r="G134">
            <v>1.9270833333333348E-2</v>
          </cell>
        </row>
        <row r="135">
          <cell r="G135">
            <v>3.8310185185185253E-3</v>
          </cell>
        </row>
        <row r="136">
          <cell r="G136">
            <v>2.4247685185185275E-2</v>
          </cell>
        </row>
        <row r="137">
          <cell r="G137">
            <v>1.6469907407407447E-2</v>
          </cell>
        </row>
        <row r="138">
          <cell r="G138">
            <v>2.8009259259259012E-3</v>
          </cell>
        </row>
        <row r="139">
          <cell r="G139">
            <v>5.93750000000004E-3</v>
          </cell>
        </row>
        <row r="140">
          <cell r="G140">
            <v>1.3437499999999991E-2</v>
          </cell>
        </row>
        <row r="141">
          <cell r="G141">
            <v>4.5717592592592338E-3</v>
          </cell>
        </row>
        <row r="142">
          <cell r="G142">
            <v>1.1736111111111114E-2</v>
          </cell>
        </row>
        <row r="143">
          <cell r="G143">
            <v>2.9629629629630005E-3</v>
          </cell>
        </row>
        <row r="144">
          <cell r="G144">
            <v>2.6273148148148184E-3</v>
          </cell>
        </row>
        <row r="145">
          <cell r="G145">
            <v>1.460648148148147E-2</v>
          </cell>
        </row>
        <row r="146">
          <cell r="G146">
            <v>1.3749999999999984E-2</v>
          </cell>
        </row>
        <row r="147">
          <cell r="G147">
            <v>9.9537037037036868E-3</v>
          </cell>
        </row>
        <row r="148">
          <cell r="G148">
            <v>9.0277777777777457E-3</v>
          </cell>
        </row>
        <row r="149">
          <cell r="G149">
            <v>1.3321759259259214E-2</v>
          </cell>
        </row>
        <row r="150">
          <cell r="G150">
            <v>2.7546296296296346E-3</v>
          </cell>
        </row>
        <row r="151">
          <cell r="G151">
            <v>6.9212962962962865E-3</v>
          </cell>
        </row>
        <row r="152">
          <cell r="G152">
            <v>1.2696759259259283E-2</v>
          </cell>
        </row>
        <row r="153">
          <cell r="G153">
            <v>3.5532407407407596E-3</v>
          </cell>
        </row>
        <row r="154">
          <cell r="G154">
            <v>1.1898148148148158E-2</v>
          </cell>
        </row>
        <row r="155">
          <cell r="G155">
            <v>3.1018518518518556E-3</v>
          </cell>
        </row>
        <row r="156">
          <cell r="G156">
            <v>7.7777777777778279E-3</v>
          </cell>
        </row>
        <row r="157">
          <cell r="G157">
            <v>2.2268518518518576E-2</v>
          </cell>
        </row>
        <row r="158">
          <cell r="G158">
            <v>1.2511574074074105E-2</v>
          </cell>
        </row>
        <row r="159">
          <cell r="G159">
            <v>1.0185185185185186E-2</v>
          </cell>
        </row>
        <row r="160">
          <cell r="G160">
            <v>3.0092592592592671E-3</v>
          </cell>
        </row>
        <row r="161">
          <cell r="G161">
            <v>5.4745370370369861E-3</v>
          </cell>
        </row>
        <row r="162">
          <cell r="G162">
            <v>7.8703703703704719E-3</v>
          </cell>
        </row>
        <row r="163">
          <cell r="G163">
            <v>3.3449074074073382E-3</v>
          </cell>
        </row>
        <row r="164">
          <cell r="G164">
            <v>1.2175925925925868E-2</v>
          </cell>
        </row>
        <row r="165">
          <cell r="G165">
            <v>9.1898148148147341E-3</v>
          </cell>
        </row>
        <row r="166">
          <cell r="G166">
            <v>4.2361111111111072E-3</v>
          </cell>
        </row>
        <row r="167">
          <cell r="G167">
            <v>1.2060185185185257E-2</v>
          </cell>
        </row>
        <row r="168">
          <cell r="G168">
            <v>4.2708333333333348E-3</v>
          </cell>
        </row>
        <row r="169">
          <cell r="G169">
            <v>1.085648148148155E-2</v>
          </cell>
        </row>
        <row r="170">
          <cell r="G170">
            <v>1.2974537037036993E-2</v>
          </cell>
        </row>
        <row r="171">
          <cell r="G171">
            <v>1.7534722222222188E-2</v>
          </cell>
        </row>
        <row r="172">
          <cell r="G172">
            <v>1.4884259259259291E-2</v>
          </cell>
        </row>
        <row r="173">
          <cell r="G173">
            <v>8.3217592592592649E-3</v>
          </cell>
        </row>
        <row r="174">
          <cell r="G174">
            <v>8.4374999999999867E-3</v>
          </cell>
        </row>
        <row r="175">
          <cell r="G175">
            <v>4.5138888888888173E-3</v>
          </cell>
        </row>
        <row r="176">
          <cell r="G176">
            <v>2.3379629629629695E-2</v>
          </cell>
        </row>
        <row r="177">
          <cell r="G177">
            <v>4.4907407407406286E-3</v>
          </cell>
        </row>
        <row r="178">
          <cell r="G178">
            <v>2.3611111111111471E-3</v>
          </cell>
        </row>
        <row r="179">
          <cell r="G179">
            <v>3.5532407407407041E-3</v>
          </cell>
        </row>
        <row r="180">
          <cell r="G180">
            <v>4.4212962962963953E-3</v>
          </cell>
        </row>
        <row r="181">
          <cell r="G181">
            <v>9.8495370370370594E-3</v>
          </cell>
        </row>
        <row r="182">
          <cell r="G182">
            <v>1.0636574074074034E-2</v>
          </cell>
        </row>
        <row r="183">
          <cell r="G183">
            <v>2.1458333333333357E-2</v>
          </cell>
        </row>
        <row r="184">
          <cell r="G184">
            <v>4.2013888888888795E-3</v>
          </cell>
        </row>
        <row r="185">
          <cell r="G185">
            <v>1.2557870370370372E-2</v>
          </cell>
        </row>
        <row r="186">
          <cell r="G186">
            <v>7.8935185185184942E-3</v>
          </cell>
        </row>
        <row r="187">
          <cell r="G187">
            <v>5.6597222222222188E-3</v>
          </cell>
        </row>
        <row r="188">
          <cell r="G188">
            <v>8.7500000000000355E-3</v>
          </cell>
        </row>
        <row r="189">
          <cell r="G189">
            <v>9.1319444444444287E-3</v>
          </cell>
        </row>
        <row r="190">
          <cell r="G190">
            <v>6.8518518518518867E-3</v>
          </cell>
        </row>
        <row r="191">
          <cell r="G191">
            <v>1.3148148148148131E-2</v>
          </cell>
        </row>
        <row r="192">
          <cell r="G192">
            <v>3.76157407407407E-3</v>
          </cell>
        </row>
        <row r="193">
          <cell r="G193">
            <v>4.0162037037037024E-3</v>
          </cell>
        </row>
        <row r="194">
          <cell r="G194">
            <v>1.1041666666666727E-2</v>
          </cell>
        </row>
        <row r="195">
          <cell r="G195">
            <v>2.3148148148148806E-3</v>
          </cell>
        </row>
        <row r="196">
          <cell r="G196">
            <v>1.3391203703703725E-2</v>
          </cell>
        </row>
        <row r="197">
          <cell r="G197">
            <v>2.4884259259260189E-3</v>
          </cell>
        </row>
        <row r="198">
          <cell r="G198">
            <v>2.5347222222221744E-3</v>
          </cell>
        </row>
        <row r="199">
          <cell r="G199">
            <v>4.0972222222221966E-3</v>
          </cell>
        </row>
        <row r="200">
          <cell r="G200">
            <v>7.7662037037038445E-3</v>
          </cell>
        </row>
        <row r="201">
          <cell r="G201">
            <v>7.1643518518518245E-3</v>
          </cell>
        </row>
        <row r="202">
          <cell r="G202">
            <v>2.3090277777777835E-2</v>
          </cell>
        </row>
        <row r="203">
          <cell r="G203">
            <v>2.7430555555554847E-3</v>
          </cell>
        </row>
        <row r="204">
          <cell r="G204">
            <v>1.4988425925925919E-2</v>
          </cell>
        </row>
        <row r="205">
          <cell r="G205">
            <v>1.3784722222222157E-2</v>
          </cell>
        </row>
        <row r="206">
          <cell r="G206">
            <v>9.2939814814814725E-3</v>
          </cell>
        </row>
        <row r="207">
          <cell r="G207">
            <v>2.8587962962962621E-3</v>
          </cell>
        </row>
        <row r="208">
          <cell r="G208">
            <v>3.8078703703703365E-3</v>
          </cell>
        </row>
        <row r="209">
          <cell r="G209">
            <v>3.3680555555555269E-3</v>
          </cell>
        </row>
        <row r="210">
          <cell r="G210">
            <v>4.351851851851829E-3</v>
          </cell>
        </row>
        <row r="211">
          <cell r="G211">
            <v>1.1805555555555569E-2</v>
          </cell>
        </row>
        <row r="212">
          <cell r="G212">
            <v>1.4386574074074066E-2</v>
          </cell>
        </row>
        <row r="213">
          <cell r="G213">
            <v>2.9050925925925841E-3</v>
          </cell>
        </row>
        <row r="214">
          <cell r="G214">
            <v>3.2638888888888995E-3</v>
          </cell>
        </row>
        <row r="215">
          <cell r="G215">
            <v>8.4953703703703476E-3</v>
          </cell>
        </row>
        <row r="216">
          <cell r="G216">
            <v>2.1342592592592635E-2</v>
          </cell>
        </row>
        <row r="217">
          <cell r="G217">
            <v>2.3298611111111089E-2</v>
          </cell>
        </row>
        <row r="218">
          <cell r="G218">
            <v>2.372685185185075E-3</v>
          </cell>
        </row>
        <row r="219">
          <cell r="G219">
            <v>1.2812499999999893E-2</v>
          </cell>
        </row>
        <row r="220">
          <cell r="G220">
            <v>1.9131944444444438E-2</v>
          </cell>
        </row>
        <row r="221">
          <cell r="G221">
            <v>1.6585648148148113E-2</v>
          </cell>
        </row>
        <row r="222">
          <cell r="G222">
            <v>2.17592592592597E-3</v>
          </cell>
        </row>
        <row r="223">
          <cell r="G223">
            <v>1.3981481481481373E-2</v>
          </cell>
        </row>
        <row r="224">
          <cell r="G224">
            <v>1.4074074074074017E-2</v>
          </cell>
        </row>
        <row r="225">
          <cell r="G225">
            <v>1.3784722222222157E-2</v>
          </cell>
        </row>
        <row r="226">
          <cell r="G226">
            <v>1.4062499999999978E-2</v>
          </cell>
        </row>
        <row r="227">
          <cell r="G227">
            <v>1.1770833333333286E-2</v>
          </cell>
        </row>
        <row r="228">
          <cell r="G228">
            <v>8.3564814814814925E-3</v>
          </cell>
        </row>
        <row r="229">
          <cell r="G229">
            <v>2.7777777777777679E-3</v>
          </cell>
        </row>
        <row r="230">
          <cell r="G230">
            <v>7.4884259259260233E-3</v>
          </cell>
        </row>
        <row r="231">
          <cell r="G231">
            <v>1.0092592592592542E-2</v>
          </cell>
        </row>
        <row r="232">
          <cell r="G232">
            <v>3.2291666666667274E-3</v>
          </cell>
        </row>
        <row r="233">
          <cell r="G233">
            <v>1.2951388888888804E-2</v>
          </cell>
        </row>
        <row r="234">
          <cell r="G234">
            <v>2.280092592592764E-3</v>
          </cell>
        </row>
        <row r="235">
          <cell r="G235">
            <v>1.6990740740740695E-2</v>
          </cell>
        </row>
        <row r="236">
          <cell r="G236">
            <v>2.054398148148151E-2</v>
          </cell>
        </row>
        <row r="237">
          <cell r="G237">
            <v>1.1770833333333286E-2</v>
          </cell>
        </row>
        <row r="238">
          <cell r="G238">
            <v>7.418981481481568E-3</v>
          </cell>
        </row>
        <row r="239">
          <cell r="G239">
            <v>2.3495370370371083E-3</v>
          </cell>
        </row>
        <row r="240">
          <cell r="G240">
            <v>4.9768518518518157E-3</v>
          </cell>
        </row>
        <row r="241">
          <cell r="G241">
            <v>2.5833333333333319E-2</v>
          </cell>
        </row>
        <row r="242">
          <cell r="G242">
            <v>1.3171296296296264E-2</v>
          </cell>
        </row>
        <row r="243">
          <cell r="G243">
            <v>5.2893518518518645E-3</v>
          </cell>
        </row>
        <row r="244">
          <cell r="G244">
            <v>1.3206018518518547E-2</v>
          </cell>
        </row>
        <row r="245">
          <cell r="G245">
            <v>9.2708333333333393E-3</v>
          </cell>
        </row>
        <row r="246">
          <cell r="G246">
            <v>8.5416666666666696E-3</v>
          </cell>
        </row>
        <row r="247">
          <cell r="G247">
            <v>1.4618055555555565E-2</v>
          </cell>
        </row>
        <row r="248">
          <cell r="G248">
            <v>1.273148148148151E-2</v>
          </cell>
        </row>
        <row r="249">
          <cell r="G249">
            <v>1.7881944444444464E-2</v>
          </cell>
        </row>
        <row r="250">
          <cell r="G250">
            <v>1.5115740740740735E-2</v>
          </cell>
        </row>
        <row r="251">
          <cell r="G251">
            <v>2.0601851851851927E-3</v>
          </cell>
        </row>
        <row r="252">
          <cell r="G252">
            <v>7.511574074074101E-3</v>
          </cell>
        </row>
        <row r="253">
          <cell r="G253">
            <v>9.2361111111111116E-3</v>
          </cell>
        </row>
        <row r="254">
          <cell r="G254">
            <v>4.9999999999999489E-3</v>
          </cell>
        </row>
        <row r="255">
          <cell r="G255">
            <v>2.5347222222222299E-3</v>
          </cell>
        </row>
        <row r="256">
          <cell r="G256">
            <v>1.7569444444444471E-2</v>
          </cell>
        </row>
        <row r="257">
          <cell r="G257">
            <v>1.2048611111111163E-2</v>
          </cell>
        </row>
        <row r="258">
          <cell r="G258">
            <v>9.0740740740740122E-3</v>
          </cell>
        </row>
        <row r="259">
          <cell r="G259">
            <v>1.8877314814814916E-2</v>
          </cell>
        </row>
        <row r="260">
          <cell r="G260">
            <v>3.4351851851851856E-2</v>
          </cell>
        </row>
        <row r="261">
          <cell r="G261">
            <v>1.9328703703703654E-2</v>
          </cell>
        </row>
        <row r="262">
          <cell r="G262">
            <v>1.5960648148148127E-2</v>
          </cell>
        </row>
        <row r="263">
          <cell r="G263">
            <v>2.8483796296296271E-2</v>
          </cell>
        </row>
        <row r="264">
          <cell r="G264">
            <v>1.5509259259259278E-2</v>
          </cell>
        </row>
        <row r="265">
          <cell r="G265">
            <v>4.1898148148148406E-3</v>
          </cell>
        </row>
        <row r="266">
          <cell r="G266">
            <v>1.8310185185185124E-2</v>
          </cell>
        </row>
        <row r="267">
          <cell r="G267">
            <v>1.6412037037036975E-2</v>
          </cell>
        </row>
        <row r="268">
          <cell r="G268">
            <v>1.3935185185185217E-2</v>
          </cell>
        </row>
        <row r="269">
          <cell r="G269">
            <v>1.1273148148148171E-2</v>
          </cell>
        </row>
        <row r="270">
          <cell r="G270">
            <v>1.0312499999999947E-2</v>
          </cell>
        </row>
        <row r="271">
          <cell r="G271">
            <v>1.1724537037037019E-2</v>
          </cell>
        </row>
        <row r="272">
          <cell r="G272">
            <v>5.1736111111110317E-3</v>
          </cell>
        </row>
        <row r="273">
          <cell r="G273">
            <v>3.5763888888888928E-3</v>
          </cell>
        </row>
        <row r="274">
          <cell r="G274">
            <v>1.4305555555555571E-2</v>
          </cell>
        </row>
        <row r="275">
          <cell r="G275">
            <v>1.5659722222222339E-2</v>
          </cell>
        </row>
        <row r="276">
          <cell r="G276">
            <v>2.3148148148147696E-3</v>
          </cell>
        </row>
        <row r="277">
          <cell r="G277">
            <v>1.2025462962962918E-2</v>
          </cell>
        </row>
        <row r="278">
          <cell r="G278">
            <v>1.1354166666666665E-2</v>
          </cell>
        </row>
        <row r="279">
          <cell r="G279">
            <v>2.372685185185186E-3</v>
          </cell>
        </row>
        <row r="280">
          <cell r="G280">
            <v>9.8379629629629095E-3</v>
          </cell>
        </row>
        <row r="281">
          <cell r="G281">
            <v>1.2939814814814876E-2</v>
          </cell>
        </row>
        <row r="282">
          <cell r="G282">
            <v>1.9293981481481537E-2</v>
          </cell>
        </row>
        <row r="283">
          <cell r="G283">
            <v>2.2893518518518507E-2</v>
          </cell>
        </row>
        <row r="284">
          <cell r="G284">
            <v>2.401620370370372E-2</v>
          </cell>
        </row>
        <row r="285">
          <cell r="G285">
            <v>1.9641203703703702E-2</v>
          </cell>
        </row>
        <row r="286">
          <cell r="G286">
            <v>1.1782407407407436E-2</v>
          </cell>
        </row>
        <row r="287">
          <cell r="G287">
            <v>3.2986111111110716E-3</v>
          </cell>
        </row>
        <row r="288">
          <cell r="G288">
            <v>1.0115740740740842E-2</v>
          </cell>
        </row>
        <row r="289">
          <cell r="G289">
            <v>1.185185185185178E-2</v>
          </cell>
        </row>
        <row r="290">
          <cell r="G290">
            <v>1.6296296296296364E-2</v>
          </cell>
        </row>
        <row r="291">
          <cell r="G291">
            <v>1.7268518518518516E-2</v>
          </cell>
        </row>
        <row r="292">
          <cell r="G292">
            <v>8.8078703703703409E-3</v>
          </cell>
        </row>
        <row r="293">
          <cell r="G293">
            <v>8.3680555555554204E-3</v>
          </cell>
        </row>
        <row r="294">
          <cell r="G294">
            <v>1.2638888888888755E-2</v>
          </cell>
        </row>
        <row r="295">
          <cell r="G295">
            <v>2.3379629629629584E-3</v>
          </cell>
        </row>
        <row r="296">
          <cell r="G296">
            <v>6.6087962962964042E-3</v>
          </cell>
        </row>
        <row r="297">
          <cell r="G297">
            <v>3.3148148148148149E-2</v>
          </cell>
        </row>
        <row r="298">
          <cell r="G298">
            <v>7.5347222222222898E-3</v>
          </cell>
        </row>
        <row r="299">
          <cell r="G299">
            <v>1.9583333333333397E-2</v>
          </cell>
        </row>
        <row r="300">
          <cell r="G300">
            <v>1.5740740740740722E-2</v>
          </cell>
        </row>
        <row r="301">
          <cell r="G301">
            <v>2.1180555555555536E-2</v>
          </cell>
        </row>
        <row r="302">
          <cell r="G302">
            <v>1.72106481481481E-2</v>
          </cell>
        </row>
        <row r="303">
          <cell r="G303">
            <v>1.6331018518518481E-2</v>
          </cell>
        </row>
        <row r="304">
          <cell r="G304">
            <v>1.5821759259259105E-2</v>
          </cell>
        </row>
        <row r="305">
          <cell r="G305">
            <v>2.4884259259259078E-3</v>
          </cell>
        </row>
        <row r="306">
          <cell r="G306">
            <v>1.3807870370370345E-2</v>
          </cell>
        </row>
        <row r="307">
          <cell r="G307">
            <v>1.0092592592592597E-2</v>
          </cell>
        </row>
        <row r="308">
          <cell r="G308">
            <v>6.4120370370370217E-3</v>
          </cell>
        </row>
        <row r="309">
          <cell r="G309">
            <v>2.025462962962965E-3</v>
          </cell>
        </row>
        <row r="310">
          <cell r="G310">
            <v>4.4444444444444731E-3</v>
          </cell>
        </row>
        <row r="311">
          <cell r="G311">
            <v>1.1296296296296304E-2</v>
          </cell>
        </row>
        <row r="312">
          <cell r="G312">
            <v>1.4351851851851838E-2</v>
          </cell>
        </row>
        <row r="313">
          <cell r="G313">
            <v>1.8032407407407414E-2</v>
          </cell>
        </row>
        <row r="314">
          <cell r="G314">
            <v>1.6550925925925941E-2</v>
          </cell>
        </row>
        <row r="315">
          <cell r="G315">
            <v>5.7870370370370905E-3</v>
          </cell>
        </row>
        <row r="316">
          <cell r="G316">
            <v>7.4537037037036846E-3</v>
          </cell>
        </row>
        <row r="317">
          <cell r="G317">
            <v>6.6435185185185208E-3</v>
          </cell>
        </row>
        <row r="318">
          <cell r="G318">
            <v>6.8402777777777923E-3</v>
          </cell>
        </row>
        <row r="319">
          <cell r="G319">
            <v>5.9143518518518512E-3</v>
          </cell>
        </row>
        <row r="320">
          <cell r="G320">
            <v>7.222222222222241E-3</v>
          </cell>
        </row>
        <row r="321">
          <cell r="G321">
            <v>2.8356481481481843E-3</v>
          </cell>
        </row>
        <row r="322">
          <cell r="G322">
            <v>1.2268518518518512E-2</v>
          </cell>
        </row>
        <row r="323">
          <cell r="G323">
            <v>2.2453703703704253E-3</v>
          </cell>
        </row>
        <row r="324">
          <cell r="G324">
            <v>9.7800925925926041E-3</v>
          </cell>
        </row>
        <row r="325">
          <cell r="G325">
            <v>1.2893518518518499E-2</v>
          </cell>
        </row>
        <row r="326">
          <cell r="G326">
            <v>4.652777777777839E-3</v>
          </cell>
        </row>
        <row r="327">
          <cell r="G327">
            <v>1.3425925925925952E-2</v>
          </cell>
        </row>
        <row r="328">
          <cell r="G328">
            <v>1.3495370370370408E-2</v>
          </cell>
        </row>
        <row r="329">
          <cell r="G329">
            <v>1.2615740740740788E-2</v>
          </cell>
        </row>
        <row r="330">
          <cell r="G330">
            <v>1.5567129629629584E-2</v>
          </cell>
        </row>
        <row r="331">
          <cell r="G331">
            <v>8.2523148148148096E-3</v>
          </cell>
        </row>
        <row r="332">
          <cell r="G332">
            <v>6.9097222222223031E-3</v>
          </cell>
        </row>
        <row r="333">
          <cell r="G333">
            <v>1.1550925925925992E-2</v>
          </cell>
        </row>
        <row r="334">
          <cell r="G334">
            <v>1.2604166666666639E-2</v>
          </cell>
        </row>
        <row r="335">
          <cell r="G335">
            <v>4.8726851851851327E-3</v>
          </cell>
        </row>
        <row r="336">
          <cell r="G336">
            <v>4.6064814814814614E-3</v>
          </cell>
        </row>
        <row r="337">
          <cell r="G337">
            <v>4.2824074074073737E-3</v>
          </cell>
        </row>
        <row r="338">
          <cell r="G338">
            <v>5.8680555555554736E-3</v>
          </cell>
        </row>
        <row r="339">
          <cell r="G339">
            <v>1.5115740740740735E-2</v>
          </cell>
        </row>
        <row r="340">
          <cell r="G340">
            <v>1.302083333333337E-2</v>
          </cell>
        </row>
        <row r="341">
          <cell r="G341">
            <v>1.1562500000000031E-2</v>
          </cell>
        </row>
        <row r="342">
          <cell r="G342">
            <v>1.1226851851851904E-2</v>
          </cell>
        </row>
        <row r="343">
          <cell r="G343">
            <v>5.9606481481481177E-3</v>
          </cell>
        </row>
        <row r="344">
          <cell r="G344">
            <v>1.2280092592592551E-2</v>
          </cell>
        </row>
        <row r="345">
          <cell r="G345">
            <v>7.2453703703704297E-3</v>
          </cell>
        </row>
        <row r="346">
          <cell r="G346">
            <v>6.0648148148148007E-3</v>
          </cell>
        </row>
        <row r="347">
          <cell r="G347">
            <v>4.5254629629629672E-3</v>
          </cell>
        </row>
        <row r="348">
          <cell r="G348">
            <v>9.6412037037036935E-3</v>
          </cell>
        </row>
        <row r="349">
          <cell r="G349">
            <v>7.6388888888888618E-3</v>
          </cell>
        </row>
        <row r="350">
          <cell r="G350">
            <v>2.2800925925925419E-3</v>
          </cell>
        </row>
        <row r="351">
          <cell r="G351">
            <v>1.7708333333333326E-2</v>
          </cell>
        </row>
        <row r="352">
          <cell r="G352">
            <v>9.1666666666665453E-3</v>
          </cell>
        </row>
        <row r="353">
          <cell r="G353">
            <v>2.2800925925925419E-3</v>
          </cell>
        </row>
        <row r="354">
          <cell r="G354">
            <v>1.2986111111111143E-2</v>
          </cell>
        </row>
        <row r="355">
          <cell r="G355">
            <v>3.5879629629629317E-3</v>
          </cell>
        </row>
        <row r="356">
          <cell r="G356">
            <v>1.3773148148148229E-2</v>
          </cell>
        </row>
        <row r="357">
          <cell r="G357">
            <v>2.0023148148147207E-3</v>
          </cell>
        </row>
        <row r="358">
          <cell r="G358">
            <v>1.6458333333333353E-2</v>
          </cell>
        </row>
        <row r="359">
          <cell r="G359">
            <v>1.0937500000000044E-2</v>
          </cell>
        </row>
        <row r="360">
          <cell r="G360">
            <v>9.9768518518518201E-3</v>
          </cell>
        </row>
        <row r="361">
          <cell r="G361">
            <v>1.1087962962962772E-2</v>
          </cell>
        </row>
        <row r="362">
          <cell r="G362">
            <v>2.6365740740740828E-2</v>
          </cell>
        </row>
        <row r="363">
          <cell r="G363">
            <v>3.2997685185185088E-2</v>
          </cell>
        </row>
        <row r="364">
          <cell r="G364">
            <v>1.0451388888888857E-2</v>
          </cell>
        </row>
        <row r="365">
          <cell r="G365">
            <v>2.17592592592597E-3</v>
          </cell>
        </row>
        <row r="366">
          <cell r="G366">
            <v>2.2337962962963309E-3</v>
          </cell>
        </row>
        <row r="367">
          <cell r="G367">
            <v>1.4062500000000033E-2</v>
          </cell>
        </row>
        <row r="368">
          <cell r="G368">
            <v>2.3726851851852415E-3</v>
          </cell>
        </row>
        <row r="369">
          <cell r="G369">
            <v>3.8310185185184698E-3</v>
          </cell>
        </row>
        <row r="370">
          <cell r="G370">
            <v>7.1296296296295414E-3</v>
          </cell>
        </row>
        <row r="371">
          <cell r="G371">
            <v>4.0393518518518357E-3</v>
          </cell>
        </row>
        <row r="372">
          <cell r="G372">
            <v>7.1180555555555025E-3</v>
          </cell>
        </row>
        <row r="373">
          <cell r="G373">
            <v>5.00000000000006E-3</v>
          </cell>
        </row>
        <row r="374">
          <cell r="G374">
            <v>2.6041666666666852E-3</v>
          </cell>
        </row>
        <row r="375">
          <cell r="G375">
            <v>2.5462962962962687E-3</v>
          </cell>
        </row>
        <row r="376">
          <cell r="G376">
            <v>5.7291666666666186E-3</v>
          </cell>
        </row>
        <row r="377">
          <cell r="G377">
            <v>4.0277777777777413E-3</v>
          </cell>
        </row>
        <row r="378">
          <cell r="G378">
            <v>1.1747685185185153E-2</v>
          </cell>
        </row>
        <row r="379">
          <cell r="G379">
            <v>7.7430555555555447E-3</v>
          </cell>
        </row>
        <row r="380">
          <cell r="G380">
            <v>5.5439814814814969E-3</v>
          </cell>
        </row>
        <row r="381">
          <cell r="G381">
            <v>2.6851851851852349E-3</v>
          </cell>
        </row>
        <row r="382">
          <cell r="G382">
            <v>5.1273148148148207E-3</v>
          </cell>
        </row>
        <row r="383">
          <cell r="G383">
            <v>9.7569444444444708E-3</v>
          </cell>
        </row>
        <row r="384">
          <cell r="G384">
            <v>3.8657407407407529E-3</v>
          </cell>
        </row>
        <row r="385">
          <cell r="G385">
            <v>2.8587962962963176E-3</v>
          </cell>
        </row>
        <row r="386">
          <cell r="G386">
            <v>3.7268518518518423E-3</v>
          </cell>
        </row>
        <row r="387">
          <cell r="G387">
            <v>3.3912037037037712E-3</v>
          </cell>
        </row>
        <row r="388">
          <cell r="G388">
            <v>1.380787037037029E-2</v>
          </cell>
        </row>
        <row r="389">
          <cell r="G389">
            <v>8.6921296296295636E-3</v>
          </cell>
        </row>
        <row r="390">
          <cell r="G390">
            <v>3.8530092592592602E-2</v>
          </cell>
        </row>
        <row r="391">
          <cell r="G391">
            <v>4.6875000000000111E-3</v>
          </cell>
        </row>
        <row r="392">
          <cell r="G392">
            <v>1.1504629629629615E-2</v>
          </cell>
        </row>
        <row r="393">
          <cell r="G393">
            <v>1.1909722222222197E-2</v>
          </cell>
        </row>
        <row r="394">
          <cell r="G394">
            <v>3.0196759259259354E-2</v>
          </cell>
        </row>
        <row r="395">
          <cell r="G395">
            <v>2.7604166666666763E-2</v>
          </cell>
        </row>
        <row r="396">
          <cell r="G396">
            <v>2.6481481481481439E-2</v>
          </cell>
        </row>
        <row r="397">
          <cell r="G397">
            <v>2.4618055555555518E-2</v>
          </cell>
        </row>
        <row r="398">
          <cell r="G398">
            <v>2.4409722222222263E-2</v>
          </cell>
        </row>
        <row r="399">
          <cell r="G399">
            <v>2.2905092592592546E-2</v>
          </cell>
        </row>
        <row r="400">
          <cell r="G400">
            <v>2.1412037037036979E-2</v>
          </cell>
        </row>
        <row r="401">
          <cell r="G401">
            <v>1.6828703703703707E-2</v>
          </cell>
        </row>
        <row r="402">
          <cell r="G402">
            <v>1.5995370370370354E-2</v>
          </cell>
        </row>
        <row r="403">
          <cell r="G403">
            <v>6.3657407407408106E-3</v>
          </cell>
        </row>
        <row r="404">
          <cell r="G404">
            <v>4.3171296296297124E-3</v>
          </cell>
        </row>
        <row r="405">
          <cell r="G405">
            <v>6.3194444444445441E-3</v>
          </cell>
        </row>
        <row r="406">
          <cell r="G406">
            <v>3.0902777777777057E-3</v>
          </cell>
        </row>
        <row r="407">
          <cell r="G407">
            <v>4.6064814814814614E-3</v>
          </cell>
        </row>
        <row r="408">
          <cell r="G408">
            <v>2.5462962962963243E-3</v>
          </cell>
        </row>
        <row r="409">
          <cell r="G409">
            <v>6.5624999999999156E-3</v>
          </cell>
        </row>
        <row r="410">
          <cell r="G410">
            <v>1.346064814814818E-2</v>
          </cell>
        </row>
        <row r="411">
          <cell r="G411">
            <v>6.8865740740741144E-3</v>
          </cell>
        </row>
        <row r="412">
          <cell r="G412">
            <v>7.8472222222222276E-3</v>
          </cell>
        </row>
        <row r="413">
          <cell r="G413">
            <v>1.0219907407407414E-2</v>
          </cell>
        </row>
        <row r="414">
          <cell r="G414">
            <v>3.5532407407408151E-3</v>
          </cell>
        </row>
        <row r="415">
          <cell r="G415">
            <v>1.0104166666666692E-2</v>
          </cell>
        </row>
        <row r="416">
          <cell r="G416">
            <v>5.4166666666667362E-3</v>
          </cell>
        </row>
        <row r="417">
          <cell r="G417">
            <v>1.1689814814814792E-2</v>
          </cell>
        </row>
        <row r="418">
          <cell r="G418">
            <v>2.3611111111110361E-3</v>
          </cell>
        </row>
        <row r="419">
          <cell r="G419">
            <v>1.4664351851851887E-2</v>
          </cell>
        </row>
        <row r="420">
          <cell r="G420">
            <v>3.5416666666666652E-3</v>
          </cell>
        </row>
        <row r="421">
          <cell r="G421">
            <v>1.1365740740740815E-2</v>
          </cell>
        </row>
        <row r="422">
          <cell r="G422">
            <v>4.1435185185184631E-3</v>
          </cell>
        </row>
        <row r="423">
          <cell r="G423">
            <v>1.1099537037037033E-2</v>
          </cell>
        </row>
        <row r="424">
          <cell r="G424">
            <v>9.490740740740744E-3</v>
          </cell>
        </row>
        <row r="425">
          <cell r="G425">
            <v>1.0185185185185075E-2</v>
          </cell>
        </row>
        <row r="426">
          <cell r="G426">
            <v>1.3194444444444398E-2</v>
          </cell>
        </row>
        <row r="427">
          <cell r="G427">
            <v>1.1250000000000093E-2</v>
          </cell>
        </row>
        <row r="428">
          <cell r="G428">
            <v>6.7824074074074314E-3</v>
          </cell>
        </row>
        <row r="429">
          <cell r="G429">
            <v>2.1527777777778923E-3</v>
          </cell>
        </row>
        <row r="430">
          <cell r="G430">
            <v>3.0601851851851825E-2</v>
          </cell>
        </row>
        <row r="431">
          <cell r="G431">
            <v>2.48842592592593E-2</v>
          </cell>
        </row>
        <row r="432">
          <cell r="G432">
            <v>4.3993055555555549E-2</v>
          </cell>
        </row>
        <row r="433">
          <cell r="G433">
            <v>1.5046296296296391E-2</v>
          </cell>
        </row>
        <row r="434">
          <cell r="G434">
            <v>4.0740740740741188E-3</v>
          </cell>
        </row>
        <row r="435">
          <cell r="G435">
            <v>1.0532407407407351E-2</v>
          </cell>
        </row>
        <row r="436">
          <cell r="G436">
            <v>9.3749999999999112E-3</v>
          </cell>
        </row>
        <row r="437">
          <cell r="G437">
            <v>7.7777777777777724E-3</v>
          </cell>
        </row>
        <row r="438">
          <cell r="G438">
            <v>7.3379629629629628E-3</v>
          </cell>
        </row>
        <row r="439">
          <cell r="G439">
            <v>5.0115740740741543E-3</v>
          </cell>
        </row>
        <row r="440">
          <cell r="G440">
            <v>1.1770833333333286E-2</v>
          </cell>
        </row>
        <row r="441">
          <cell r="G441">
            <v>1.1782407407407325E-2</v>
          </cell>
        </row>
        <row r="442">
          <cell r="G442">
            <v>2.6388888888888573E-3</v>
          </cell>
        </row>
        <row r="443">
          <cell r="G443">
            <v>1.460648148148147E-2</v>
          </cell>
        </row>
        <row r="444">
          <cell r="G444">
            <v>6.5393518518517268E-3</v>
          </cell>
        </row>
        <row r="445">
          <cell r="G445">
            <v>1.342592592592573E-2</v>
          </cell>
        </row>
        <row r="446">
          <cell r="G446">
            <v>1.7303240740740744E-2</v>
          </cell>
        </row>
        <row r="447">
          <cell r="G447">
            <v>4.548611111111156E-3</v>
          </cell>
        </row>
        <row r="448">
          <cell r="G448">
            <v>3.9004629629629806E-3</v>
          </cell>
        </row>
        <row r="449">
          <cell r="G449">
            <v>4.3981481481480955E-3</v>
          </cell>
        </row>
        <row r="450">
          <cell r="G450">
            <v>1.1087962962962994E-2</v>
          </cell>
        </row>
        <row r="451">
          <cell r="G451">
            <v>4.2592592592591849E-3</v>
          </cell>
        </row>
        <row r="452">
          <cell r="G452">
            <v>2.2372685185185204E-2</v>
          </cell>
        </row>
        <row r="453">
          <cell r="G453">
            <v>2.9398148148148673E-3</v>
          </cell>
        </row>
        <row r="454">
          <cell r="G454">
            <v>1.8275462962963007E-2</v>
          </cell>
        </row>
        <row r="455">
          <cell r="G455">
            <v>1.751157407407411E-2</v>
          </cell>
        </row>
        <row r="456">
          <cell r="G456">
            <v>1.7662037037036837E-2</v>
          </cell>
        </row>
        <row r="457">
          <cell r="G457">
            <v>2.5925925925927018E-3</v>
          </cell>
        </row>
        <row r="458">
          <cell r="G458">
            <v>3.0949074074074101E-2</v>
          </cell>
        </row>
        <row r="459">
          <cell r="G459">
            <v>2.6620370370370461E-3</v>
          </cell>
        </row>
        <row r="460">
          <cell r="G460">
            <v>1.9155092592592626E-2</v>
          </cell>
        </row>
        <row r="461">
          <cell r="G461">
            <v>1.1990740740740746E-2</v>
          </cell>
        </row>
        <row r="462">
          <cell r="G462">
            <v>2.222222222222181E-3</v>
          </cell>
        </row>
        <row r="463">
          <cell r="G463">
            <v>7.8472222222222832E-3</v>
          </cell>
        </row>
        <row r="464">
          <cell r="G464">
            <v>7.7777777777777724E-3</v>
          </cell>
        </row>
        <row r="465">
          <cell r="G465">
            <v>1.6157407407407454E-2</v>
          </cell>
        </row>
        <row r="466">
          <cell r="G466">
            <v>3.6342592592592537E-3</v>
          </cell>
        </row>
        <row r="467">
          <cell r="G467">
            <v>6.6435185185185208E-3</v>
          </cell>
        </row>
        <row r="468">
          <cell r="G468">
            <v>6.1574074074073337E-3</v>
          </cell>
        </row>
        <row r="469">
          <cell r="G469">
            <v>4.8958333333333215E-3</v>
          </cell>
        </row>
        <row r="470">
          <cell r="G470">
            <v>1.0844907407407456E-2</v>
          </cell>
        </row>
        <row r="471">
          <cell r="G471">
            <v>2.0520833333333321E-2</v>
          </cell>
        </row>
        <row r="472">
          <cell r="G472">
            <v>2.2210648148148104E-2</v>
          </cell>
        </row>
        <row r="473">
          <cell r="G473">
            <v>1.2129629629629601E-2</v>
          </cell>
        </row>
        <row r="474">
          <cell r="G474">
            <v>1.2106481481481524E-2</v>
          </cell>
        </row>
        <row r="475">
          <cell r="G475">
            <v>1.178240740740738E-2</v>
          </cell>
        </row>
        <row r="476">
          <cell r="G476">
            <v>8.6921296296297301E-3</v>
          </cell>
        </row>
        <row r="477">
          <cell r="G477">
            <v>7.6851851851851838E-3</v>
          </cell>
        </row>
        <row r="478">
          <cell r="G478">
            <v>8.2175925925926374E-3</v>
          </cell>
        </row>
        <row r="479">
          <cell r="G479">
            <v>6.5972222222222543E-3</v>
          </cell>
        </row>
        <row r="480">
          <cell r="G480">
            <v>5.0231481481481377E-3</v>
          </cell>
        </row>
        <row r="481">
          <cell r="G481">
            <v>2.1168981481481497E-2</v>
          </cell>
        </row>
        <row r="482">
          <cell r="G482">
            <v>1.4375000000000027E-2</v>
          </cell>
        </row>
        <row r="483">
          <cell r="G483">
            <v>1.1168981481481488E-2</v>
          </cell>
        </row>
        <row r="484">
          <cell r="G484">
            <v>1.9305555555555576E-2</v>
          </cell>
        </row>
        <row r="485">
          <cell r="G485">
            <v>4.6643518518518778E-3</v>
          </cell>
        </row>
        <row r="486">
          <cell r="G486">
            <v>2.2916666666666585E-2</v>
          </cell>
        </row>
        <row r="487">
          <cell r="G487">
            <v>4.6874999999999556E-3</v>
          </cell>
        </row>
        <row r="488">
          <cell r="G488">
            <v>5.1041666666666874E-3</v>
          </cell>
        </row>
        <row r="489">
          <cell r="G489">
            <v>2.241898148148147E-2</v>
          </cell>
        </row>
        <row r="490">
          <cell r="G490">
            <v>2.3043981481481512E-2</v>
          </cell>
        </row>
        <row r="491">
          <cell r="G491">
            <v>2.7083333333333126E-3</v>
          </cell>
        </row>
        <row r="492">
          <cell r="G492">
            <v>2.1967592592592622E-2</v>
          </cell>
        </row>
        <row r="493">
          <cell r="G493">
            <v>1.1111111111111072E-2</v>
          </cell>
        </row>
        <row r="494">
          <cell r="G494">
            <v>1.1504629629629615E-2</v>
          </cell>
        </row>
        <row r="495">
          <cell r="G495">
            <v>3.1168981481481506E-2</v>
          </cell>
        </row>
        <row r="496">
          <cell r="G496">
            <v>1.2569444444444411E-2</v>
          </cell>
        </row>
        <row r="497">
          <cell r="G497">
            <v>2.2569444444444087E-3</v>
          </cell>
        </row>
        <row r="498">
          <cell r="G498">
            <v>2.1990740740741033E-3</v>
          </cell>
        </row>
        <row r="499">
          <cell r="G499">
            <v>1.3148148148148131E-2</v>
          </cell>
        </row>
        <row r="500">
          <cell r="G500">
            <v>1.8819444444444444E-2</v>
          </cell>
        </row>
        <row r="501">
          <cell r="G501">
            <v>2.4965277777777795E-2</v>
          </cell>
        </row>
        <row r="502">
          <cell r="G502">
            <v>1.9976851851851829E-2</v>
          </cell>
        </row>
        <row r="503">
          <cell r="G503">
            <v>1.4722222222222192E-2</v>
          </cell>
        </row>
        <row r="504">
          <cell r="G504">
            <v>1.5567129629629584E-2</v>
          </cell>
        </row>
        <row r="505">
          <cell r="G505">
            <v>1.8090277777777719E-2</v>
          </cell>
        </row>
        <row r="506">
          <cell r="G506">
            <v>1.619212962962957E-2</v>
          </cell>
        </row>
        <row r="507">
          <cell r="G507">
            <v>4.0856481481481577E-3</v>
          </cell>
        </row>
        <row r="508">
          <cell r="G508">
            <v>3.1863425925925837E-2</v>
          </cell>
        </row>
        <row r="509">
          <cell r="G509">
            <v>2.9884259259259194E-2</v>
          </cell>
        </row>
        <row r="510">
          <cell r="G510">
            <v>1.2210648148148207E-2</v>
          </cell>
        </row>
        <row r="511">
          <cell r="G511">
            <v>6.1921296296296724E-3</v>
          </cell>
        </row>
        <row r="512">
          <cell r="G512">
            <v>1.6655092592592569E-2</v>
          </cell>
        </row>
        <row r="513">
          <cell r="G513">
            <v>1.6145833333333304E-2</v>
          </cell>
        </row>
        <row r="514">
          <cell r="G514">
            <v>1.5428240740740673E-2</v>
          </cell>
        </row>
        <row r="515">
          <cell r="G515">
            <v>1.3495370370370297E-2</v>
          </cell>
        </row>
        <row r="516">
          <cell r="G516">
            <v>8.7268518518518468E-3</v>
          </cell>
        </row>
        <row r="517">
          <cell r="G517">
            <v>4.4097222222222454E-3</v>
          </cell>
        </row>
        <row r="518">
          <cell r="G518">
            <v>1.0659722222222223E-2</v>
          </cell>
        </row>
        <row r="519">
          <cell r="G519">
            <v>1.4791666666666647E-2</v>
          </cell>
        </row>
        <row r="520">
          <cell r="G520">
            <v>2.4571759259259252E-2</v>
          </cell>
        </row>
        <row r="521">
          <cell r="G521">
            <v>9.6412037037036935E-3</v>
          </cell>
        </row>
        <row r="522">
          <cell r="G522">
            <v>8.7731481481481133E-3</v>
          </cell>
        </row>
        <row r="523">
          <cell r="G523">
            <v>7.6041666666666341E-3</v>
          </cell>
        </row>
        <row r="524">
          <cell r="G524">
            <v>7.615740740740784E-3</v>
          </cell>
        </row>
        <row r="525">
          <cell r="G525">
            <v>1.3599537037036979E-2</v>
          </cell>
        </row>
        <row r="526">
          <cell r="G526">
            <v>1.5972222222222276E-2</v>
          </cell>
        </row>
        <row r="527">
          <cell r="G527">
            <v>1.5960648148148127E-2</v>
          </cell>
        </row>
        <row r="528">
          <cell r="G528">
            <v>3.1041666666666634E-2</v>
          </cell>
        </row>
        <row r="529">
          <cell r="G529">
            <v>6.7824074074074314E-3</v>
          </cell>
        </row>
        <row r="530">
          <cell r="G530">
            <v>2.5902777777777719E-2</v>
          </cell>
        </row>
        <row r="531">
          <cell r="G531">
            <v>2.6157407407407796E-3</v>
          </cell>
        </row>
        <row r="532">
          <cell r="G532">
            <v>4.3055555555555625E-2</v>
          </cell>
        </row>
        <row r="533">
          <cell r="G533">
            <v>3.2372685185185213E-2</v>
          </cell>
        </row>
        <row r="534">
          <cell r="G534">
            <v>1.4942129629629708E-2</v>
          </cell>
        </row>
        <row r="535">
          <cell r="G535">
            <v>2.3506944444444344E-2</v>
          </cell>
        </row>
        <row r="536">
          <cell r="G536">
            <v>2.2048611111111116E-2</v>
          </cell>
        </row>
        <row r="537">
          <cell r="G537">
            <v>2.1736111111111123E-2</v>
          </cell>
        </row>
        <row r="538">
          <cell r="G538">
            <v>2.0289351851851878E-2</v>
          </cell>
        </row>
        <row r="539">
          <cell r="G539">
            <v>2.6932870370370399E-2</v>
          </cell>
        </row>
        <row r="540">
          <cell r="G540">
            <v>1.5659722222222172E-2</v>
          </cell>
        </row>
        <row r="541">
          <cell r="G541">
            <v>2.0462962962962961E-2</v>
          </cell>
        </row>
        <row r="542">
          <cell r="G542">
            <v>2.0798611111111143E-2</v>
          </cell>
        </row>
        <row r="543">
          <cell r="G543">
            <v>1.8101851851851869E-2</v>
          </cell>
        </row>
        <row r="544">
          <cell r="G544">
            <v>3.4374999999999822E-3</v>
          </cell>
        </row>
        <row r="545">
          <cell r="G545">
            <v>6.9560185185185697E-3</v>
          </cell>
        </row>
        <row r="546">
          <cell r="G546">
            <v>5.3587962962963198E-3</v>
          </cell>
        </row>
        <row r="547">
          <cell r="G547">
            <v>3.6689814814814814E-3</v>
          </cell>
        </row>
        <row r="548">
          <cell r="G548">
            <v>2.8240740740740344E-3</v>
          </cell>
        </row>
        <row r="549">
          <cell r="G549">
            <v>1.9953703703703696E-2</v>
          </cell>
        </row>
        <row r="550">
          <cell r="G550">
            <v>1.7835648148148142E-2</v>
          </cell>
        </row>
        <row r="551">
          <cell r="G551">
            <v>2.2962962962962907E-2</v>
          </cell>
        </row>
        <row r="552">
          <cell r="G552">
            <v>2.444444444444438E-2</v>
          </cell>
        </row>
        <row r="553">
          <cell r="G553">
            <v>2.4351851851851902E-2</v>
          </cell>
        </row>
        <row r="554">
          <cell r="G554">
            <v>2.1388888888888902E-2</v>
          </cell>
        </row>
        <row r="555">
          <cell r="G555">
            <v>1.8877314814814805E-2</v>
          </cell>
        </row>
        <row r="556">
          <cell r="G556">
            <v>6.5046296296296102E-3</v>
          </cell>
        </row>
        <row r="557">
          <cell r="G557">
            <v>1.4861111111111103E-2</v>
          </cell>
        </row>
        <row r="558">
          <cell r="G558">
            <v>3.0833333333333324E-2</v>
          </cell>
        </row>
        <row r="559">
          <cell r="G559">
            <v>1.8819444444444389E-2</v>
          </cell>
        </row>
        <row r="560">
          <cell r="G560">
            <v>3.1828703703703498E-3</v>
          </cell>
        </row>
        <row r="561">
          <cell r="G561">
            <v>2.1527777777778367E-3</v>
          </cell>
        </row>
        <row r="562">
          <cell r="G562">
            <v>1.3587962962962996E-2</v>
          </cell>
        </row>
        <row r="563">
          <cell r="G563">
            <v>1.5567129629629584E-2</v>
          </cell>
        </row>
        <row r="564">
          <cell r="G564">
            <v>3.8773148148147918E-3</v>
          </cell>
        </row>
        <row r="565">
          <cell r="G565">
            <v>1.4270833333333288E-2</v>
          </cell>
        </row>
        <row r="566">
          <cell r="G566">
            <v>1.1041666666666616E-2</v>
          </cell>
        </row>
        <row r="567">
          <cell r="G567">
            <v>2.7662037037037068E-2</v>
          </cell>
        </row>
        <row r="568">
          <cell r="G568">
            <v>2.5532407407407476E-2</v>
          </cell>
        </row>
        <row r="569">
          <cell r="G569">
            <v>2.3981481481481604E-2</v>
          </cell>
        </row>
        <row r="570">
          <cell r="G570">
            <v>2.2199074074074066E-2</v>
          </cell>
        </row>
        <row r="571">
          <cell r="G571">
            <v>1.665509259259268E-2</v>
          </cell>
        </row>
        <row r="572">
          <cell r="G572">
            <v>1.7430555555555505E-2</v>
          </cell>
        </row>
        <row r="573">
          <cell r="G573">
            <v>1.7673611111111098E-2</v>
          </cell>
        </row>
        <row r="574">
          <cell r="G574">
            <v>1.7314814814814894E-2</v>
          </cell>
        </row>
        <row r="575">
          <cell r="G575">
            <v>3.4837962962962488E-3</v>
          </cell>
        </row>
        <row r="576">
          <cell r="G576">
            <v>2.1527777777777812E-3</v>
          </cell>
        </row>
        <row r="577">
          <cell r="G577">
            <v>2.4687499999999973E-2</v>
          </cell>
        </row>
        <row r="578">
          <cell r="G578">
            <v>1.8923611111111072E-2</v>
          </cell>
        </row>
        <row r="579">
          <cell r="G579">
            <v>2.2546296296296342E-2</v>
          </cell>
        </row>
        <row r="580">
          <cell r="G580">
            <v>2.7013888888888893E-2</v>
          </cell>
        </row>
        <row r="581">
          <cell r="G581">
            <v>2.9675925925925828E-2</v>
          </cell>
        </row>
        <row r="582">
          <cell r="G582">
            <v>2.17592592592597E-3</v>
          </cell>
        </row>
        <row r="583">
          <cell r="G583">
            <v>2.3113425925926023E-2</v>
          </cell>
        </row>
        <row r="584">
          <cell r="G584">
            <v>2.5092592592592666E-2</v>
          </cell>
        </row>
        <row r="585">
          <cell r="G585">
            <v>1.3287037037037042E-2</v>
          </cell>
        </row>
        <row r="586">
          <cell r="G586">
            <v>2.0775462962962843E-2</v>
          </cell>
        </row>
        <row r="587">
          <cell r="G587">
            <v>1.4710648148148042E-2</v>
          </cell>
        </row>
        <row r="588">
          <cell r="G588">
            <v>7.6504629629630116E-3</v>
          </cell>
        </row>
        <row r="589">
          <cell r="G589">
            <v>2.1412037037036313E-3</v>
          </cell>
        </row>
        <row r="590">
          <cell r="G590">
            <v>2.766203703703618E-3</v>
          </cell>
        </row>
        <row r="591">
          <cell r="G591">
            <v>7.7546296296295836E-3</v>
          </cell>
        </row>
        <row r="592">
          <cell r="G592">
            <v>5.4976851851852304E-3</v>
          </cell>
        </row>
        <row r="593">
          <cell r="G593">
            <v>9.5138888888889328E-3</v>
          </cell>
        </row>
        <row r="594">
          <cell r="G594">
            <v>2.3819444444444449E-2</v>
          </cell>
        </row>
        <row r="595">
          <cell r="G595">
            <v>6.481481481481477E-3</v>
          </cell>
        </row>
        <row r="596">
          <cell r="G596">
            <v>2.5532407407407365E-2</v>
          </cell>
        </row>
        <row r="597">
          <cell r="G597">
            <v>9.8495370370370594E-3</v>
          </cell>
        </row>
        <row r="598">
          <cell r="G598">
            <v>1.9317129629629559E-2</v>
          </cell>
        </row>
        <row r="599">
          <cell r="G599">
            <v>1.9108796296296249E-2</v>
          </cell>
        </row>
        <row r="600">
          <cell r="G600">
            <v>6.7476851851851483E-3</v>
          </cell>
        </row>
        <row r="601">
          <cell r="G601">
            <v>2.2083333333333399E-2</v>
          </cell>
        </row>
        <row r="602">
          <cell r="G602">
            <v>1.780092592592597E-2</v>
          </cell>
        </row>
        <row r="603">
          <cell r="G603">
            <v>2.1747685185185217E-2</v>
          </cell>
        </row>
        <row r="604">
          <cell r="G604">
            <v>2.0243055555555556E-2</v>
          </cell>
        </row>
        <row r="605">
          <cell r="G605">
            <v>1.663194444444438E-2</v>
          </cell>
        </row>
        <row r="606">
          <cell r="G606">
            <v>1.6608796296296358E-2</v>
          </cell>
        </row>
        <row r="607">
          <cell r="G607">
            <v>1.8391203703703729E-2</v>
          </cell>
        </row>
        <row r="608">
          <cell r="G608">
            <v>2.1817129629629672E-2</v>
          </cell>
        </row>
        <row r="609">
          <cell r="G609">
            <v>2.3946759259259265E-2</v>
          </cell>
        </row>
        <row r="610">
          <cell r="G610">
            <v>2.3483796296296322E-2</v>
          </cell>
        </row>
        <row r="611">
          <cell r="G611">
            <v>2.4097222222222214E-2</v>
          </cell>
        </row>
        <row r="612">
          <cell r="G612">
            <v>2.4340277777777752E-2</v>
          </cell>
        </row>
        <row r="613">
          <cell r="G613">
            <v>3.3888888888888968E-2</v>
          </cell>
        </row>
        <row r="614">
          <cell r="G614">
            <v>1.1724537037037019E-2</v>
          </cell>
        </row>
        <row r="615">
          <cell r="G615">
            <v>1.9803240740740691E-2</v>
          </cell>
        </row>
        <row r="616">
          <cell r="G616">
            <v>1.0046296296296331E-2</v>
          </cell>
        </row>
        <row r="617">
          <cell r="G617">
            <v>2.5810185185184964E-3</v>
          </cell>
        </row>
        <row r="618">
          <cell r="G618">
            <v>1.3773148148148173E-2</v>
          </cell>
        </row>
        <row r="619">
          <cell r="G619">
            <v>1.2280092592592551E-2</v>
          </cell>
        </row>
        <row r="620">
          <cell r="G620">
            <v>1.0104166666666692E-2</v>
          </cell>
        </row>
        <row r="621">
          <cell r="G621">
            <v>1.2962962962963009E-2</v>
          </cell>
        </row>
        <row r="622">
          <cell r="G622">
            <v>9.0162037037037623E-3</v>
          </cell>
        </row>
        <row r="623">
          <cell r="G623">
            <v>5.5092592592592693E-3</v>
          </cell>
        </row>
        <row r="624">
          <cell r="G624">
            <v>5.3124999999999978E-3</v>
          </cell>
        </row>
        <row r="625">
          <cell r="G625">
            <v>1.2511574074074105E-2</v>
          </cell>
        </row>
        <row r="626">
          <cell r="G626">
            <v>4.2592592592592404E-3</v>
          </cell>
        </row>
        <row r="627">
          <cell r="G627">
            <v>1.0960648148148122E-2</v>
          </cell>
        </row>
        <row r="628">
          <cell r="G628">
            <v>3.564814814814854E-3</v>
          </cell>
        </row>
        <row r="629">
          <cell r="G629">
            <v>1.2777777777777777E-2</v>
          </cell>
        </row>
        <row r="630">
          <cell r="G630">
            <v>6.1458333333332948E-3</v>
          </cell>
        </row>
        <row r="631">
          <cell r="G631">
            <v>6.9675925925926085E-3</v>
          </cell>
        </row>
        <row r="632">
          <cell r="G632">
            <v>8.2175925925925819E-3</v>
          </cell>
        </row>
        <row r="633">
          <cell r="G633">
            <v>8.9699074074074403E-3</v>
          </cell>
        </row>
        <row r="634">
          <cell r="G634">
            <v>2.9699074074074072E-2</v>
          </cell>
        </row>
        <row r="635">
          <cell r="G635">
            <v>2.9976851851851727E-3</v>
          </cell>
        </row>
        <row r="636">
          <cell r="G636">
            <v>1.5787037037037099E-2</v>
          </cell>
        </row>
        <row r="637">
          <cell r="G637">
            <v>2.3148148148148806E-3</v>
          </cell>
        </row>
        <row r="638">
          <cell r="G638">
            <v>1.9444444444444153E-3</v>
          </cell>
        </row>
        <row r="639">
          <cell r="G639">
            <v>9.9537037037036868E-3</v>
          </cell>
        </row>
        <row r="640">
          <cell r="G640">
            <v>6.9444444444444198E-3</v>
          </cell>
        </row>
        <row r="641">
          <cell r="G641">
            <v>5.1851851851851816E-3</v>
          </cell>
        </row>
        <row r="642">
          <cell r="G642">
            <v>5.1157407407407818E-3</v>
          </cell>
        </row>
        <row r="643">
          <cell r="G643">
            <v>8.3217592592592649E-3</v>
          </cell>
        </row>
        <row r="644">
          <cell r="G644">
            <v>8.1828703703703543E-3</v>
          </cell>
        </row>
        <row r="645">
          <cell r="G645">
            <v>7.3032407407407351E-3</v>
          </cell>
        </row>
        <row r="646">
          <cell r="G646">
            <v>2.962962962962945E-3</v>
          </cell>
        </row>
        <row r="647">
          <cell r="G647">
            <v>8.2638888888889039E-3</v>
          </cell>
        </row>
        <row r="648">
          <cell r="G648">
            <v>4.3402777777777901E-3</v>
          </cell>
        </row>
        <row r="649">
          <cell r="G649">
            <v>1.1990740740740746E-2</v>
          </cell>
        </row>
        <row r="650">
          <cell r="G650">
            <v>1.2569444444444411E-2</v>
          </cell>
        </row>
        <row r="651">
          <cell r="G651">
            <v>1.0682870370370356E-2</v>
          </cell>
        </row>
        <row r="652">
          <cell r="G652">
            <v>1.0960648148148122E-2</v>
          </cell>
        </row>
        <row r="653">
          <cell r="G653">
            <v>1.0347222222222285E-2</v>
          </cell>
        </row>
        <row r="654">
          <cell r="G654">
            <v>8.9583333333333459E-3</v>
          </cell>
        </row>
        <row r="655">
          <cell r="G655">
            <v>9.3981481481481E-3</v>
          </cell>
        </row>
        <row r="656">
          <cell r="G656">
            <v>9.8379629629630205E-3</v>
          </cell>
        </row>
        <row r="657">
          <cell r="G657">
            <v>4.8495370370369995E-3</v>
          </cell>
        </row>
        <row r="658">
          <cell r="G658">
            <v>7.7430555555555447E-3</v>
          </cell>
        </row>
        <row r="659">
          <cell r="G659">
            <v>5.6597222222222743E-3</v>
          </cell>
        </row>
        <row r="660">
          <cell r="G660">
            <v>1.5925925925925843E-2</v>
          </cell>
        </row>
        <row r="661">
          <cell r="G661">
            <v>1.3402777777777763E-2</v>
          </cell>
        </row>
        <row r="662">
          <cell r="G662">
            <v>3.7731481481481088E-3</v>
          </cell>
        </row>
        <row r="663">
          <cell r="G663">
            <v>1.3194444444444398E-2</v>
          </cell>
        </row>
        <row r="664">
          <cell r="G664">
            <v>7.9976851851851771E-3</v>
          </cell>
        </row>
        <row r="665">
          <cell r="G665">
            <v>1.2858796296296271E-2</v>
          </cell>
        </row>
        <row r="666">
          <cell r="G666">
            <v>9.293981481481528E-3</v>
          </cell>
        </row>
        <row r="667">
          <cell r="G667">
            <v>2.0567129629629588E-2</v>
          </cell>
        </row>
        <row r="668">
          <cell r="G668">
            <v>9.5486111111111605E-3</v>
          </cell>
        </row>
        <row r="669">
          <cell r="G669">
            <v>2.0474537037036944E-2</v>
          </cell>
        </row>
        <row r="670">
          <cell r="G670">
            <v>9.0856481481481621E-3</v>
          </cell>
        </row>
        <row r="671">
          <cell r="G671">
            <v>1.7812500000000009E-2</v>
          </cell>
        </row>
        <row r="672">
          <cell r="G672">
            <v>1.809027777777783E-2</v>
          </cell>
        </row>
        <row r="673">
          <cell r="G673">
            <v>5.6481481481481799E-3</v>
          </cell>
        </row>
        <row r="674">
          <cell r="G674">
            <v>1.9050925925925943E-2</v>
          </cell>
        </row>
        <row r="675">
          <cell r="G675">
            <v>2.6550925925925895E-2</v>
          </cell>
        </row>
        <row r="676">
          <cell r="G676">
            <v>2.3842592592592582E-2</v>
          </cell>
        </row>
        <row r="677">
          <cell r="G677">
            <v>9.7337962962963376E-3</v>
          </cell>
        </row>
        <row r="678">
          <cell r="G678">
            <v>7.1527777777777857E-3</v>
          </cell>
        </row>
        <row r="679">
          <cell r="G679">
            <v>1.9837962962962918E-2</v>
          </cell>
        </row>
        <row r="680">
          <cell r="G680">
            <v>1.8576388888888906E-2</v>
          </cell>
        </row>
        <row r="681">
          <cell r="G681">
            <v>1.54861111111112E-2</v>
          </cell>
        </row>
        <row r="682">
          <cell r="G682">
            <v>1.4733796296296231E-2</v>
          </cell>
        </row>
        <row r="683">
          <cell r="G683">
            <v>1.4247685185185155E-2</v>
          </cell>
        </row>
        <row r="684">
          <cell r="G684">
            <v>1.4548611111111054E-2</v>
          </cell>
        </row>
        <row r="685">
          <cell r="G685">
            <v>3.0092592592593226E-3</v>
          </cell>
        </row>
        <row r="686">
          <cell r="G686">
            <v>1.4085648148148167E-2</v>
          </cell>
        </row>
        <row r="687">
          <cell r="G687">
            <v>1.0393518518518552E-2</v>
          </cell>
        </row>
        <row r="688">
          <cell r="G688">
            <v>9.7453703703703765E-3</v>
          </cell>
        </row>
        <row r="689">
          <cell r="G689">
            <v>2.1875000000000089E-3</v>
          </cell>
        </row>
        <row r="690">
          <cell r="G690">
            <v>2.9398148148148673E-3</v>
          </cell>
        </row>
        <row r="691">
          <cell r="G691">
            <v>4.8379629629630161E-3</v>
          </cell>
        </row>
        <row r="692">
          <cell r="G692">
            <v>3.7847222222222587E-3</v>
          </cell>
        </row>
        <row r="693">
          <cell r="G693">
            <v>3.8078703703703365E-3</v>
          </cell>
        </row>
        <row r="694">
          <cell r="G694">
            <v>5.9027777777778123E-3</v>
          </cell>
        </row>
        <row r="695">
          <cell r="G695">
            <v>6.4583333333333437E-3</v>
          </cell>
        </row>
        <row r="696">
          <cell r="G696">
            <v>7.1759259259259744E-3</v>
          </cell>
        </row>
        <row r="697">
          <cell r="G697">
            <v>3.1481481481481222E-3</v>
          </cell>
        </row>
        <row r="698">
          <cell r="G698">
            <v>1.1400462962963043E-2</v>
          </cell>
        </row>
        <row r="699">
          <cell r="G699">
            <v>2.0601851851851372E-3</v>
          </cell>
        </row>
        <row r="700">
          <cell r="G700">
            <v>1.9212962962962266E-3</v>
          </cell>
        </row>
        <row r="701">
          <cell r="G701">
            <v>1.9097222222221877E-3</v>
          </cell>
        </row>
        <row r="702">
          <cell r="G702">
            <v>2.1527777777778923E-3</v>
          </cell>
        </row>
        <row r="703">
          <cell r="G703">
            <v>1.2546296296296222E-2</v>
          </cell>
        </row>
        <row r="704">
          <cell r="G704">
            <v>1.0497685185185235E-2</v>
          </cell>
        </row>
        <row r="705">
          <cell r="G705">
            <v>1.0694444444444451E-2</v>
          </cell>
        </row>
        <row r="706">
          <cell r="G706">
            <v>9.7222222222222987E-3</v>
          </cell>
        </row>
        <row r="707">
          <cell r="G707">
            <v>1.1689814814814792E-2</v>
          </cell>
        </row>
        <row r="708">
          <cell r="G708">
            <v>5.2314814814815591E-3</v>
          </cell>
        </row>
        <row r="709">
          <cell r="G709">
            <v>1.216435185185194E-2</v>
          </cell>
        </row>
        <row r="710">
          <cell r="G710">
            <v>1.2361111111111156E-2</v>
          </cell>
        </row>
        <row r="711">
          <cell r="G711">
            <v>1.1886574074074119E-2</v>
          </cell>
        </row>
        <row r="712">
          <cell r="G712">
            <v>1.8981481481481488E-3</v>
          </cell>
        </row>
        <row r="713">
          <cell r="G713">
            <v>4.2824074074074847E-3</v>
          </cell>
        </row>
        <row r="714">
          <cell r="G714">
            <v>2.1064814814814037E-3</v>
          </cell>
        </row>
        <row r="715">
          <cell r="G715">
            <v>2.446759259259268E-2</v>
          </cell>
        </row>
        <row r="716">
          <cell r="G716">
            <v>2.50231481481481E-2</v>
          </cell>
        </row>
        <row r="717">
          <cell r="G717">
            <v>2.17592592592597E-3</v>
          </cell>
        </row>
        <row r="718">
          <cell r="G718">
            <v>6.8634259259259256E-3</v>
          </cell>
        </row>
        <row r="719">
          <cell r="G719">
            <v>2.1180555555555536E-3</v>
          </cell>
        </row>
        <row r="720">
          <cell r="G720">
            <v>3.3101851851852215E-3</v>
          </cell>
        </row>
        <row r="721">
          <cell r="G721">
            <v>4.0509259259259855E-3</v>
          </cell>
        </row>
        <row r="722">
          <cell r="G722">
            <v>1.0590277777777768E-2</v>
          </cell>
        </row>
        <row r="723">
          <cell r="G723">
            <v>3.4722222222221544E-3</v>
          </cell>
        </row>
        <row r="724">
          <cell r="G724">
            <v>1.0821759259259212E-2</v>
          </cell>
        </row>
        <row r="725">
          <cell r="G725">
            <v>1.062499999999994E-2</v>
          </cell>
        </row>
        <row r="726">
          <cell r="G726">
            <v>1.1817129629629664E-2</v>
          </cell>
        </row>
        <row r="727">
          <cell r="G727">
            <v>1.0034722222222237E-2</v>
          </cell>
        </row>
        <row r="728">
          <cell r="G728">
            <v>4.2129629629629739E-3</v>
          </cell>
        </row>
        <row r="729">
          <cell r="G729">
            <v>5.8564814814814348E-3</v>
          </cell>
        </row>
        <row r="730">
          <cell r="G730">
            <v>1.6145833333333304E-2</v>
          </cell>
        </row>
        <row r="731">
          <cell r="G731">
            <v>1.1412037037037082E-2</v>
          </cell>
        </row>
        <row r="732">
          <cell r="G732">
            <v>5.7407407407407129E-3</v>
          </cell>
        </row>
        <row r="733">
          <cell r="G733">
            <v>1.1319444444444438E-2</v>
          </cell>
        </row>
        <row r="734">
          <cell r="G734">
            <v>3.6921296296296258E-2</v>
          </cell>
        </row>
        <row r="735">
          <cell r="G735">
            <v>9.3402777777777946E-3</v>
          </cell>
        </row>
        <row r="736">
          <cell r="G736">
            <v>2.8287037037037055E-2</v>
          </cell>
        </row>
        <row r="737">
          <cell r="G737">
            <v>2.937500000000004E-2</v>
          </cell>
        </row>
        <row r="738">
          <cell r="G738">
            <v>3.5706018518518512E-2</v>
          </cell>
        </row>
        <row r="739">
          <cell r="G739">
            <v>3.4988425925925881E-2</v>
          </cell>
        </row>
        <row r="740">
          <cell r="G740">
            <v>1.3472222222222219E-2</v>
          </cell>
        </row>
        <row r="741">
          <cell r="G741">
            <v>2.7395833333333397E-2</v>
          </cell>
        </row>
        <row r="742">
          <cell r="G742">
            <v>1.7662037037037059E-2</v>
          </cell>
        </row>
        <row r="743">
          <cell r="G743">
            <v>7.8356481481480778E-3</v>
          </cell>
        </row>
        <row r="744">
          <cell r="G744">
            <v>1.8263888888888857E-2</v>
          </cell>
        </row>
        <row r="745">
          <cell r="G745">
            <v>1.083333333333325E-2</v>
          </cell>
        </row>
        <row r="746">
          <cell r="G746">
            <v>1.0092592592592653E-2</v>
          </cell>
        </row>
        <row r="747">
          <cell r="G747">
            <v>2.0370370370370594E-3</v>
          </cell>
        </row>
        <row r="748">
          <cell r="G748">
            <v>1.2974537037036993E-2</v>
          </cell>
        </row>
        <row r="749">
          <cell r="G749">
            <v>5.2546296296296369E-3</v>
          </cell>
        </row>
        <row r="750">
          <cell r="G750">
            <v>9.8495370370370594E-3</v>
          </cell>
        </row>
        <row r="751">
          <cell r="G751">
            <v>1.0069444444444464E-2</v>
          </cell>
        </row>
        <row r="752">
          <cell r="G752">
            <v>1.8831018518518428E-2</v>
          </cell>
        </row>
        <row r="753">
          <cell r="G753">
            <v>2.1423611111111018E-2</v>
          </cell>
        </row>
        <row r="754">
          <cell r="G754">
            <v>1.0069444444444464E-2</v>
          </cell>
        </row>
        <row r="755">
          <cell r="G755">
            <v>5.8217592592592071E-3</v>
          </cell>
        </row>
        <row r="756">
          <cell r="G756">
            <v>5.0231481481480822E-3</v>
          </cell>
        </row>
        <row r="757">
          <cell r="G757">
            <v>1.0787037037036984E-2</v>
          </cell>
        </row>
        <row r="758">
          <cell r="G758">
            <v>1.937499999999992E-2</v>
          </cell>
        </row>
        <row r="759">
          <cell r="G759">
            <v>3.2175925925925775E-3</v>
          </cell>
        </row>
        <row r="760">
          <cell r="G760">
            <v>2.0601851851851372E-3</v>
          </cell>
        </row>
        <row r="761">
          <cell r="G761">
            <v>1.8506944444444395E-2</v>
          </cell>
        </row>
        <row r="762">
          <cell r="G762">
            <v>1.2905092592592537E-2</v>
          </cell>
        </row>
        <row r="763">
          <cell r="G763">
            <v>5.335648148148131E-3</v>
          </cell>
        </row>
        <row r="764">
          <cell r="G764">
            <v>4.5601851851852504E-3</v>
          </cell>
        </row>
        <row r="765">
          <cell r="G765">
            <v>9.0046296296296124E-3</v>
          </cell>
        </row>
        <row r="766">
          <cell r="G766">
            <v>2.5462962962963243E-3</v>
          </cell>
        </row>
        <row r="767">
          <cell r="G767">
            <v>2.5925925925925908E-3</v>
          </cell>
        </row>
        <row r="768">
          <cell r="G768">
            <v>4.6296296296296502E-3</v>
          </cell>
        </row>
        <row r="769">
          <cell r="G769">
            <v>6.5972222222222543E-3</v>
          </cell>
        </row>
        <row r="770">
          <cell r="G770">
            <v>4.4212962962962843E-3</v>
          </cell>
        </row>
        <row r="771">
          <cell r="G771">
            <v>2.0370370370370594E-3</v>
          </cell>
        </row>
        <row r="772">
          <cell r="G772">
            <v>1.136574074074076E-2</v>
          </cell>
        </row>
        <row r="773">
          <cell r="G773">
            <v>1.0844907407407456E-2</v>
          </cell>
        </row>
        <row r="774">
          <cell r="G774">
            <v>1.3171296296296264E-2</v>
          </cell>
        </row>
        <row r="775">
          <cell r="G775">
            <v>1.3252314814814758E-2</v>
          </cell>
        </row>
        <row r="776">
          <cell r="G776">
            <v>1.5277777777777779E-2</v>
          </cell>
        </row>
        <row r="777">
          <cell r="G777">
            <v>1.0902777777777817E-2</v>
          </cell>
        </row>
        <row r="778">
          <cell r="G778">
            <v>1.3749999999999984E-2</v>
          </cell>
        </row>
        <row r="779">
          <cell r="G779">
            <v>4.8148148148148273E-3</v>
          </cell>
        </row>
        <row r="780">
          <cell r="G780">
            <v>2.1527777777777257E-3</v>
          </cell>
        </row>
        <row r="781">
          <cell r="G781">
            <v>1.0497685185185179E-2</v>
          </cell>
        </row>
        <row r="782">
          <cell r="G782">
            <v>4.3518518518518845E-3</v>
          </cell>
        </row>
        <row r="783">
          <cell r="G783">
            <v>9.2361111111110561E-3</v>
          </cell>
        </row>
        <row r="784">
          <cell r="G784">
            <v>3.2754629629629384E-3</v>
          </cell>
        </row>
        <row r="785">
          <cell r="G785">
            <v>1.0127314814814881E-2</v>
          </cell>
        </row>
        <row r="786">
          <cell r="G786">
            <v>2.1296296296295925E-3</v>
          </cell>
        </row>
        <row r="787">
          <cell r="G787">
            <v>9.2129629629629228E-3</v>
          </cell>
        </row>
        <row r="788">
          <cell r="G788">
            <v>1.6435185185185164E-2</v>
          </cell>
        </row>
        <row r="789">
          <cell r="G789">
            <v>1.6516203703703713E-2</v>
          </cell>
        </row>
        <row r="790">
          <cell r="G790">
            <v>1.6770833333333401E-2</v>
          </cell>
        </row>
        <row r="791">
          <cell r="G791">
            <v>3.3680555555555269E-3</v>
          </cell>
        </row>
        <row r="792">
          <cell r="G792">
            <v>2.6620370370371016E-3</v>
          </cell>
        </row>
        <row r="793">
          <cell r="G793">
            <v>2.777777777777779E-2</v>
          </cell>
        </row>
        <row r="794">
          <cell r="G794">
            <v>1.3715277777777812E-2</v>
          </cell>
        </row>
        <row r="795">
          <cell r="G795">
            <v>2.2453703703703143E-3</v>
          </cell>
        </row>
        <row r="796">
          <cell r="G796">
            <v>1.0902777777777817E-2</v>
          </cell>
        </row>
        <row r="797">
          <cell r="G797">
            <v>1.1770833333333286E-2</v>
          </cell>
        </row>
        <row r="798">
          <cell r="G798">
            <v>1.0451388888888857E-2</v>
          </cell>
        </row>
        <row r="799">
          <cell r="G799">
            <v>7.8009259259258501E-3</v>
          </cell>
        </row>
        <row r="800">
          <cell r="G800">
            <v>5.6712962962962576E-3</v>
          </cell>
        </row>
        <row r="801">
          <cell r="G801">
            <v>5.6828703703704075E-3</v>
          </cell>
        </row>
        <row r="802">
          <cell r="G802">
            <v>1.216435185185194E-2</v>
          </cell>
        </row>
        <row r="803">
          <cell r="G803">
            <v>4.8842592592592826E-3</v>
          </cell>
        </row>
        <row r="804">
          <cell r="G804">
            <v>2.0601851851851372E-3</v>
          </cell>
        </row>
        <row r="805">
          <cell r="G805">
            <v>1.1793981481481364E-2</v>
          </cell>
        </row>
        <row r="806">
          <cell r="G806">
            <v>2.083333333333437E-3</v>
          </cell>
        </row>
        <row r="807">
          <cell r="G807">
            <v>2.5347222222222854E-3</v>
          </cell>
        </row>
        <row r="808">
          <cell r="G808">
            <v>5.0231481481481932E-3</v>
          </cell>
        </row>
        <row r="809">
          <cell r="G809">
            <v>9.0509259259259345E-3</v>
          </cell>
        </row>
        <row r="810">
          <cell r="G810">
            <v>3.1250000000000444E-3</v>
          </cell>
        </row>
        <row r="811">
          <cell r="G811">
            <v>3.0092592592592116E-3</v>
          </cell>
        </row>
        <row r="812">
          <cell r="G812">
            <v>8.7384259259258856E-3</v>
          </cell>
        </row>
        <row r="813">
          <cell r="G813">
            <v>2.0138888888889817E-3</v>
          </cell>
        </row>
        <row r="814">
          <cell r="G814">
            <v>2.4537037037036802E-3</v>
          </cell>
        </row>
        <row r="815">
          <cell r="G815">
            <v>1.4166666666666661E-2</v>
          </cell>
        </row>
        <row r="816">
          <cell r="G816">
            <v>2.5231481481481355E-3</v>
          </cell>
        </row>
        <row r="817">
          <cell r="G817">
            <v>2.4305555555556024E-3</v>
          </cell>
        </row>
        <row r="818">
          <cell r="G818">
            <v>2.4305555555556024E-3</v>
          </cell>
        </row>
        <row r="819">
          <cell r="G819">
            <v>6.9791666666666474E-3</v>
          </cell>
        </row>
        <row r="820">
          <cell r="G820">
            <v>7.6967592592592782E-3</v>
          </cell>
        </row>
        <row r="821">
          <cell r="G821">
            <v>3.0208333333333615E-3</v>
          </cell>
        </row>
        <row r="822">
          <cell r="G822">
            <v>7.5000000000000622E-3</v>
          </cell>
        </row>
        <row r="823">
          <cell r="G823">
            <v>1.1122685185185222E-2</v>
          </cell>
        </row>
        <row r="824">
          <cell r="G824">
            <v>2.5462962962962132E-3</v>
          </cell>
        </row>
        <row r="825">
          <cell r="G825">
            <v>7.4305555555556069E-3</v>
          </cell>
        </row>
        <row r="826">
          <cell r="G826">
            <v>8.40277777777787E-3</v>
          </cell>
        </row>
        <row r="827">
          <cell r="G827">
            <v>7.3379629629629628E-3</v>
          </cell>
        </row>
        <row r="828">
          <cell r="G828">
            <v>6.9791666666665364E-3</v>
          </cell>
        </row>
        <row r="829">
          <cell r="G829">
            <v>6.0532407407406508E-3</v>
          </cell>
        </row>
        <row r="830">
          <cell r="G830">
            <v>1.0624999999999996E-2</v>
          </cell>
        </row>
        <row r="831">
          <cell r="G831">
            <v>2.5567129629629703E-2</v>
          </cell>
        </row>
        <row r="832">
          <cell r="G832">
            <v>3.6226851851852704E-3</v>
          </cell>
        </row>
        <row r="833">
          <cell r="G833">
            <v>3.4374999999999822E-3</v>
          </cell>
        </row>
        <row r="834">
          <cell r="G834">
            <v>1.0821759259259212E-2</v>
          </cell>
        </row>
        <row r="835">
          <cell r="G835">
            <v>9.2708333333333393E-3</v>
          </cell>
        </row>
        <row r="836">
          <cell r="G836">
            <v>2.9050925925926396E-3</v>
          </cell>
        </row>
        <row r="837">
          <cell r="G837">
            <v>1.3715277777777923E-2</v>
          </cell>
        </row>
        <row r="838">
          <cell r="G838">
            <v>1.6180555555555642E-2</v>
          </cell>
        </row>
        <row r="839">
          <cell r="G839">
            <v>1.3541666666666674E-2</v>
          </cell>
        </row>
        <row r="840">
          <cell r="G840">
            <v>1.5428240740740673E-2</v>
          </cell>
        </row>
        <row r="841">
          <cell r="G841">
            <v>1.3807870370370345E-2</v>
          </cell>
        </row>
        <row r="842">
          <cell r="G842">
            <v>1.3854166666666723E-2</v>
          </cell>
        </row>
        <row r="843">
          <cell r="G843">
            <v>2.2916666666665808E-3</v>
          </cell>
        </row>
        <row r="844">
          <cell r="G844">
            <v>2.4999999999999911E-2</v>
          </cell>
        </row>
        <row r="845">
          <cell r="G845">
            <v>1.5277777777777835E-2</v>
          </cell>
        </row>
        <row r="846">
          <cell r="G846">
            <v>3.0972222222222179E-2</v>
          </cell>
        </row>
        <row r="847">
          <cell r="G847">
            <v>3.460648148148171E-3</v>
          </cell>
        </row>
        <row r="848">
          <cell r="G848">
            <v>1.8981481481481488E-2</v>
          </cell>
        </row>
        <row r="849">
          <cell r="G849">
            <v>2.403935185185202E-2</v>
          </cell>
        </row>
        <row r="850">
          <cell r="G850">
            <v>7.5231481481481399E-3</v>
          </cell>
        </row>
        <row r="851">
          <cell r="G851">
            <v>4.0856481481481577E-3</v>
          </cell>
        </row>
        <row r="852">
          <cell r="G852">
            <v>1.3888888888888895E-2</v>
          </cell>
        </row>
        <row r="853">
          <cell r="G853">
            <v>3.2407407407407662E-3</v>
          </cell>
        </row>
        <row r="854">
          <cell r="G854">
            <v>7.0254629629629139E-3</v>
          </cell>
        </row>
        <row r="855">
          <cell r="G855">
            <v>8.6689814814814858E-3</v>
          </cell>
        </row>
        <row r="856">
          <cell r="G856">
            <v>1.5740740740740777E-2</v>
          </cell>
        </row>
        <row r="857">
          <cell r="G857">
            <v>1.4236111111111116E-2</v>
          </cell>
        </row>
        <row r="858">
          <cell r="G858">
            <v>4.398148148148151E-3</v>
          </cell>
        </row>
        <row r="859">
          <cell r="G859">
            <v>6.1689814814814836E-3</v>
          </cell>
        </row>
        <row r="860">
          <cell r="G860">
            <v>1.6828703703703707E-2</v>
          </cell>
        </row>
        <row r="861">
          <cell r="G861">
            <v>5.1041666666666874E-3</v>
          </cell>
        </row>
        <row r="862">
          <cell r="G862">
            <v>1.2974537037037048E-2</v>
          </cell>
        </row>
        <row r="863">
          <cell r="G863">
            <v>1.4305555555555571E-2</v>
          </cell>
        </row>
        <row r="864">
          <cell r="G864">
            <v>6.921296296296231E-3</v>
          </cell>
        </row>
        <row r="865">
          <cell r="G865">
            <v>4.1435185185184631E-3</v>
          </cell>
        </row>
        <row r="866">
          <cell r="G866">
            <v>1.071759259259264E-2</v>
          </cell>
        </row>
        <row r="867">
          <cell r="G867">
            <v>2.8472222222222232E-3</v>
          </cell>
        </row>
        <row r="868">
          <cell r="G868">
            <v>3.9699074074073804E-3</v>
          </cell>
        </row>
        <row r="869">
          <cell r="G869">
            <v>2.4999999999999467E-3</v>
          </cell>
        </row>
        <row r="870">
          <cell r="G870">
            <v>1.4537037037037015E-2</v>
          </cell>
        </row>
        <row r="871">
          <cell r="G871">
            <v>3.4374999999999822E-3</v>
          </cell>
        </row>
        <row r="872">
          <cell r="G872">
            <v>8.6921296296296191E-3</v>
          </cell>
        </row>
        <row r="873">
          <cell r="G873">
            <v>6.6782407407407485E-3</v>
          </cell>
        </row>
        <row r="874">
          <cell r="G874">
            <v>1.2453703703703689E-2</v>
          </cell>
        </row>
        <row r="875">
          <cell r="G875">
            <v>2.5115740740740966E-3</v>
          </cell>
        </row>
        <row r="876">
          <cell r="G876">
            <v>2.5358796296296338E-2</v>
          </cell>
        </row>
        <row r="877">
          <cell r="G877">
            <v>2.459490740740744E-2</v>
          </cell>
        </row>
        <row r="878">
          <cell r="G878">
            <v>1.5520833333333373E-2</v>
          </cell>
        </row>
        <row r="879">
          <cell r="G879">
            <v>1.4444444444444537E-2</v>
          </cell>
        </row>
        <row r="880">
          <cell r="G880">
            <v>8.8310185185185297E-3</v>
          </cell>
        </row>
        <row r="881">
          <cell r="G881">
            <v>3.2291666666667274E-3</v>
          </cell>
        </row>
        <row r="882">
          <cell r="G882">
            <v>1.6817129629629668E-2</v>
          </cell>
        </row>
        <row r="883">
          <cell r="G883">
            <v>1.5810185185185177E-2</v>
          </cell>
        </row>
        <row r="884">
          <cell r="G884">
            <v>2.2557870370370381E-2</v>
          </cell>
        </row>
        <row r="885">
          <cell r="G885">
            <v>1.0659722222222223E-2</v>
          </cell>
        </row>
        <row r="886">
          <cell r="G886">
            <v>9.8263888888888706E-3</v>
          </cell>
        </row>
        <row r="887">
          <cell r="G887">
            <v>7.3263888888889239E-3</v>
          </cell>
        </row>
        <row r="888">
          <cell r="G888">
            <v>1.2800925925925855E-2</v>
          </cell>
        </row>
        <row r="889">
          <cell r="G889">
            <v>4.5833333333332726E-3</v>
          </cell>
        </row>
        <row r="890">
          <cell r="G890">
            <v>3.4259259259258323E-3</v>
          </cell>
        </row>
        <row r="891">
          <cell r="G891">
            <v>1.3958333333333295E-2</v>
          </cell>
        </row>
        <row r="892">
          <cell r="G892">
            <v>1.1192129629629566E-2</v>
          </cell>
        </row>
        <row r="893">
          <cell r="G893">
            <v>1.1550925925925881E-2</v>
          </cell>
        </row>
        <row r="894">
          <cell r="G894">
            <v>7.025462962963025E-3</v>
          </cell>
        </row>
        <row r="895">
          <cell r="G895">
            <v>1.2754629629629699E-2</v>
          </cell>
        </row>
        <row r="896">
          <cell r="G896">
            <v>2.7083333333334236E-3</v>
          </cell>
        </row>
        <row r="897">
          <cell r="G897">
            <v>1.2986111111111032E-2</v>
          </cell>
        </row>
        <row r="898">
          <cell r="G898">
            <v>1.1956018518518574E-2</v>
          </cell>
        </row>
        <row r="899">
          <cell r="G899">
            <v>3.1828703703704608E-3</v>
          </cell>
        </row>
        <row r="900">
          <cell r="G900">
            <v>1.3275462962963003E-2</v>
          </cell>
        </row>
        <row r="901">
          <cell r="G901">
            <v>2.476851851851869E-3</v>
          </cell>
        </row>
        <row r="902">
          <cell r="G902">
            <v>2.7083333333333126E-3</v>
          </cell>
        </row>
        <row r="903">
          <cell r="G903">
            <v>8.0439814814815547E-3</v>
          </cell>
        </row>
        <row r="904">
          <cell r="G904">
            <v>7.7893518518518112E-3</v>
          </cell>
        </row>
        <row r="905">
          <cell r="G905">
            <v>1.2199074074074168E-2</v>
          </cell>
        </row>
        <row r="906">
          <cell r="G906">
            <v>2.7199074074073515E-3</v>
          </cell>
        </row>
        <row r="907">
          <cell r="G907">
            <v>1.0162037037036997E-2</v>
          </cell>
        </row>
        <row r="908">
          <cell r="G908">
            <v>1.1782407407407325E-2</v>
          </cell>
        </row>
        <row r="909">
          <cell r="G909">
            <v>6.5393518518518379E-3</v>
          </cell>
        </row>
        <row r="910">
          <cell r="G910">
            <v>3.7152777777778034E-3</v>
          </cell>
        </row>
        <row r="911">
          <cell r="G911">
            <v>8.1249999999999378E-3</v>
          </cell>
        </row>
        <row r="912">
          <cell r="G912">
            <v>1.056712962962969E-2</v>
          </cell>
        </row>
        <row r="913">
          <cell r="G913">
            <v>3.854166666666714E-3</v>
          </cell>
        </row>
        <row r="914">
          <cell r="G914">
            <v>3.7152777777778034E-3</v>
          </cell>
        </row>
        <row r="915">
          <cell r="G915">
            <v>2.7314814814813904E-3</v>
          </cell>
        </row>
        <row r="916">
          <cell r="G916">
            <v>1.4201388888888888E-2</v>
          </cell>
        </row>
        <row r="917">
          <cell r="G917">
            <v>1.2152777777777679E-2</v>
          </cell>
        </row>
        <row r="918">
          <cell r="G918">
            <v>1.1932870370370496E-2</v>
          </cell>
        </row>
        <row r="919">
          <cell r="G919">
            <v>2.7546296296295791E-3</v>
          </cell>
        </row>
        <row r="920">
          <cell r="G920">
            <v>2.9340277777777701E-2</v>
          </cell>
        </row>
        <row r="921">
          <cell r="G921">
            <v>2.6967592592592737E-3</v>
          </cell>
        </row>
        <row r="922">
          <cell r="G922">
            <v>2.098379629629632E-2</v>
          </cell>
        </row>
        <row r="923">
          <cell r="G923">
            <v>2.0208333333333384E-2</v>
          </cell>
        </row>
        <row r="924">
          <cell r="G924">
            <v>1.7164351851851833E-2</v>
          </cell>
        </row>
        <row r="925">
          <cell r="G925">
            <v>4.2708333333333348E-3</v>
          </cell>
        </row>
        <row r="926">
          <cell r="G926">
            <v>3.5243055555555514E-2</v>
          </cell>
        </row>
        <row r="927">
          <cell r="G927">
            <v>9.6527777777778434E-3</v>
          </cell>
        </row>
        <row r="928">
          <cell r="G928">
            <v>2.8090277777777728E-2</v>
          </cell>
        </row>
        <row r="929">
          <cell r="G929">
            <v>2.8912037037037042E-2</v>
          </cell>
        </row>
        <row r="930">
          <cell r="G930">
            <v>1.4479166666666599E-2</v>
          </cell>
        </row>
        <row r="931">
          <cell r="G931">
            <v>2.9328703703703662E-2</v>
          </cell>
        </row>
        <row r="932">
          <cell r="G932">
            <v>2.6851851851851238E-3</v>
          </cell>
        </row>
        <row r="933">
          <cell r="G933">
            <v>3.8310185185184698E-3</v>
          </cell>
        </row>
        <row r="934">
          <cell r="G934">
            <v>2.7083333333333126E-3</v>
          </cell>
        </row>
        <row r="935">
          <cell r="G935">
            <v>1.0266203703703736E-2</v>
          </cell>
        </row>
        <row r="936">
          <cell r="G936">
            <v>1.2789351851851871E-2</v>
          </cell>
        </row>
        <row r="937">
          <cell r="G937">
            <v>6.331018518518583E-3</v>
          </cell>
        </row>
        <row r="938">
          <cell r="G938">
            <v>6.0416666666666674E-3</v>
          </cell>
        </row>
        <row r="939">
          <cell r="G939">
            <v>6.8518518518518867E-3</v>
          </cell>
        </row>
        <row r="940">
          <cell r="G940">
            <v>4.9652777777777768E-3</v>
          </cell>
        </row>
        <row r="941">
          <cell r="G941">
            <v>4.0277777777777968E-3</v>
          </cell>
        </row>
        <row r="942">
          <cell r="G942">
            <v>1.2546296296296278E-2</v>
          </cell>
        </row>
        <row r="943">
          <cell r="G943">
            <v>2.1805555555555578E-2</v>
          </cell>
        </row>
        <row r="944">
          <cell r="G944">
            <v>1.3449074074074086E-2</v>
          </cell>
        </row>
        <row r="945">
          <cell r="G945">
            <v>9.7337962962963376E-3</v>
          </cell>
        </row>
        <row r="946">
          <cell r="G946">
            <v>1.7303240740740744E-2</v>
          </cell>
        </row>
        <row r="947">
          <cell r="G947">
            <v>5.4513888888889084E-3</v>
          </cell>
        </row>
        <row r="948">
          <cell r="G948">
            <v>2.4351851851851791E-2</v>
          </cell>
        </row>
        <row r="949">
          <cell r="G949">
            <v>1.062499999999994E-2</v>
          </cell>
        </row>
        <row r="950">
          <cell r="G950">
            <v>4.9189814814814548E-3</v>
          </cell>
        </row>
        <row r="951">
          <cell r="G951">
            <v>3.2870370370370328E-3</v>
          </cell>
        </row>
        <row r="952">
          <cell r="G952">
            <v>7.8356481481481333E-3</v>
          </cell>
        </row>
        <row r="953">
          <cell r="G953">
            <v>2.4537037037036247E-3</v>
          </cell>
        </row>
        <row r="954">
          <cell r="G954">
            <v>1.2326388888888817E-2</v>
          </cell>
        </row>
        <row r="955">
          <cell r="G955">
            <v>1.4236111111111116E-2</v>
          </cell>
        </row>
        <row r="956">
          <cell r="G956">
            <v>1.7037037037037017E-2</v>
          </cell>
        </row>
        <row r="957">
          <cell r="G957">
            <v>1.7349537037037066E-2</v>
          </cell>
        </row>
        <row r="958">
          <cell r="G958">
            <v>2.7083333333334236E-3</v>
          </cell>
        </row>
        <row r="959">
          <cell r="G959">
            <v>1.5520833333333317E-2</v>
          </cell>
        </row>
        <row r="960">
          <cell r="G960">
            <v>1.3865740740740762E-2</v>
          </cell>
        </row>
        <row r="961">
          <cell r="G961">
            <v>1.3576388888888902E-2</v>
          </cell>
        </row>
        <row r="962">
          <cell r="G962">
            <v>2.6157407407407796E-3</v>
          </cell>
        </row>
        <row r="963">
          <cell r="G963">
            <v>2.7083333333333126E-3</v>
          </cell>
        </row>
        <row r="964">
          <cell r="G964">
            <v>8.310185185185115E-3</v>
          </cell>
        </row>
        <row r="965">
          <cell r="G965">
            <v>3.0324074074075114E-3</v>
          </cell>
        </row>
        <row r="966">
          <cell r="G966">
            <v>2.6620370370370461E-3</v>
          </cell>
        </row>
        <row r="967">
          <cell r="G967">
            <v>1.6805555555555518E-2</v>
          </cell>
        </row>
        <row r="968">
          <cell r="G968">
            <v>5.2777777777777146E-3</v>
          </cell>
        </row>
        <row r="969">
          <cell r="G969">
            <v>5.0347222222222321E-3</v>
          </cell>
        </row>
        <row r="970">
          <cell r="G970">
            <v>3.7037037037037646E-3</v>
          </cell>
        </row>
        <row r="971">
          <cell r="G971">
            <v>1.2164351851851829E-2</v>
          </cell>
        </row>
        <row r="972">
          <cell r="G972">
            <v>6.3194444444445441E-3</v>
          </cell>
        </row>
        <row r="973">
          <cell r="G973">
            <v>5.7870370370370905E-3</v>
          </cell>
        </row>
        <row r="974">
          <cell r="G974">
            <v>1.4166666666666661E-2</v>
          </cell>
        </row>
        <row r="975">
          <cell r="G975">
            <v>1.1747685185185097E-2</v>
          </cell>
        </row>
        <row r="976">
          <cell r="G976">
            <v>8.7384259259258856E-3</v>
          </cell>
        </row>
        <row r="977">
          <cell r="G977">
            <v>8.3449074074073426E-3</v>
          </cell>
        </row>
        <row r="978">
          <cell r="G978">
            <v>6.5972222222221433E-3</v>
          </cell>
        </row>
        <row r="979">
          <cell r="G979">
            <v>4.6643518518518778E-3</v>
          </cell>
        </row>
        <row r="980">
          <cell r="G980">
            <v>3.2407407407407662E-3</v>
          </cell>
        </row>
        <row r="981">
          <cell r="G981">
            <v>2.9050925925926396E-3</v>
          </cell>
        </row>
        <row r="982">
          <cell r="G982">
            <v>8.1828703703703543E-3</v>
          </cell>
        </row>
        <row r="983">
          <cell r="G983">
            <v>6.2847222222222054E-3</v>
          </cell>
        </row>
        <row r="984">
          <cell r="G984">
            <v>5.1620370370369928E-3</v>
          </cell>
        </row>
        <row r="985">
          <cell r="G985">
            <v>4.444444444444362E-3</v>
          </cell>
        </row>
        <row r="986">
          <cell r="G986">
            <v>1.201388888888888E-2</v>
          </cell>
        </row>
        <row r="987">
          <cell r="G987">
            <v>2.1157407407407458E-2</v>
          </cell>
        </row>
        <row r="988">
          <cell r="G988">
            <v>1.25925925925926E-2</v>
          </cell>
        </row>
        <row r="989">
          <cell r="G989">
            <v>1.5312500000000062E-2</v>
          </cell>
        </row>
        <row r="990">
          <cell r="G990">
            <v>5.8449074074075069E-3</v>
          </cell>
        </row>
        <row r="991">
          <cell r="G991">
            <v>1.6400462962962936E-2</v>
          </cell>
        </row>
        <row r="992">
          <cell r="G992">
            <v>4.0277777777778523E-3</v>
          </cell>
        </row>
        <row r="993">
          <cell r="G993">
            <v>1.4918981481481519E-2</v>
          </cell>
        </row>
        <row r="994">
          <cell r="G994">
            <v>4.4791666666667007E-3</v>
          </cell>
        </row>
        <row r="995">
          <cell r="G995">
            <v>6.7129629629629761E-3</v>
          </cell>
        </row>
        <row r="996">
          <cell r="G996">
            <v>8.6111111111111249E-3</v>
          </cell>
        </row>
        <row r="997">
          <cell r="G997">
            <v>7.6041666666666341E-3</v>
          </cell>
        </row>
        <row r="998">
          <cell r="G998">
            <v>1.635416666666667E-2</v>
          </cell>
        </row>
        <row r="999">
          <cell r="G999">
            <v>1.1805555555555625E-2</v>
          </cell>
        </row>
        <row r="1000">
          <cell r="G1000">
            <v>1.6747685185185213E-2</v>
          </cell>
        </row>
        <row r="1001">
          <cell r="G1001">
            <v>8.1828703703703543E-3</v>
          </cell>
        </row>
        <row r="1002">
          <cell r="G1002">
            <v>1.9120370370370399E-2</v>
          </cell>
        </row>
        <row r="1003">
          <cell r="G1003">
            <v>2.4884259259259078E-3</v>
          </cell>
        </row>
        <row r="1004">
          <cell r="G1004">
            <v>2.4618055555555629E-2</v>
          </cell>
        </row>
        <row r="1005">
          <cell r="G1005">
            <v>2.3900462962962998E-2</v>
          </cell>
        </row>
        <row r="1006">
          <cell r="G1006">
            <v>1.0289351851851758E-2</v>
          </cell>
        </row>
        <row r="1007">
          <cell r="G1007">
            <v>1.6493055555555469E-2</v>
          </cell>
        </row>
        <row r="1008">
          <cell r="G1008">
            <v>1.5729166666666627E-2</v>
          </cell>
        </row>
        <row r="1009">
          <cell r="G1009">
            <v>7.025462962963025E-3</v>
          </cell>
        </row>
        <row r="1010">
          <cell r="G1010">
            <v>2.7673611111111107E-2</v>
          </cell>
        </row>
        <row r="1011">
          <cell r="G1011">
            <v>7.3958333333333237E-3</v>
          </cell>
        </row>
        <row r="1012">
          <cell r="G1012">
            <v>2.0462962962962905E-2</v>
          </cell>
        </row>
        <row r="1013">
          <cell r="G1013">
            <v>4.8611111111111494E-3</v>
          </cell>
        </row>
        <row r="1014">
          <cell r="G1014">
            <v>5.6597222222221633E-3</v>
          </cell>
        </row>
        <row r="1015">
          <cell r="G1015">
            <v>1.9120370370370399E-2</v>
          </cell>
        </row>
        <row r="1016">
          <cell r="G1016">
            <v>2.7199074074074625E-3</v>
          </cell>
        </row>
        <row r="1017">
          <cell r="G1017">
            <v>1.222222222222219E-2</v>
          </cell>
        </row>
        <row r="1018">
          <cell r="G1018">
            <v>1.3680555555555529E-2</v>
          </cell>
        </row>
        <row r="1019">
          <cell r="G1019">
            <v>2.5717592592592542E-2</v>
          </cell>
        </row>
        <row r="1020">
          <cell r="G1020">
            <v>2.0833333333333315E-2</v>
          </cell>
        </row>
        <row r="1021">
          <cell r="G1021">
            <v>1.1215277777777755E-2</v>
          </cell>
        </row>
        <row r="1022">
          <cell r="G1022">
            <v>2.2303240740740748E-2</v>
          </cell>
        </row>
        <row r="1023">
          <cell r="G1023">
            <v>8.5416666666666696E-3</v>
          </cell>
        </row>
        <row r="1024">
          <cell r="G1024">
            <v>5.4976851851852304E-3</v>
          </cell>
        </row>
        <row r="1025">
          <cell r="G1025">
            <v>1.7060185185185262E-2</v>
          </cell>
        </row>
        <row r="1026">
          <cell r="G1026">
            <v>3.8078703703703365E-3</v>
          </cell>
        </row>
        <row r="1027">
          <cell r="G1027">
            <v>5.6597222222222188E-3</v>
          </cell>
        </row>
        <row r="1028">
          <cell r="G1028">
            <v>1.1458333333333348E-2</v>
          </cell>
        </row>
        <row r="1029">
          <cell r="G1029">
            <v>9.5023148148147829E-3</v>
          </cell>
        </row>
        <row r="1030">
          <cell r="G1030">
            <v>6.8981481481480422E-3</v>
          </cell>
        </row>
        <row r="1031">
          <cell r="G1031">
            <v>5.3125000000000533E-3</v>
          </cell>
        </row>
        <row r="1032">
          <cell r="G1032">
            <v>1.9340277777777803E-2</v>
          </cell>
        </row>
        <row r="1033">
          <cell r="G1033">
            <v>1.5416666666666634E-2</v>
          </cell>
        </row>
        <row r="1034">
          <cell r="G1034">
            <v>1.7326388888888822E-2</v>
          </cell>
        </row>
        <row r="1035">
          <cell r="G1035">
            <v>2.8472222222222232E-3</v>
          </cell>
        </row>
        <row r="1036">
          <cell r="G1036">
            <v>9.5833333333332771E-3</v>
          </cell>
        </row>
        <row r="1037">
          <cell r="G1037">
            <v>1.1099537037037033E-2</v>
          </cell>
        </row>
        <row r="1038">
          <cell r="G1038">
            <v>1.2800925925925855E-2</v>
          </cell>
        </row>
        <row r="1039">
          <cell r="G1039">
            <v>1.4363425925925988E-2</v>
          </cell>
        </row>
        <row r="1040">
          <cell r="G1040">
            <v>1.6944444444444429E-2</v>
          </cell>
        </row>
        <row r="1041">
          <cell r="G1041">
            <v>2.7650462962962918E-2</v>
          </cell>
        </row>
        <row r="1042">
          <cell r="G1042">
            <v>1.6712962962962985E-2</v>
          </cell>
        </row>
        <row r="1043">
          <cell r="G1043">
            <v>2.2303240740740637E-2</v>
          </cell>
        </row>
        <row r="1044">
          <cell r="G1044">
            <v>6.3888888888888884E-3</v>
          </cell>
        </row>
        <row r="1045">
          <cell r="G1045">
            <v>2.6273148148147074E-3</v>
          </cell>
        </row>
        <row r="1046">
          <cell r="G1046">
            <v>1.7523148148148149E-2</v>
          </cell>
        </row>
        <row r="1047">
          <cell r="G1047">
            <v>1.6851851851851896E-2</v>
          </cell>
        </row>
        <row r="1048">
          <cell r="G1048">
            <v>2.5555555555555554E-2</v>
          </cell>
        </row>
        <row r="1049">
          <cell r="G1049">
            <v>1.4652777777777737E-2</v>
          </cell>
        </row>
        <row r="1050">
          <cell r="G1050">
            <v>4.9305555555554936E-3</v>
          </cell>
        </row>
        <row r="1051">
          <cell r="G1051">
            <v>1.9143518518518587E-2</v>
          </cell>
        </row>
        <row r="1052">
          <cell r="G1052">
            <v>2.2395833333333337E-2</v>
          </cell>
        </row>
        <row r="1053">
          <cell r="G1053">
            <v>2.3020833333333324E-2</v>
          </cell>
        </row>
        <row r="1054">
          <cell r="G1054">
            <v>9.5023148148147829E-3</v>
          </cell>
        </row>
        <row r="1055">
          <cell r="G1055">
            <v>7.6967592592593337E-3</v>
          </cell>
        </row>
        <row r="1056">
          <cell r="G1056">
            <v>7.1296296296296524E-3</v>
          </cell>
        </row>
        <row r="1057">
          <cell r="G1057">
            <v>3.5763888888888928E-3</v>
          </cell>
        </row>
        <row r="1058">
          <cell r="G1058">
            <v>1.2199074074074057E-2</v>
          </cell>
        </row>
        <row r="1059">
          <cell r="G1059">
            <v>9.8148148148147762E-3</v>
          </cell>
        </row>
        <row r="1060">
          <cell r="G1060">
            <v>2.8541666666666687E-2</v>
          </cell>
        </row>
        <row r="1061">
          <cell r="G1061">
            <v>7.6388888888889173E-3</v>
          </cell>
        </row>
        <row r="1062">
          <cell r="G1062">
            <v>2.8703703703703676E-2</v>
          </cell>
        </row>
        <row r="1063">
          <cell r="G1063">
            <v>2.8703703703703676E-2</v>
          </cell>
        </row>
        <row r="1064">
          <cell r="G1064">
            <v>5.6944444444444464E-3</v>
          </cell>
        </row>
        <row r="1065">
          <cell r="G1065">
            <v>2.3865740740740771E-2</v>
          </cell>
        </row>
        <row r="1066">
          <cell r="G1066">
            <v>2.2071759259259249E-2</v>
          </cell>
        </row>
        <row r="1067">
          <cell r="G1067">
            <v>3.1377314814814872E-2</v>
          </cell>
        </row>
        <row r="1068">
          <cell r="G1068">
            <v>3.0914351851851929E-2</v>
          </cell>
        </row>
        <row r="1069">
          <cell r="G1069">
            <v>1.1643518518518525E-2</v>
          </cell>
        </row>
        <row r="1070">
          <cell r="G1070">
            <v>1.9236111111111065E-2</v>
          </cell>
        </row>
        <row r="1071">
          <cell r="G1071">
            <v>1.2662037037037055E-2</v>
          </cell>
        </row>
        <row r="1072">
          <cell r="G1072">
            <v>1.722222222222225E-2</v>
          </cell>
        </row>
        <row r="1073">
          <cell r="G1073">
            <v>7.8703703703703609E-3</v>
          </cell>
        </row>
        <row r="1074">
          <cell r="G1074">
            <v>2.0474537037036999E-2</v>
          </cell>
        </row>
        <row r="1075">
          <cell r="G1075">
            <v>1.2395833333333328E-2</v>
          </cell>
        </row>
        <row r="1076">
          <cell r="G1076">
            <v>1.1296296296296304E-2</v>
          </cell>
        </row>
        <row r="1077">
          <cell r="G1077">
            <v>1.1180555555555527E-2</v>
          </cell>
        </row>
        <row r="1078">
          <cell r="G1078">
            <v>7.1527777777777857E-3</v>
          </cell>
        </row>
        <row r="1079">
          <cell r="G1079">
            <v>1.1793981481481475E-2</v>
          </cell>
        </row>
        <row r="1080">
          <cell r="G1080">
            <v>7.9861111111111382E-3</v>
          </cell>
        </row>
        <row r="1081">
          <cell r="G1081">
            <v>2.1481481481481435E-2</v>
          </cell>
        </row>
        <row r="1082">
          <cell r="G1082">
            <v>2.0266203703703745E-2</v>
          </cell>
        </row>
        <row r="1083">
          <cell r="G1083">
            <v>2.0127314814814778E-2</v>
          </cell>
        </row>
        <row r="1084">
          <cell r="G1084">
            <v>2.6620370370369906E-3</v>
          </cell>
        </row>
        <row r="1085">
          <cell r="G1085">
            <v>3.4837962962962488E-3</v>
          </cell>
        </row>
        <row r="1086">
          <cell r="G1086">
            <v>2.3865740740740771E-2</v>
          </cell>
        </row>
        <row r="1087">
          <cell r="G1087">
            <v>1.3784722222222268E-2</v>
          </cell>
        </row>
        <row r="1088">
          <cell r="G1088">
            <v>1.3541666666666674E-2</v>
          </cell>
        </row>
        <row r="1089">
          <cell r="G1089">
            <v>1.4270833333333344E-2</v>
          </cell>
        </row>
        <row r="1090">
          <cell r="G1090">
            <v>1.0185185185185186E-2</v>
          </cell>
        </row>
        <row r="1091">
          <cell r="G1091">
            <v>1.3437499999999991E-2</v>
          </cell>
        </row>
        <row r="1092">
          <cell r="G1092">
            <v>5.9837962962963065E-3</v>
          </cell>
        </row>
        <row r="1093">
          <cell r="G1093">
            <v>1.54861111111112E-2</v>
          </cell>
        </row>
        <row r="1094">
          <cell r="G1094">
            <v>2.6041666666666297E-3</v>
          </cell>
        </row>
        <row r="1095">
          <cell r="G1095">
            <v>2.9768518518518472E-2</v>
          </cell>
        </row>
        <row r="1096">
          <cell r="G1096">
            <v>2.777777777777779E-2</v>
          </cell>
        </row>
        <row r="1097">
          <cell r="G1097">
            <v>1.8055555555555491E-2</v>
          </cell>
        </row>
        <row r="1098">
          <cell r="G1098">
            <v>2.7083333333334236E-3</v>
          </cell>
        </row>
        <row r="1099">
          <cell r="G1099">
            <v>2.0381944444444522E-2</v>
          </cell>
        </row>
        <row r="1100">
          <cell r="G1100">
            <v>3.0590277777777786E-2</v>
          </cell>
        </row>
        <row r="1101">
          <cell r="G1101">
            <v>2.8576388888888915E-2</v>
          </cell>
        </row>
        <row r="1102">
          <cell r="G1102">
            <v>2.1527777777777812E-2</v>
          </cell>
        </row>
        <row r="1103">
          <cell r="G1103">
            <v>1.939814814814822E-2</v>
          </cell>
        </row>
        <row r="1104">
          <cell r="G1104">
            <v>1.4594907407407542E-2</v>
          </cell>
        </row>
        <row r="1105">
          <cell r="G1105">
            <v>1.8368055555555429E-2</v>
          </cell>
        </row>
        <row r="1106">
          <cell r="G1106">
            <v>2.6400462962962945E-2</v>
          </cell>
        </row>
        <row r="1107">
          <cell r="G1107">
            <v>2.9050925925925286E-3</v>
          </cell>
        </row>
        <row r="1108">
          <cell r="G1108">
            <v>4.8263888888887552E-3</v>
          </cell>
        </row>
        <row r="1109">
          <cell r="G1109">
            <v>3.6111111111111094E-2</v>
          </cell>
        </row>
        <row r="1110">
          <cell r="G1110">
            <v>4.2511574074074132E-2</v>
          </cell>
        </row>
        <row r="1111">
          <cell r="G1111">
            <v>3.6099537037037055E-2</v>
          </cell>
        </row>
        <row r="1112">
          <cell r="G1112">
            <v>1.2268518518518512E-2</v>
          </cell>
        </row>
        <row r="1113">
          <cell r="G1113">
            <v>1.6527777777777752E-2</v>
          </cell>
        </row>
        <row r="1114">
          <cell r="G1114">
            <v>6.5509259259259323E-3</v>
          </cell>
        </row>
        <row r="1115">
          <cell r="G1115">
            <v>9.2245370370370172E-3</v>
          </cell>
        </row>
        <row r="1116">
          <cell r="G1116">
            <v>1.9710648148148158E-2</v>
          </cell>
        </row>
        <row r="1117">
          <cell r="G1117">
            <v>1.3981481481481428E-2</v>
          </cell>
        </row>
        <row r="1118">
          <cell r="G1118">
            <v>4.9189814814814548E-3</v>
          </cell>
        </row>
        <row r="1119">
          <cell r="G1119">
            <v>1.237268518518525E-2</v>
          </cell>
        </row>
        <row r="1120">
          <cell r="G1120">
            <v>9.6412037037036935E-3</v>
          </cell>
        </row>
        <row r="1121">
          <cell r="G1121">
            <v>1.3333333333333364E-2</v>
          </cell>
        </row>
        <row r="1122">
          <cell r="G1122">
            <v>1.3622685185185168E-2</v>
          </cell>
        </row>
        <row r="1123">
          <cell r="G1123">
            <v>1.2650462962962961E-2</v>
          </cell>
        </row>
        <row r="1124">
          <cell r="G1124">
            <v>1.2418981481481461E-2</v>
          </cell>
        </row>
        <row r="1125">
          <cell r="G1125">
            <v>9.5717592592592382E-3</v>
          </cell>
        </row>
        <row r="1126">
          <cell r="G1126">
            <v>1.1840277777777741E-2</v>
          </cell>
        </row>
        <row r="1127">
          <cell r="G1127">
            <v>1.3368055555555536E-2</v>
          </cell>
        </row>
        <row r="1128">
          <cell r="G1128">
            <v>1.4861111111111103E-2</v>
          </cell>
        </row>
        <row r="1129">
          <cell r="G1129">
            <v>9.3287037037037557E-3</v>
          </cell>
        </row>
        <row r="1130">
          <cell r="G1130">
            <v>1.070601851851849E-2</v>
          </cell>
        </row>
        <row r="1131">
          <cell r="G1131">
            <v>2.3495370370369972E-3</v>
          </cell>
        </row>
        <row r="1132">
          <cell r="G1132">
            <v>1.5671296296296267E-2</v>
          </cell>
        </row>
        <row r="1133">
          <cell r="G1133">
            <v>1.9999999999999962E-2</v>
          </cell>
        </row>
        <row r="1134">
          <cell r="G1134">
            <v>5.0347222222221766E-3</v>
          </cell>
        </row>
        <row r="1135">
          <cell r="G1135">
            <v>1.3680555555555585E-2</v>
          </cell>
        </row>
        <row r="1136">
          <cell r="G1136">
            <v>7.7430555555555447E-3</v>
          </cell>
        </row>
        <row r="1137">
          <cell r="G1137">
            <v>1.3715277777777812E-2</v>
          </cell>
        </row>
        <row r="1138">
          <cell r="G1138">
            <v>1.6747685185185102E-2</v>
          </cell>
        </row>
        <row r="1139">
          <cell r="G1139">
            <v>1.6979166666666656E-2</v>
          </cell>
        </row>
        <row r="1140">
          <cell r="G1140">
            <v>1.649305555555558E-2</v>
          </cell>
        </row>
        <row r="1141">
          <cell r="G1141">
            <v>6.8981481481480422E-3</v>
          </cell>
        </row>
        <row r="1142">
          <cell r="G1142">
            <v>3.9236111111110583E-3</v>
          </cell>
        </row>
        <row r="1143">
          <cell r="G1143">
            <v>1.5821759259259216E-2</v>
          </cell>
        </row>
        <row r="1144">
          <cell r="G1144">
            <v>2.6041666666666297E-3</v>
          </cell>
        </row>
        <row r="1145">
          <cell r="G1145">
            <v>1.3043981481481448E-2</v>
          </cell>
        </row>
        <row r="1146">
          <cell r="G1146">
            <v>1.0740740740740717E-2</v>
          </cell>
        </row>
        <row r="1147">
          <cell r="G1147">
            <v>5.0231481481481932E-3</v>
          </cell>
        </row>
        <row r="1148">
          <cell r="G1148">
            <v>4.4328703703703232E-3</v>
          </cell>
        </row>
        <row r="1149">
          <cell r="G1149">
            <v>1.1886574074074008E-2</v>
          </cell>
        </row>
        <row r="1150">
          <cell r="G1150">
            <v>3.657407407407387E-3</v>
          </cell>
        </row>
        <row r="1151">
          <cell r="G1151">
            <v>2.0092592592592551E-2</v>
          </cell>
        </row>
        <row r="1152">
          <cell r="G1152">
            <v>1.9027777777777755E-2</v>
          </cell>
        </row>
        <row r="1153">
          <cell r="G1153">
            <v>9.5023148148147829E-3</v>
          </cell>
        </row>
        <row r="1154">
          <cell r="G1154">
            <v>8.807870370370452E-3</v>
          </cell>
        </row>
        <row r="1155">
          <cell r="G1155">
            <v>6.8055555555555092E-3</v>
          </cell>
        </row>
        <row r="1156">
          <cell r="G1156">
            <v>2.6967592592592737E-3</v>
          </cell>
        </row>
        <row r="1157">
          <cell r="G1157">
            <v>1.2453703703703689E-2</v>
          </cell>
        </row>
        <row r="1158">
          <cell r="G1158">
            <v>1.0648148148148184E-2</v>
          </cell>
        </row>
        <row r="1159">
          <cell r="G1159">
            <v>9.1898148148148451E-3</v>
          </cell>
        </row>
        <row r="1160">
          <cell r="G1160">
            <v>8.0902777777777102E-3</v>
          </cell>
        </row>
        <row r="1161">
          <cell r="G1161">
            <v>9.6643518518518823E-3</v>
          </cell>
        </row>
        <row r="1162">
          <cell r="G1162">
            <v>1.230324074074074E-2</v>
          </cell>
        </row>
        <row r="1163">
          <cell r="G1163">
            <v>3.5185185185184764E-3</v>
          </cell>
        </row>
        <row r="1164">
          <cell r="G1164">
            <v>5.6712962962963687E-3</v>
          </cell>
        </row>
        <row r="1165">
          <cell r="G1165">
            <v>1.1446759259259198E-2</v>
          </cell>
        </row>
        <row r="1166">
          <cell r="G1166">
            <v>2.6851851851852349E-3</v>
          </cell>
        </row>
        <row r="1167">
          <cell r="G1167">
            <v>3.854166666666603E-3</v>
          </cell>
        </row>
        <row r="1168">
          <cell r="G1168">
            <v>4.2245370370371793E-3</v>
          </cell>
        </row>
        <row r="1169">
          <cell r="G1169">
            <v>4.2824074074073737E-3</v>
          </cell>
        </row>
        <row r="1170">
          <cell r="G1170">
            <v>2.3587962962962838E-2</v>
          </cell>
        </row>
        <row r="1171">
          <cell r="G1171">
            <v>1.4803240740740797E-2</v>
          </cell>
        </row>
        <row r="1172">
          <cell r="G1172">
            <v>1.836805555555554E-2</v>
          </cell>
        </row>
        <row r="1173">
          <cell r="G1173">
            <v>2.3472222222222228E-2</v>
          </cell>
        </row>
        <row r="1174">
          <cell r="G1174">
            <v>6.2962962962962443E-3</v>
          </cell>
        </row>
        <row r="1175">
          <cell r="G1175">
            <v>4.4907407407407396E-3</v>
          </cell>
        </row>
        <row r="1176">
          <cell r="G1176">
            <v>5.0925925925926485E-3</v>
          </cell>
        </row>
        <row r="1177">
          <cell r="G1177">
            <v>1.1886574074074119E-2</v>
          </cell>
        </row>
        <row r="1178">
          <cell r="G1178">
            <v>7.7777777777777724E-3</v>
          </cell>
        </row>
        <row r="1179">
          <cell r="G1179">
            <v>2.1597222222222212E-2</v>
          </cell>
        </row>
        <row r="1180">
          <cell r="G1180">
            <v>1.504629629629628E-2</v>
          </cell>
        </row>
        <row r="1181">
          <cell r="G1181">
            <v>6.9212962962962865E-3</v>
          </cell>
        </row>
        <row r="1182">
          <cell r="G1182">
            <v>1.5370370370370312E-2</v>
          </cell>
        </row>
        <row r="1183">
          <cell r="G1183">
            <v>3.11342592592595E-3</v>
          </cell>
        </row>
        <row r="1184">
          <cell r="G1184">
            <v>9.3171296296296058E-3</v>
          </cell>
        </row>
        <row r="1185">
          <cell r="G1185">
            <v>1.157407407407407E-2</v>
          </cell>
        </row>
        <row r="1186">
          <cell r="G1186">
            <v>9.444444444444422E-3</v>
          </cell>
        </row>
        <row r="1187">
          <cell r="G1187">
            <v>9.3518518518519445E-3</v>
          </cell>
        </row>
        <row r="1188">
          <cell r="G1188">
            <v>9.1435185185185786E-3</v>
          </cell>
        </row>
        <row r="1189">
          <cell r="G1189">
            <v>6.6666666666666541E-3</v>
          </cell>
        </row>
        <row r="1190">
          <cell r="G1190">
            <v>6.7824074074074314E-3</v>
          </cell>
        </row>
        <row r="1191">
          <cell r="G1191">
            <v>6.8981481481480977E-3</v>
          </cell>
        </row>
        <row r="1192">
          <cell r="G1192">
            <v>1.5775462962963005E-2</v>
          </cell>
        </row>
        <row r="1193">
          <cell r="G1193">
            <v>5.335648148148131E-3</v>
          </cell>
        </row>
        <row r="1194">
          <cell r="G1194">
            <v>1.9409722222222259E-2</v>
          </cell>
        </row>
        <row r="1195">
          <cell r="G1195">
            <v>1.0428240740740669E-2</v>
          </cell>
        </row>
        <row r="1196">
          <cell r="G1196">
            <v>9.3402777777777946E-3</v>
          </cell>
        </row>
        <row r="1197">
          <cell r="G1197">
            <v>1.4421296296296349E-2</v>
          </cell>
        </row>
        <row r="1198">
          <cell r="G1198">
            <v>3.1365740740739723E-3</v>
          </cell>
        </row>
        <row r="1199">
          <cell r="G1199">
            <v>2.2916666666666918E-3</v>
          </cell>
        </row>
        <row r="1200">
          <cell r="G1200">
            <v>2.5925925925927018E-3</v>
          </cell>
        </row>
        <row r="1201">
          <cell r="G1201">
            <v>1.490740740740748E-2</v>
          </cell>
        </row>
        <row r="1202">
          <cell r="G1202">
            <v>1.3703703703703662E-2</v>
          </cell>
        </row>
        <row r="1203">
          <cell r="G1203">
            <v>1.0243055555555602E-2</v>
          </cell>
        </row>
        <row r="1204">
          <cell r="G1204">
            <v>6.0185185185185341E-3</v>
          </cell>
        </row>
        <row r="1205">
          <cell r="G1205">
            <v>3.6689814814814259E-3</v>
          </cell>
        </row>
        <row r="1206">
          <cell r="G1206">
            <v>5.5208333333333082E-3</v>
          </cell>
        </row>
        <row r="1207">
          <cell r="G1207">
            <v>1.3912037037037028E-2</v>
          </cell>
        </row>
        <row r="1208">
          <cell r="G1208">
            <v>5.4976851851852304E-3</v>
          </cell>
        </row>
        <row r="1209">
          <cell r="G1209">
            <v>3.159722222222161E-3</v>
          </cell>
        </row>
        <row r="1210">
          <cell r="G1210">
            <v>1.5266203703703685E-2</v>
          </cell>
        </row>
        <row r="1211">
          <cell r="G1211">
            <v>6.7592592592593537E-3</v>
          </cell>
        </row>
        <row r="1212">
          <cell r="G1212">
            <v>9.6064814814814659E-3</v>
          </cell>
        </row>
        <row r="1213">
          <cell r="G1213">
            <v>1.0057870370370314E-2</v>
          </cell>
        </row>
        <row r="1214">
          <cell r="G1214">
            <v>4.5833333333333837E-3</v>
          </cell>
        </row>
        <row r="1215">
          <cell r="G1215">
            <v>2.6967592592592737E-3</v>
          </cell>
        </row>
        <row r="1216">
          <cell r="G1216">
            <v>1.300925925925922E-2</v>
          </cell>
        </row>
        <row r="1217">
          <cell r="G1217">
            <v>1.1307870370370288E-2</v>
          </cell>
        </row>
        <row r="1218">
          <cell r="G1218">
            <v>1.4166666666666661E-2</v>
          </cell>
        </row>
        <row r="1219">
          <cell r="G1219">
            <v>8.7152777777776969E-3</v>
          </cell>
        </row>
        <row r="1220">
          <cell r="G1220">
            <v>7.4768518518518734E-3</v>
          </cell>
        </row>
        <row r="1221">
          <cell r="G1221">
            <v>3.0439814814814392E-3</v>
          </cell>
        </row>
        <row r="1222">
          <cell r="G1222">
            <v>7.9050925925925331E-3</v>
          </cell>
        </row>
        <row r="1223">
          <cell r="G1223">
            <v>8.5300925925926308E-3</v>
          </cell>
        </row>
        <row r="1224">
          <cell r="G1224">
            <v>7.6504629629629006E-3</v>
          </cell>
        </row>
        <row r="1225">
          <cell r="G1225">
            <v>3.958333333333286E-3</v>
          </cell>
        </row>
        <row r="1226">
          <cell r="G1226">
            <v>5.5555555555555358E-3</v>
          </cell>
        </row>
        <row r="1227">
          <cell r="G1227">
            <v>1.1620370370370448E-2</v>
          </cell>
        </row>
        <row r="1228">
          <cell r="G1228">
            <v>2.8124999999998845E-3</v>
          </cell>
        </row>
        <row r="1229">
          <cell r="G1229">
            <v>4.0856481481481577E-3</v>
          </cell>
        </row>
        <row r="1230">
          <cell r="G1230">
            <v>2.3495370370368862E-3</v>
          </cell>
        </row>
        <row r="1231">
          <cell r="G1231">
            <v>8.5416666666665586E-3</v>
          </cell>
        </row>
        <row r="1232">
          <cell r="G1232">
            <v>7.0949074074075913E-3</v>
          </cell>
        </row>
        <row r="1233">
          <cell r="G1233">
            <v>6.7129629629629761E-3</v>
          </cell>
        </row>
        <row r="1234">
          <cell r="G1234">
            <v>8.1828703703704653E-3</v>
          </cell>
        </row>
        <row r="1235">
          <cell r="G1235">
            <v>8.2175925925926929E-3</v>
          </cell>
        </row>
        <row r="1236">
          <cell r="G1236">
            <v>9.9768518518518201E-3</v>
          </cell>
        </row>
        <row r="1237">
          <cell r="G1237">
            <v>1.0416666666666741E-2</v>
          </cell>
        </row>
        <row r="1238">
          <cell r="G1238">
            <v>2.776620370370364E-2</v>
          </cell>
        </row>
        <row r="1239">
          <cell r="G1239">
            <v>5.9606481481481732E-3</v>
          </cell>
        </row>
        <row r="1240">
          <cell r="G1240">
            <v>2.5567129629629648E-2</v>
          </cell>
        </row>
        <row r="1241">
          <cell r="G1241">
            <v>2.0648148148148138E-2</v>
          </cell>
        </row>
        <row r="1242">
          <cell r="G1242">
            <v>3.0324074074074003E-3</v>
          </cell>
        </row>
        <row r="1243">
          <cell r="G1243">
            <v>2.3032407407406752E-3</v>
          </cell>
        </row>
        <row r="1244">
          <cell r="G1244">
            <v>1.1817129629629608E-2</v>
          </cell>
        </row>
        <row r="1245">
          <cell r="G1245">
            <v>1.959490740740738E-2</v>
          </cell>
        </row>
        <row r="1246">
          <cell r="G1246">
            <v>6.5625000000000266E-3</v>
          </cell>
        </row>
        <row r="1247">
          <cell r="G1247">
            <v>1.1643518518518525E-2</v>
          </cell>
        </row>
        <row r="1248">
          <cell r="G1248">
            <v>2.9398148148148118E-3</v>
          </cell>
        </row>
        <row r="1249">
          <cell r="G1249">
            <v>2.6388888888888573E-3</v>
          </cell>
        </row>
        <row r="1250">
          <cell r="G1250">
            <v>9.1203703703703898E-3</v>
          </cell>
        </row>
        <row r="1251">
          <cell r="G1251">
            <v>3.807870370370392E-3</v>
          </cell>
        </row>
        <row r="1252">
          <cell r="G1252">
            <v>1.0856481481481439E-2</v>
          </cell>
        </row>
        <row r="1253">
          <cell r="G1253">
            <v>1.2106481481481413E-2</v>
          </cell>
        </row>
        <row r="1254">
          <cell r="G1254">
            <v>9.3171296296296613E-3</v>
          </cell>
        </row>
        <row r="1255">
          <cell r="G1255">
            <v>1.446759259259256E-2</v>
          </cell>
        </row>
        <row r="1256">
          <cell r="G1256">
            <v>1.2928240740740837E-2</v>
          </cell>
        </row>
        <row r="1257">
          <cell r="G1257">
            <v>1.8101851851851869E-2</v>
          </cell>
        </row>
        <row r="1258">
          <cell r="G1258">
            <v>2.0740740740740782E-2</v>
          </cell>
        </row>
        <row r="1259">
          <cell r="G1259">
            <v>1.6064814814814754E-2</v>
          </cell>
        </row>
        <row r="1260">
          <cell r="G1260">
            <v>2.2002314814814794E-2</v>
          </cell>
        </row>
        <row r="1261">
          <cell r="G1261">
            <v>1.6215277777777704E-2</v>
          </cell>
        </row>
        <row r="1262">
          <cell r="G1262">
            <v>2.6967592592592571E-2</v>
          </cell>
        </row>
        <row r="1263">
          <cell r="G1263">
            <v>2.5636574074074103E-2</v>
          </cell>
        </row>
        <row r="1264">
          <cell r="G1264">
            <v>2.3321759259259223E-2</v>
          </cell>
        </row>
        <row r="1265">
          <cell r="G1265">
            <v>2.3020833333333324E-2</v>
          </cell>
        </row>
        <row r="1266">
          <cell r="G1266">
            <v>2.4351851851851902E-2</v>
          </cell>
        </row>
        <row r="1267">
          <cell r="G1267">
            <v>9.1203703703703343E-3</v>
          </cell>
        </row>
        <row r="1268">
          <cell r="G1268">
            <v>2.1296296296296313E-2</v>
          </cell>
        </row>
        <row r="1269">
          <cell r="G1269">
            <v>1.2696759259259227E-2</v>
          </cell>
        </row>
        <row r="1270">
          <cell r="G1270">
            <v>1.8483796296296318E-2</v>
          </cell>
        </row>
        <row r="1271">
          <cell r="G1271">
            <v>5.0694444444444597E-3</v>
          </cell>
        </row>
        <row r="1272">
          <cell r="G1272">
            <v>1.5821759259259216E-2</v>
          </cell>
        </row>
        <row r="1273">
          <cell r="G1273">
            <v>2.280092592592653E-3</v>
          </cell>
        </row>
        <row r="1274">
          <cell r="G1274">
            <v>1.4444444444444482E-2</v>
          </cell>
        </row>
        <row r="1275">
          <cell r="G1275">
            <v>5.5555555555555358E-3</v>
          </cell>
        </row>
        <row r="1276">
          <cell r="G1276">
            <v>1.071759259259264E-2</v>
          </cell>
        </row>
        <row r="1277">
          <cell r="G1277">
            <v>5.3587962962962088E-3</v>
          </cell>
        </row>
        <row r="1278">
          <cell r="G1278">
            <v>9.9305555555555536E-3</v>
          </cell>
        </row>
        <row r="1279">
          <cell r="G1279">
            <v>2.5231481481481355E-3</v>
          </cell>
        </row>
        <row r="1280">
          <cell r="G1280">
            <v>3.1134259259260055E-3</v>
          </cell>
        </row>
        <row r="1281">
          <cell r="G1281">
            <v>8.1597222222222765E-3</v>
          </cell>
        </row>
        <row r="1282">
          <cell r="G1282">
            <v>2.8009259259259567E-3</v>
          </cell>
        </row>
        <row r="1283">
          <cell r="G1283">
            <v>1.142361111111112E-2</v>
          </cell>
        </row>
        <row r="1284">
          <cell r="G1284">
            <v>1.4074074074074017E-2</v>
          </cell>
        </row>
        <row r="1285">
          <cell r="G1285">
            <v>4.3634259259259789E-3</v>
          </cell>
        </row>
        <row r="1286">
          <cell r="G1286">
            <v>1.1400462962963043E-2</v>
          </cell>
        </row>
        <row r="1287">
          <cell r="G1287">
            <v>1.1921296296296235E-2</v>
          </cell>
        </row>
        <row r="1288">
          <cell r="G1288">
            <v>1.0335648148148247E-2</v>
          </cell>
        </row>
        <row r="1289">
          <cell r="G1289">
            <v>1.0752314814814756E-2</v>
          </cell>
        </row>
        <row r="1290">
          <cell r="G1290">
            <v>8.4490740740741366E-3</v>
          </cell>
        </row>
        <row r="1291">
          <cell r="G1291">
            <v>5.5208333333333082E-3</v>
          </cell>
        </row>
        <row r="1292">
          <cell r="G1292">
            <v>7.8356481481480778E-3</v>
          </cell>
        </row>
        <row r="1293">
          <cell r="G1293">
            <v>9.4791666666665941E-3</v>
          </cell>
        </row>
        <row r="1294">
          <cell r="G1294">
            <v>1.1122685185185111E-2</v>
          </cell>
        </row>
        <row r="1295">
          <cell r="G1295">
            <v>7.9745370370369884E-3</v>
          </cell>
        </row>
        <row r="1296">
          <cell r="G1296">
            <v>3.5300925925926263E-3</v>
          </cell>
        </row>
        <row r="1297">
          <cell r="G1297">
            <v>9.2592592592591894E-3</v>
          </cell>
        </row>
        <row r="1298">
          <cell r="G1298">
            <v>1.0289351851851869E-2</v>
          </cell>
        </row>
        <row r="1299">
          <cell r="G1299">
            <v>1.1516203703703765E-2</v>
          </cell>
        </row>
        <row r="1300">
          <cell r="G1300">
            <v>3.7500000000000311E-3</v>
          </cell>
        </row>
        <row r="1301">
          <cell r="G1301">
            <v>9.1666666666665453E-3</v>
          </cell>
        </row>
        <row r="1302">
          <cell r="G1302">
            <v>2.6967592592592737E-3</v>
          </cell>
        </row>
        <row r="1303">
          <cell r="G1303">
            <v>2.5347222222222854E-3</v>
          </cell>
        </row>
        <row r="1304">
          <cell r="G1304">
            <v>5.2893518518518645E-3</v>
          </cell>
        </row>
        <row r="1305">
          <cell r="G1305">
            <v>1.2303240740740851E-2</v>
          </cell>
        </row>
        <row r="1306">
          <cell r="G1306">
            <v>8.4259259259259478E-3</v>
          </cell>
        </row>
        <row r="1307">
          <cell r="G1307">
            <v>8.6574074074073915E-3</v>
          </cell>
        </row>
        <row r="1308">
          <cell r="G1308">
            <v>7.9629629629629495E-3</v>
          </cell>
        </row>
        <row r="1309">
          <cell r="G1309">
            <v>1.288194444444446E-2</v>
          </cell>
        </row>
        <row r="1310">
          <cell r="G1310">
            <v>1.2928240740740726E-2</v>
          </cell>
        </row>
        <row r="1311">
          <cell r="G1311">
            <v>1.0752314814814756E-2</v>
          </cell>
        </row>
        <row r="1312">
          <cell r="G1312">
            <v>1.620370370370372E-2</v>
          </cell>
        </row>
        <row r="1313">
          <cell r="G1313">
            <v>7.4074074074074181E-3</v>
          </cell>
        </row>
        <row r="1314">
          <cell r="G1314">
            <v>5.8680555555555847E-3</v>
          </cell>
        </row>
        <row r="1315">
          <cell r="G1315">
            <v>1.4826388888888875E-2</v>
          </cell>
        </row>
        <row r="1316">
          <cell r="G1316">
            <v>1.5462962962963012E-2</v>
          </cell>
        </row>
        <row r="1317">
          <cell r="G1317">
            <v>1.4976851851851714E-2</v>
          </cell>
        </row>
        <row r="1318">
          <cell r="G1318">
            <v>1.7962962962962958E-2</v>
          </cell>
        </row>
        <row r="1319">
          <cell r="G1319">
            <v>5.3368055555555571E-2</v>
          </cell>
        </row>
        <row r="1320">
          <cell r="G1320">
            <v>7.3611111111111516E-3</v>
          </cell>
        </row>
        <row r="1321">
          <cell r="G1321">
            <v>1.1493055555555576E-2</v>
          </cell>
        </row>
        <row r="1322">
          <cell r="G1322">
            <v>4.6666666666666634E-2</v>
          </cell>
        </row>
        <row r="1323">
          <cell r="G1323">
            <v>4.5185185185185217E-2</v>
          </cell>
        </row>
        <row r="1324">
          <cell r="G1324">
            <v>3.8113425925925926E-2</v>
          </cell>
        </row>
        <row r="1325">
          <cell r="G1325">
            <v>3.8599537037037113E-2</v>
          </cell>
        </row>
        <row r="1326">
          <cell r="G1326">
            <v>3.8761574074074101E-2</v>
          </cell>
        </row>
        <row r="1327">
          <cell r="G1327">
            <v>3.1631944444444393E-2</v>
          </cell>
        </row>
        <row r="1328">
          <cell r="G1328">
            <v>3.2048611111111125E-2</v>
          </cell>
        </row>
        <row r="1329">
          <cell r="G1329">
            <v>2.908564814814818E-2</v>
          </cell>
        </row>
        <row r="1330">
          <cell r="G1330">
            <v>2.8009259259259123E-2</v>
          </cell>
        </row>
        <row r="1331">
          <cell r="G1331">
            <v>2.503472222222225E-2</v>
          </cell>
        </row>
        <row r="1332">
          <cell r="G1332">
            <v>2.3032407407407529E-2</v>
          </cell>
        </row>
        <row r="1333">
          <cell r="G1333">
            <v>1.9189814814814854E-2</v>
          </cell>
        </row>
        <row r="1334">
          <cell r="G1334">
            <v>8.0208333333332549E-3</v>
          </cell>
        </row>
        <row r="1335">
          <cell r="G1335">
            <v>2.225694444444426E-2</v>
          </cell>
        </row>
        <row r="1336">
          <cell r="G1336">
            <v>2.1041666666666625E-2</v>
          </cell>
        </row>
        <row r="1337">
          <cell r="G1337">
            <v>2.3344907407407356E-2</v>
          </cell>
        </row>
        <row r="1338">
          <cell r="G1338">
            <v>2.7777777777777679E-3</v>
          </cell>
        </row>
        <row r="1339">
          <cell r="G1339">
            <v>5.7870370370369795E-3</v>
          </cell>
        </row>
        <row r="1340">
          <cell r="G1340">
            <v>4.0856481481481577E-3</v>
          </cell>
        </row>
        <row r="1341">
          <cell r="G1341">
            <v>1.2650462962962961E-2</v>
          </cell>
        </row>
        <row r="1342">
          <cell r="G1342">
            <v>1.0902777777777761E-2</v>
          </cell>
        </row>
        <row r="1343">
          <cell r="G1343">
            <v>2.0486111111111149E-2</v>
          </cell>
        </row>
        <row r="1344">
          <cell r="G1344">
            <v>7.3726851851851904E-3</v>
          </cell>
        </row>
        <row r="1345">
          <cell r="G1345">
            <v>3.7881944444444482E-2</v>
          </cell>
        </row>
        <row r="1346">
          <cell r="G1346">
            <v>1.331018518518523E-2</v>
          </cell>
        </row>
        <row r="1347">
          <cell r="G1347">
            <v>1.3229166666666681E-2</v>
          </cell>
        </row>
        <row r="1348">
          <cell r="G1348">
            <v>5.9837962962963065E-3</v>
          </cell>
        </row>
        <row r="1349">
          <cell r="G1349">
            <v>3.0555555555555891E-3</v>
          </cell>
        </row>
        <row r="1350">
          <cell r="G1350">
            <v>3.2870370370370328E-3</v>
          </cell>
        </row>
        <row r="1351">
          <cell r="G1351">
            <v>1.9479166666666659E-2</v>
          </cell>
        </row>
        <row r="1352">
          <cell r="G1352">
            <v>7.6620370370370505E-3</v>
          </cell>
        </row>
        <row r="1353">
          <cell r="G1353">
            <v>1.5555555555555545E-2</v>
          </cell>
        </row>
        <row r="1354">
          <cell r="G1354">
            <v>4.6412037037037446E-3</v>
          </cell>
        </row>
        <row r="1355">
          <cell r="G1355">
            <v>1.1446759259259254E-2</v>
          </cell>
        </row>
        <row r="1356">
          <cell r="G1356">
            <v>1.0115740740740731E-2</v>
          </cell>
        </row>
        <row r="1357">
          <cell r="G1357">
            <v>1.0081018518518503E-2</v>
          </cell>
        </row>
        <row r="1358">
          <cell r="G1358">
            <v>8.402777777777759E-3</v>
          </cell>
        </row>
        <row r="1359">
          <cell r="G1359">
            <v>1.3993055555555578E-2</v>
          </cell>
        </row>
        <row r="1360">
          <cell r="G1360">
            <v>8.4259259259260033E-3</v>
          </cell>
        </row>
        <row r="1361">
          <cell r="G1361">
            <v>7.8125E-3</v>
          </cell>
        </row>
        <row r="1362">
          <cell r="G1362">
            <v>8.0439814814815547E-3</v>
          </cell>
        </row>
        <row r="1363">
          <cell r="G1363">
            <v>5.5671296296296302E-3</v>
          </cell>
        </row>
        <row r="1364">
          <cell r="G1364">
            <v>2.8935185185185452E-3</v>
          </cell>
        </row>
        <row r="1365">
          <cell r="G1365">
            <v>2.766203703703729E-3</v>
          </cell>
        </row>
        <row r="1366">
          <cell r="G1366">
            <v>2.5578703703703631E-3</v>
          </cell>
        </row>
        <row r="1367">
          <cell r="G1367">
            <v>2.673611111111085E-3</v>
          </cell>
        </row>
        <row r="1368">
          <cell r="G1368">
            <v>5.3124999999999978E-3</v>
          </cell>
        </row>
        <row r="1369">
          <cell r="G1369">
            <v>1.0937499999999933E-2</v>
          </cell>
        </row>
        <row r="1370">
          <cell r="G1370">
            <v>1.2118055555555562E-2</v>
          </cell>
        </row>
        <row r="1371">
          <cell r="G1371">
            <v>2.7314814814815569E-3</v>
          </cell>
        </row>
        <row r="1372">
          <cell r="G1372">
            <v>1.3726851851851851E-2</v>
          </cell>
        </row>
        <row r="1373">
          <cell r="G1373">
            <v>3.11342592592595E-3</v>
          </cell>
        </row>
        <row r="1374">
          <cell r="G1374">
            <v>1.2418981481481461E-2</v>
          </cell>
        </row>
        <row r="1375">
          <cell r="G1375">
            <v>1.5972222222222276E-2</v>
          </cell>
        </row>
        <row r="1376">
          <cell r="G1376">
            <v>7.1527777777777857E-3</v>
          </cell>
        </row>
        <row r="1377">
          <cell r="G1377">
            <v>5.3819444444444531E-3</v>
          </cell>
        </row>
        <row r="1378">
          <cell r="G1378">
            <v>4.8148148148148273E-3</v>
          </cell>
        </row>
        <row r="1379">
          <cell r="G1379">
            <v>1.2430555555555556E-2</v>
          </cell>
        </row>
        <row r="1380">
          <cell r="G1380">
            <v>9.5949074074073715E-3</v>
          </cell>
        </row>
        <row r="1381">
          <cell r="G1381">
            <v>1.288194444444446E-2</v>
          </cell>
        </row>
        <row r="1382">
          <cell r="G1382">
            <v>3.9120370370370194E-3</v>
          </cell>
        </row>
        <row r="1383">
          <cell r="G1383">
            <v>1.6585648148148113E-2</v>
          </cell>
        </row>
        <row r="1384">
          <cell r="G1384">
            <v>1.3425925925925952E-2</v>
          </cell>
        </row>
        <row r="1385">
          <cell r="G1385">
            <v>1.2002314814814841E-2</v>
          </cell>
        </row>
        <row r="1386">
          <cell r="G1386">
            <v>1.1435185185185159E-2</v>
          </cell>
        </row>
        <row r="1387">
          <cell r="G1387">
            <v>1.6423611111111069E-2</v>
          </cell>
        </row>
        <row r="1388">
          <cell r="G1388">
            <v>1.4652777777777792E-2</v>
          </cell>
        </row>
        <row r="1389">
          <cell r="G1389">
            <v>3.4490740740741321E-3</v>
          </cell>
        </row>
        <row r="1390">
          <cell r="G1390">
            <v>1.1817129629629664E-2</v>
          </cell>
        </row>
        <row r="1391">
          <cell r="G1391">
            <v>2.1655092592592684E-2</v>
          </cell>
        </row>
        <row r="1392">
          <cell r="G1392">
            <v>1.4108796296296355E-2</v>
          </cell>
        </row>
        <row r="1393">
          <cell r="G1393">
            <v>1.7418981481481466E-2</v>
          </cell>
        </row>
        <row r="1394">
          <cell r="G1394">
            <v>1.6076388888888848E-2</v>
          </cell>
        </row>
        <row r="1395">
          <cell r="G1395">
            <v>3.5763888888888928E-3</v>
          </cell>
        </row>
        <row r="1396">
          <cell r="G1396">
            <v>1.9664351851851891E-2</v>
          </cell>
        </row>
        <row r="1397">
          <cell r="G1397">
            <v>1.7997685185185186E-2</v>
          </cell>
        </row>
        <row r="1398">
          <cell r="G1398">
            <v>2.3842592592592249E-3</v>
          </cell>
        </row>
        <row r="1399">
          <cell r="G1399">
            <v>8.9930555555555181E-3</v>
          </cell>
        </row>
        <row r="1400">
          <cell r="G1400">
            <v>9.4675925925925553E-3</v>
          </cell>
        </row>
        <row r="1401">
          <cell r="G1401">
            <v>5.9143518518518512E-3</v>
          </cell>
        </row>
        <row r="1402">
          <cell r="G1402">
            <v>6.2731481481481666E-3</v>
          </cell>
        </row>
        <row r="1403">
          <cell r="G1403">
            <v>6.8865740740741144E-3</v>
          </cell>
        </row>
        <row r="1404">
          <cell r="G1404">
            <v>3.0787037037036669E-3</v>
          </cell>
        </row>
        <row r="1405">
          <cell r="G1405">
            <v>3.0787037037036669E-3</v>
          </cell>
        </row>
        <row r="1406">
          <cell r="G1406">
            <v>1.1689814814814792E-2</v>
          </cell>
        </row>
        <row r="1407">
          <cell r="G1407">
            <v>1.0173611111111147E-2</v>
          </cell>
        </row>
        <row r="1408">
          <cell r="G1408">
            <v>2.6504629629628962E-3</v>
          </cell>
        </row>
        <row r="1409">
          <cell r="G1409">
            <v>7.0023148148148362E-3</v>
          </cell>
        </row>
        <row r="1410">
          <cell r="G1410">
            <v>4.5717592592592338E-3</v>
          </cell>
        </row>
        <row r="1411">
          <cell r="G1411">
            <v>6.2962962962963553E-3</v>
          </cell>
        </row>
        <row r="1412">
          <cell r="G1412">
            <v>6.5972222222222543E-3</v>
          </cell>
        </row>
        <row r="1413">
          <cell r="G1413">
            <v>3.5069444444444375E-3</v>
          </cell>
        </row>
        <row r="1414">
          <cell r="G1414">
            <v>2.4652777777777191E-3</v>
          </cell>
        </row>
        <row r="1415">
          <cell r="G1415">
            <v>1.1018518518518539E-2</v>
          </cell>
        </row>
        <row r="1416">
          <cell r="G1416">
            <v>1.1516203703703765E-2</v>
          </cell>
        </row>
        <row r="1417">
          <cell r="G1417">
            <v>1.0173611111111036E-2</v>
          </cell>
        </row>
        <row r="1418">
          <cell r="G1418">
            <v>1.0555555555555651E-2</v>
          </cell>
        </row>
        <row r="1419">
          <cell r="G1419">
            <v>9.3518518518518334E-3</v>
          </cell>
        </row>
        <row r="1420">
          <cell r="G1420">
            <v>3.171296296296422E-3</v>
          </cell>
        </row>
        <row r="1421">
          <cell r="G1421">
            <v>9.9074074074074758E-3</v>
          </cell>
        </row>
        <row r="1422">
          <cell r="G1422">
            <v>8.1481481481482376E-3</v>
          </cell>
        </row>
        <row r="1423">
          <cell r="G1423">
            <v>5.3009259259259034E-3</v>
          </cell>
        </row>
        <row r="1424">
          <cell r="G1424">
            <v>8.5300925925925197E-3</v>
          </cell>
        </row>
        <row r="1425">
          <cell r="G1425">
            <v>1.3842592592592573E-2</v>
          </cell>
        </row>
        <row r="1426">
          <cell r="G1426">
            <v>6.7361111111111649E-3</v>
          </cell>
        </row>
        <row r="1427">
          <cell r="G1427">
            <v>1.2928240740740726E-2</v>
          </cell>
        </row>
        <row r="1428">
          <cell r="G1428">
            <v>9.5486111111111605E-3</v>
          </cell>
        </row>
        <row r="1429">
          <cell r="G1429">
            <v>8.9814814814814792E-3</v>
          </cell>
        </row>
        <row r="1430">
          <cell r="G1430">
            <v>5.0694444444444597E-3</v>
          </cell>
        </row>
        <row r="1431">
          <cell r="G1431">
            <v>2.2025462962962927E-2</v>
          </cell>
        </row>
        <row r="1432">
          <cell r="G1432">
            <v>5.5208333333331971E-3</v>
          </cell>
        </row>
        <row r="1433">
          <cell r="G1433">
            <v>2.9421296296296306E-2</v>
          </cell>
        </row>
        <row r="1434">
          <cell r="G1434">
            <v>3.4004629629629579E-2</v>
          </cell>
        </row>
        <row r="1435">
          <cell r="G1435">
            <v>3.2280092592592569E-2</v>
          </cell>
        </row>
        <row r="1436">
          <cell r="G1436">
            <v>2.9293981481481546E-2</v>
          </cell>
        </row>
        <row r="1437">
          <cell r="G1437">
            <v>1.6458333333333353E-2</v>
          </cell>
        </row>
        <row r="1438">
          <cell r="G1438">
            <v>3.7696759259259249E-2</v>
          </cell>
        </row>
        <row r="1439">
          <cell r="G1439">
            <v>3.6736111111111136E-2</v>
          </cell>
        </row>
        <row r="1440">
          <cell r="G1440">
            <v>3.6874999999999991E-2</v>
          </cell>
        </row>
        <row r="1441">
          <cell r="G1441">
            <v>3.5057870370370336E-2</v>
          </cell>
        </row>
        <row r="1442">
          <cell r="G1442">
            <v>3.5462962962962974E-2</v>
          </cell>
        </row>
        <row r="1443">
          <cell r="G1443">
            <v>9.201388888888884E-3</v>
          </cell>
        </row>
        <row r="1444">
          <cell r="G1444">
            <v>7.3842592592592848E-3</v>
          </cell>
        </row>
        <row r="1445">
          <cell r="G1445">
            <v>5.0810185185184986E-3</v>
          </cell>
        </row>
        <row r="1446">
          <cell r="G1446">
            <v>5.337962962962961E-2</v>
          </cell>
        </row>
        <row r="1447">
          <cell r="G1447">
            <v>1.9803240740740802E-2</v>
          </cell>
        </row>
        <row r="1448">
          <cell r="G1448">
            <v>4.4467592592592586E-2</v>
          </cell>
        </row>
        <row r="1449">
          <cell r="G1449">
            <v>0.10271990740740744</v>
          </cell>
        </row>
        <row r="1450">
          <cell r="G1450">
            <v>1.8784722222222272E-2</v>
          </cell>
        </row>
        <row r="1451">
          <cell r="G1451">
            <v>4.2187499999999989E-2</v>
          </cell>
        </row>
        <row r="1452">
          <cell r="G1452">
            <v>8.3657407407407458E-2</v>
          </cell>
        </row>
        <row r="1453">
          <cell r="G1453">
            <v>3.9814814814814747E-3</v>
          </cell>
        </row>
        <row r="1454">
          <cell r="G1454">
            <v>6.7546296296296271E-2</v>
          </cell>
        </row>
        <row r="1455">
          <cell r="G1455">
            <v>6.5555555555555534E-2</v>
          </cell>
        </row>
        <row r="1456">
          <cell r="G1456">
            <v>2.0358796296296222E-2</v>
          </cell>
        </row>
        <row r="1457">
          <cell r="G1457">
            <v>6.2835648148148127E-2</v>
          </cell>
        </row>
        <row r="1458">
          <cell r="G1458">
            <v>3.8680555555555551E-2</v>
          </cell>
        </row>
        <row r="1459">
          <cell r="G1459">
            <v>6.207175925925934E-2</v>
          </cell>
        </row>
        <row r="1460">
          <cell r="G1460">
            <v>6.1724537037037119E-2</v>
          </cell>
        </row>
        <row r="1461">
          <cell r="G1461">
            <v>6.1562499999999964E-2</v>
          </cell>
        </row>
        <row r="1462">
          <cell r="G1462">
            <v>5.6967592592592597E-2</v>
          </cell>
        </row>
        <row r="1463">
          <cell r="G1463">
            <v>5.5289351851851798E-2</v>
          </cell>
        </row>
        <row r="1464">
          <cell r="G1464">
            <v>4.9178240740740675E-2</v>
          </cell>
        </row>
        <row r="1465">
          <cell r="G1465">
            <v>5.0787037037037075E-2</v>
          </cell>
        </row>
        <row r="1466">
          <cell r="G1466">
            <v>4.6076388888888875E-2</v>
          </cell>
        </row>
        <row r="1467">
          <cell r="G1467">
            <v>4.5150462962962989E-2</v>
          </cell>
        </row>
        <row r="1468">
          <cell r="G1468">
            <v>1.2893518518518499E-2</v>
          </cell>
        </row>
        <row r="1469">
          <cell r="G1469">
            <v>1.1909722222222197E-2</v>
          </cell>
        </row>
        <row r="1470">
          <cell r="G1470">
            <v>8.9814814814814792E-3</v>
          </cell>
        </row>
        <row r="1471">
          <cell r="G1471">
            <v>3.8541666666666585E-3</v>
          </cell>
        </row>
        <row r="1472">
          <cell r="G1472">
            <v>4.0624999999999689E-3</v>
          </cell>
        </row>
        <row r="1473">
          <cell r="G1473">
            <v>1.5486111111111089E-2</v>
          </cell>
        </row>
        <row r="1474">
          <cell r="G1474">
            <v>4.5601851851852504E-3</v>
          </cell>
        </row>
        <row r="1475">
          <cell r="G1475">
            <v>2.3159722222222179E-2</v>
          </cell>
        </row>
        <row r="1476">
          <cell r="G1476">
            <v>6.5740740740740655E-3</v>
          </cell>
        </row>
        <row r="1477">
          <cell r="G1477">
            <v>1.0127314814814881E-2</v>
          </cell>
        </row>
        <row r="1478">
          <cell r="G1478">
            <v>1.446759259259256E-2</v>
          </cell>
        </row>
        <row r="1479">
          <cell r="G1479">
            <v>9.9768518518518756E-3</v>
          </cell>
        </row>
        <row r="1480">
          <cell r="G1480">
            <v>2.155092592592589E-2</v>
          </cell>
        </row>
        <row r="1481">
          <cell r="G1481">
            <v>9.1666666666667118E-3</v>
          </cell>
        </row>
        <row r="1482">
          <cell r="G1482">
            <v>5.3819444444444531E-3</v>
          </cell>
        </row>
        <row r="1483">
          <cell r="G1483">
            <v>1.9143518518518476E-2</v>
          </cell>
        </row>
        <row r="1484">
          <cell r="G1484">
            <v>5.8680555555555292E-3</v>
          </cell>
        </row>
        <row r="1485">
          <cell r="G1485">
            <v>3.2754629629629384E-3</v>
          </cell>
        </row>
        <row r="1486">
          <cell r="G1486">
            <v>1.230324074074074E-2</v>
          </cell>
        </row>
        <row r="1487">
          <cell r="G1487">
            <v>1.1562499999999976E-2</v>
          </cell>
        </row>
        <row r="1488">
          <cell r="G1488">
            <v>7.314814814814774E-3</v>
          </cell>
        </row>
        <row r="1489">
          <cell r="G1489">
            <v>1.1354166666666665E-2</v>
          </cell>
        </row>
        <row r="1490">
          <cell r="G1490">
            <v>1.8912037037037033E-2</v>
          </cell>
        </row>
        <row r="1491">
          <cell r="G1491">
            <v>1.3900462962962934E-2</v>
          </cell>
        </row>
        <row r="1492">
          <cell r="G1492">
            <v>1.1064814814814805E-2</v>
          </cell>
        </row>
        <row r="1493">
          <cell r="G1493">
            <v>6.3657407407407551E-3</v>
          </cell>
        </row>
        <row r="1494">
          <cell r="G1494">
            <v>4.4675925925926063E-3</v>
          </cell>
        </row>
        <row r="1495">
          <cell r="G1495">
            <v>3.4837962962963043E-3</v>
          </cell>
        </row>
        <row r="1496">
          <cell r="G1496">
            <v>1.4826388888888986E-2</v>
          </cell>
        </row>
        <row r="1497">
          <cell r="G1497">
            <v>8.7962962962963021E-3</v>
          </cell>
        </row>
        <row r="1498">
          <cell r="G1498">
            <v>4.1782407407407463E-3</v>
          </cell>
        </row>
        <row r="1499">
          <cell r="G1499">
            <v>1.8483796296296318E-2</v>
          </cell>
        </row>
        <row r="1500">
          <cell r="G1500">
            <v>2.5914351851851813E-2</v>
          </cell>
        </row>
        <row r="1501">
          <cell r="G1501">
            <v>1.5868055555555594E-2</v>
          </cell>
        </row>
        <row r="1502">
          <cell r="G1502">
            <v>1.201388888888888E-2</v>
          </cell>
        </row>
        <row r="1503">
          <cell r="G1503">
            <v>2.6273148148148184E-3</v>
          </cell>
        </row>
        <row r="1504">
          <cell r="G1504">
            <v>2.2361111111111165E-2</v>
          </cell>
        </row>
        <row r="1505">
          <cell r="G1505">
            <v>2.1423611111111129E-2</v>
          </cell>
        </row>
        <row r="1506">
          <cell r="G1506">
            <v>1.5104166666666696E-2</v>
          </cell>
        </row>
        <row r="1507">
          <cell r="G1507">
            <v>7.6041666666666341E-3</v>
          </cell>
        </row>
        <row r="1508">
          <cell r="G1508">
            <v>1.6458333333333242E-2</v>
          </cell>
        </row>
        <row r="1509">
          <cell r="G1509">
            <v>1.6805555555555629E-2</v>
          </cell>
        </row>
        <row r="1510">
          <cell r="G1510">
            <v>1.0671296296296373E-2</v>
          </cell>
        </row>
        <row r="1511">
          <cell r="G1511">
            <v>1.1307870370370288E-2</v>
          </cell>
        </row>
        <row r="1512">
          <cell r="G1512">
            <v>1.460648148148147E-2</v>
          </cell>
        </row>
        <row r="1513">
          <cell r="G1513">
            <v>1.0937499999999933E-2</v>
          </cell>
        </row>
        <row r="1514">
          <cell r="G1514">
            <v>1.2905092592592537E-2</v>
          </cell>
        </row>
        <row r="1515">
          <cell r="G1515">
            <v>1.1527777777777692E-2</v>
          </cell>
        </row>
        <row r="1516">
          <cell r="G1516">
            <v>1.3645833333333357E-2</v>
          </cell>
        </row>
        <row r="1517">
          <cell r="G1517">
            <v>4.0277777777777413E-3</v>
          </cell>
        </row>
        <row r="1518">
          <cell r="G1518">
            <v>1.7546296296296227E-2</v>
          </cell>
        </row>
        <row r="1519">
          <cell r="G1519">
            <v>7.7430555555555447E-3</v>
          </cell>
        </row>
        <row r="1520">
          <cell r="G1520">
            <v>7.1643518518518245E-3</v>
          </cell>
        </row>
        <row r="1521">
          <cell r="G1521">
            <v>5.5787037037037246E-3</v>
          </cell>
        </row>
        <row r="1522">
          <cell r="G1522">
            <v>4.2939814814814126E-3</v>
          </cell>
        </row>
        <row r="1523">
          <cell r="G1523">
            <v>1.9398148148148109E-2</v>
          </cell>
        </row>
        <row r="1524">
          <cell r="G1524">
            <v>2.8124999999999956E-3</v>
          </cell>
        </row>
        <row r="1525">
          <cell r="G1525">
            <v>2.8935185185186008E-3</v>
          </cell>
        </row>
        <row r="1526">
          <cell r="G1526">
            <v>6.3888888888889994E-3</v>
          </cell>
        </row>
        <row r="1527">
          <cell r="G1527">
            <v>1.3240740740740775E-2</v>
          </cell>
        </row>
        <row r="1528">
          <cell r="G1528">
            <v>1.2002314814814841E-2</v>
          </cell>
        </row>
        <row r="1529">
          <cell r="G1529">
            <v>4.8958333333334325E-3</v>
          </cell>
        </row>
        <row r="1530">
          <cell r="G1530">
            <v>9.3634259259258723E-3</v>
          </cell>
        </row>
        <row r="1531">
          <cell r="G1531">
            <v>7.6620370370370505E-3</v>
          </cell>
        </row>
        <row r="1532">
          <cell r="G1532">
            <v>6.0763888888888395E-3</v>
          </cell>
        </row>
        <row r="1533">
          <cell r="G1533">
            <v>4.2592592592592959E-3</v>
          </cell>
        </row>
        <row r="1534">
          <cell r="G1534">
            <v>8.1828703703703543E-3</v>
          </cell>
        </row>
        <row r="1535">
          <cell r="G1535">
            <v>7.7777777777777724E-3</v>
          </cell>
        </row>
        <row r="1536">
          <cell r="G1536">
            <v>1.9131944444444438E-2</v>
          </cell>
        </row>
        <row r="1537">
          <cell r="G1537">
            <v>1.6909722222222312E-2</v>
          </cell>
        </row>
        <row r="1538">
          <cell r="G1538">
            <v>1.8043981481481453E-2</v>
          </cell>
        </row>
        <row r="1539">
          <cell r="G1539">
            <v>1.4745370370370381E-2</v>
          </cell>
        </row>
        <row r="1540">
          <cell r="G1540">
            <v>3.6111111111110095E-3</v>
          </cell>
        </row>
        <row r="1541">
          <cell r="G1541">
            <v>2.5000000000000577E-3</v>
          </cell>
        </row>
        <row r="1542">
          <cell r="G1542">
            <v>5.6249999999999911E-3</v>
          </cell>
        </row>
        <row r="1543">
          <cell r="G1543">
            <v>5.3240740740740367E-3</v>
          </cell>
        </row>
        <row r="1544">
          <cell r="G1544">
            <v>1.4409722222222254E-2</v>
          </cell>
        </row>
        <row r="1545">
          <cell r="G1545">
            <v>1.2013888888888824E-2</v>
          </cell>
        </row>
        <row r="1546">
          <cell r="G1546">
            <v>1.019675925925928E-2</v>
          </cell>
        </row>
        <row r="1547">
          <cell r="G1547">
            <v>8.6226851851851638E-3</v>
          </cell>
        </row>
        <row r="1548">
          <cell r="G1548">
            <v>7.2453703703703187E-3</v>
          </cell>
        </row>
        <row r="1549">
          <cell r="G1549">
            <v>8.3912037037037202E-3</v>
          </cell>
        </row>
        <row r="1550">
          <cell r="G1550">
            <v>1.7534722222222243E-2</v>
          </cell>
        </row>
        <row r="1551">
          <cell r="G1551">
            <v>4.3865740740740566E-3</v>
          </cell>
        </row>
        <row r="1552">
          <cell r="G1552">
            <v>1.0439814814814818E-2</v>
          </cell>
        </row>
        <row r="1553">
          <cell r="G1553">
            <v>8.6574074074073359E-3</v>
          </cell>
        </row>
        <row r="1554">
          <cell r="G1554">
            <v>6.6550925925925597E-3</v>
          </cell>
        </row>
        <row r="1555">
          <cell r="G1555">
            <v>9.7800925925926041E-3</v>
          </cell>
        </row>
        <row r="1556">
          <cell r="G1556">
            <v>1.6631944444444435E-2</v>
          </cell>
        </row>
        <row r="1557">
          <cell r="G1557">
            <v>1.3391203703703725E-2</v>
          </cell>
        </row>
        <row r="1558">
          <cell r="G1558">
            <v>2.2546296296296342E-2</v>
          </cell>
        </row>
        <row r="1559">
          <cell r="G1559">
            <v>2.4074074074074137E-3</v>
          </cell>
        </row>
        <row r="1560">
          <cell r="G1560">
            <v>2.4189814814815636E-3</v>
          </cell>
        </row>
        <row r="1561">
          <cell r="G1561">
            <v>2.1446759259259263E-2</v>
          </cell>
        </row>
        <row r="1562">
          <cell r="G1562">
            <v>9.2245370370371282E-3</v>
          </cell>
        </row>
        <row r="1563">
          <cell r="G1563">
            <v>9.4212962962963442E-3</v>
          </cell>
        </row>
        <row r="1564">
          <cell r="G1564">
            <v>1.6134259259259265E-2</v>
          </cell>
        </row>
        <row r="1565">
          <cell r="G1565">
            <v>1.6597222222222263E-2</v>
          </cell>
        </row>
        <row r="1566">
          <cell r="G1566">
            <v>4.2708333333332793E-3</v>
          </cell>
        </row>
        <row r="1567">
          <cell r="G1567">
            <v>4.1782407407407463E-3</v>
          </cell>
        </row>
        <row r="1568">
          <cell r="G1568">
            <v>2.4884259259259078E-3</v>
          </cell>
        </row>
        <row r="1569">
          <cell r="G1569">
            <v>6.3194444444444331E-3</v>
          </cell>
        </row>
        <row r="1570">
          <cell r="G1570">
            <v>1.7546296296296338E-2</v>
          </cell>
        </row>
        <row r="1571">
          <cell r="G1571">
            <v>3.2870370370370272E-2</v>
          </cell>
        </row>
        <row r="1572">
          <cell r="G1572">
            <v>2.4074074074074137E-3</v>
          </cell>
        </row>
        <row r="1573">
          <cell r="G1573">
            <v>2.4467592592592569E-2</v>
          </cell>
        </row>
        <row r="1574">
          <cell r="G1574">
            <v>2.3969907407407454E-2</v>
          </cell>
        </row>
        <row r="1575">
          <cell r="G1575">
            <v>2.3368055555555545E-2</v>
          </cell>
        </row>
        <row r="1576">
          <cell r="G1576">
            <v>2.2557870370370381E-2</v>
          </cell>
        </row>
        <row r="1577">
          <cell r="G1577">
            <v>4.0624999999998579E-3</v>
          </cell>
        </row>
        <row r="1578">
          <cell r="G1578">
            <v>2.200231481481485E-2</v>
          </cell>
        </row>
        <row r="1579">
          <cell r="G1579">
            <v>1.9131944444444549E-2</v>
          </cell>
        </row>
        <row r="1580">
          <cell r="G1580">
            <v>1.0289351851851869E-2</v>
          </cell>
        </row>
        <row r="1581">
          <cell r="G1581">
            <v>4.0972222222221966E-3</v>
          </cell>
        </row>
        <row r="1582">
          <cell r="G1582">
            <v>2.3229166666666745E-2</v>
          </cell>
        </row>
        <row r="1583">
          <cell r="G1583">
            <v>1.8958333333333299E-2</v>
          </cell>
        </row>
        <row r="1584">
          <cell r="G1584">
            <v>2.0925925925925903E-2</v>
          </cell>
        </row>
        <row r="1585">
          <cell r="G1585">
            <v>4.4560185185185119E-3</v>
          </cell>
        </row>
        <row r="1586">
          <cell r="G1586">
            <v>5.1504629629629539E-3</v>
          </cell>
        </row>
        <row r="1587">
          <cell r="G1587">
            <v>2.0810185185185293E-2</v>
          </cell>
        </row>
        <row r="1588">
          <cell r="G1588">
            <v>1.7106481481481528E-2</v>
          </cell>
        </row>
        <row r="1589">
          <cell r="G1589">
            <v>2.5706018518518614E-2</v>
          </cell>
        </row>
        <row r="1590">
          <cell r="G1590">
            <v>2.4409722222222263E-2</v>
          </cell>
        </row>
        <row r="1591">
          <cell r="G1591">
            <v>4.5972222222222303E-2</v>
          </cell>
        </row>
        <row r="1592">
          <cell r="G1592">
            <v>7.9513888888889106E-3</v>
          </cell>
        </row>
        <row r="1593">
          <cell r="G1593">
            <v>3.8518518518518507E-2</v>
          </cell>
        </row>
        <row r="1594">
          <cell r="G1594">
            <v>4.8692129629629655E-2</v>
          </cell>
        </row>
        <row r="1595">
          <cell r="G1595">
            <v>4.7106481481481555E-2</v>
          </cell>
        </row>
        <row r="1596">
          <cell r="G1596">
            <v>2.1458333333333357E-2</v>
          </cell>
        </row>
        <row r="1597">
          <cell r="G1597">
            <v>2.7314814814815014E-3</v>
          </cell>
        </row>
        <row r="1598">
          <cell r="G1598">
            <v>2.1655092592592573E-2</v>
          </cell>
        </row>
        <row r="1599">
          <cell r="G1599">
            <v>1.1666666666666659E-2</v>
          </cell>
        </row>
        <row r="1600">
          <cell r="G1600">
            <v>6.7129629629629761E-3</v>
          </cell>
        </row>
        <row r="1601">
          <cell r="G1601">
            <v>2.0000000000000018E-2</v>
          </cell>
        </row>
        <row r="1602">
          <cell r="G1602">
            <v>1.2696759259259283E-2</v>
          </cell>
        </row>
        <row r="1603">
          <cell r="G1603">
            <v>1.4340277777777743E-2</v>
          </cell>
        </row>
        <row r="1604">
          <cell r="G1604">
            <v>1.3784722222222268E-2</v>
          </cell>
        </row>
        <row r="1605">
          <cell r="G1605">
            <v>1.055555555555554E-2</v>
          </cell>
        </row>
        <row r="1606">
          <cell r="G1606">
            <v>9.2824074074073781E-3</v>
          </cell>
        </row>
        <row r="1607">
          <cell r="G1607">
            <v>1.9328703703703709E-2</v>
          </cell>
        </row>
        <row r="1608">
          <cell r="G1608">
            <v>1.4571759259259298E-2</v>
          </cell>
        </row>
        <row r="1609">
          <cell r="G1609">
            <v>3.0439814814814947E-3</v>
          </cell>
        </row>
        <row r="1610">
          <cell r="G1610">
            <v>1.2916666666666632E-2</v>
          </cell>
        </row>
        <row r="1611">
          <cell r="G1611">
            <v>1.271990740740736E-2</v>
          </cell>
        </row>
        <row r="1612">
          <cell r="G1612">
            <v>3.8773148148147918E-3</v>
          </cell>
        </row>
        <row r="1613">
          <cell r="G1613">
            <v>1.2581018518518505E-2</v>
          </cell>
        </row>
        <row r="1614">
          <cell r="G1614">
            <v>1.8611111111111189E-2</v>
          </cell>
        </row>
        <row r="1615">
          <cell r="G1615">
            <v>3.2962962962962861E-2</v>
          </cell>
        </row>
        <row r="1616">
          <cell r="G1616">
            <v>6.5624999999999156E-3</v>
          </cell>
        </row>
        <row r="1617">
          <cell r="G1617">
            <v>5.0115740740739323E-3</v>
          </cell>
        </row>
        <row r="1618">
          <cell r="G1618">
            <v>7.0023148148148362E-3</v>
          </cell>
        </row>
        <row r="1619">
          <cell r="G1619">
            <v>1.8263888888888857E-2</v>
          </cell>
        </row>
        <row r="1620">
          <cell r="G1620">
            <v>2.9745370370370949E-3</v>
          </cell>
        </row>
        <row r="1621">
          <cell r="G1621">
            <v>2.2488425925925926E-2</v>
          </cell>
        </row>
        <row r="1622">
          <cell r="G1622">
            <v>1.5023148148148202E-2</v>
          </cell>
        </row>
        <row r="1623">
          <cell r="G1623">
            <v>1.0138888888888919E-2</v>
          </cell>
        </row>
        <row r="1624">
          <cell r="G1624">
            <v>1.1504629629629615E-2</v>
          </cell>
        </row>
        <row r="1625">
          <cell r="G1625">
            <v>1.0439814814814818E-2</v>
          </cell>
        </row>
        <row r="1626">
          <cell r="G1626">
            <v>1.0069444444444464E-2</v>
          </cell>
        </row>
        <row r="1627">
          <cell r="G1627">
            <v>3.2060185185185386E-3</v>
          </cell>
        </row>
        <row r="1628">
          <cell r="G1628">
            <v>2.2326388888888937E-2</v>
          </cell>
        </row>
        <row r="1629">
          <cell r="G1629">
            <v>2.4398148148148113E-2</v>
          </cell>
        </row>
        <row r="1630">
          <cell r="G1630">
            <v>1.3587962962963052E-2</v>
          </cell>
        </row>
        <row r="1631">
          <cell r="G1631">
            <v>7.3958333333332682E-3</v>
          </cell>
        </row>
        <row r="1632">
          <cell r="G1632">
            <v>4.3055555555554514E-3</v>
          </cell>
        </row>
        <row r="1633">
          <cell r="G1633">
            <v>9.0624999999998623E-3</v>
          </cell>
        </row>
        <row r="1634">
          <cell r="G1634">
            <v>6.6435185185184098E-3</v>
          </cell>
        </row>
        <row r="1635">
          <cell r="G1635">
            <v>5.6712962962962576E-3</v>
          </cell>
        </row>
        <row r="1636">
          <cell r="G1636">
            <v>7.8356481481480778E-3</v>
          </cell>
        </row>
        <row r="1637">
          <cell r="G1637">
            <v>2.2905092592592546E-2</v>
          </cell>
        </row>
        <row r="1638">
          <cell r="G1638">
            <v>5.138888888888804E-3</v>
          </cell>
        </row>
        <row r="1639">
          <cell r="G1639">
            <v>3.284722222222225E-2</v>
          </cell>
        </row>
        <row r="1640">
          <cell r="G1640">
            <v>1.9548611111111058E-2</v>
          </cell>
        </row>
        <row r="1641">
          <cell r="G1641">
            <v>1.418981481481485E-2</v>
          </cell>
        </row>
        <row r="1642">
          <cell r="G1642">
            <v>1.570601851851855E-2</v>
          </cell>
        </row>
        <row r="1643">
          <cell r="G1643">
            <v>1.6458333333333353E-2</v>
          </cell>
        </row>
        <row r="1644">
          <cell r="G1644">
            <v>1.0219907407407414E-2</v>
          </cell>
        </row>
        <row r="1645">
          <cell r="G1645">
            <v>1.7280092592592611E-2</v>
          </cell>
        </row>
        <row r="1646">
          <cell r="G1646">
            <v>2.061342592592591E-2</v>
          </cell>
        </row>
        <row r="1647">
          <cell r="G1647">
            <v>1.6562500000000036E-2</v>
          </cell>
        </row>
        <row r="1648">
          <cell r="G1648">
            <v>2.1180555555555536E-3</v>
          </cell>
        </row>
        <row r="1649">
          <cell r="G1649">
            <v>1.5532407407407411E-2</v>
          </cell>
        </row>
        <row r="1650">
          <cell r="G1650">
            <v>6.4351851851851549E-3</v>
          </cell>
        </row>
        <row r="1651">
          <cell r="G1651">
            <v>2.8125000000000511E-3</v>
          </cell>
        </row>
        <row r="1652">
          <cell r="G1652">
            <v>1.5694444444444455E-2</v>
          </cell>
        </row>
        <row r="1653">
          <cell r="G1653">
            <v>7.5694444444444065E-3</v>
          </cell>
        </row>
        <row r="1654">
          <cell r="G1654">
            <v>8.946759259259307E-3</v>
          </cell>
        </row>
        <row r="1655">
          <cell r="G1655">
            <v>1.431712962962961E-2</v>
          </cell>
        </row>
        <row r="1656">
          <cell r="G1656">
            <v>2.569444444444402E-3</v>
          </cell>
        </row>
        <row r="1657">
          <cell r="G1657">
            <v>1.2141203703703696E-2</v>
          </cell>
        </row>
        <row r="1658">
          <cell r="G1658">
            <v>5.9143518518518512E-3</v>
          </cell>
        </row>
        <row r="1659">
          <cell r="G1659">
            <v>2.3148148148147696E-3</v>
          </cell>
        </row>
        <row r="1660">
          <cell r="G1660">
            <v>5.8796296296296235E-3</v>
          </cell>
        </row>
        <row r="1661">
          <cell r="G1661">
            <v>1.106481481481475E-2</v>
          </cell>
        </row>
        <row r="1662">
          <cell r="G1662">
            <v>1.0787037037037039E-2</v>
          </cell>
        </row>
        <row r="1663">
          <cell r="G1663">
            <v>5.3009259259259589E-3</v>
          </cell>
        </row>
        <row r="1664">
          <cell r="G1664">
            <v>3.7499999999999756E-3</v>
          </cell>
        </row>
        <row r="1665">
          <cell r="G1665">
            <v>3.564814814814854E-3</v>
          </cell>
        </row>
        <row r="1666">
          <cell r="G1666">
            <v>2.3495370370370527E-3</v>
          </cell>
        </row>
        <row r="1667">
          <cell r="G1667">
            <v>1.4803240740740797E-2</v>
          </cell>
        </row>
        <row r="1668">
          <cell r="G1668">
            <v>1.9155092592592571E-2</v>
          </cell>
        </row>
        <row r="1669">
          <cell r="G1669">
            <v>2.0949074074074203E-3</v>
          </cell>
        </row>
        <row r="1670">
          <cell r="G1670">
            <v>2.3148148148148251E-3</v>
          </cell>
        </row>
        <row r="1671">
          <cell r="G1671">
            <v>2.1527777777777257E-3</v>
          </cell>
        </row>
        <row r="1672">
          <cell r="G1672">
            <v>7.9745370370370439E-3</v>
          </cell>
        </row>
        <row r="1673">
          <cell r="G1673">
            <v>3.8888888888888862E-3</v>
          </cell>
        </row>
        <row r="1674">
          <cell r="G1674">
            <v>1.8101851851851924E-2</v>
          </cell>
        </row>
        <row r="1675">
          <cell r="G1675">
            <v>1.2291666666666701E-2</v>
          </cell>
        </row>
        <row r="1676">
          <cell r="G1676">
            <v>2.8935185185184897E-3</v>
          </cell>
        </row>
        <row r="1677">
          <cell r="G1677">
            <v>1.3379629629629575E-2</v>
          </cell>
        </row>
        <row r="1678">
          <cell r="G1678">
            <v>1.0115740740740842E-2</v>
          </cell>
        </row>
        <row r="1679">
          <cell r="G1679">
            <v>3.5416666666666652E-3</v>
          </cell>
        </row>
        <row r="1680">
          <cell r="G1680">
            <v>9.4097222222222499E-3</v>
          </cell>
        </row>
        <row r="1681">
          <cell r="G1681">
            <v>7.1759259259259744E-3</v>
          </cell>
        </row>
        <row r="1682">
          <cell r="G1682">
            <v>7.3726851851850794E-3</v>
          </cell>
        </row>
        <row r="1683">
          <cell r="G1683">
            <v>5.5671296296295747E-3</v>
          </cell>
        </row>
        <row r="1684">
          <cell r="G1684">
            <v>1.0578703703703729E-2</v>
          </cell>
        </row>
        <row r="1685">
          <cell r="G1685">
            <v>6.921296296296342E-3</v>
          </cell>
        </row>
        <row r="1686">
          <cell r="G1686">
            <v>1.0011574074074048E-2</v>
          </cell>
        </row>
        <row r="1687">
          <cell r="G1687">
            <v>2.870370370370301E-3</v>
          </cell>
        </row>
        <row r="1688">
          <cell r="G1688">
            <v>3.6805555555555758E-3</v>
          </cell>
        </row>
        <row r="1689">
          <cell r="G1689">
            <v>2.5115740740742076E-3</v>
          </cell>
        </row>
        <row r="1690">
          <cell r="G1690">
            <v>1.2083333333333335E-2</v>
          </cell>
        </row>
        <row r="1691">
          <cell r="G1691">
            <v>1.0729166666666679E-2</v>
          </cell>
        </row>
        <row r="1692">
          <cell r="G1692">
            <v>1.6631944444444491E-2</v>
          </cell>
        </row>
        <row r="1693">
          <cell r="G1693">
            <v>7.118055555555558E-3</v>
          </cell>
        </row>
        <row r="1694">
          <cell r="G1694">
            <v>6.3078703703703942E-3</v>
          </cell>
        </row>
        <row r="1695">
          <cell r="G1695">
            <v>3.6111111111111205E-3</v>
          </cell>
        </row>
        <row r="1696">
          <cell r="G1696">
            <v>2.8009259259258457E-3</v>
          </cell>
        </row>
        <row r="1697">
          <cell r="G1697">
            <v>8.7152777777778079E-3</v>
          </cell>
        </row>
        <row r="1698">
          <cell r="G1698">
            <v>1.5451388888888973E-2</v>
          </cell>
        </row>
        <row r="1699">
          <cell r="G1699">
            <v>6.1574074074074447E-3</v>
          </cell>
        </row>
        <row r="1700">
          <cell r="G1700">
            <v>4.5138888888888173E-3</v>
          </cell>
        </row>
        <row r="1701">
          <cell r="G1701">
            <v>1.214120370370364E-2</v>
          </cell>
        </row>
        <row r="1702">
          <cell r="G1702">
            <v>4.7222222222221832E-3</v>
          </cell>
        </row>
        <row r="1703">
          <cell r="G1703">
            <v>1.1840277777777741E-2</v>
          </cell>
        </row>
        <row r="1704">
          <cell r="G1704">
            <v>9.8263888888888706E-3</v>
          </cell>
        </row>
        <row r="1705">
          <cell r="G1705">
            <v>2.3842592592592249E-3</v>
          </cell>
        </row>
        <row r="1706">
          <cell r="G1706">
            <v>2.6851851851852349E-3</v>
          </cell>
        </row>
        <row r="1707">
          <cell r="G1707">
            <v>3.4374999999999822E-3</v>
          </cell>
        </row>
        <row r="1708">
          <cell r="G1708">
            <v>2.3263888888889195E-3</v>
          </cell>
        </row>
        <row r="1709">
          <cell r="G1709">
            <v>1.9571759259259247E-2</v>
          </cell>
        </row>
        <row r="1710">
          <cell r="G1710">
            <v>1.9756944444444424E-2</v>
          </cell>
        </row>
        <row r="1711">
          <cell r="G1711">
            <v>1.4641203703703698E-2</v>
          </cell>
        </row>
        <row r="1712">
          <cell r="G1712">
            <v>1.0752314814814756E-2</v>
          </cell>
        </row>
        <row r="1713">
          <cell r="G1713">
            <v>1.3229166666666625E-2</v>
          </cell>
        </row>
        <row r="1714">
          <cell r="G1714">
            <v>1.7129629629629606E-2</v>
          </cell>
        </row>
        <row r="1715">
          <cell r="G1715">
            <v>1.6319444444444442E-2</v>
          </cell>
        </row>
        <row r="1716">
          <cell r="G1716">
            <v>1.4120370370370505E-2</v>
          </cell>
        </row>
        <row r="1717">
          <cell r="G1717">
            <v>1.1134259259259149E-2</v>
          </cell>
        </row>
        <row r="1718">
          <cell r="G1718">
            <v>1.1689814814814792E-2</v>
          </cell>
        </row>
        <row r="1719">
          <cell r="G1719">
            <v>3.8194444444444864E-3</v>
          </cell>
        </row>
        <row r="1720">
          <cell r="G1720">
            <v>3.5300925925926263E-3</v>
          </cell>
        </row>
        <row r="1721">
          <cell r="G1721">
            <v>6.9444444444445308E-3</v>
          </cell>
        </row>
        <row r="1722">
          <cell r="G1722">
            <v>1.2094907407407374E-2</v>
          </cell>
        </row>
        <row r="1723">
          <cell r="G1723">
            <v>1.1203703703703716E-2</v>
          </cell>
        </row>
        <row r="1724">
          <cell r="G1724">
            <v>1.6168981481481493E-2</v>
          </cell>
        </row>
        <row r="1725">
          <cell r="G1725">
            <v>1.9201388888888893E-2</v>
          </cell>
        </row>
        <row r="1726">
          <cell r="G1726">
            <v>2.3379629629629584E-3</v>
          </cell>
        </row>
        <row r="1727">
          <cell r="G1727">
            <v>1.7962962962962958E-2</v>
          </cell>
        </row>
        <row r="1728">
          <cell r="G1728">
            <v>1.3587962962962941E-2</v>
          </cell>
        </row>
        <row r="1729">
          <cell r="G1729">
            <v>4.155092592592502E-3</v>
          </cell>
        </row>
        <row r="1730">
          <cell r="G1730">
            <v>2.0162037037037006E-2</v>
          </cell>
        </row>
        <row r="1731">
          <cell r="G1731">
            <v>3.368055555555638E-3</v>
          </cell>
        </row>
        <row r="1732">
          <cell r="G1732">
            <v>3.1365740740740833E-3</v>
          </cell>
        </row>
        <row r="1733">
          <cell r="G1733">
            <v>3.9745370370370348E-2</v>
          </cell>
        </row>
        <row r="1734">
          <cell r="G1734">
            <v>5.0914351851851891E-2</v>
          </cell>
        </row>
        <row r="1735">
          <cell r="G1735">
            <v>3.8032407407407431E-2</v>
          </cell>
        </row>
        <row r="1736">
          <cell r="G1736">
            <v>5.243055555555598E-3</v>
          </cell>
        </row>
        <row r="1737">
          <cell r="G1737">
            <v>4.9502314814814818E-2</v>
          </cell>
        </row>
        <row r="1738">
          <cell r="G1738">
            <v>4.9664351851851862E-2</v>
          </cell>
        </row>
        <row r="1739">
          <cell r="G1739">
            <v>4.2812500000000031E-2</v>
          </cell>
        </row>
        <row r="1740">
          <cell r="G1740">
            <v>4.2280092592592633E-2</v>
          </cell>
        </row>
        <row r="1741">
          <cell r="G1741">
            <v>9.3402777777777946E-3</v>
          </cell>
        </row>
        <row r="1742">
          <cell r="G1742">
            <v>4.398148148148151E-3</v>
          </cell>
        </row>
        <row r="1743">
          <cell r="G1743">
            <v>3.4918981481481537E-2</v>
          </cell>
        </row>
        <row r="1744">
          <cell r="G1744">
            <v>1.9895833333333279E-2</v>
          </cell>
        </row>
        <row r="1745">
          <cell r="G1745">
            <v>1.4618055555555509E-2</v>
          </cell>
        </row>
        <row r="1746">
          <cell r="G1746">
            <v>2.8969907407407347E-2</v>
          </cell>
        </row>
        <row r="1747">
          <cell r="G1747">
            <v>2.5532407407407365E-2</v>
          </cell>
        </row>
        <row r="1748">
          <cell r="G1748">
            <v>8.8194444444444353E-3</v>
          </cell>
        </row>
        <row r="1749">
          <cell r="G1749">
            <v>2.4548611111111063E-2</v>
          </cell>
        </row>
        <row r="1750">
          <cell r="G1750">
            <v>6.2615740740740722E-3</v>
          </cell>
        </row>
        <row r="1751">
          <cell r="G1751">
            <v>2.02430555555555E-2</v>
          </cell>
        </row>
        <row r="1752">
          <cell r="G1752">
            <v>4.0393518518518912E-3</v>
          </cell>
        </row>
        <row r="1753">
          <cell r="G1753">
            <v>1.504629629629628E-2</v>
          </cell>
        </row>
        <row r="1754">
          <cell r="G1754">
            <v>1.1666666666666714E-2</v>
          </cell>
        </row>
        <row r="1755">
          <cell r="G1755">
            <v>4.8842592592592826E-3</v>
          </cell>
        </row>
        <row r="1756">
          <cell r="G1756">
            <v>3.3333333333333548E-3</v>
          </cell>
        </row>
        <row r="1757">
          <cell r="G1757">
            <v>4.8379629629629606E-3</v>
          </cell>
        </row>
        <row r="1758">
          <cell r="G1758">
            <v>9.9189814814814592E-3</v>
          </cell>
        </row>
        <row r="1759">
          <cell r="G1759">
            <v>9.8842592592592315E-3</v>
          </cell>
        </row>
        <row r="1760">
          <cell r="G1760">
            <v>5.3009259259259034E-3</v>
          </cell>
        </row>
        <row r="1761">
          <cell r="G1761">
            <v>2.850694444444446E-2</v>
          </cell>
        </row>
        <row r="1762">
          <cell r="G1762">
            <v>8.6805555555555802E-3</v>
          </cell>
        </row>
        <row r="1763">
          <cell r="G1763">
            <v>3.5185185185184764E-3</v>
          </cell>
        </row>
        <row r="1764">
          <cell r="G1764">
            <v>2.6273148148148184E-3</v>
          </cell>
        </row>
        <row r="1765">
          <cell r="G1765">
            <v>2.418981481481508E-3</v>
          </cell>
        </row>
        <row r="1766">
          <cell r="G1766">
            <v>5.6944444444444464E-3</v>
          </cell>
        </row>
        <row r="1767">
          <cell r="G1767">
            <v>7.3611111111110406E-3</v>
          </cell>
        </row>
        <row r="1768">
          <cell r="G1768">
            <v>1.5474537037037051E-2</v>
          </cell>
        </row>
        <row r="1769">
          <cell r="G1769">
            <v>1.3564814814814807E-2</v>
          </cell>
        </row>
        <row r="1770">
          <cell r="G1770">
            <v>1.3425925925925952E-2</v>
          </cell>
        </row>
        <row r="1771">
          <cell r="G1771">
            <v>1.4131944444444489E-2</v>
          </cell>
        </row>
        <row r="1772">
          <cell r="G1772">
            <v>1.2523148148148144E-2</v>
          </cell>
        </row>
        <row r="1773">
          <cell r="G1773">
            <v>1.1516203703703654E-2</v>
          </cell>
        </row>
        <row r="1774">
          <cell r="G1774">
            <v>3.7268518518518423E-3</v>
          </cell>
        </row>
        <row r="1775">
          <cell r="G1775">
            <v>6.2268518518519E-3</v>
          </cell>
        </row>
        <row r="1776">
          <cell r="G1776">
            <v>6.5046296296296102E-3</v>
          </cell>
        </row>
        <row r="1777">
          <cell r="G1777">
            <v>4.8842592592592271E-3</v>
          </cell>
        </row>
        <row r="1778">
          <cell r="G1778">
            <v>1.027777777777783E-2</v>
          </cell>
        </row>
        <row r="1779">
          <cell r="G1779">
            <v>7.9861111111110827E-3</v>
          </cell>
        </row>
        <row r="1780">
          <cell r="G1780">
            <v>7.4884259259259678E-3</v>
          </cell>
        </row>
        <row r="1781">
          <cell r="G1781">
            <v>9.2592592592588563E-5</v>
          </cell>
        </row>
        <row r="1782">
          <cell r="G1782">
            <v>1.0659722222222223E-2</v>
          </cell>
        </row>
        <row r="1783">
          <cell r="G1783">
            <v>1.1319444444444438E-2</v>
          </cell>
        </row>
        <row r="1784">
          <cell r="G1784">
            <v>1.1689814814814792E-3</v>
          </cell>
        </row>
        <row r="1785">
          <cell r="G1785">
            <v>3.9236111111111693E-3</v>
          </cell>
        </row>
        <row r="1786">
          <cell r="G1786">
            <v>1.2731481481481066E-3</v>
          </cell>
        </row>
        <row r="1787">
          <cell r="G1787">
            <v>2.8587962962962621E-3</v>
          </cell>
        </row>
        <row r="1788">
          <cell r="G1788">
            <v>1.388888888889106E-4</v>
          </cell>
        </row>
        <row r="1789">
          <cell r="G1789">
            <v>5.5787037037036691E-3</v>
          </cell>
        </row>
        <row r="1790">
          <cell r="G1790">
            <v>9.3634259259258723E-3</v>
          </cell>
        </row>
        <row r="1791">
          <cell r="G1791">
            <v>6.8287037037034759E-4</v>
          </cell>
        </row>
        <row r="1792">
          <cell r="G1792">
            <v>2.4768518518517579E-3</v>
          </cell>
        </row>
        <row r="1793">
          <cell r="G1793">
            <v>2.9861111111111338E-3</v>
          </cell>
        </row>
        <row r="1794">
          <cell r="G1794">
            <v>3.9467592592592471E-3</v>
          </cell>
        </row>
        <row r="1795">
          <cell r="G1795">
            <v>2.673611111111085E-3</v>
          </cell>
        </row>
        <row r="1796">
          <cell r="G1796">
            <v>4.0393518518518912E-3</v>
          </cell>
        </row>
        <row r="1797">
          <cell r="G1797">
            <v>9.1898148148148451E-3</v>
          </cell>
        </row>
        <row r="1798">
          <cell r="G1798">
            <v>8.5648148148143033E-4</v>
          </cell>
        </row>
        <row r="1799">
          <cell r="G1799">
            <v>5.6712962962968128E-4</v>
          </cell>
        </row>
        <row r="1800">
          <cell r="G1800">
            <v>1.5509259259258723E-3</v>
          </cell>
        </row>
        <row r="1801">
          <cell r="G1801">
            <v>9.0277777777780788E-4</v>
          </cell>
        </row>
        <row r="1802">
          <cell r="G1802">
            <v>5.6018518518518023E-3</v>
          </cell>
        </row>
        <row r="1803">
          <cell r="G1803">
            <v>6.0879629629628784E-3</v>
          </cell>
        </row>
        <row r="1804">
          <cell r="G1804">
            <v>1.3078703703703898E-3</v>
          </cell>
        </row>
        <row r="1805">
          <cell r="G1805">
            <v>1.3425925925926174E-3</v>
          </cell>
        </row>
        <row r="1806">
          <cell r="G1806">
            <v>1.0694444444444451E-2</v>
          </cell>
        </row>
        <row r="1807">
          <cell r="G1807">
            <v>2.1793981481481484E-2</v>
          </cell>
        </row>
        <row r="1808">
          <cell r="G1808">
            <v>1.4629629629629659E-2</v>
          </cell>
        </row>
        <row r="1809">
          <cell r="G1809">
            <v>4.1365740740740731E-2</v>
          </cell>
        </row>
        <row r="1810">
          <cell r="G1810">
            <v>4.5509259259259194E-2</v>
          </cell>
        </row>
        <row r="1811">
          <cell r="G1811">
            <v>1.0567129629629579E-2</v>
          </cell>
        </row>
        <row r="1812">
          <cell r="G1812">
            <v>2.7939814814814778E-2</v>
          </cell>
        </row>
        <row r="1813">
          <cell r="G1813">
            <v>1.8738425925926006E-2</v>
          </cell>
        </row>
        <row r="1814">
          <cell r="G1814">
            <v>1.7673611111111098E-2</v>
          </cell>
        </row>
        <row r="1815">
          <cell r="G1815">
            <v>1.5266203703703796E-2</v>
          </cell>
        </row>
        <row r="1816">
          <cell r="G1816">
            <v>1.6249999999999987E-2</v>
          </cell>
        </row>
        <row r="1817">
          <cell r="G1817">
            <v>2.9629629629629672E-2</v>
          </cell>
        </row>
        <row r="1818">
          <cell r="G1818">
            <v>3.2384259259259252E-2</v>
          </cell>
        </row>
        <row r="1819">
          <cell r="G1819">
            <v>2.8703703703703787E-2</v>
          </cell>
        </row>
        <row r="1820">
          <cell r="G1820">
            <v>3.0057870370370443E-2</v>
          </cell>
        </row>
        <row r="1821">
          <cell r="G1821">
            <v>2.9988425925925877E-2</v>
          </cell>
        </row>
        <row r="1822">
          <cell r="G1822">
            <v>3.3379629629629703E-2</v>
          </cell>
        </row>
        <row r="1823">
          <cell r="G1823">
            <v>1.9791666666666763E-2</v>
          </cell>
        </row>
        <row r="1824">
          <cell r="G1824">
            <v>1.9039351851851904E-2</v>
          </cell>
        </row>
        <row r="1825">
          <cell r="G1825">
            <v>2.4895833333333339E-2</v>
          </cell>
        </row>
        <row r="1826">
          <cell r="G1826">
            <v>2.6504629629629628E-2</v>
          </cell>
        </row>
        <row r="1827">
          <cell r="G1827">
            <v>1.4664351851851776E-2</v>
          </cell>
        </row>
        <row r="1828">
          <cell r="G1828">
            <v>2.3483796296296267E-2</v>
          </cell>
        </row>
        <row r="1829">
          <cell r="G1829">
            <v>1.6585648148148224E-2</v>
          </cell>
        </row>
        <row r="1830">
          <cell r="G1830">
            <v>2.1874999999999978E-2</v>
          </cell>
        </row>
        <row r="1831">
          <cell r="G1831">
            <v>9.1666666666666563E-3</v>
          </cell>
        </row>
        <row r="1832">
          <cell r="G1832">
            <v>2.0034722222222245E-2</v>
          </cell>
        </row>
        <row r="1833">
          <cell r="G1833">
            <v>1.1967592592592613E-2</v>
          </cell>
        </row>
        <row r="1834">
          <cell r="G1834">
            <v>1.8865740740740766E-2</v>
          </cell>
        </row>
        <row r="1835">
          <cell r="G1835">
            <v>1.7615740740740793E-2</v>
          </cell>
        </row>
        <row r="1836">
          <cell r="G1836">
            <v>1.6701388888888946E-2</v>
          </cell>
        </row>
        <row r="1837">
          <cell r="G1837">
            <v>1.6550925925925997E-2</v>
          </cell>
        </row>
        <row r="1838">
          <cell r="G1838">
            <v>1.4571759259259354E-2</v>
          </cell>
        </row>
        <row r="1839">
          <cell r="G1839">
            <v>1.3252314814814925E-2</v>
          </cell>
        </row>
        <row r="1840">
          <cell r="G1840">
            <v>1.2083333333333224E-2</v>
          </cell>
        </row>
        <row r="1841">
          <cell r="G1841">
            <v>1.1956018518518463E-2</v>
          </cell>
        </row>
        <row r="1842">
          <cell r="G1842">
            <v>1.585648148148211E-3</v>
          </cell>
        </row>
        <row r="1843">
          <cell r="G1843">
            <v>1.8981481481481488E-3</v>
          </cell>
        </row>
        <row r="1844">
          <cell r="G1844">
            <v>7.0023148148148362E-3</v>
          </cell>
        </row>
        <row r="1845">
          <cell r="G1845">
            <v>9.3055555555555669E-3</v>
          </cell>
        </row>
        <row r="1846">
          <cell r="G1846">
            <v>4.6643518518518778E-3</v>
          </cell>
        </row>
        <row r="1847">
          <cell r="G1847">
            <v>1.8055555555555047E-3</v>
          </cell>
        </row>
        <row r="1848">
          <cell r="G1848">
            <v>9.0277777777780788E-4</v>
          </cell>
        </row>
        <row r="1849">
          <cell r="G1849">
            <v>1.4930555555555669E-3</v>
          </cell>
        </row>
        <row r="1850">
          <cell r="G1850">
            <v>8.0671296296297434E-3</v>
          </cell>
        </row>
        <row r="1851">
          <cell r="G1851">
            <v>2.1331018518518485E-2</v>
          </cell>
        </row>
        <row r="1852">
          <cell r="G1852">
            <v>1.7789351851851931E-2</v>
          </cell>
        </row>
        <row r="1853">
          <cell r="G1853">
            <v>1.6006944444444393E-2</v>
          </cell>
        </row>
        <row r="1854">
          <cell r="G1854">
            <v>3.2870370370370328E-3</v>
          </cell>
        </row>
        <row r="1855">
          <cell r="G1855">
            <v>1.2546296296296333E-2</v>
          </cell>
        </row>
        <row r="1856">
          <cell r="G1856">
            <v>1.0844907407407511E-2</v>
          </cell>
        </row>
        <row r="1857">
          <cell r="G1857">
            <v>9.2592592592593004E-3</v>
          </cell>
        </row>
        <row r="1858">
          <cell r="G1858">
            <v>5.2893518518517535E-3</v>
          </cell>
        </row>
        <row r="1859">
          <cell r="G1859">
            <v>4.8611111111110938E-3</v>
          </cell>
        </row>
        <row r="1860">
          <cell r="G1860">
            <v>4.2939814814815236E-3</v>
          </cell>
        </row>
        <row r="1861">
          <cell r="G1861">
            <v>2.0949074074074758E-3</v>
          </cell>
        </row>
        <row r="1862">
          <cell r="G1862">
            <v>2.1990740740740478E-3</v>
          </cell>
        </row>
        <row r="1863">
          <cell r="G1863">
            <v>5.6712962962957025E-4</v>
          </cell>
        </row>
        <row r="1864">
          <cell r="G1864">
            <v>4.7453703703692618E-4</v>
          </cell>
        </row>
        <row r="1865">
          <cell r="G1865">
            <v>1.3090277777777826E-2</v>
          </cell>
        </row>
        <row r="1866">
          <cell r="G1866">
            <v>1.460648148148147E-2</v>
          </cell>
        </row>
        <row r="1867">
          <cell r="G1867">
            <v>1.0127314814814881E-2</v>
          </cell>
        </row>
        <row r="1868">
          <cell r="G1868">
            <v>9.8958333333333259E-3</v>
          </cell>
        </row>
        <row r="1869">
          <cell r="G1869">
            <v>1.3888888888887729E-3</v>
          </cell>
        </row>
        <row r="1870">
          <cell r="G1870">
            <v>3.368055555555638E-3</v>
          </cell>
        </row>
        <row r="1871">
          <cell r="G1871">
            <v>1.1689814814815902E-3</v>
          </cell>
        </row>
        <row r="1872">
          <cell r="G1872">
            <v>1.4884259259259291E-2</v>
          </cell>
        </row>
        <row r="1873">
          <cell r="G1873">
            <v>1.505787037037043E-2</v>
          </cell>
        </row>
        <row r="1874">
          <cell r="G1874">
            <v>1.4687499999999964E-2</v>
          </cell>
        </row>
        <row r="1875">
          <cell r="G1875">
            <v>1.0578703703703618E-2</v>
          </cell>
        </row>
        <row r="1876">
          <cell r="G1876">
            <v>3.2060185185186496E-3</v>
          </cell>
        </row>
        <row r="1877">
          <cell r="G1877">
            <v>7.5694444444444065E-3</v>
          </cell>
        </row>
        <row r="1878">
          <cell r="G1878">
            <v>7.6388888888889728E-3</v>
          </cell>
        </row>
        <row r="1879">
          <cell r="G1879">
            <v>7.615740740740673E-3</v>
          </cell>
        </row>
        <row r="1880">
          <cell r="G1880">
            <v>1.2280092592592551E-2</v>
          </cell>
        </row>
        <row r="1881">
          <cell r="G1881">
            <v>4.2939814814814681E-3</v>
          </cell>
        </row>
        <row r="1882">
          <cell r="G1882">
            <v>5.027777777777781E-2</v>
          </cell>
        </row>
        <row r="1883">
          <cell r="G1883">
            <v>2.3379629629629584E-3</v>
          </cell>
        </row>
        <row r="1884">
          <cell r="G1884">
            <v>4.5636574074074121E-2</v>
          </cell>
        </row>
        <row r="1885">
          <cell r="G1885">
            <v>1.9907407407407429E-2</v>
          </cell>
        </row>
        <row r="1886">
          <cell r="G1886">
            <v>4.3391203703703696E-2</v>
          </cell>
        </row>
        <row r="1887">
          <cell r="G1887">
            <v>2.3252314814814878E-2</v>
          </cell>
        </row>
        <row r="1888">
          <cell r="G1888">
            <v>4.0694444444444478E-2</v>
          </cell>
        </row>
        <row r="1889">
          <cell r="G1889">
            <v>2.0381944444444522E-2</v>
          </cell>
        </row>
        <row r="1890">
          <cell r="G1890">
            <v>3.9884259259259203E-2</v>
          </cell>
        </row>
        <row r="1891">
          <cell r="G1891">
            <v>3.9699074074074081E-2</v>
          </cell>
        </row>
        <row r="1892">
          <cell r="G1892">
            <v>1.2939814814814821E-2</v>
          </cell>
        </row>
        <row r="1893">
          <cell r="G1893">
            <v>4.0289351851851785E-2</v>
          </cell>
        </row>
        <row r="1894">
          <cell r="G1894">
            <v>3.9687499999999987E-2</v>
          </cell>
        </row>
        <row r="1895">
          <cell r="G1895">
            <v>3.891203703703694E-2</v>
          </cell>
        </row>
        <row r="1896">
          <cell r="G1896">
            <v>3.6793981481481497E-2</v>
          </cell>
        </row>
        <row r="1897">
          <cell r="G1897">
            <v>3.8854166666666634E-2</v>
          </cell>
        </row>
        <row r="1898">
          <cell r="G1898">
            <v>3.4988425925925881E-2</v>
          </cell>
        </row>
        <row r="1899">
          <cell r="G1899">
            <v>3.3738425925925908E-2</v>
          </cell>
        </row>
        <row r="1900">
          <cell r="G1900">
            <v>3.521990740740738E-2</v>
          </cell>
        </row>
        <row r="1901">
          <cell r="G1901">
            <v>3.3831018518518496E-2</v>
          </cell>
        </row>
        <row r="1902">
          <cell r="G1902">
            <v>1.6423611111111125E-2</v>
          </cell>
        </row>
        <row r="1903">
          <cell r="G1903">
            <v>3.255787037037039E-2</v>
          </cell>
        </row>
        <row r="1904">
          <cell r="G1904">
            <v>3.3657407407407303E-2</v>
          </cell>
        </row>
        <row r="1905">
          <cell r="G1905">
            <v>3.1516203703703727E-2</v>
          </cell>
        </row>
        <row r="1906">
          <cell r="G1906">
            <v>3.0648148148148147E-2</v>
          </cell>
        </row>
        <row r="1907">
          <cell r="G1907">
            <v>1.005787037037037E-2</v>
          </cell>
        </row>
        <row r="1908">
          <cell r="G1908">
            <v>2.9768518518518527E-2</v>
          </cell>
        </row>
        <row r="1909">
          <cell r="G1909">
            <v>2.6435185185185173E-2</v>
          </cell>
        </row>
        <row r="1910">
          <cell r="G1910">
            <v>7.7777777777777724E-3</v>
          </cell>
        </row>
        <row r="1911">
          <cell r="G1911">
            <v>2.9930555555555571E-2</v>
          </cell>
        </row>
        <row r="1912">
          <cell r="G1912">
            <v>2.7476851851851891E-2</v>
          </cell>
        </row>
        <row r="1913">
          <cell r="G1913">
            <v>2.3344907407407411E-2</v>
          </cell>
        </row>
        <row r="1914">
          <cell r="G1914">
            <v>2.4062500000000042E-2</v>
          </cell>
        </row>
        <row r="1915">
          <cell r="G1915">
            <v>2.3842592592592526E-2</v>
          </cell>
        </row>
        <row r="1916">
          <cell r="G1916">
            <v>2.0613425925925966E-2</v>
          </cell>
        </row>
        <row r="1917">
          <cell r="G1917">
            <v>2.2418981481481581E-2</v>
          </cell>
        </row>
        <row r="1918">
          <cell r="G1918">
            <v>2.082175925925922E-2</v>
          </cell>
        </row>
        <row r="1919">
          <cell r="G1919">
            <v>1.2222222222222245E-2</v>
          </cell>
        </row>
        <row r="1920">
          <cell r="G1920">
            <v>8.113425925925899E-3</v>
          </cell>
        </row>
        <row r="1921">
          <cell r="G1921">
            <v>5.7986111111110739E-3</v>
          </cell>
        </row>
        <row r="1922">
          <cell r="G1922">
            <v>9.9189814814814037E-3</v>
          </cell>
        </row>
        <row r="1923">
          <cell r="G1923">
            <v>7.3726851851851904E-3</v>
          </cell>
        </row>
        <row r="1924">
          <cell r="G1924">
            <v>1.4942129629629652E-2</v>
          </cell>
        </row>
        <row r="1925">
          <cell r="G1925">
            <v>1.4583333333333282E-2</v>
          </cell>
        </row>
        <row r="1926">
          <cell r="G1926">
            <v>6.712962962962532E-4</v>
          </cell>
        </row>
        <row r="1927">
          <cell r="G1927">
            <v>2.0833333333325488E-4</v>
          </cell>
        </row>
        <row r="1928">
          <cell r="G1928">
            <v>7.2569444444444131E-3</v>
          </cell>
        </row>
        <row r="1929">
          <cell r="G1929">
            <v>1.2268518518518956E-3</v>
          </cell>
        </row>
        <row r="1930">
          <cell r="G1930">
            <v>1.7361111111108274E-4</v>
          </cell>
        </row>
        <row r="1931">
          <cell r="G1931">
            <v>2.3043981481481512E-2</v>
          </cell>
        </row>
        <row r="1932">
          <cell r="G1932">
            <v>2.893518518518523E-2</v>
          </cell>
        </row>
        <row r="1933">
          <cell r="G1933">
            <v>4.4143518518518499E-2</v>
          </cell>
        </row>
        <row r="1934">
          <cell r="G1934">
            <v>3.0162037037037015E-2</v>
          </cell>
        </row>
        <row r="1935">
          <cell r="G1935">
            <v>9.895833333333437E-3</v>
          </cell>
        </row>
        <row r="1936">
          <cell r="G1936">
            <v>9.3518518518518334E-3</v>
          </cell>
        </row>
        <row r="1937">
          <cell r="G1937">
            <v>7.1875000000000133E-3</v>
          </cell>
        </row>
        <row r="1938">
          <cell r="G1938">
            <v>4.7222222222222943E-3</v>
          </cell>
        </row>
        <row r="1939">
          <cell r="G1939">
            <v>1.1689814814814792E-2</v>
          </cell>
        </row>
        <row r="1940">
          <cell r="G1940">
            <v>1.2152777777777457E-3</v>
          </cell>
        </row>
        <row r="1941">
          <cell r="G1941">
            <v>3.9236111111111693E-3</v>
          </cell>
        </row>
        <row r="1942">
          <cell r="G1942">
            <v>2.2615740740740686E-2</v>
          </cell>
        </row>
        <row r="1943">
          <cell r="G1943">
            <v>3.0902777777778168E-3</v>
          </cell>
        </row>
        <row r="1944">
          <cell r="G1944">
            <v>1.0902777777777706E-2</v>
          </cell>
        </row>
        <row r="1945">
          <cell r="G1945">
            <v>1.3877314814814912E-2</v>
          </cell>
        </row>
        <row r="1946">
          <cell r="G1946">
            <v>8.506944444444331E-3</v>
          </cell>
        </row>
        <row r="1947">
          <cell r="G1947">
            <v>1.678240740740744E-3</v>
          </cell>
        </row>
        <row r="1948">
          <cell r="G1948">
            <v>9.1435185185184675E-4</v>
          </cell>
        </row>
        <row r="1949">
          <cell r="G1949">
            <v>1.5821759259259327E-2</v>
          </cell>
        </row>
        <row r="1950">
          <cell r="G1950">
            <v>1.7361111111111049E-2</v>
          </cell>
        </row>
        <row r="1951">
          <cell r="G1951">
            <v>1.6689814814814796E-2</v>
          </cell>
        </row>
        <row r="1952">
          <cell r="G1952">
            <v>1.6620370370370341E-2</v>
          </cell>
        </row>
        <row r="1953">
          <cell r="G1953">
            <v>8.8888888888888351E-3</v>
          </cell>
        </row>
        <row r="1954">
          <cell r="G1954">
            <v>1.3333333333333308E-2</v>
          </cell>
        </row>
        <row r="1955">
          <cell r="G1955">
            <v>7.4537037037036846E-3</v>
          </cell>
        </row>
        <row r="1956">
          <cell r="G1956">
            <v>3.8425925925924531E-3</v>
          </cell>
        </row>
        <row r="1957">
          <cell r="G1957">
            <v>5.9953703703703454E-3</v>
          </cell>
        </row>
        <row r="1958">
          <cell r="G1958">
            <v>4.4328703703703232E-3</v>
          </cell>
        </row>
        <row r="1959">
          <cell r="G1959">
            <v>3.2291666666667274E-3</v>
          </cell>
        </row>
        <row r="1960">
          <cell r="G1960">
            <v>1.2384259259258235E-3</v>
          </cell>
        </row>
        <row r="1961">
          <cell r="G1961">
            <v>2.8587962962962621E-3</v>
          </cell>
        </row>
        <row r="1962">
          <cell r="G1962">
            <v>1.4930555555556779E-3</v>
          </cell>
        </row>
        <row r="1963">
          <cell r="G1963">
            <v>1.8171296296295436E-3</v>
          </cell>
        </row>
        <row r="1964">
          <cell r="G1964">
            <v>9.5023148148147829E-3</v>
          </cell>
        </row>
        <row r="1965">
          <cell r="G1965">
            <v>1.1574074074073293E-3</v>
          </cell>
        </row>
        <row r="1966">
          <cell r="G1966">
            <v>1.0972222222222161E-2</v>
          </cell>
        </row>
        <row r="1967">
          <cell r="G1967">
            <v>1.0335648148148135E-2</v>
          </cell>
        </row>
        <row r="1968">
          <cell r="G1968">
            <v>1.1979166666666652E-2</v>
          </cell>
        </row>
        <row r="1969">
          <cell r="G1969">
            <v>1.1087962962962994E-2</v>
          </cell>
        </row>
        <row r="1970">
          <cell r="G1970">
            <v>9.6064814814814659E-3</v>
          </cell>
        </row>
        <row r="1971">
          <cell r="G1971">
            <v>5.5671296296295747E-3</v>
          </cell>
        </row>
        <row r="1972">
          <cell r="G1972">
            <v>7.9861111111110272E-3</v>
          </cell>
        </row>
        <row r="1973">
          <cell r="G1973">
            <v>2.0023148148147207E-3</v>
          </cell>
        </row>
        <row r="1974">
          <cell r="G1974">
            <v>8.2870370370370372E-3</v>
          </cell>
        </row>
        <row r="1975">
          <cell r="G1975">
            <v>3.8842592592592595E-2</v>
          </cell>
        </row>
        <row r="1976">
          <cell r="G1976">
            <v>3.340277777777767E-2</v>
          </cell>
        </row>
        <row r="1977">
          <cell r="G1977">
            <v>3.2199074074074074E-2</v>
          </cell>
        </row>
        <row r="1978">
          <cell r="G1978">
            <v>1.1319444444444438E-2</v>
          </cell>
        </row>
        <row r="1979">
          <cell r="G1979">
            <v>2.0532407407407471E-2</v>
          </cell>
        </row>
        <row r="1980">
          <cell r="G1980">
            <v>2.0370370370370261E-2</v>
          </cell>
        </row>
        <row r="1981">
          <cell r="G1981">
            <v>5.439814814814814E-3</v>
          </cell>
        </row>
        <row r="1982">
          <cell r="G1982">
            <v>1.8425925925925957E-2</v>
          </cell>
        </row>
        <row r="1983">
          <cell r="G1983">
            <v>1.4849537037037175E-2</v>
          </cell>
        </row>
        <row r="1984">
          <cell r="G1984">
            <v>1.5497685185185239E-2</v>
          </cell>
        </row>
        <row r="1985">
          <cell r="G1985">
            <v>9.8842592592592871E-3</v>
          </cell>
        </row>
        <row r="1986">
          <cell r="G1986">
            <v>5.7384259259259274E-2</v>
          </cell>
        </row>
        <row r="1987">
          <cell r="G1987">
            <v>1.9247685185185104E-2</v>
          </cell>
        </row>
        <row r="1988">
          <cell r="G1988">
            <v>1.5810185185185233E-2</v>
          </cell>
        </row>
        <row r="1989">
          <cell r="G1989">
            <v>1.0277777777777719E-2</v>
          </cell>
        </row>
        <row r="1990">
          <cell r="G1990">
            <v>6.4699074074074381E-3</v>
          </cell>
        </row>
        <row r="1991">
          <cell r="G1991">
            <v>4.5995370370370325E-2</v>
          </cell>
        </row>
        <row r="1992">
          <cell r="G1992">
            <v>3.4108796296296262E-2</v>
          </cell>
        </row>
        <row r="1993">
          <cell r="G1993">
            <v>3.9120370370369639E-3</v>
          </cell>
        </row>
        <row r="1994">
          <cell r="G1994">
            <v>1.0995370370370794E-3</v>
          </cell>
        </row>
        <row r="1995">
          <cell r="G1995">
            <v>2.8969907407407403E-2</v>
          </cell>
        </row>
        <row r="1996">
          <cell r="G1996">
            <v>2.6458333333333361E-2</v>
          </cell>
        </row>
        <row r="1997">
          <cell r="G1997">
            <v>1.6747685185185157E-2</v>
          </cell>
        </row>
        <row r="1998">
          <cell r="G1998">
            <v>1.4953703703703691E-2</v>
          </cell>
        </row>
        <row r="1999">
          <cell r="G1999">
            <v>2.1967592592592566E-2</v>
          </cell>
        </row>
        <row r="2000">
          <cell r="G2000">
            <v>2.0810185185185182E-2</v>
          </cell>
        </row>
        <row r="2001">
          <cell r="G2001">
            <v>1.6354166666666614E-2</v>
          </cell>
        </row>
        <row r="2002">
          <cell r="G2002">
            <v>1.0671296296296262E-2</v>
          </cell>
        </row>
        <row r="2003">
          <cell r="G2003">
            <v>6.5624999999999711E-3</v>
          </cell>
        </row>
        <row r="2004">
          <cell r="G2004">
            <v>8.5648148148148584E-4</v>
          </cell>
        </row>
        <row r="2005">
          <cell r="G2005">
            <v>1.9456018518518525E-2</v>
          </cell>
        </row>
        <row r="2006">
          <cell r="G2006">
            <v>1.4594907407407431E-2</v>
          </cell>
        </row>
        <row r="2007">
          <cell r="G2007">
            <v>1.4212962962962983E-2</v>
          </cell>
        </row>
        <row r="2008">
          <cell r="G2008">
            <v>1.2523148148148144E-2</v>
          </cell>
        </row>
        <row r="2009">
          <cell r="G2009">
            <v>1.0902777777777761E-2</v>
          </cell>
        </row>
        <row r="2010">
          <cell r="G2010">
            <v>9.0972222222222565E-3</v>
          </cell>
        </row>
        <row r="2011">
          <cell r="G2011">
            <v>7.8356481481480778E-3</v>
          </cell>
        </row>
        <row r="2012">
          <cell r="G2012">
            <v>6.8981481481480977E-3</v>
          </cell>
        </row>
        <row r="2013">
          <cell r="G2013">
            <v>4.745370370370372E-3</v>
          </cell>
        </row>
        <row r="2014">
          <cell r="G2014">
            <v>2.4884259259259633E-3</v>
          </cell>
        </row>
        <row r="2015">
          <cell r="G2015">
            <v>1.1817129629629664E-2</v>
          </cell>
        </row>
        <row r="2016">
          <cell r="G2016">
            <v>3.7500000000000311E-3</v>
          </cell>
        </row>
        <row r="2017">
          <cell r="G2017">
            <v>2.5462962962963243E-4</v>
          </cell>
        </row>
        <row r="2018">
          <cell r="G2018">
            <v>7.7546296296299166E-4</v>
          </cell>
        </row>
        <row r="2019">
          <cell r="G2019">
            <v>6.0532407407406508E-3</v>
          </cell>
        </row>
        <row r="2020">
          <cell r="G2020">
            <v>1.063657407407409E-2</v>
          </cell>
        </row>
        <row r="2021">
          <cell r="G2021">
            <v>1.6446759259259203E-2</v>
          </cell>
        </row>
        <row r="2022">
          <cell r="G2022">
            <v>1.9675925925932702E-4</v>
          </cell>
        </row>
        <row r="2023">
          <cell r="G2023">
            <v>1.0092592592592597E-2</v>
          </cell>
        </row>
        <row r="2024">
          <cell r="G2024">
            <v>6.4351851851851549E-3</v>
          </cell>
        </row>
        <row r="2025">
          <cell r="G2025">
            <v>4.6296296296299833E-4</v>
          </cell>
        </row>
        <row r="2026">
          <cell r="G2026">
            <v>7.118055555555558E-3</v>
          </cell>
        </row>
        <row r="2027">
          <cell r="G2027">
            <v>5.1620370370370483E-3</v>
          </cell>
        </row>
        <row r="2028">
          <cell r="G2028">
            <v>4.0162037037037024E-3</v>
          </cell>
        </row>
        <row r="2029">
          <cell r="G2029">
            <v>9.9189814814814592E-3</v>
          </cell>
        </row>
        <row r="2030">
          <cell r="G2030">
            <v>6.921296296296342E-3</v>
          </cell>
        </row>
        <row r="2031">
          <cell r="G2031">
            <v>2.8935185185184897E-3</v>
          </cell>
        </row>
        <row r="2032">
          <cell r="G2032">
            <v>3.7037037037037035E-2</v>
          </cell>
        </row>
        <row r="2033">
          <cell r="G2033">
            <v>1.7939814814814659E-3</v>
          </cell>
        </row>
        <row r="2034">
          <cell r="G2034">
            <v>4.2824074074071516E-4</v>
          </cell>
        </row>
        <row r="2035">
          <cell r="G2035">
            <v>2.97337962962963E-2</v>
          </cell>
        </row>
        <row r="2036">
          <cell r="G2036">
            <v>2.9884259259259305E-2</v>
          </cell>
        </row>
        <row r="2037">
          <cell r="G2037">
            <v>2.3634259259259327E-2</v>
          </cell>
        </row>
        <row r="2038">
          <cell r="G2038">
            <v>1.7245370370370328E-2</v>
          </cell>
        </row>
        <row r="2039">
          <cell r="G2039">
            <v>6.331018518518583E-3</v>
          </cell>
        </row>
        <row r="2040">
          <cell r="G2040">
            <v>5.335648148148131E-3</v>
          </cell>
        </row>
        <row r="2041">
          <cell r="G2041">
            <v>6.5972222222221433E-4</v>
          </cell>
        </row>
        <row r="2042">
          <cell r="G2042">
            <v>2.1331018518518485E-2</v>
          </cell>
        </row>
        <row r="2043">
          <cell r="G2043">
            <v>1.4027777777777861E-2</v>
          </cell>
        </row>
        <row r="2044">
          <cell r="G2044">
            <v>5.9027777777775903E-4</v>
          </cell>
        </row>
        <row r="2045">
          <cell r="G2045">
            <v>3.4722222222216548E-4</v>
          </cell>
        </row>
        <row r="2046">
          <cell r="G2046">
            <v>5.9027777777775903E-4</v>
          </cell>
        </row>
        <row r="2047">
          <cell r="G2047">
            <v>1.4039351851851789E-2</v>
          </cell>
        </row>
        <row r="2048">
          <cell r="G2048">
            <v>8.5300925925925197E-3</v>
          </cell>
        </row>
        <row r="2049">
          <cell r="G2049">
            <v>1.3541666666666563E-3</v>
          </cell>
        </row>
        <row r="2050">
          <cell r="G2050">
            <v>6.9328703703703809E-3</v>
          </cell>
        </row>
        <row r="2051">
          <cell r="G2051">
            <v>1.693287037037039E-2</v>
          </cell>
        </row>
        <row r="2052">
          <cell r="G2052">
            <v>3.9351851851852082E-3</v>
          </cell>
        </row>
        <row r="2053">
          <cell r="G2053">
            <v>6.4814814814806443E-4</v>
          </cell>
        </row>
        <row r="2054">
          <cell r="G2054">
            <v>1.0509259259259274E-2</v>
          </cell>
        </row>
        <row r="2055">
          <cell r="G2055">
            <v>5.2662037037036757E-3</v>
          </cell>
        </row>
        <row r="2056">
          <cell r="G2056">
            <v>3.7037037037035425E-4</v>
          </cell>
        </row>
        <row r="2057">
          <cell r="G2057">
            <v>3.8194444444439313E-4</v>
          </cell>
        </row>
        <row r="2058">
          <cell r="G2058">
            <v>7.3032407407407351E-3</v>
          </cell>
        </row>
        <row r="2059">
          <cell r="G2059">
            <v>1.2534722222222183E-2</v>
          </cell>
        </row>
        <row r="2060">
          <cell r="G2060">
            <v>9.8495370370369484E-3</v>
          </cell>
        </row>
        <row r="2061">
          <cell r="G2061">
            <v>5.4976851851852304E-3</v>
          </cell>
        </row>
        <row r="2062">
          <cell r="G2062">
            <v>7.8356481481480778E-3</v>
          </cell>
        </row>
        <row r="2063">
          <cell r="G2063">
            <v>6.7708333333333925E-3</v>
          </cell>
        </row>
        <row r="2064">
          <cell r="G2064">
            <v>3.7384259259259922E-3</v>
          </cell>
        </row>
        <row r="2065">
          <cell r="G2065">
            <v>1.8750000000000711E-3</v>
          </cell>
        </row>
        <row r="2066">
          <cell r="G2066">
            <v>9.7222222222226318E-4</v>
          </cell>
        </row>
        <row r="2067">
          <cell r="G2067">
            <v>1.1111111111110628E-3</v>
          </cell>
        </row>
        <row r="2068">
          <cell r="G2068">
            <v>1.8113425925925908E-2</v>
          </cell>
        </row>
        <row r="2069">
          <cell r="G2069">
            <v>1.1944444444444535E-2</v>
          </cell>
        </row>
        <row r="2070">
          <cell r="G2070">
            <v>1.481481481481528E-3</v>
          </cell>
        </row>
        <row r="2071">
          <cell r="G2071">
            <v>1.1111111111111072E-2</v>
          </cell>
        </row>
        <row r="2072">
          <cell r="G2072">
            <v>4.2013888888888795E-3</v>
          </cell>
        </row>
        <row r="2073">
          <cell r="G2073">
            <v>3.7962962962962976E-3</v>
          </cell>
        </row>
        <row r="2074">
          <cell r="G2074">
            <v>3.5879629629631538E-4</v>
          </cell>
        </row>
        <row r="2075">
          <cell r="G2075">
            <v>1.6898148148148939E-3</v>
          </cell>
        </row>
        <row r="2076">
          <cell r="G2076">
            <v>2.605324074074078E-2</v>
          </cell>
        </row>
        <row r="2077">
          <cell r="G2077">
            <v>3.1400462962962838E-2</v>
          </cell>
        </row>
        <row r="2078">
          <cell r="G2078">
            <v>5.7523148148148073E-3</v>
          </cell>
        </row>
        <row r="2079">
          <cell r="G2079">
            <v>4.5254629629629672E-3</v>
          </cell>
        </row>
        <row r="2080">
          <cell r="G2080">
            <v>7.6388888888889728E-4</v>
          </cell>
        </row>
        <row r="2081">
          <cell r="G2081">
            <v>7.4074074074076401E-4</v>
          </cell>
        </row>
        <row r="2082">
          <cell r="G2082">
            <v>1.6898148148147829E-3</v>
          </cell>
        </row>
        <row r="2083">
          <cell r="G2083">
            <v>1.0416666666667185E-3</v>
          </cell>
        </row>
        <row r="2084">
          <cell r="G2084">
            <v>1.2152777777778012E-3</v>
          </cell>
        </row>
        <row r="2085">
          <cell r="G2085">
            <v>1.5173611111111152E-2</v>
          </cell>
        </row>
        <row r="2086">
          <cell r="G2086">
            <v>7.0023148148147807E-3</v>
          </cell>
        </row>
        <row r="2087">
          <cell r="G2087">
            <v>1.7986111111111092E-2</v>
          </cell>
        </row>
        <row r="2088">
          <cell r="G2088">
            <v>9.3055555555555114E-3</v>
          </cell>
        </row>
        <row r="2089">
          <cell r="G2089">
            <v>7.1527777777777302E-3</v>
          </cell>
        </row>
        <row r="2090">
          <cell r="G2090">
            <v>7.0370370370370638E-3</v>
          </cell>
        </row>
        <row r="2091">
          <cell r="G2091">
            <v>1.6956018518518523E-2</v>
          </cell>
        </row>
        <row r="2092">
          <cell r="G2092">
            <v>7.8125E-3</v>
          </cell>
        </row>
        <row r="2093">
          <cell r="G2093">
            <v>7.615740740740784E-3</v>
          </cell>
        </row>
        <row r="2094">
          <cell r="G2094">
            <v>1.8668981481481439E-2</v>
          </cell>
        </row>
        <row r="2095">
          <cell r="G2095">
            <v>1.388888888888884E-3</v>
          </cell>
        </row>
        <row r="2096">
          <cell r="G2096">
            <v>1.8287037037036935E-3</v>
          </cell>
        </row>
        <row r="2097">
          <cell r="G2097">
            <v>2.0023148148148873E-3</v>
          </cell>
        </row>
        <row r="2098">
          <cell r="G2098">
            <v>7.2916666666666963E-3</v>
          </cell>
        </row>
        <row r="2099">
          <cell r="G2099">
            <v>5.7870370370369795E-3</v>
          </cell>
        </row>
        <row r="2100">
          <cell r="G2100">
            <v>2.3611111111110916E-3</v>
          </cell>
        </row>
        <row r="2101">
          <cell r="G2101">
            <v>9.5023148148147829E-3</v>
          </cell>
        </row>
        <row r="2102">
          <cell r="G2102">
            <v>3.3333333333333548E-3</v>
          </cell>
        </row>
        <row r="2103">
          <cell r="G2103">
            <v>1.5949074074074032E-2</v>
          </cell>
        </row>
        <row r="2104">
          <cell r="G2104">
            <v>1.1898148148148158E-2</v>
          </cell>
        </row>
        <row r="2105">
          <cell r="G2105">
            <v>9.8842592592592315E-3</v>
          </cell>
        </row>
        <row r="2106">
          <cell r="G2106">
            <v>3.9120370370370749E-3</v>
          </cell>
        </row>
        <row r="2107">
          <cell r="G2107">
            <v>7.1053240740740764E-2</v>
          </cell>
        </row>
        <row r="2108">
          <cell r="G2108">
            <v>5.8831018518518463E-2</v>
          </cell>
        </row>
        <row r="2109">
          <cell r="G2109">
            <v>5.5231481481481493E-2</v>
          </cell>
        </row>
        <row r="2110">
          <cell r="G2110">
            <v>5.1851851851851816E-3</v>
          </cell>
        </row>
        <row r="2111">
          <cell r="G2111">
            <v>5.0497685185185159E-2</v>
          </cell>
        </row>
        <row r="2112">
          <cell r="G2112">
            <v>5.2569444444444446E-2</v>
          </cell>
        </row>
        <row r="2113">
          <cell r="G2113">
            <v>4.4513888888888853E-2</v>
          </cell>
        </row>
        <row r="2114">
          <cell r="G2114">
            <v>3.5613425925925979E-2</v>
          </cell>
        </row>
        <row r="2115">
          <cell r="G2115">
            <v>3.5185185185185097E-2</v>
          </cell>
        </row>
        <row r="2116">
          <cell r="G2116">
            <v>3.5393518518518463E-2</v>
          </cell>
        </row>
        <row r="2117">
          <cell r="G2117">
            <v>3.2407407407407329E-2</v>
          </cell>
        </row>
        <row r="2118">
          <cell r="G2118">
            <v>2.6863425925925943E-2</v>
          </cell>
        </row>
        <row r="2119">
          <cell r="G2119">
            <v>2.6435185185185173E-2</v>
          </cell>
        </row>
        <row r="2120">
          <cell r="G2120">
            <v>3.1030092592592595E-2</v>
          </cell>
        </row>
        <row r="2121">
          <cell r="G2121">
            <v>1.7187500000000022E-2</v>
          </cell>
        </row>
        <row r="2122">
          <cell r="G2122">
            <v>1.5740740740740722E-2</v>
          </cell>
        </row>
        <row r="2123">
          <cell r="G2123">
            <v>2.1793981481481373E-2</v>
          </cell>
        </row>
        <row r="2124">
          <cell r="G2124">
            <v>1.4351851851851838E-2</v>
          </cell>
        </row>
        <row r="2125">
          <cell r="G2125">
            <v>1.9502314814814903E-2</v>
          </cell>
        </row>
        <row r="2126">
          <cell r="G2126">
            <v>8.0208333333333659E-3</v>
          </cell>
        </row>
        <row r="2127">
          <cell r="G2127">
            <v>6.3657407407408106E-3</v>
          </cell>
        </row>
        <row r="2128">
          <cell r="G2128">
            <v>1.6273148148148175E-2</v>
          </cell>
        </row>
        <row r="2129">
          <cell r="G2129">
            <v>7.8703703703697503E-4</v>
          </cell>
        </row>
        <row r="2130">
          <cell r="G2130">
            <v>3.1249999999993783E-4</v>
          </cell>
        </row>
        <row r="2131">
          <cell r="G2131">
            <v>2.9363425925926001E-2</v>
          </cell>
        </row>
        <row r="2132">
          <cell r="G2132">
            <v>2.4363425925925997E-2</v>
          </cell>
        </row>
        <row r="2133">
          <cell r="G2133">
            <v>1.4988425925925863E-2</v>
          </cell>
        </row>
        <row r="2134">
          <cell r="G2134">
            <v>2.229166666666671E-2</v>
          </cell>
        </row>
        <row r="2135">
          <cell r="G2135">
            <v>1.0578703703703729E-2</v>
          </cell>
        </row>
        <row r="2136">
          <cell r="G2136">
            <v>8.796296296296191E-3</v>
          </cell>
        </row>
        <row r="2137">
          <cell r="G2137">
            <v>1.8576388888888795E-2</v>
          </cell>
        </row>
        <row r="2138">
          <cell r="G2138">
            <v>2.3460648148148078E-2</v>
          </cell>
        </row>
        <row r="2139">
          <cell r="G2139">
            <v>8.8310185185185297E-3</v>
          </cell>
        </row>
        <row r="2140">
          <cell r="G2140">
            <v>1.9907407407407374E-2</v>
          </cell>
        </row>
        <row r="2141">
          <cell r="G2141">
            <v>1.4409722222222254E-2</v>
          </cell>
        </row>
        <row r="2142">
          <cell r="G2142">
            <v>9.9537037037045195E-4</v>
          </cell>
        </row>
        <row r="2143">
          <cell r="G2143">
            <v>2.9780092592592622E-2</v>
          </cell>
        </row>
        <row r="2144">
          <cell r="G2144">
            <v>1.7662037037037059E-2</v>
          </cell>
        </row>
        <row r="2145">
          <cell r="G2145">
            <v>2.7847222222222245E-2</v>
          </cell>
        </row>
        <row r="2146">
          <cell r="G2146">
            <v>1.432870370370376E-2</v>
          </cell>
        </row>
        <row r="2147">
          <cell r="G2147">
            <v>1.230324074074074E-2</v>
          </cell>
        </row>
        <row r="2148">
          <cell r="G2148">
            <v>1.5023148148148202E-2</v>
          </cell>
        </row>
        <row r="2149">
          <cell r="G2149">
            <v>1.6423611111111125E-2</v>
          </cell>
        </row>
        <row r="2150">
          <cell r="G2150">
            <v>4.3379629629629601E-2</v>
          </cell>
        </row>
        <row r="2151">
          <cell r="G2151">
            <v>1.6203703703704386E-3</v>
          </cell>
        </row>
        <row r="2152">
          <cell r="G2152">
            <v>3.7291666666666723E-2</v>
          </cell>
        </row>
        <row r="2153">
          <cell r="G2153">
            <v>3.1736111111111076E-2</v>
          </cell>
        </row>
        <row r="2154">
          <cell r="G2154">
            <v>3.1354166666666683E-2</v>
          </cell>
        </row>
        <row r="2155">
          <cell r="G2155">
            <v>1.7314814814814783E-2</v>
          </cell>
        </row>
        <row r="2156">
          <cell r="G2156">
            <v>5.2835648148148118E-2</v>
          </cell>
        </row>
        <row r="2157">
          <cell r="G2157">
            <v>2.5810185185186629E-3</v>
          </cell>
        </row>
        <row r="2158">
          <cell r="G2158">
            <v>1.2314814814814889E-2</v>
          </cell>
        </row>
        <row r="2159">
          <cell r="G2159">
            <v>2.3206018518518556E-2</v>
          </cell>
        </row>
        <row r="2160">
          <cell r="G2160">
            <v>4.1666666666650976E-4</v>
          </cell>
        </row>
        <row r="2161">
          <cell r="G2161">
            <v>1.8622685185185173E-2</v>
          </cell>
        </row>
        <row r="2162">
          <cell r="G2162">
            <v>1.7233796296296289E-2</v>
          </cell>
        </row>
        <row r="2163">
          <cell r="G2163">
            <v>1.5092592592592546E-2</v>
          </cell>
        </row>
        <row r="2164">
          <cell r="G2164">
            <v>1.4513888888888826E-2</v>
          </cell>
        </row>
        <row r="2165">
          <cell r="G2165">
            <v>1.2893518518518499E-2</v>
          </cell>
        </row>
        <row r="2166">
          <cell r="G2166">
            <v>1.099537037037035E-2</v>
          </cell>
        </row>
        <row r="2167">
          <cell r="G2167">
            <v>2.2175925925925932E-2</v>
          </cell>
        </row>
        <row r="2168">
          <cell r="G2168">
            <v>2.177083333333335E-2</v>
          </cell>
        </row>
        <row r="2169">
          <cell r="G2169">
            <v>1.418981481481485E-2</v>
          </cell>
        </row>
        <row r="2170">
          <cell r="G2170">
            <v>1.2557870370370372E-2</v>
          </cell>
        </row>
        <row r="2171">
          <cell r="G2171">
            <v>2.523148148148191E-3</v>
          </cell>
        </row>
        <row r="2172">
          <cell r="G2172">
            <v>2.4583333333333346E-2</v>
          </cell>
        </row>
        <row r="2173">
          <cell r="G2173">
            <v>2.2002314814814794E-2</v>
          </cell>
        </row>
        <row r="2174">
          <cell r="G2174">
            <v>1.9490740740740753E-2</v>
          </cell>
        </row>
        <row r="2175">
          <cell r="G2175">
            <v>1.1608796296296298E-2</v>
          </cell>
        </row>
        <row r="2176">
          <cell r="G2176">
            <v>1.1099537037037033E-2</v>
          </cell>
        </row>
        <row r="2177">
          <cell r="G2177">
            <v>1.6689814814814852E-2</v>
          </cell>
        </row>
        <row r="2178">
          <cell r="G2178">
            <v>1.8171296296295991E-3</v>
          </cell>
        </row>
        <row r="2179">
          <cell r="G2179">
            <v>1.2523148148148144E-2</v>
          </cell>
        </row>
        <row r="2180">
          <cell r="G2180">
            <v>2.0243055555555556E-2</v>
          </cell>
        </row>
        <row r="2181">
          <cell r="G2181">
            <v>9.837962962962965E-3</v>
          </cell>
        </row>
        <row r="2182">
          <cell r="G2182">
            <v>1.347222222222233E-2</v>
          </cell>
        </row>
        <row r="2183">
          <cell r="G2183">
            <v>2.2986111111111152E-2</v>
          </cell>
        </row>
        <row r="2184">
          <cell r="G2184">
            <v>1.9212962962963376E-3</v>
          </cell>
        </row>
        <row r="2185">
          <cell r="G2185">
            <v>3.3564814814814881E-3</v>
          </cell>
        </row>
        <row r="2186">
          <cell r="G2186">
            <v>7.6388888888888618E-3</v>
          </cell>
        </row>
        <row r="2187">
          <cell r="G2187">
            <v>1.3090277777777715E-2</v>
          </cell>
        </row>
        <row r="2188">
          <cell r="G2188">
            <v>1.3680555555555474E-2</v>
          </cell>
        </row>
        <row r="2189">
          <cell r="G2189">
            <v>4.8032407407407884E-3</v>
          </cell>
        </row>
        <row r="2190">
          <cell r="G2190">
            <v>4.1898148148148406E-3</v>
          </cell>
        </row>
        <row r="2191">
          <cell r="G2191">
            <v>1.027777777777783E-2</v>
          </cell>
        </row>
        <row r="2192">
          <cell r="G2192">
            <v>9.0393518518518956E-3</v>
          </cell>
        </row>
        <row r="2193">
          <cell r="G2193">
            <v>9.0740740740741233E-3</v>
          </cell>
        </row>
        <row r="2194">
          <cell r="G2194">
            <v>5.6944444444444464E-3</v>
          </cell>
        </row>
        <row r="2195">
          <cell r="G2195">
            <v>3.1018518518519667E-3</v>
          </cell>
        </row>
        <row r="2196">
          <cell r="G2196">
            <v>1.6435185185184054E-3</v>
          </cell>
        </row>
        <row r="2197">
          <cell r="G2197">
            <v>2.4768518518517579E-3</v>
          </cell>
        </row>
        <row r="2198">
          <cell r="G2198">
            <v>7.986111111110139E-4</v>
          </cell>
        </row>
        <row r="2199">
          <cell r="G2199">
            <v>1.2928240740740726E-2</v>
          </cell>
        </row>
        <row r="2200">
          <cell r="G2200">
            <v>2.2650462962962914E-2</v>
          </cell>
        </row>
        <row r="2201">
          <cell r="G2201">
            <v>4.3981481481480955E-4</v>
          </cell>
        </row>
        <row r="2202">
          <cell r="G2202">
            <v>2.9479166666666612E-2</v>
          </cell>
        </row>
        <row r="2203">
          <cell r="G2203">
            <v>4.3865740740740566E-3</v>
          </cell>
        </row>
        <row r="2204">
          <cell r="G2204">
            <v>2.5462962962974345E-4</v>
          </cell>
        </row>
        <row r="2205">
          <cell r="G2205">
            <v>8.3333333333334147E-3</v>
          </cell>
        </row>
        <row r="2206">
          <cell r="G2206">
            <v>3.5868055555555611E-2</v>
          </cell>
        </row>
        <row r="2207">
          <cell r="G2207">
            <v>3.5891203703703689E-2</v>
          </cell>
        </row>
        <row r="2208">
          <cell r="G2208">
            <v>2.6620370370378232E-4</v>
          </cell>
        </row>
        <row r="2209">
          <cell r="G2209">
            <v>1.8414351851851918E-2</v>
          </cell>
        </row>
        <row r="2210">
          <cell r="G2210">
            <v>4.7453703703692618E-4</v>
          </cell>
        </row>
        <row r="2211">
          <cell r="G2211">
            <v>3.1076388888888973E-2</v>
          </cell>
        </row>
      </sheetData>
      <sheetData sheetId="2">
        <row r="3">
          <cell r="G3">
            <v>2.5694444444444575E-3</v>
          </cell>
        </row>
        <row r="4">
          <cell r="G4">
            <v>6.2500000000004219E-4</v>
          </cell>
        </row>
        <row r="5">
          <cell r="G5">
            <v>5.8101851851852238E-3</v>
          </cell>
        </row>
        <row r="6">
          <cell r="G6">
            <v>1.2881944444444404E-2</v>
          </cell>
        </row>
        <row r="7">
          <cell r="G7">
            <v>1.4687499999999964E-2</v>
          </cell>
        </row>
        <row r="8">
          <cell r="G8">
            <v>8.2175925925925819E-4</v>
          </cell>
        </row>
        <row r="9">
          <cell r="G9">
            <v>8.3217592592592649E-3</v>
          </cell>
        </row>
        <row r="10">
          <cell r="G10">
            <v>4.3981481481480955E-4</v>
          </cell>
        </row>
        <row r="11">
          <cell r="G11">
            <v>1.6018518518518543E-2</v>
          </cell>
        </row>
        <row r="12">
          <cell r="G12">
            <v>4.6643518518518778E-3</v>
          </cell>
        </row>
        <row r="13">
          <cell r="G13">
            <v>6.3657407407406996E-3</v>
          </cell>
        </row>
        <row r="14">
          <cell r="G14">
            <v>5.833333333333246E-3</v>
          </cell>
        </row>
        <row r="15">
          <cell r="G15">
            <v>6.9328703703703809E-3</v>
          </cell>
        </row>
        <row r="16">
          <cell r="G16">
            <v>1.3055555555555598E-2</v>
          </cell>
        </row>
        <row r="17">
          <cell r="G17">
            <v>2.1990740740740478E-4</v>
          </cell>
        </row>
        <row r="18">
          <cell r="G18">
            <v>6.8981481481480977E-3</v>
          </cell>
        </row>
        <row r="19">
          <cell r="G19">
            <v>1.1238425925925943E-2</v>
          </cell>
        </row>
        <row r="20">
          <cell r="G20">
            <v>1.0104166666666581E-2</v>
          </cell>
        </row>
        <row r="21">
          <cell r="G21">
            <v>5.0925925925926485E-4</v>
          </cell>
        </row>
        <row r="22">
          <cell r="G22">
            <v>1.96759259259216E-4</v>
          </cell>
        </row>
        <row r="23">
          <cell r="G23">
            <v>1.4016203703703711E-2</v>
          </cell>
        </row>
        <row r="24">
          <cell r="G24">
            <v>1.6898148148147829E-3</v>
          </cell>
        </row>
        <row r="25">
          <cell r="G25">
            <v>1.2673611111111094E-2</v>
          </cell>
        </row>
        <row r="26">
          <cell r="G26">
            <v>1.2569444444444411E-2</v>
          </cell>
        </row>
        <row r="27">
          <cell r="G27">
            <v>1.0324074074074097E-2</v>
          </cell>
        </row>
        <row r="28">
          <cell r="G28">
            <v>1.012731481481477E-2</v>
          </cell>
        </row>
        <row r="29">
          <cell r="G29">
            <v>4.2361111111111072E-3</v>
          </cell>
        </row>
        <row r="30">
          <cell r="G30">
            <v>1.0520833333333313E-2</v>
          </cell>
        </row>
        <row r="31">
          <cell r="G31">
            <v>9.201388888888884E-3</v>
          </cell>
        </row>
        <row r="32">
          <cell r="G32">
            <v>8.8657407407406463E-3</v>
          </cell>
        </row>
        <row r="33">
          <cell r="G33">
            <v>5.4629629629628917E-3</v>
          </cell>
        </row>
        <row r="34">
          <cell r="G34">
            <v>1.1759259259259247E-2</v>
          </cell>
        </row>
        <row r="35">
          <cell r="G35">
            <v>1.8125000000000058E-2</v>
          </cell>
        </row>
        <row r="36">
          <cell r="G36">
            <v>4.7222222222222943E-3</v>
          </cell>
        </row>
        <row r="37">
          <cell r="G37">
            <v>8.1481481481482376E-3</v>
          </cell>
        </row>
        <row r="38">
          <cell r="G38">
            <v>5.1504629629629539E-3</v>
          </cell>
        </row>
        <row r="39">
          <cell r="G39">
            <v>6.7824074074074314E-3</v>
          </cell>
        </row>
        <row r="40">
          <cell r="G40">
            <v>2.0833333333332149E-3</v>
          </cell>
        </row>
        <row r="41">
          <cell r="G41">
            <v>9.9189814814814037E-3</v>
          </cell>
        </row>
        <row r="42">
          <cell r="G42">
            <v>7.4884259259258013E-3</v>
          </cell>
        </row>
        <row r="43">
          <cell r="G43">
            <v>9.9537037037036313E-3</v>
          </cell>
        </row>
        <row r="44">
          <cell r="G44">
            <v>6.9444444444444198E-4</v>
          </cell>
        </row>
        <row r="45">
          <cell r="G45">
            <v>8.9236111111111738E-3</v>
          </cell>
        </row>
        <row r="46">
          <cell r="G46">
            <v>1.1030092592592577E-2</v>
          </cell>
        </row>
        <row r="47">
          <cell r="G47">
            <v>1.6053240740740771E-2</v>
          </cell>
        </row>
        <row r="48">
          <cell r="G48">
            <v>7.6851851851851283E-3</v>
          </cell>
        </row>
        <row r="49">
          <cell r="G49">
            <v>9.2592592592591894E-3</v>
          </cell>
        </row>
        <row r="50">
          <cell r="G50">
            <v>1.184027777777763E-2</v>
          </cell>
        </row>
        <row r="51">
          <cell r="G51">
            <v>1.0960648148148122E-2</v>
          </cell>
        </row>
        <row r="52">
          <cell r="G52">
            <v>9.8495370370369484E-3</v>
          </cell>
        </row>
        <row r="53">
          <cell r="G53">
            <v>1.1064814814814805E-2</v>
          </cell>
        </row>
        <row r="54">
          <cell r="G54">
            <v>1.8611111111111245E-2</v>
          </cell>
        </row>
        <row r="55">
          <cell r="G55">
            <v>5.335648148148131E-3</v>
          </cell>
        </row>
        <row r="56">
          <cell r="G56">
            <v>2.402777777777787E-2</v>
          </cell>
        </row>
        <row r="57">
          <cell r="G57">
            <v>1.924768518518527E-2</v>
          </cell>
        </row>
        <row r="58">
          <cell r="G58">
            <v>1.5879629629629743E-2</v>
          </cell>
        </row>
        <row r="59">
          <cell r="G59">
            <v>1.4513888888888937E-2</v>
          </cell>
        </row>
        <row r="60">
          <cell r="G60">
            <v>4.6064814814815724E-3</v>
          </cell>
        </row>
        <row r="61">
          <cell r="G61">
            <v>1.2199074074073946E-2</v>
          </cell>
        </row>
        <row r="62">
          <cell r="G62">
            <v>5.3819444444444531E-3</v>
          </cell>
        </row>
        <row r="63">
          <cell r="G63">
            <v>3.7268518518518423E-3</v>
          </cell>
        </row>
        <row r="64">
          <cell r="G64">
            <v>2.870370370370412E-3</v>
          </cell>
        </row>
        <row r="65">
          <cell r="G65">
            <v>2.8229166666666694E-2</v>
          </cell>
        </row>
        <row r="66">
          <cell r="G66">
            <v>1.9675925925927151E-4</v>
          </cell>
        </row>
        <row r="67">
          <cell r="G67">
            <v>8.796296296296191E-4</v>
          </cell>
        </row>
        <row r="68">
          <cell r="G68">
            <v>2.7604166666666652E-2</v>
          </cell>
        </row>
        <row r="69">
          <cell r="G69">
            <v>3.2060185185185386E-3</v>
          </cell>
        </row>
        <row r="70">
          <cell r="G70">
            <v>2.7222222222222203E-2</v>
          </cell>
        </row>
        <row r="71">
          <cell r="G71">
            <v>1.4143518518518583E-2</v>
          </cell>
        </row>
        <row r="72">
          <cell r="G72">
            <v>2.0925925925925903E-2</v>
          </cell>
        </row>
        <row r="73">
          <cell r="G73">
            <v>1.9270833333333348E-2</v>
          </cell>
        </row>
        <row r="74">
          <cell r="G74">
            <v>1.5844907407407405E-2</v>
          </cell>
        </row>
        <row r="75">
          <cell r="G75">
            <v>1.6840277777777801E-2</v>
          </cell>
        </row>
        <row r="76">
          <cell r="G76">
            <v>4.3287037037037512E-3</v>
          </cell>
        </row>
        <row r="77">
          <cell r="G77">
            <v>4.0162037037037024E-3</v>
          </cell>
        </row>
        <row r="78">
          <cell r="G78">
            <v>5.9606481481481732E-3</v>
          </cell>
        </row>
        <row r="79">
          <cell r="G79">
            <v>1.3298611111111081E-2</v>
          </cell>
        </row>
        <row r="80">
          <cell r="G80">
            <v>3.1365740740740666E-2</v>
          </cell>
        </row>
        <row r="81">
          <cell r="G81">
            <v>9.5486111111111605E-3</v>
          </cell>
        </row>
        <row r="82">
          <cell r="G82">
            <v>1.9745370370370441E-2</v>
          </cell>
        </row>
        <row r="83">
          <cell r="G83">
            <v>2.3148148148149916E-4</v>
          </cell>
        </row>
        <row r="84">
          <cell r="G84">
            <v>1.447916666666671E-2</v>
          </cell>
        </row>
        <row r="85">
          <cell r="G85">
            <v>8.4953703703704031E-3</v>
          </cell>
        </row>
        <row r="86">
          <cell r="G86">
            <v>2.4895833333333339E-2</v>
          </cell>
        </row>
        <row r="87">
          <cell r="G87">
            <v>1.0648148148147962E-3</v>
          </cell>
        </row>
        <row r="88">
          <cell r="G88">
            <v>1.7939814814814881E-2</v>
          </cell>
        </row>
        <row r="89">
          <cell r="G89">
            <v>1.2037037037037068E-2</v>
          </cell>
        </row>
        <row r="90">
          <cell r="G90">
            <v>5.4282407407407751E-3</v>
          </cell>
        </row>
        <row r="91">
          <cell r="G91">
            <v>2.372685185185186E-3</v>
          </cell>
        </row>
        <row r="92">
          <cell r="G92">
            <v>1.273148148147607E-4</v>
          </cell>
        </row>
        <row r="93">
          <cell r="G93">
            <v>3.0092592592589895E-4</v>
          </cell>
        </row>
        <row r="94">
          <cell r="G94">
            <v>1.1678240740740753E-2</v>
          </cell>
        </row>
        <row r="95">
          <cell r="G95">
            <v>7.7546296296293615E-4</v>
          </cell>
        </row>
        <row r="96">
          <cell r="G96">
            <v>9.5254629629629717E-3</v>
          </cell>
        </row>
        <row r="97">
          <cell r="G97">
            <v>1.8287037037036935E-3</v>
          </cell>
        </row>
        <row r="98">
          <cell r="G98">
            <v>1.0300925925925686E-3</v>
          </cell>
        </row>
        <row r="99">
          <cell r="G99">
            <v>5.335648148148131E-3</v>
          </cell>
        </row>
        <row r="100">
          <cell r="G100">
            <v>6.9791666666665364E-3</v>
          </cell>
        </row>
        <row r="101">
          <cell r="G101">
            <v>1.4351851851851727E-2</v>
          </cell>
        </row>
        <row r="102">
          <cell r="G102">
            <v>1.3680555555555585E-2</v>
          </cell>
        </row>
        <row r="103">
          <cell r="G103">
            <v>1.0995370370370239E-3</v>
          </cell>
        </row>
        <row r="104">
          <cell r="G104">
            <v>2.8935185185174905E-4</v>
          </cell>
        </row>
        <row r="105">
          <cell r="G105">
            <v>1.1747685185185208E-2</v>
          </cell>
        </row>
        <row r="106">
          <cell r="G106">
            <v>4.5717592592592338E-3</v>
          </cell>
        </row>
        <row r="107">
          <cell r="G107">
            <v>6.9444444444444198E-4</v>
          </cell>
        </row>
        <row r="108">
          <cell r="G108">
            <v>9.3750000000003553E-4</v>
          </cell>
        </row>
        <row r="109">
          <cell r="G109">
            <v>3.1249999999993783E-4</v>
          </cell>
        </row>
        <row r="110">
          <cell r="G110">
            <v>2.2650462962963025E-2</v>
          </cell>
        </row>
        <row r="111">
          <cell r="G111">
            <v>6.0185185185190893E-4</v>
          </cell>
        </row>
        <row r="112">
          <cell r="G112">
            <v>1.6319444444444775E-3</v>
          </cell>
        </row>
        <row r="113">
          <cell r="G113">
            <v>2.9745370370370949E-3</v>
          </cell>
        </row>
        <row r="114">
          <cell r="G114">
            <v>1.331018518518523E-3</v>
          </cell>
        </row>
        <row r="115">
          <cell r="G115">
            <v>1.25231481481482E-2</v>
          </cell>
        </row>
        <row r="116">
          <cell r="G116">
            <v>8.1365740740740877E-3</v>
          </cell>
        </row>
        <row r="117">
          <cell r="G117">
            <v>2.1296296296295925E-3</v>
          </cell>
        </row>
        <row r="118">
          <cell r="G118">
            <v>2.5462962962968794E-4</v>
          </cell>
        </row>
        <row r="119">
          <cell r="G119">
            <v>4.548611111111156E-3</v>
          </cell>
        </row>
        <row r="120">
          <cell r="G120">
            <v>1.9675925925927151E-4</v>
          </cell>
        </row>
        <row r="121">
          <cell r="G121">
            <v>1.2268518518517846E-3</v>
          </cell>
        </row>
        <row r="122">
          <cell r="G122">
            <v>2.777777777778212E-4</v>
          </cell>
        </row>
        <row r="123">
          <cell r="G123">
            <v>3.6805555555555758E-3</v>
          </cell>
        </row>
        <row r="124">
          <cell r="G124">
            <v>1.4583333333333393E-3</v>
          </cell>
        </row>
        <row r="125">
          <cell r="G125">
            <v>2.3148148148155467E-4</v>
          </cell>
        </row>
        <row r="126">
          <cell r="G126">
            <v>8.91203703703769E-4</v>
          </cell>
        </row>
        <row r="127">
          <cell r="G127">
            <v>1.0532407407406463E-3</v>
          </cell>
        </row>
        <row r="128">
          <cell r="G128">
            <v>1.1111111111110628E-3</v>
          </cell>
        </row>
        <row r="129">
          <cell r="G129">
            <v>3.6226851851852704E-3</v>
          </cell>
        </row>
        <row r="130">
          <cell r="G130">
            <v>3.1597222222222721E-3</v>
          </cell>
        </row>
        <row r="131">
          <cell r="G131">
            <v>3.9236111111111693E-3</v>
          </cell>
        </row>
        <row r="132">
          <cell r="G132">
            <v>1.6226851851851798E-2</v>
          </cell>
        </row>
        <row r="133">
          <cell r="G133">
            <v>1.96759259259216E-4</v>
          </cell>
        </row>
        <row r="134">
          <cell r="G134">
            <v>3.3564814814814881E-3</v>
          </cell>
        </row>
        <row r="135">
          <cell r="G135">
            <v>2.6620370370378232E-4</v>
          </cell>
        </row>
        <row r="136">
          <cell r="G136">
            <v>5.4745370370370416E-3</v>
          </cell>
        </row>
        <row r="137">
          <cell r="G137">
            <v>8.6805555555555802E-3</v>
          </cell>
        </row>
        <row r="138">
          <cell r="G138">
            <v>1.8402777777778434E-3</v>
          </cell>
        </row>
        <row r="139">
          <cell r="G139">
            <v>5.9259259259260011E-3</v>
          </cell>
        </row>
        <row r="140">
          <cell r="G140">
            <v>5.7870370370372015E-4</v>
          </cell>
        </row>
        <row r="141">
          <cell r="G141">
            <v>1.3495370370370297E-2</v>
          </cell>
        </row>
        <row r="142">
          <cell r="G142">
            <v>1.4143518518518583E-2</v>
          </cell>
        </row>
        <row r="143">
          <cell r="G143">
            <v>4.8148148148148273E-3</v>
          </cell>
        </row>
        <row r="144">
          <cell r="G144">
            <v>1.2685185185185244E-2</v>
          </cell>
        </row>
        <row r="145">
          <cell r="G145">
            <v>1.3425925925925952E-2</v>
          </cell>
        </row>
        <row r="146">
          <cell r="G146">
            <v>2.6620370370378232E-4</v>
          </cell>
        </row>
        <row r="147">
          <cell r="G147">
            <v>2.6620370370378232E-4</v>
          </cell>
        </row>
        <row r="148">
          <cell r="G148">
            <v>2.1990740740740478E-4</v>
          </cell>
        </row>
        <row r="149">
          <cell r="G149">
            <v>1.3425925925926729E-3</v>
          </cell>
        </row>
        <row r="150">
          <cell r="G150">
            <v>9.9537037037034093E-4</v>
          </cell>
        </row>
        <row r="151">
          <cell r="G151">
            <v>7.5231481481480289E-4</v>
          </cell>
        </row>
        <row r="152">
          <cell r="G152">
            <v>1.0069444444444908E-3</v>
          </cell>
        </row>
        <row r="153">
          <cell r="G153">
            <v>4.7222222222222388E-3</v>
          </cell>
        </row>
        <row r="154">
          <cell r="G154">
            <v>1.244212962962965E-2</v>
          </cell>
        </row>
        <row r="155">
          <cell r="G155">
            <v>1.0138888888888919E-2</v>
          </cell>
        </row>
        <row r="156">
          <cell r="G156">
            <v>8.3333333333333037E-3</v>
          </cell>
        </row>
        <row r="157">
          <cell r="G157">
            <v>8.5879629629629917E-3</v>
          </cell>
        </row>
        <row r="158">
          <cell r="G158">
            <v>9.1435185185190226E-4</v>
          </cell>
        </row>
        <row r="159">
          <cell r="G159">
            <v>9.490740740740744E-4</v>
          </cell>
        </row>
        <row r="160">
          <cell r="G160">
            <v>4.3518518518518845E-3</v>
          </cell>
        </row>
        <row r="161">
          <cell r="G161">
            <v>4.745370370370372E-4</v>
          </cell>
        </row>
        <row r="162">
          <cell r="G162">
            <v>2.2453703703703698E-3</v>
          </cell>
        </row>
        <row r="163">
          <cell r="G163">
            <v>1.5393518518518334E-3</v>
          </cell>
        </row>
        <row r="164">
          <cell r="G164">
            <v>6.817129629629548E-3</v>
          </cell>
        </row>
        <row r="165">
          <cell r="G165">
            <v>3.1249999999993783E-4</v>
          </cell>
        </row>
        <row r="166">
          <cell r="G166">
            <v>1.5659722222222339E-2</v>
          </cell>
        </row>
        <row r="167">
          <cell r="G167">
            <v>6.527777777777799E-3</v>
          </cell>
        </row>
        <row r="168">
          <cell r="G168">
            <v>5.0347222222222321E-3</v>
          </cell>
        </row>
        <row r="169">
          <cell r="G169">
            <v>4.4907407407407396E-3</v>
          </cell>
        </row>
        <row r="170">
          <cell r="G170">
            <v>1.7476851851851993E-3</v>
          </cell>
        </row>
        <row r="171">
          <cell r="G171">
            <v>5.2893518518518645E-3</v>
          </cell>
        </row>
        <row r="172">
          <cell r="G172">
            <v>2.6388888888888573E-3</v>
          </cell>
        </row>
        <row r="173">
          <cell r="G173">
            <v>3.3796296296295658E-3</v>
          </cell>
        </row>
        <row r="174">
          <cell r="G174">
            <v>4.1319444444443132E-3</v>
          </cell>
        </row>
        <row r="175">
          <cell r="G175">
            <v>3.5763888888888928E-3</v>
          </cell>
        </row>
        <row r="176">
          <cell r="G176">
            <v>6.9444444444433095E-4</v>
          </cell>
        </row>
        <row r="177">
          <cell r="G177">
            <v>1.7824074074074048E-2</v>
          </cell>
        </row>
        <row r="178">
          <cell r="G178">
            <v>2.662037037036713E-4</v>
          </cell>
        </row>
        <row r="179">
          <cell r="G179">
            <v>3.5879629629620435E-4</v>
          </cell>
        </row>
        <row r="180">
          <cell r="G180">
            <v>7.8703703703697503E-4</v>
          </cell>
        </row>
        <row r="181">
          <cell r="G181">
            <v>1.1226851851851904E-2</v>
          </cell>
        </row>
        <row r="182">
          <cell r="G182">
            <v>1.0451388888888968E-2</v>
          </cell>
        </row>
        <row r="183">
          <cell r="G183">
            <v>8.5185185185185919E-3</v>
          </cell>
        </row>
        <row r="184">
          <cell r="G184">
            <v>4.942129629629699E-3</v>
          </cell>
        </row>
        <row r="185">
          <cell r="G185">
            <v>2.2916666666666918E-3</v>
          </cell>
        </row>
        <row r="186">
          <cell r="G186">
            <v>9.9537037037034093E-4</v>
          </cell>
        </row>
        <row r="187">
          <cell r="G187">
            <v>1.8055555555555047E-3</v>
          </cell>
        </row>
        <row r="188">
          <cell r="G188">
            <v>1.5046296296296058E-3</v>
          </cell>
        </row>
        <row r="189">
          <cell r="G189">
            <v>1.315972222222217E-2</v>
          </cell>
        </row>
        <row r="190">
          <cell r="G190">
            <v>1.0532407407407574E-3</v>
          </cell>
        </row>
        <row r="191">
          <cell r="G191">
            <v>1.303240740740752E-2</v>
          </cell>
        </row>
        <row r="192">
          <cell r="G192">
            <v>1.2731481481487172E-4</v>
          </cell>
        </row>
        <row r="193">
          <cell r="G193">
            <v>1.8518518518517713E-4</v>
          </cell>
        </row>
        <row r="194">
          <cell r="G194">
            <v>1.4004629629629228E-3</v>
          </cell>
        </row>
        <row r="195">
          <cell r="G195">
            <v>4.5138888888873741E-4</v>
          </cell>
        </row>
        <row r="196">
          <cell r="G196">
            <v>5.6249999999999911E-3</v>
          </cell>
        </row>
        <row r="197">
          <cell r="G197">
            <v>1.2789351851851816E-2</v>
          </cell>
        </row>
        <row r="198">
          <cell r="G198">
            <v>2.0833333333331039E-4</v>
          </cell>
        </row>
        <row r="199">
          <cell r="G199">
            <v>1.3344907407407458E-2</v>
          </cell>
        </row>
        <row r="200">
          <cell r="G200">
            <v>1.0648148148147962E-3</v>
          </cell>
        </row>
        <row r="201">
          <cell r="G201">
            <v>9.606481481482243E-4</v>
          </cell>
        </row>
        <row r="202">
          <cell r="G202">
            <v>6.678240740740693E-3</v>
          </cell>
        </row>
        <row r="203">
          <cell r="G203">
            <v>4.7337962962962776E-3</v>
          </cell>
        </row>
        <row r="204">
          <cell r="G204">
            <v>6.7129629629636423E-4</v>
          </cell>
        </row>
        <row r="205">
          <cell r="G205">
            <v>1.388888888889106E-4</v>
          </cell>
        </row>
        <row r="206">
          <cell r="G206">
            <v>8.2060185185184875E-3</v>
          </cell>
        </row>
        <row r="207">
          <cell r="G207">
            <v>1.1562499999999976E-2</v>
          </cell>
        </row>
        <row r="208">
          <cell r="G208">
            <v>2.2604166666666703E-2</v>
          </cell>
        </row>
        <row r="209">
          <cell r="G209">
            <v>9.7800925925925486E-3</v>
          </cell>
        </row>
        <row r="210">
          <cell r="G210">
            <v>1.1284722222222154E-2</v>
          </cell>
        </row>
        <row r="211">
          <cell r="G211">
            <v>7.2800925925926019E-3</v>
          </cell>
        </row>
        <row r="212">
          <cell r="G212">
            <v>3.0787037037036669E-3</v>
          </cell>
        </row>
        <row r="213">
          <cell r="G213">
            <v>1.4699074074073781E-3</v>
          </cell>
        </row>
        <row r="214">
          <cell r="G214">
            <v>2.863425925925922E-2</v>
          </cell>
        </row>
        <row r="215">
          <cell r="G215">
            <v>9.606481481482243E-4</v>
          </cell>
        </row>
        <row r="216">
          <cell r="G216">
            <v>2.561342592592597E-2</v>
          </cell>
        </row>
        <row r="217">
          <cell r="G217">
            <v>1.4965277777777786E-2</v>
          </cell>
        </row>
        <row r="218">
          <cell r="G218">
            <v>1.1122685185185111E-2</v>
          </cell>
        </row>
        <row r="219">
          <cell r="G219">
            <v>1.0208333333333264E-2</v>
          </cell>
        </row>
        <row r="220">
          <cell r="G220">
            <v>6.5393518518518379E-3</v>
          </cell>
        </row>
        <row r="221">
          <cell r="G221">
            <v>3.4490740740740211E-3</v>
          </cell>
        </row>
        <row r="222">
          <cell r="G222">
            <v>3.4259259259259434E-3</v>
          </cell>
        </row>
        <row r="223">
          <cell r="G223">
            <v>1.5104166666666696E-2</v>
          </cell>
        </row>
        <row r="224">
          <cell r="G224">
            <v>1.2268518518518956E-3</v>
          </cell>
        </row>
        <row r="225">
          <cell r="G225">
            <v>1.4699074074073781E-3</v>
          </cell>
        </row>
        <row r="226">
          <cell r="G226">
            <v>3.5416666666667762E-3</v>
          </cell>
        </row>
        <row r="227">
          <cell r="G227">
            <v>2.4305555555559355E-4</v>
          </cell>
        </row>
        <row r="228">
          <cell r="G228">
            <v>1.7361111111102723E-4</v>
          </cell>
        </row>
        <row r="229">
          <cell r="G229">
            <v>1.0532407407407574E-3</v>
          </cell>
        </row>
        <row r="230">
          <cell r="G230">
            <v>4.5138888888889284E-3</v>
          </cell>
        </row>
        <row r="231">
          <cell r="G231">
            <v>6.6319444444443709E-3</v>
          </cell>
        </row>
        <row r="232">
          <cell r="G232">
            <v>1.504629629630605E-4</v>
          </cell>
        </row>
        <row r="233">
          <cell r="G233">
            <v>1.0706018518518379E-2</v>
          </cell>
        </row>
        <row r="234">
          <cell r="G234">
            <v>1.6435185185184054E-3</v>
          </cell>
        </row>
        <row r="235">
          <cell r="G235">
            <v>3.4490740740741321E-3</v>
          </cell>
        </row>
        <row r="236">
          <cell r="G236">
            <v>1.0069444444444908E-3</v>
          </cell>
        </row>
        <row r="237">
          <cell r="G237">
            <v>1.7361111111102723E-4</v>
          </cell>
        </row>
        <row r="238">
          <cell r="G238">
            <v>2.4560185185185213E-2</v>
          </cell>
        </row>
        <row r="239">
          <cell r="G239">
            <v>2.8819444444444509E-3</v>
          </cell>
        </row>
        <row r="240">
          <cell r="G240">
            <v>5.3587962962963198E-3</v>
          </cell>
        </row>
        <row r="241">
          <cell r="G241">
            <v>9.5833333333333326E-3</v>
          </cell>
        </row>
        <row r="242">
          <cell r="G242">
            <v>2.0081018518518512E-2</v>
          </cell>
        </row>
        <row r="243">
          <cell r="G243">
            <v>1.631944444444422E-3</v>
          </cell>
        </row>
        <row r="244">
          <cell r="G244">
            <v>6.6087962962962932E-3</v>
          </cell>
        </row>
        <row r="245">
          <cell r="G245">
            <v>4.6180555555555003E-3</v>
          </cell>
        </row>
        <row r="246">
          <cell r="G246">
            <v>5.3935185185185475E-3</v>
          </cell>
        </row>
        <row r="247">
          <cell r="G247">
            <v>7.9513888888889106E-3</v>
          </cell>
        </row>
        <row r="248">
          <cell r="G248">
            <v>1.1678240740740753E-2</v>
          </cell>
        </row>
        <row r="249">
          <cell r="G249">
            <v>1.4351851851851505E-3</v>
          </cell>
        </row>
        <row r="250">
          <cell r="G250">
            <v>1.0104166666666636E-2</v>
          </cell>
        </row>
        <row r="251">
          <cell r="G251">
            <v>1.8287037037037102E-2</v>
          </cell>
        </row>
        <row r="252">
          <cell r="G252">
            <v>1.7615740740740626E-2</v>
          </cell>
        </row>
        <row r="253">
          <cell r="G253">
            <v>6.331018518518472E-3</v>
          </cell>
        </row>
        <row r="254">
          <cell r="G254">
            <v>1.6122685185185226E-2</v>
          </cell>
        </row>
        <row r="255">
          <cell r="G255">
            <v>1.2696759259259283E-2</v>
          </cell>
        </row>
        <row r="256">
          <cell r="G256">
            <v>1.0000000000000009E-2</v>
          </cell>
        </row>
        <row r="257">
          <cell r="G257">
            <v>5.8101851851851682E-3</v>
          </cell>
        </row>
        <row r="258">
          <cell r="G258">
            <v>5.2083333333333703E-3</v>
          </cell>
        </row>
        <row r="259">
          <cell r="G259">
            <v>4.7337962962962221E-3</v>
          </cell>
        </row>
        <row r="260">
          <cell r="G260">
            <v>3.3217592592592604E-3</v>
          </cell>
        </row>
        <row r="261">
          <cell r="G261">
            <v>2.2106481481481977E-3</v>
          </cell>
        </row>
        <row r="262">
          <cell r="G262">
            <v>6.4004629629630383E-3</v>
          </cell>
        </row>
        <row r="263">
          <cell r="G263">
            <v>1.5486111111111089E-2</v>
          </cell>
        </row>
        <row r="264">
          <cell r="G264">
            <v>1.3541666666667673E-3</v>
          </cell>
        </row>
        <row r="265">
          <cell r="G265">
            <v>8.4490740740741366E-3</v>
          </cell>
        </row>
        <row r="266">
          <cell r="G266">
            <v>1.5173611111111041E-2</v>
          </cell>
        </row>
        <row r="267">
          <cell r="G267">
            <v>1.5312499999999951E-2</v>
          </cell>
        </row>
        <row r="268">
          <cell r="G268">
            <v>1.5995370370370354E-2</v>
          </cell>
        </row>
        <row r="269">
          <cell r="G269">
            <v>8.5648148148143033E-4</v>
          </cell>
        </row>
        <row r="270">
          <cell r="G270">
            <v>1.1736111111111058E-2</v>
          </cell>
        </row>
        <row r="271">
          <cell r="G271">
            <v>4.6759259259259167E-3</v>
          </cell>
        </row>
        <row r="272">
          <cell r="G272">
            <v>1.5416666666666634E-2</v>
          </cell>
        </row>
        <row r="273">
          <cell r="G273">
            <v>1.5613425925925961E-2</v>
          </cell>
        </row>
        <row r="274">
          <cell r="G274">
            <v>1.8842592592592466E-2</v>
          </cell>
        </row>
        <row r="275">
          <cell r="G275">
            <v>2.3009259259259229E-2</v>
          </cell>
        </row>
        <row r="276">
          <cell r="G276">
            <v>1.9699074074074119E-2</v>
          </cell>
        </row>
        <row r="277">
          <cell r="G277">
            <v>1.8657407407407511E-2</v>
          </cell>
        </row>
        <row r="278">
          <cell r="G278">
            <v>1.5543981481481506E-2</v>
          </cell>
        </row>
        <row r="279">
          <cell r="G279">
            <v>1.0925925925926006E-2</v>
          </cell>
        </row>
        <row r="280">
          <cell r="G280">
            <v>2.3819444444444504E-2</v>
          </cell>
        </row>
        <row r="281">
          <cell r="G281">
            <v>2.5115740740740966E-3</v>
          </cell>
        </row>
        <row r="282">
          <cell r="G282">
            <v>1.6249999999999876E-2</v>
          </cell>
        </row>
        <row r="283">
          <cell r="G283">
            <v>3.3981481481481501E-2</v>
          </cell>
        </row>
        <row r="284">
          <cell r="G284">
            <v>1.1574074074073293E-3</v>
          </cell>
        </row>
        <row r="285">
          <cell r="G285">
            <v>3.1249999999982681E-4</v>
          </cell>
        </row>
        <row r="286">
          <cell r="G286">
            <v>4.7685185185185608E-3</v>
          </cell>
        </row>
        <row r="287">
          <cell r="G287">
            <v>7.4768518518518734E-3</v>
          </cell>
        </row>
        <row r="288">
          <cell r="G288">
            <v>3.5879629629631538E-4</v>
          </cell>
        </row>
        <row r="289">
          <cell r="G289">
            <v>1.7280092592592555E-2</v>
          </cell>
        </row>
        <row r="290">
          <cell r="G290">
            <v>2.322916666666669E-2</v>
          </cell>
        </row>
        <row r="291">
          <cell r="G291">
            <v>1.6377314814814803E-2</v>
          </cell>
        </row>
        <row r="292">
          <cell r="G292">
            <v>1.8425925925925901E-2</v>
          </cell>
        </row>
        <row r="293">
          <cell r="G293">
            <v>1.1921296296296235E-2</v>
          </cell>
        </row>
        <row r="294">
          <cell r="G294">
            <v>8.4490740740740811E-3</v>
          </cell>
        </row>
        <row r="295">
          <cell r="G295">
            <v>1.2754629629629644E-2</v>
          </cell>
        </row>
        <row r="296">
          <cell r="G296">
            <v>3.1238425925926017E-2</v>
          </cell>
        </row>
        <row r="297">
          <cell r="G297">
            <v>3.6817129629629519E-2</v>
          </cell>
        </row>
        <row r="298">
          <cell r="G298">
            <v>1.4930555555554559E-3</v>
          </cell>
        </row>
        <row r="299">
          <cell r="G299">
            <v>1.5625E-2</v>
          </cell>
        </row>
        <row r="300">
          <cell r="G300">
            <v>1.1793981481481586E-2</v>
          </cell>
        </row>
        <row r="301">
          <cell r="G301">
            <v>7.9861111111112493E-4</v>
          </cell>
        </row>
        <row r="302">
          <cell r="G302">
            <v>1.2673611111111094E-2</v>
          </cell>
        </row>
        <row r="303">
          <cell r="G303">
            <v>1.0763888888888906E-2</v>
          </cell>
        </row>
        <row r="304">
          <cell r="G304">
            <v>1.0844907407407511E-2</v>
          </cell>
        </row>
        <row r="305">
          <cell r="G305">
            <v>8.1018518518494176E-5</v>
          </cell>
        </row>
        <row r="306">
          <cell r="G306">
            <v>1.5046296296294948E-4</v>
          </cell>
        </row>
        <row r="307">
          <cell r="G307">
            <v>1.8541666666666679E-2</v>
          </cell>
        </row>
        <row r="308">
          <cell r="G308">
            <v>8.1018518518494176E-5</v>
          </cell>
        </row>
        <row r="309">
          <cell r="G309">
            <v>1.7708333333333326E-2</v>
          </cell>
        </row>
        <row r="310">
          <cell r="G310">
            <v>4.8611111111107608E-4</v>
          </cell>
        </row>
        <row r="311">
          <cell r="G311">
            <v>2.8425925925925855E-2</v>
          </cell>
        </row>
        <row r="312">
          <cell r="G312">
            <v>2.6134259259259163E-2</v>
          </cell>
        </row>
        <row r="313">
          <cell r="G313">
            <v>2.7592592592592613E-2</v>
          </cell>
        </row>
        <row r="314">
          <cell r="G314">
            <v>2.1203703703703725E-2</v>
          </cell>
        </row>
        <row r="315">
          <cell r="G315">
            <v>1.8472222222222223E-2</v>
          </cell>
        </row>
        <row r="316">
          <cell r="G316">
            <v>1.041666666666663E-3</v>
          </cell>
        </row>
        <row r="317">
          <cell r="G317">
            <v>1.5104166666666585E-2</v>
          </cell>
        </row>
        <row r="318">
          <cell r="G318">
            <v>2.4189814814814525E-3</v>
          </cell>
        </row>
        <row r="319">
          <cell r="G319">
            <v>1.207175925925924E-2</v>
          </cell>
        </row>
        <row r="320">
          <cell r="G320">
            <v>3.8958333333333373E-2</v>
          </cell>
        </row>
        <row r="321">
          <cell r="G321">
            <v>1.2094907407407429E-2</v>
          </cell>
        </row>
        <row r="322">
          <cell r="G322">
            <v>3.8113425925925926E-2</v>
          </cell>
        </row>
        <row r="323">
          <cell r="G323">
            <v>1.7523148148148149E-2</v>
          </cell>
        </row>
        <row r="324">
          <cell r="G324">
            <v>5.439814814814814E-3</v>
          </cell>
        </row>
        <row r="325">
          <cell r="G325">
            <v>3.2407407407407662E-3</v>
          </cell>
        </row>
        <row r="326">
          <cell r="G326">
            <v>2.2094907407407327E-2</v>
          </cell>
        </row>
        <row r="327">
          <cell r="G327">
            <v>7.3958333333333792E-3</v>
          </cell>
        </row>
        <row r="328">
          <cell r="G328">
            <v>3.5300925925925708E-3</v>
          </cell>
        </row>
        <row r="329">
          <cell r="G329">
            <v>8.5648148148143033E-4</v>
          </cell>
        </row>
        <row r="330">
          <cell r="G330">
            <v>3.8831018518518556E-2</v>
          </cell>
        </row>
        <row r="331">
          <cell r="G331">
            <v>2.4074074074074137E-3</v>
          </cell>
        </row>
        <row r="332">
          <cell r="G332">
            <v>4.6064814814814614E-3</v>
          </cell>
        </row>
        <row r="333">
          <cell r="G333">
            <v>4.6296296296296502E-3</v>
          </cell>
        </row>
        <row r="334">
          <cell r="G334">
            <v>4.6412037037036336E-3</v>
          </cell>
        </row>
        <row r="335">
          <cell r="G335">
            <v>7.0601851851848085E-4</v>
          </cell>
        </row>
        <row r="336">
          <cell r="G336">
            <v>7.2916666666666963E-4</v>
          </cell>
        </row>
        <row r="337">
          <cell r="G337">
            <v>1.4814814814814725E-3</v>
          </cell>
        </row>
        <row r="338">
          <cell r="G338">
            <v>2.5231481481481355E-3</v>
          </cell>
        </row>
        <row r="339">
          <cell r="G339">
            <v>1.3194444444444842E-3</v>
          </cell>
        </row>
        <row r="340">
          <cell r="G340">
            <v>8.0671296296296879E-3</v>
          </cell>
        </row>
        <row r="341">
          <cell r="G341">
            <v>7.9861111111110827E-3</v>
          </cell>
        </row>
        <row r="342">
          <cell r="G342">
            <v>1.1412037037037026E-2</v>
          </cell>
        </row>
        <row r="343">
          <cell r="G343">
            <v>1.8402777777777879E-3</v>
          </cell>
        </row>
        <row r="344">
          <cell r="G344">
            <v>1.1921296296296124E-3</v>
          </cell>
        </row>
        <row r="345">
          <cell r="G345">
            <v>2.1990740740740478E-4</v>
          </cell>
        </row>
        <row r="346">
          <cell r="G346">
            <v>4.0972222222221966E-3</v>
          </cell>
        </row>
        <row r="347">
          <cell r="G347">
            <v>1.8437499999999885E-2</v>
          </cell>
        </row>
        <row r="348">
          <cell r="G348">
            <v>2.4999999999999467E-3</v>
          </cell>
        </row>
        <row r="349">
          <cell r="G349">
            <v>8.0671296296297434E-3</v>
          </cell>
        </row>
        <row r="350">
          <cell r="G350">
            <v>1.0023148148148198E-2</v>
          </cell>
        </row>
        <row r="351">
          <cell r="G351">
            <v>1.7245370370370106E-3</v>
          </cell>
        </row>
        <row r="352">
          <cell r="G352">
            <v>3.0208333333333615E-3</v>
          </cell>
        </row>
        <row r="353">
          <cell r="G353">
            <v>1.4502314814814898E-2</v>
          </cell>
        </row>
        <row r="354">
          <cell r="G354">
            <v>1.0196759259259225E-2</v>
          </cell>
        </row>
        <row r="355">
          <cell r="G355">
            <v>9.3750000000003553E-4</v>
          </cell>
        </row>
        <row r="356">
          <cell r="G356">
            <v>1.0358796296296324E-2</v>
          </cell>
        </row>
        <row r="357">
          <cell r="G357">
            <v>7.9745370370370994E-3</v>
          </cell>
        </row>
        <row r="358">
          <cell r="G358">
            <v>5.7870370370416424E-5</v>
          </cell>
        </row>
        <row r="359">
          <cell r="G359">
            <v>1.9803240740740802E-2</v>
          </cell>
        </row>
        <row r="360">
          <cell r="G360">
            <v>1.6226851851851909E-2</v>
          </cell>
        </row>
        <row r="361">
          <cell r="G361">
            <v>0</v>
          </cell>
        </row>
        <row r="362">
          <cell r="G362">
            <v>2.3032407407407307E-3</v>
          </cell>
        </row>
        <row r="363">
          <cell r="G363">
            <v>3.848379629629628E-2</v>
          </cell>
        </row>
        <row r="364">
          <cell r="G364">
            <v>3.7500000000000311E-3</v>
          </cell>
        </row>
        <row r="365">
          <cell r="G365">
            <v>2.8240740740740899E-3</v>
          </cell>
        </row>
        <row r="366">
          <cell r="G366">
            <v>6.3657407407413658E-4</v>
          </cell>
        </row>
        <row r="367">
          <cell r="G367">
            <v>1.134259259259307E-3</v>
          </cell>
        </row>
        <row r="368">
          <cell r="G368">
            <v>5.6597222222221633E-3</v>
          </cell>
        </row>
        <row r="369">
          <cell r="G369">
            <v>8.1018518518518601E-3</v>
          </cell>
        </row>
        <row r="370">
          <cell r="G370">
            <v>2.6550925925925895E-2</v>
          </cell>
        </row>
        <row r="371">
          <cell r="G371">
            <v>2.5266203703703694E-2</v>
          </cell>
        </row>
        <row r="372">
          <cell r="G372">
            <v>3.2233796296296302E-2</v>
          </cell>
        </row>
        <row r="373">
          <cell r="G373">
            <v>2.1064814814814037E-3</v>
          </cell>
        </row>
        <row r="374">
          <cell r="G374">
            <v>2.6527777777777817E-2</v>
          </cell>
        </row>
        <row r="375">
          <cell r="G375">
            <v>9.7222222222226318E-4</v>
          </cell>
        </row>
        <row r="376">
          <cell r="G376">
            <v>6.134259259259256E-3</v>
          </cell>
        </row>
        <row r="377">
          <cell r="G377">
            <v>5.0115740740741543E-3</v>
          </cell>
        </row>
        <row r="378">
          <cell r="G378">
            <v>1.2858796296296271E-2</v>
          </cell>
        </row>
        <row r="379">
          <cell r="G379">
            <v>1.099537037037035E-2</v>
          </cell>
        </row>
        <row r="380">
          <cell r="G380">
            <v>1.1099537037037033E-2</v>
          </cell>
        </row>
        <row r="381">
          <cell r="G381">
            <v>1.0729166666666679E-2</v>
          </cell>
        </row>
        <row r="382">
          <cell r="G382">
            <v>2.0416666666666639E-2</v>
          </cell>
        </row>
        <row r="383">
          <cell r="G383">
            <v>8.8657407407407574E-3</v>
          </cell>
        </row>
        <row r="384">
          <cell r="G384">
            <v>7.8703703703704164E-3</v>
          </cell>
        </row>
        <row r="385">
          <cell r="G385">
            <v>1.2361111111111156E-2</v>
          </cell>
        </row>
        <row r="386">
          <cell r="G386">
            <v>7.4537037037036846E-3</v>
          </cell>
        </row>
        <row r="387">
          <cell r="G387">
            <v>5.4050925925926974E-3</v>
          </cell>
        </row>
        <row r="388">
          <cell r="G388">
            <v>3.0555555555555891E-3</v>
          </cell>
        </row>
        <row r="389">
          <cell r="G389">
            <v>1.9502314814814903E-2</v>
          </cell>
        </row>
        <row r="390">
          <cell r="G390">
            <v>2.3344907407407356E-2</v>
          </cell>
        </row>
        <row r="391">
          <cell r="G391">
            <v>1.7152777777777906E-2</v>
          </cell>
        </row>
        <row r="392">
          <cell r="G392">
            <v>4.6053240740740575E-2</v>
          </cell>
        </row>
        <row r="393">
          <cell r="G393">
            <v>3.2060185185185386E-3</v>
          </cell>
        </row>
        <row r="394">
          <cell r="G394">
            <v>1.9664351851852002E-2</v>
          </cell>
        </row>
        <row r="395">
          <cell r="G395">
            <v>7.1180555555555025E-3</v>
          </cell>
        </row>
        <row r="396">
          <cell r="G396">
            <v>9.3287037037037002E-3</v>
          </cell>
        </row>
        <row r="397">
          <cell r="G397">
            <v>3.3680555555555269E-3</v>
          </cell>
        </row>
        <row r="398">
          <cell r="G398">
            <v>3.7847222222222587E-3</v>
          </cell>
        </row>
        <row r="399">
          <cell r="G399">
            <v>7.0601851851848085E-4</v>
          </cell>
        </row>
        <row r="400">
          <cell r="G400">
            <v>2.0601851851851372E-3</v>
          </cell>
        </row>
        <row r="401">
          <cell r="G401">
            <v>1.7326388888888933E-2</v>
          </cell>
        </row>
        <row r="402">
          <cell r="G402">
            <v>1.7071759259259245E-2</v>
          </cell>
        </row>
        <row r="403">
          <cell r="G403">
            <v>1.2384259259258235E-3</v>
          </cell>
        </row>
        <row r="404">
          <cell r="G404">
            <v>4.5486111111111005E-3</v>
          </cell>
        </row>
        <row r="405">
          <cell r="G405">
            <v>4.4560185185185119E-3</v>
          </cell>
        </row>
        <row r="406">
          <cell r="G406">
            <v>1.7708333333333326E-3</v>
          </cell>
        </row>
        <row r="407">
          <cell r="G407">
            <v>1.6898148148147829E-3</v>
          </cell>
        </row>
        <row r="408">
          <cell r="G408">
            <v>4.9074074074073604E-3</v>
          </cell>
        </row>
        <row r="409">
          <cell r="G409">
            <v>2.8240740740740899E-3</v>
          </cell>
        </row>
        <row r="410">
          <cell r="G410">
            <v>1.3124999999999998E-2</v>
          </cell>
        </row>
        <row r="411">
          <cell r="G411">
            <v>2.476851851851869E-3</v>
          </cell>
        </row>
        <row r="412">
          <cell r="G412">
            <v>3.9351851851848751E-4</v>
          </cell>
        </row>
        <row r="413">
          <cell r="G413">
            <v>7.9861111111112493E-4</v>
          </cell>
        </row>
        <row r="414">
          <cell r="G414">
            <v>8.6111111111111249E-3</v>
          </cell>
        </row>
        <row r="415">
          <cell r="G415">
            <v>2.0138888888888706E-3</v>
          </cell>
        </row>
        <row r="416">
          <cell r="G416">
            <v>1.2557870370370372E-2</v>
          </cell>
        </row>
        <row r="417">
          <cell r="G417">
            <v>1.0011574074074048E-2</v>
          </cell>
        </row>
        <row r="418">
          <cell r="G418">
            <v>1.0833333333333306E-2</v>
          </cell>
        </row>
        <row r="419">
          <cell r="G419">
            <v>1.5509259259259223E-2</v>
          </cell>
        </row>
        <row r="420">
          <cell r="G420">
            <v>1.0949074074074083E-2</v>
          </cell>
        </row>
        <row r="421">
          <cell r="G421">
            <v>1.1122685185185111E-2</v>
          </cell>
        </row>
        <row r="422">
          <cell r="G422">
            <v>1.4236111111111116E-2</v>
          </cell>
        </row>
        <row r="423">
          <cell r="G423">
            <v>8.8425925925926796E-3</v>
          </cell>
        </row>
        <row r="424">
          <cell r="G424">
            <v>1.244212962962965E-2</v>
          </cell>
        </row>
        <row r="425">
          <cell r="G425">
            <v>5.2083333333330373E-4</v>
          </cell>
        </row>
        <row r="426">
          <cell r="G426">
            <v>7.0717592592591805E-3</v>
          </cell>
        </row>
        <row r="427">
          <cell r="G427">
            <v>1.157407407407407E-2</v>
          </cell>
        </row>
        <row r="428">
          <cell r="G428">
            <v>1.0474537037037046E-2</v>
          </cell>
        </row>
        <row r="429">
          <cell r="G429">
            <v>7.0601851851859188E-4</v>
          </cell>
        </row>
        <row r="430">
          <cell r="G430">
            <v>8.1944444444445041E-3</v>
          </cell>
        </row>
        <row r="431">
          <cell r="G431">
            <v>8.7847222222222632E-3</v>
          </cell>
        </row>
        <row r="432">
          <cell r="G432">
            <v>4.3981481481480955E-4</v>
          </cell>
        </row>
        <row r="433">
          <cell r="G433">
            <v>1.3680555555555696E-2</v>
          </cell>
        </row>
        <row r="434">
          <cell r="G434">
            <v>1.8437499999999885E-2</v>
          </cell>
        </row>
        <row r="435">
          <cell r="G435">
            <v>1.9513888888888942E-2</v>
          </cell>
        </row>
        <row r="436">
          <cell r="G436">
            <v>1.4131944444444433E-2</v>
          </cell>
        </row>
        <row r="437">
          <cell r="G437">
            <v>1.3125000000000053E-2</v>
          </cell>
        </row>
        <row r="438">
          <cell r="G438">
            <v>2.5162037037037011E-2</v>
          </cell>
        </row>
        <row r="439">
          <cell r="G439">
            <v>0</v>
          </cell>
        </row>
        <row r="440">
          <cell r="G440">
            <v>3.4259259259258323E-3</v>
          </cell>
        </row>
        <row r="441">
          <cell r="G441">
            <v>9.374999999999245E-4</v>
          </cell>
        </row>
        <row r="442">
          <cell r="G442">
            <v>2.8124999999999956E-3</v>
          </cell>
        </row>
        <row r="443">
          <cell r="G443">
            <v>3.5532407407408151E-3</v>
          </cell>
        </row>
        <row r="444">
          <cell r="G444">
            <v>2.4780092592592506E-2</v>
          </cell>
        </row>
        <row r="445">
          <cell r="G445">
            <v>1.7361111111102723E-4</v>
          </cell>
        </row>
        <row r="446">
          <cell r="G446">
            <v>3.9351851851852082E-3</v>
          </cell>
        </row>
        <row r="447">
          <cell r="G447">
            <v>5.6712962962968128E-4</v>
          </cell>
        </row>
        <row r="448">
          <cell r="G448">
            <v>2.0567129629629644E-2</v>
          </cell>
        </row>
        <row r="449">
          <cell r="G449">
            <v>1.8703703703703778E-2</v>
          </cell>
        </row>
        <row r="450">
          <cell r="G450">
            <v>1.5717592592592533E-2</v>
          </cell>
        </row>
        <row r="451">
          <cell r="G451">
            <v>8.2060185185184875E-3</v>
          </cell>
        </row>
        <row r="452">
          <cell r="G452">
            <v>7.3611111111111516E-3</v>
          </cell>
        </row>
        <row r="453">
          <cell r="G453">
            <v>2.8819444444443953E-3</v>
          </cell>
        </row>
        <row r="454">
          <cell r="G454">
            <v>3.9699074074074359E-3</v>
          </cell>
        </row>
        <row r="455">
          <cell r="G455">
            <v>6.7824074074073759E-3</v>
          </cell>
        </row>
        <row r="456">
          <cell r="G456">
            <v>2.0833333333333814E-3</v>
          </cell>
        </row>
        <row r="457">
          <cell r="G457">
            <v>1.0636574074074034E-2</v>
          </cell>
        </row>
        <row r="458">
          <cell r="G458">
            <v>1.3020833333333315E-2</v>
          </cell>
        </row>
        <row r="459">
          <cell r="G459">
            <v>1.4664351851851887E-2</v>
          </cell>
        </row>
        <row r="460">
          <cell r="G460">
            <v>3.1249999999993783E-4</v>
          </cell>
        </row>
        <row r="461">
          <cell r="G461">
            <v>1.5381944444444462E-2</v>
          </cell>
        </row>
        <row r="462">
          <cell r="G462">
            <v>2.2951388888888924E-2</v>
          </cell>
        </row>
        <row r="463">
          <cell r="G463">
            <v>9.0162037037037068E-3</v>
          </cell>
        </row>
        <row r="464">
          <cell r="G464">
            <v>1.2476851851851822E-2</v>
          </cell>
        </row>
        <row r="465">
          <cell r="G465">
            <v>6.2499999999998668E-4</v>
          </cell>
        </row>
        <row r="466">
          <cell r="G466">
            <v>1.2962962962963509E-3</v>
          </cell>
        </row>
        <row r="467">
          <cell r="G467">
            <v>1.186342592592593E-2</v>
          </cell>
        </row>
        <row r="468">
          <cell r="G468">
            <v>6.2499999999998668E-4</v>
          </cell>
        </row>
        <row r="469">
          <cell r="G469">
            <v>1.7453703703703694E-2</v>
          </cell>
        </row>
        <row r="470">
          <cell r="G470">
            <v>1.8368055555555651E-2</v>
          </cell>
        </row>
        <row r="471">
          <cell r="G471">
            <v>2.9594907407407445E-2</v>
          </cell>
        </row>
        <row r="472">
          <cell r="G472">
            <v>1.9259259259259198E-2</v>
          </cell>
        </row>
        <row r="473">
          <cell r="G473">
            <v>1.6458333333333353E-2</v>
          </cell>
        </row>
        <row r="474">
          <cell r="G474">
            <v>6.7013888888888262E-3</v>
          </cell>
        </row>
        <row r="475">
          <cell r="G475">
            <v>1.2384259259259234E-2</v>
          </cell>
        </row>
        <row r="476">
          <cell r="G476">
            <v>1.782407407407427E-3</v>
          </cell>
        </row>
        <row r="477">
          <cell r="G477">
            <v>7.523148148148584E-4</v>
          </cell>
        </row>
        <row r="478">
          <cell r="G478">
            <v>1.2476851851851767E-2</v>
          </cell>
        </row>
        <row r="479">
          <cell r="G479">
            <v>1.7013888888888884E-2</v>
          </cell>
        </row>
        <row r="480">
          <cell r="G480">
            <v>1.2268518518518956E-3</v>
          </cell>
        </row>
        <row r="481">
          <cell r="G481">
            <v>1.3819444444444495E-2</v>
          </cell>
        </row>
        <row r="482">
          <cell r="G482">
            <v>4.8611111111110938E-3</v>
          </cell>
        </row>
        <row r="483">
          <cell r="G483">
            <v>1.1574074074038876E-5</v>
          </cell>
        </row>
        <row r="484">
          <cell r="G484">
            <v>2.6851851851852349E-3</v>
          </cell>
        </row>
        <row r="485">
          <cell r="G485">
            <v>9.6412037037036935E-3</v>
          </cell>
        </row>
        <row r="486">
          <cell r="G486">
            <v>3.93518518518432E-4</v>
          </cell>
        </row>
        <row r="487">
          <cell r="G487">
            <v>2.870370370370412E-3</v>
          </cell>
        </row>
        <row r="488">
          <cell r="G488">
            <v>1.1944444444444535E-2</v>
          </cell>
        </row>
        <row r="489">
          <cell r="G489">
            <v>1.0347222222222063E-2</v>
          </cell>
        </row>
        <row r="490">
          <cell r="G490">
            <v>2.6539351851851967E-2</v>
          </cell>
        </row>
        <row r="491">
          <cell r="G491">
            <v>1.6319444444444775E-3</v>
          </cell>
        </row>
        <row r="492">
          <cell r="G492">
            <v>2.7222222222222148E-2</v>
          </cell>
        </row>
        <row r="493">
          <cell r="G493">
            <v>3.1250000000004885E-4</v>
          </cell>
        </row>
        <row r="494">
          <cell r="G494">
            <v>0</v>
          </cell>
        </row>
        <row r="495">
          <cell r="G495">
            <v>8.0902777777777102E-3</v>
          </cell>
        </row>
        <row r="496">
          <cell r="G496">
            <v>3.1597222222222221E-2</v>
          </cell>
        </row>
        <row r="497">
          <cell r="G497">
            <v>1.7453703703703694E-2</v>
          </cell>
        </row>
        <row r="498">
          <cell r="G498">
            <v>2.3854166666666676E-2</v>
          </cell>
        </row>
        <row r="499">
          <cell r="G499">
            <v>2.3171296296296329E-2</v>
          </cell>
        </row>
        <row r="500">
          <cell r="G500">
            <v>2.2060185185185155E-2</v>
          </cell>
        </row>
        <row r="501">
          <cell r="G501">
            <v>1.9004629629629621E-2</v>
          </cell>
        </row>
        <row r="502">
          <cell r="G502">
            <v>2.4421296296295858E-3</v>
          </cell>
        </row>
        <row r="503">
          <cell r="G503">
            <v>8.7731481481481688E-3</v>
          </cell>
        </row>
        <row r="504">
          <cell r="G504">
            <v>4.5949074074074225E-3</v>
          </cell>
        </row>
        <row r="505">
          <cell r="G505">
            <v>2.3958333333333193E-3</v>
          </cell>
        </row>
        <row r="506">
          <cell r="G506">
            <v>1.2638888888888977E-2</v>
          </cell>
        </row>
        <row r="507">
          <cell r="G507">
            <v>8.8425925925925686E-3</v>
          </cell>
        </row>
        <row r="508">
          <cell r="G508">
            <v>7.9050925925925886E-3</v>
          </cell>
        </row>
        <row r="509">
          <cell r="G509">
            <v>1.0555555555555485E-2</v>
          </cell>
        </row>
        <row r="510">
          <cell r="G510">
            <v>1.165509259259262E-2</v>
          </cell>
        </row>
        <row r="511">
          <cell r="G511">
            <v>1.4351851851851505E-3</v>
          </cell>
        </row>
        <row r="512">
          <cell r="G512">
            <v>1.1400462962962987E-2</v>
          </cell>
        </row>
        <row r="513">
          <cell r="G513">
            <v>9.490740740740744E-4</v>
          </cell>
        </row>
        <row r="514">
          <cell r="G514">
            <v>5.6712962962962576E-4</v>
          </cell>
        </row>
        <row r="515">
          <cell r="G515">
            <v>1.1851851851851836E-2</v>
          </cell>
        </row>
        <row r="516">
          <cell r="G516">
            <v>1.5787037037036933E-2</v>
          </cell>
        </row>
        <row r="517">
          <cell r="G517">
            <v>1.4016203703703711E-2</v>
          </cell>
        </row>
        <row r="518">
          <cell r="G518">
            <v>5.9027777777775903E-4</v>
          </cell>
        </row>
        <row r="519">
          <cell r="G519">
            <v>1.2499999999999734E-3</v>
          </cell>
        </row>
        <row r="520">
          <cell r="G520">
            <v>2.8275462962963016E-2</v>
          </cell>
        </row>
        <row r="521">
          <cell r="G521">
            <v>1.9594907407407325E-2</v>
          </cell>
        </row>
        <row r="522">
          <cell r="G522">
            <v>2.6504629629628962E-3</v>
          </cell>
        </row>
        <row r="523">
          <cell r="G523">
            <v>1.0358796296296324E-2</v>
          </cell>
        </row>
        <row r="524">
          <cell r="G524">
            <v>7.418981481481568E-3</v>
          </cell>
        </row>
        <row r="525">
          <cell r="G525">
            <v>7.2800925925926574E-3</v>
          </cell>
        </row>
        <row r="526">
          <cell r="G526">
            <v>6.4004629629629273E-3</v>
          </cell>
        </row>
        <row r="527">
          <cell r="G527">
            <v>4.8842592592592826E-3</v>
          </cell>
        </row>
        <row r="528">
          <cell r="G528">
            <v>1.1921296296295569E-3</v>
          </cell>
        </row>
        <row r="529">
          <cell r="G529">
            <v>1.9444444444444153E-3</v>
          </cell>
        </row>
        <row r="530">
          <cell r="G530">
            <v>8.5648148148143033E-4</v>
          </cell>
        </row>
        <row r="531">
          <cell r="G531">
            <v>1.3680555555555474E-2</v>
          </cell>
        </row>
        <row r="532">
          <cell r="G532">
            <v>1.0601851851851807E-2</v>
          </cell>
        </row>
        <row r="533">
          <cell r="G533">
            <v>9.9074074074073648E-3</v>
          </cell>
        </row>
        <row r="534">
          <cell r="G534">
            <v>3.4722222222216548E-4</v>
          </cell>
        </row>
        <row r="535">
          <cell r="G535">
            <v>1.5138888888888813E-2</v>
          </cell>
        </row>
        <row r="536">
          <cell r="G536">
            <v>4.6412037037038001E-3</v>
          </cell>
        </row>
        <row r="537">
          <cell r="G537">
            <v>2.870370370370412E-3</v>
          </cell>
        </row>
        <row r="538">
          <cell r="G538">
            <v>1.0185185185185297E-3</v>
          </cell>
        </row>
        <row r="539">
          <cell r="G539">
            <v>9.1550925925925064E-3</v>
          </cell>
        </row>
        <row r="540">
          <cell r="G540">
            <v>1.0590277777777768E-2</v>
          </cell>
        </row>
        <row r="541">
          <cell r="G541">
            <v>3.5358796296296346E-2</v>
          </cell>
        </row>
        <row r="542">
          <cell r="G542">
            <v>3.0057870370370443E-2</v>
          </cell>
        </row>
        <row r="543">
          <cell r="G543">
            <v>4.1087962962963465E-3</v>
          </cell>
        </row>
        <row r="544">
          <cell r="G544">
            <v>5.4664351851851922E-2</v>
          </cell>
        </row>
        <row r="545">
          <cell r="G545">
            <v>7.268518518518452E-3</v>
          </cell>
        </row>
        <row r="546">
          <cell r="G546">
            <v>3.1342592592592644E-2</v>
          </cell>
        </row>
        <row r="547">
          <cell r="G547">
            <v>3.0543981481481519E-2</v>
          </cell>
        </row>
        <row r="548">
          <cell r="G548">
            <v>2.4745370370370334E-2</v>
          </cell>
        </row>
        <row r="549">
          <cell r="G549">
            <v>2.3298611111111089E-2</v>
          </cell>
        </row>
        <row r="550">
          <cell r="G550">
            <v>5.833333333333357E-3</v>
          </cell>
        </row>
        <row r="551">
          <cell r="G551">
            <v>1.9675925925926041E-3</v>
          </cell>
        </row>
        <row r="552">
          <cell r="G552">
            <v>1.41782407407407E-2</v>
          </cell>
        </row>
        <row r="553">
          <cell r="G553">
            <v>8.9351851851852682E-3</v>
          </cell>
        </row>
        <row r="554">
          <cell r="G554">
            <v>4.3171296296296013E-3</v>
          </cell>
        </row>
        <row r="555">
          <cell r="G555">
            <v>4.2013888888888795E-3</v>
          </cell>
        </row>
        <row r="556">
          <cell r="G556">
            <v>1.7858796296296275E-2</v>
          </cell>
        </row>
        <row r="557">
          <cell r="G557">
            <v>1.4467592592591894E-3</v>
          </cell>
        </row>
        <row r="558">
          <cell r="G558">
            <v>1.4745370370370436E-2</v>
          </cell>
        </row>
        <row r="559">
          <cell r="G559">
            <v>1.325231481481487E-2</v>
          </cell>
        </row>
        <row r="560">
          <cell r="G560">
            <v>5.2083333333330373E-4</v>
          </cell>
        </row>
        <row r="561">
          <cell r="G561">
            <v>1.7638888888888982E-2</v>
          </cell>
        </row>
        <row r="562">
          <cell r="G562">
            <v>1.2326388888888928E-2</v>
          </cell>
        </row>
        <row r="563">
          <cell r="G563">
            <v>6.2499999999998668E-4</v>
          </cell>
        </row>
        <row r="564">
          <cell r="G564">
            <v>2.8819444444445619E-3</v>
          </cell>
        </row>
        <row r="565">
          <cell r="G565">
            <v>8.9351851851852127E-3</v>
          </cell>
        </row>
        <row r="566">
          <cell r="G566">
            <v>1.0995370370370239E-3</v>
          </cell>
        </row>
        <row r="567">
          <cell r="G567">
            <v>2.6354166666666679E-2</v>
          </cell>
        </row>
        <row r="568">
          <cell r="G568">
            <v>1.2650462962962905E-2</v>
          </cell>
        </row>
        <row r="569">
          <cell r="G569">
            <v>6.3657407407402555E-4</v>
          </cell>
        </row>
        <row r="570">
          <cell r="G570">
            <v>1.6874999999999862E-2</v>
          </cell>
        </row>
        <row r="571">
          <cell r="G571">
            <v>1.1967592592592613E-2</v>
          </cell>
        </row>
        <row r="572">
          <cell r="G572">
            <v>2.0868055555555709E-2</v>
          </cell>
        </row>
        <row r="573">
          <cell r="G573">
            <v>3.0127314814814676E-2</v>
          </cell>
        </row>
        <row r="574">
          <cell r="G574">
            <v>3.181712962962957E-2</v>
          </cell>
        </row>
        <row r="575">
          <cell r="G575">
            <v>8.6805555555558023E-4</v>
          </cell>
        </row>
        <row r="576">
          <cell r="G576">
            <v>2.4918981481481528E-2</v>
          </cell>
        </row>
        <row r="577">
          <cell r="G577">
            <v>1.1782407407407436E-2</v>
          </cell>
        </row>
        <row r="578">
          <cell r="G578">
            <v>2.372685185185186E-3</v>
          </cell>
        </row>
        <row r="579">
          <cell r="G579">
            <v>2.3101851851851818E-2</v>
          </cell>
        </row>
        <row r="580">
          <cell r="G580">
            <v>2.6041666666666297E-3</v>
          </cell>
        </row>
        <row r="581">
          <cell r="G581">
            <v>7.222222222222241E-3</v>
          </cell>
        </row>
        <row r="582">
          <cell r="G582">
            <v>5.5324074074074581E-3</v>
          </cell>
        </row>
        <row r="583">
          <cell r="G583">
            <v>2.0370370370370372E-2</v>
          </cell>
        </row>
        <row r="584">
          <cell r="G584">
            <v>1.1574074074073293E-3</v>
          </cell>
        </row>
        <row r="585">
          <cell r="G585">
            <v>5.7291666666666741E-3</v>
          </cell>
        </row>
        <row r="586">
          <cell r="G586">
            <v>7.0486111111111582E-3</v>
          </cell>
        </row>
        <row r="587">
          <cell r="G587">
            <v>3.5879629629629317E-3</v>
          </cell>
        </row>
        <row r="588">
          <cell r="G588">
            <v>6.4814814814817545E-4</v>
          </cell>
        </row>
        <row r="589">
          <cell r="G589">
            <v>1.7592592592592604E-2</v>
          </cell>
        </row>
        <row r="590">
          <cell r="G590">
            <v>1.431712962962961E-2</v>
          </cell>
        </row>
        <row r="591">
          <cell r="G591">
            <v>2.9814814814814794E-2</v>
          </cell>
        </row>
        <row r="592">
          <cell r="G592">
            <v>1.3541666666666619E-2</v>
          </cell>
        </row>
        <row r="593">
          <cell r="G593">
            <v>7.9861111111111382E-3</v>
          </cell>
        </row>
        <row r="594">
          <cell r="G594">
            <v>9.8032407407407374E-3</v>
          </cell>
        </row>
        <row r="595">
          <cell r="G595">
            <v>1.1458333333333459E-3</v>
          </cell>
        </row>
        <row r="596">
          <cell r="G596">
            <v>1.5729166666666627E-2</v>
          </cell>
        </row>
        <row r="597">
          <cell r="G597">
            <v>2.6273148148148073E-2</v>
          </cell>
        </row>
        <row r="598">
          <cell r="G598">
            <v>1.3622685185185279E-2</v>
          </cell>
        </row>
        <row r="599">
          <cell r="G599">
            <v>7.9166666666666829E-3</v>
          </cell>
        </row>
        <row r="600">
          <cell r="G600">
            <v>7.407407407407085E-4</v>
          </cell>
        </row>
        <row r="601">
          <cell r="G601">
            <v>1.0763888888889461E-3</v>
          </cell>
        </row>
        <row r="602">
          <cell r="G602">
            <v>1.1701388888888831E-2</v>
          </cell>
        </row>
        <row r="603">
          <cell r="G603">
            <v>2.3425925925925961E-2</v>
          </cell>
        </row>
        <row r="604">
          <cell r="G604">
            <v>2.4386574074074074E-2</v>
          </cell>
        </row>
        <row r="605">
          <cell r="G605">
            <v>2.4502314814814907E-2</v>
          </cell>
        </row>
        <row r="606">
          <cell r="G606">
            <v>3.2210648148148224E-2</v>
          </cell>
        </row>
        <row r="607">
          <cell r="G607">
            <v>1.7141203703703756E-2</v>
          </cell>
        </row>
        <row r="608">
          <cell r="G608">
            <v>4.1631944444444513E-2</v>
          </cell>
        </row>
        <row r="609">
          <cell r="G609">
            <v>3.487268518518527E-2</v>
          </cell>
        </row>
        <row r="610">
          <cell r="G610">
            <v>1.3553240740740824E-2</v>
          </cell>
        </row>
        <row r="611">
          <cell r="G611">
            <v>1.5613425925925961E-2</v>
          </cell>
        </row>
        <row r="612">
          <cell r="G612">
            <v>5.439814814814925E-4</v>
          </cell>
        </row>
        <row r="613">
          <cell r="G613">
            <v>2.5925925925925908E-3</v>
          </cell>
        </row>
        <row r="614">
          <cell r="G614">
            <v>5.1620370370370483E-3</v>
          </cell>
        </row>
        <row r="615">
          <cell r="G615">
            <v>8.0439814814814437E-3</v>
          </cell>
        </row>
        <row r="616">
          <cell r="G616">
            <v>2.4074074074074137E-3</v>
          </cell>
        </row>
        <row r="617">
          <cell r="G617">
            <v>1.0509259259259274E-2</v>
          </cell>
        </row>
        <row r="618">
          <cell r="G618">
            <v>2.8819444444445064E-3</v>
          </cell>
        </row>
        <row r="619">
          <cell r="G619">
            <v>5.3240740740740922E-3</v>
          </cell>
        </row>
        <row r="620">
          <cell r="G620">
            <v>4.0856481481481577E-3</v>
          </cell>
        </row>
        <row r="621">
          <cell r="G621">
            <v>7.0601851851853636E-4</v>
          </cell>
        </row>
        <row r="622">
          <cell r="G622">
            <v>3.2870370370370328E-3</v>
          </cell>
        </row>
        <row r="623">
          <cell r="G623">
            <v>6.0532407407407618E-3</v>
          </cell>
        </row>
        <row r="624">
          <cell r="G624">
            <v>5.63657407407403E-3</v>
          </cell>
        </row>
        <row r="625">
          <cell r="G625">
            <v>3.8425925925925641E-3</v>
          </cell>
        </row>
        <row r="626">
          <cell r="G626">
            <v>5.439814814814925E-4</v>
          </cell>
        </row>
        <row r="627">
          <cell r="G627">
            <v>1.5416666666666634E-2</v>
          </cell>
        </row>
        <row r="628">
          <cell r="G628">
            <v>7.9050925925925886E-3</v>
          </cell>
        </row>
        <row r="629">
          <cell r="G629">
            <v>1.4363425925925932E-2</v>
          </cell>
        </row>
        <row r="630">
          <cell r="G630">
            <v>1.7233796296296289E-2</v>
          </cell>
        </row>
        <row r="631">
          <cell r="G631">
            <v>1.6527777777777752E-2</v>
          </cell>
        </row>
        <row r="632">
          <cell r="G632">
            <v>3.5254629629629552E-2</v>
          </cell>
        </row>
        <row r="633">
          <cell r="G633">
            <v>2.8703703703703676E-2</v>
          </cell>
        </row>
        <row r="634">
          <cell r="G634">
            <v>1.2384259259259234E-2</v>
          </cell>
        </row>
        <row r="635">
          <cell r="G635">
            <v>8.1365740740740877E-3</v>
          </cell>
        </row>
        <row r="636">
          <cell r="G636">
            <v>1.5231481481481457E-2</v>
          </cell>
        </row>
        <row r="637">
          <cell r="G637">
            <v>1.6099537037037037E-2</v>
          </cell>
        </row>
        <row r="638">
          <cell r="G638">
            <v>2.2337962962962754E-3</v>
          </cell>
        </row>
        <row r="639">
          <cell r="G639">
            <v>2.9282407407408284E-3</v>
          </cell>
        </row>
        <row r="640">
          <cell r="G640">
            <v>2.4537037037036802E-3</v>
          </cell>
        </row>
        <row r="641">
          <cell r="G641">
            <v>7.1759259259251973E-4</v>
          </cell>
        </row>
        <row r="642">
          <cell r="G642">
            <v>5.4398148148138148E-4</v>
          </cell>
        </row>
        <row r="643">
          <cell r="G643">
            <v>4.9768518518522598E-4</v>
          </cell>
        </row>
        <row r="644">
          <cell r="G644">
            <v>1.7280092592592666E-2</v>
          </cell>
        </row>
        <row r="645">
          <cell r="G645">
            <v>2.4548611111111063E-2</v>
          </cell>
        </row>
        <row r="646">
          <cell r="G646">
            <v>5.0925925925926485E-4</v>
          </cell>
        </row>
        <row r="647">
          <cell r="G647">
            <v>1.5601851851851922E-2</v>
          </cell>
        </row>
        <row r="648">
          <cell r="G648">
            <v>5.2083333333330373E-4</v>
          </cell>
        </row>
        <row r="649">
          <cell r="G649">
            <v>4.2245370370370683E-3</v>
          </cell>
        </row>
        <row r="650">
          <cell r="G650">
            <v>1.1157407407407338E-2</v>
          </cell>
        </row>
        <row r="651">
          <cell r="G651">
            <v>1.0405092592592702E-2</v>
          </cell>
        </row>
        <row r="652">
          <cell r="G652">
            <v>1.2499999999999956E-2</v>
          </cell>
        </row>
        <row r="653">
          <cell r="G653">
            <v>1.2326388888888817E-2</v>
          </cell>
        </row>
        <row r="654">
          <cell r="G654">
            <v>1.5891203703703782E-2</v>
          </cell>
        </row>
        <row r="655">
          <cell r="G655">
            <v>4.6296296296299833E-4</v>
          </cell>
        </row>
        <row r="656">
          <cell r="G656">
            <v>1.3576388888888791E-2</v>
          </cell>
        </row>
        <row r="657">
          <cell r="G657">
            <v>6.4814814814828647E-4</v>
          </cell>
        </row>
        <row r="658">
          <cell r="G658">
            <v>1.303240740740752E-2</v>
          </cell>
        </row>
        <row r="659">
          <cell r="G659">
            <v>6.250000000000977E-4</v>
          </cell>
        </row>
        <row r="660">
          <cell r="G660">
            <v>1.8287037037037046E-2</v>
          </cell>
        </row>
        <row r="661">
          <cell r="G661">
            <v>1.0648148148147962E-3</v>
          </cell>
        </row>
        <row r="662">
          <cell r="G662">
            <v>3.0555555555555891E-3</v>
          </cell>
        </row>
        <row r="663">
          <cell r="G663">
            <v>6.4004629629629828E-3</v>
          </cell>
        </row>
        <row r="664">
          <cell r="G664">
            <v>1.5613425925925961E-2</v>
          </cell>
        </row>
        <row r="665">
          <cell r="G665">
            <v>1.3576388888888902E-2</v>
          </cell>
        </row>
        <row r="666">
          <cell r="G666">
            <v>2.9050925925926396E-3</v>
          </cell>
        </row>
        <row r="667">
          <cell r="G667">
            <v>1.2962962962962399E-3</v>
          </cell>
        </row>
        <row r="668">
          <cell r="G668">
            <v>1.4594907407407431E-2</v>
          </cell>
        </row>
        <row r="669">
          <cell r="G669">
            <v>8.8425925925925686E-3</v>
          </cell>
        </row>
        <row r="670">
          <cell r="G670">
            <v>1.1944444444444424E-2</v>
          </cell>
        </row>
        <row r="671">
          <cell r="G671">
            <v>1.5046296296296058E-3</v>
          </cell>
        </row>
        <row r="672">
          <cell r="G672">
            <v>8.2523148148148096E-3</v>
          </cell>
        </row>
        <row r="673">
          <cell r="G673">
            <v>1.7824074074073715E-3</v>
          </cell>
        </row>
        <row r="674">
          <cell r="G674">
            <v>5.5555555555558689E-4</v>
          </cell>
        </row>
        <row r="675">
          <cell r="G675">
            <v>6.967592592592553E-3</v>
          </cell>
        </row>
        <row r="676">
          <cell r="G676">
            <v>8.2986111111111316E-3</v>
          </cell>
        </row>
        <row r="677">
          <cell r="G677">
            <v>7.6273148148147674E-3</v>
          </cell>
        </row>
        <row r="678">
          <cell r="G678">
            <v>2.1759259259259145E-3</v>
          </cell>
        </row>
        <row r="679">
          <cell r="G679">
            <v>7.1759259259259189E-3</v>
          </cell>
        </row>
        <row r="680">
          <cell r="G680">
            <v>3.5879629629620435E-4</v>
          </cell>
        </row>
        <row r="681">
          <cell r="G681">
            <v>2.083333333333659E-4</v>
          </cell>
        </row>
        <row r="682">
          <cell r="G682">
            <v>1.244212962962965E-2</v>
          </cell>
        </row>
        <row r="683">
          <cell r="G683">
            <v>5.2083333333335924E-4</v>
          </cell>
        </row>
        <row r="684">
          <cell r="G684">
            <v>1.6574074074074074E-2</v>
          </cell>
        </row>
        <row r="685">
          <cell r="G685">
            <v>8.9699074074074403E-3</v>
          </cell>
        </row>
        <row r="686">
          <cell r="G686">
            <v>6.0185185185190893E-4</v>
          </cell>
        </row>
        <row r="687">
          <cell r="G687">
            <v>1.4583333333333393E-3</v>
          </cell>
        </row>
        <row r="688">
          <cell r="G688">
            <v>2.5810185185184409E-3</v>
          </cell>
        </row>
        <row r="689">
          <cell r="G689">
            <v>2.1990740740740478E-4</v>
          </cell>
        </row>
        <row r="690">
          <cell r="G690">
            <v>9.0277777777780788E-4</v>
          </cell>
        </row>
        <row r="691">
          <cell r="G691">
            <v>1.2280092592592662E-2</v>
          </cell>
        </row>
        <row r="692">
          <cell r="G692">
            <v>1.5833333333333366E-2</v>
          </cell>
        </row>
        <row r="693">
          <cell r="G693">
            <v>3.8194444444444864E-3</v>
          </cell>
        </row>
        <row r="694">
          <cell r="G694">
            <v>1.1180555555555638E-2</v>
          </cell>
        </row>
        <row r="695">
          <cell r="G695">
            <v>2.6319444444444451E-2</v>
          </cell>
        </row>
        <row r="696">
          <cell r="G696">
            <v>1.5833333333333366E-2</v>
          </cell>
        </row>
        <row r="697">
          <cell r="G697">
            <v>9.98842592592597E-3</v>
          </cell>
        </row>
        <row r="698">
          <cell r="G698">
            <v>5.5555555555553138E-4</v>
          </cell>
        </row>
        <row r="699">
          <cell r="G699">
            <v>1.0358796296296213E-2</v>
          </cell>
        </row>
        <row r="700">
          <cell r="G700">
            <v>8.2986111111111871E-3</v>
          </cell>
        </row>
        <row r="701">
          <cell r="G701">
            <v>6.7129629629636423E-4</v>
          </cell>
        </row>
        <row r="702">
          <cell r="G702">
            <v>1.0486111111111085E-2</v>
          </cell>
        </row>
        <row r="703">
          <cell r="G703">
            <v>2.3807870370370243E-2</v>
          </cell>
        </row>
        <row r="704">
          <cell r="G704">
            <v>1.7245370370371216E-3</v>
          </cell>
        </row>
        <row r="705">
          <cell r="G705">
            <v>8.009259259259327E-3</v>
          </cell>
        </row>
        <row r="706">
          <cell r="G706">
            <v>9.2245370370369617E-3</v>
          </cell>
        </row>
        <row r="707">
          <cell r="G707">
            <v>3.6226851851850483E-3</v>
          </cell>
        </row>
        <row r="708">
          <cell r="G708">
            <v>1.3275462962963003E-2</v>
          </cell>
        </row>
        <row r="709">
          <cell r="G709">
            <v>4.5370370370370061E-3</v>
          </cell>
        </row>
        <row r="710">
          <cell r="G710">
            <v>4.6296296296310935E-4</v>
          </cell>
        </row>
        <row r="711">
          <cell r="G711">
            <v>1.6574074074073963E-2</v>
          </cell>
        </row>
        <row r="712">
          <cell r="G712">
            <v>1.5694444444444566E-2</v>
          </cell>
        </row>
        <row r="713">
          <cell r="G713">
            <v>4.629629629628873E-4</v>
          </cell>
        </row>
        <row r="714">
          <cell r="G714">
            <v>1.3981481481481484E-2</v>
          </cell>
        </row>
        <row r="715">
          <cell r="G715">
            <v>1.9108796296296249E-2</v>
          </cell>
        </row>
        <row r="716">
          <cell r="G716">
            <v>9.6296296296296546E-3</v>
          </cell>
        </row>
        <row r="717">
          <cell r="G717">
            <v>5.1041666666665764E-3</v>
          </cell>
        </row>
        <row r="718">
          <cell r="G718">
            <v>1.8032407407407414E-2</v>
          </cell>
        </row>
        <row r="719">
          <cell r="G719">
            <v>3.1365740740740833E-3</v>
          </cell>
        </row>
        <row r="720">
          <cell r="G720">
            <v>1.2037037037037068E-3</v>
          </cell>
        </row>
        <row r="721">
          <cell r="G721">
            <v>7.9976851851852326E-3</v>
          </cell>
        </row>
        <row r="722">
          <cell r="G722">
            <v>8.8078703703703964E-3</v>
          </cell>
        </row>
        <row r="723">
          <cell r="G723">
            <v>1.815972222222223E-2</v>
          </cell>
        </row>
        <row r="724">
          <cell r="G724">
            <v>7.1759259259259744E-3</v>
          </cell>
        </row>
        <row r="725">
          <cell r="G725">
            <v>2.3182870370370423E-2</v>
          </cell>
        </row>
        <row r="726">
          <cell r="G726">
            <v>3.3564814814814881E-3</v>
          </cell>
        </row>
        <row r="727">
          <cell r="G727">
            <v>1.5740740740740666E-2</v>
          </cell>
        </row>
        <row r="728">
          <cell r="G728">
            <v>6.0185185185185341E-3</v>
          </cell>
        </row>
        <row r="729">
          <cell r="G729">
            <v>1.8865740740741099E-3</v>
          </cell>
        </row>
        <row r="730">
          <cell r="G730">
            <v>1.1898148148148047E-2</v>
          </cell>
        </row>
        <row r="731">
          <cell r="G731">
            <v>1.3229166666666681E-2</v>
          </cell>
        </row>
        <row r="732">
          <cell r="G732">
            <v>1.1053240740740711E-2</v>
          </cell>
        </row>
        <row r="733">
          <cell r="G733">
            <v>2.9050925925925841E-3</v>
          </cell>
        </row>
        <row r="734">
          <cell r="G734">
            <v>2.7430555555555958E-3</v>
          </cell>
        </row>
        <row r="735">
          <cell r="G735">
            <v>2.0023148148147762E-3</v>
          </cell>
        </row>
        <row r="736">
          <cell r="G736">
            <v>1.5046296296295503E-3</v>
          </cell>
        </row>
        <row r="737">
          <cell r="G737">
            <v>8.4722222222222143E-3</v>
          </cell>
        </row>
        <row r="738">
          <cell r="G738">
            <v>8.1944444444445041E-3</v>
          </cell>
        </row>
        <row r="739">
          <cell r="G739">
            <v>5.4629629629630028E-3</v>
          </cell>
        </row>
        <row r="740">
          <cell r="G740">
            <v>1.3067129629629637E-2</v>
          </cell>
        </row>
        <row r="741">
          <cell r="G741">
            <v>1.2037037037037068E-3</v>
          </cell>
        </row>
        <row r="742">
          <cell r="G742">
            <v>6.7476851851851483E-3</v>
          </cell>
        </row>
        <row r="743">
          <cell r="G743">
            <v>1.6145833333333304E-2</v>
          </cell>
        </row>
        <row r="744">
          <cell r="G744">
            <v>8.2754629629629428E-3</v>
          </cell>
        </row>
        <row r="745">
          <cell r="G745">
            <v>1.5393518518518334E-3</v>
          </cell>
        </row>
        <row r="746">
          <cell r="G746">
            <v>1.164351851851847E-2</v>
          </cell>
        </row>
        <row r="747">
          <cell r="G747">
            <v>2.4305555555559355E-4</v>
          </cell>
        </row>
        <row r="748">
          <cell r="G748">
            <v>3.8194444444439313E-4</v>
          </cell>
        </row>
        <row r="749">
          <cell r="G749">
            <v>1.7453703703703694E-2</v>
          </cell>
        </row>
        <row r="750">
          <cell r="G750">
            <v>1.5474537037037051E-2</v>
          </cell>
        </row>
        <row r="751">
          <cell r="G751">
            <v>2.6041666666666297E-3</v>
          </cell>
        </row>
        <row r="752">
          <cell r="G752">
            <v>1.1666666666666603E-2</v>
          </cell>
        </row>
        <row r="753">
          <cell r="G753">
            <v>3.254629629629624E-2</v>
          </cell>
        </row>
        <row r="754">
          <cell r="G754">
            <v>2.4884259259259078E-3</v>
          </cell>
        </row>
        <row r="755">
          <cell r="G755">
            <v>2.0706018518518499E-2</v>
          </cell>
        </row>
        <row r="756">
          <cell r="G756">
            <v>1.9016203703703716E-2</v>
          </cell>
        </row>
        <row r="757">
          <cell r="G757">
            <v>1.4375000000000027E-2</v>
          </cell>
        </row>
        <row r="758">
          <cell r="G758">
            <v>1.3402777777777763E-2</v>
          </cell>
        </row>
        <row r="759">
          <cell r="G759">
            <v>1.6087962962962887E-2</v>
          </cell>
        </row>
        <row r="760">
          <cell r="G760">
            <v>6.8287037037035869E-3</v>
          </cell>
        </row>
        <row r="761">
          <cell r="G761">
            <v>4.5023148148147785E-3</v>
          </cell>
        </row>
        <row r="762">
          <cell r="G762">
            <v>1.1840277777777852E-2</v>
          </cell>
        </row>
        <row r="763">
          <cell r="G763">
            <v>1.2222222222222134E-2</v>
          </cell>
        </row>
        <row r="764">
          <cell r="G764">
            <v>1.1249999999999982E-2</v>
          </cell>
        </row>
        <row r="765">
          <cell r="G765">
            <v>7.8240740740740389E-3</v>
          </cell>
        </row>
        <row r="766">
          <cell r="G766">
            <v>1.3657407407406952E-3</v>
          </cell>
        </row>
        <row r="767">
          <cell r="G767">
            <v>2.9398148148147563E-3</v>
          </cell>
        </row>
        <row r="768">
          <cell r="G768">
            <v>8.8773148148149073E-3</v>
          </cell>
        </row>
        <row r="769">
          <cell r="G769">
            <v>1.2430555555555611E-2</v>
          </cell>
        </row>
        <row r="770">
          <cell r="G770">
            <v>9.4444444444444775E-3</v>
          </cell>
        </row>
        <row r="771">
          <cell r="G771">
            <v>1.0208333333333375E-2</v>
          </cell>
        </row>
        <row r="772">
          <cell r="G772">
            <v>9.1087962962962399E-3</v>
          </cell>
        </row>
        <row r="773">
          <cell r="G773">
            <v>9.3171296296296058E-3</v>
          </cell>
        </row>
        <row r="774">
          <cell r="G774">
            <v>1.54861111111112E-2</v>
          </cell>
        </row>
        <row r="775">
          <cell r="G775">
            <v>1.2442129629629761E-2</v>
          </cell>
        </row>
        <row r="776">
          <cell r="G776">
            <v>1.5601851851851811E-2</v>
          </cell>
        </row>
        <row r="777">
          <cell r="G777">
            <v>1.8587962962962945E-2</v>
          </cell>
        </row>
        <row r="778">
          <cell r="G778">
            <v>1.087962962962985E-3</v>
          </cell>
        </row>
        <row r="779">
          <cell r="G779">
            <v>1.7581018518518565E-2</v>
          </cell>
        </row>
        <row r="780">
          <cell r="G780">
            <v>2.8981481481481497E-2</v>
          </cell>
        </row>
        <row r="781">
          <cell r="G781">
            <v>3.8935185185185239E-2</v>
          </cell>
        </row>
        <row r="782">
          <cell r="G782">
            <v>3.8391203703703636E-2</v>
          </cell>
        </row>
        <row r="783">
          <cell r="G783">
            <v>4.3506944444444584E-2</v>
          </cell>
        </row>
        <row r="784">
          <cell r="G784">
            <v>2.6620370370371016E-3</v>
          </cell>
        </row>
        <row r="785">
          <cell r="G785">
            <v>1.5879629629629577E-2</v>
          </cell>
        </row>
        <row r="786">
          <cell r="G786">
            <v>2.4502314814814741E-2</v>
          </cell>
        </row>
        <row r="787">
          <cell r="G787">
            <v>1.0092592592592542E-2</v>
          </cell>
        </row>
        <row r="788">
          <cell r="G788">
            <v>3.0208333333333059E-3</v>
          </cell>
        </row>
        <row r="789">
          <cell r="G789">
            <v>1.3333333333333308E-2</v>
          </cell>
        </row>
        <row r="790">
          <cell r="G790">
            <v>1.1990740740740691E-2</v>
          </cell>
        </row>
        <row r="791">
          <cell r="G791">
            <v>1.1944444444444369E-2</v>
          </cell>
        </row>
        <row r="792">
          <cell r="G792">
            <v>6.0185185185185897E-3</v>
          </cell>
        </row>
        <row r="793">
          <cell r="G793">
            <v>1.5219907407407418E-2</v>
          </cell>
        </row>
        <row r="794">
          <cell r="G794">
            <v>1.7025462962962923E-2</v>
          </cell>
        </row>
        <row r="795">
          <cell r="G795">
            <v>1.7256944444444422E-2</v>
          </cell>
        </row>
        <row r="796">
          <cell r="G796">
            <v>1.1377314814814743E-2</v>
          </cell>
        </row>
        <row r="797">
          <cell r="G797">
            <v>1.0451388888888857E-2</v>
          </cell>
        </row>
        <row r="798">
          <cell r="G798">
            <v>1.7662037037037004E-2</v>
          </cell>
        </row>
        <row r="799">
          <cell r="G799">
            <v>1.8541666666666734E-2</v>
          </cell>
        </row>
        <row r="800">
          <cell r="G800">
            <v>1.1562500000000031E-2</v>
          </cell>
        </row>
        <row r="801">
          <cell r="G801">
            <v>1.1388888888888893E-2</v>
          </cell>
        </row>
        <row r="802">
          <cell r="G802">
            <v>5.532407407407347E-3</v>
          </cell>
        </row>
        <row r="803">
          <cell r="G803">
            <v>1.0891203703703667E-2</v>
          </cell>
        </row>
        <row r="804">
          <cell r="G804">
            <v>8.4490740740728043E-4</v>
          </cell>
        </row>
        <row r="805">
          <cell r="G805">
            <v>2.3148148148155467E-4</v>
          </cell>
        </row>
        <row r="806">
          <cell r="G806">
            <v>1.6319444444444775E-3</v>
          </cell>
        </row>
        <row r="807">
          <cell r="G807">
            <v>1.4930555555554559E-3</v>
          </cell>
        </row>
        <row r="808">
          <cell r="G808">
            <v>1.1458333333334014E-3</v>
          </cell>
        </row>
        <row r="809">
          <cell r="G809">
            <v>1.5532407407407356E-2</v>
          </cell>
        </row>
        <row r="810">
          <cell r="G810">
            <v>1.1087962962962883E-2</v>
          </cell>
        </row>
        <row r="811">
          <cell r="G811">
            <v>1.5000000000000013E-2</v>
          </cell>
        </row>
        <row r="812">
          <cell r="G812">
            <v>9.8148148148147207E-3</v>
          </cell>
        </row>
        <row r="813">
          <cell r="G813">
            <v>1.1249999999999982E-2</v>
          </cell>
        </row>
        <row r="814">
          <cell r="G814">
            <v>1.0706018518518601E-2</v>
          </cell>
        </row>
        <row r="815">
          <cell r="G815">
            <v>1.1550925925925881E-2</v>
          </cell>
        </row>
        <row r="816">
          <cell r="G816">
            <v>8.5648148148143033E-4</v>
          </cell>
        </row>
        <row r="817">
          <cell r="G817">
            <v>7.4652777777777235E-3</v>
          </cell>
        </row>
        <row r="818">
          <cell r="G818">
            <v>9.6296296296296546E-3</v>
          </cell>
        </row>
        <row r="819">
          <cell r="G819">
            <v>1.388888888888884E-3</v>
          </cell>
        </row>
        <row r="820">
          <cell r="G820">
            <v>1.5972222222222165E-2</v>
          </cell>
        </row>
        <row r="821">
          <cell r="G821">
            <v>1.9166666666666665E-2</v>
          </cell>
        </row>
        <row r="822">
          <cell r="G822">
            <v>5.2083333333330373E-4</v>
          </cell>
        </row>
        <row r="823">
          <cell r="G823">
            <v>1.8321759259259274E-2</v>
          </cell>
        </row>
        <row r="824">
          <cell r="G824">
            <v>7.5231481481474738E-4</v>
          </cell>
        </row>
        <row r="825">
          <cell r="G825">
            <v>1.0995370370370239E-3</v>
          </cell>
        </row>
        <row r="826">
          <cell r="G826">
            <v>5.324074074073426E-4</v>
          </cell>
        </row>
        <row r="827">
          <cell r="G827">
            <v>1.5509259259259833E-3</v>
          </cell>
        </row>
        <row r="828">
          <cell r="G828">
            <v>2.5937499999999947E-2</v>
          </cell>
        </row>
        <row r="829">
          <cell r="G829">
            <v>5.439814814814925E-4</v>
          </cell>
        </row>
        <row r="830">
          <cell r="G830">
            <v>2.2094907407407494E-2</v>
          </cell>
        </row>
        <row r="831">
          <cell r="G831">
            <v>1.6203703703703831E-3</v>
          </cell>
        </row>
        <row r="832">
          <cell r="G832">
            <v>1.1979166666666707E-2</v>
          </cell>
        </row>
        <row r="833">
          <cell r="G833">
            <v>7.5578703703704231E-3</v>
          </cell>
        </row>
        <row r="834">
          <cell r="G834">
            <v>6.4583333333333437E-3</v>
          </cell>
        </row>
        <row r="835">
          <cell r="G835">
            <v>5.8449074074073959E-3</v>
          </cell>
        </row>
        <row r="836">
          <cell r="G836">
            <v>3.8194444444450415E-4</v>
          </cell>
        </row>
        <row r="837">
          <cell r="G837">
            <v>5.7870370370366464E-4</v>
          </cell>
        </row>
        <row r="838">
          <cell r="G838">
            <v>8.1828703703703543E-3</v>
          </cell>
        </row>
        <row r="839">
          <cell r="G839">
            <v>2.777777777778212E-4</v>
          </cell>
        </row>
        <row r="840">
          <cell r="G840">
            <v>1.6203703703698835E-4</v>
          </cell>
        </row>
        <row r="841">
          <cell r="G841">
            <v>7.4537037037037956E-3</v>
          </cell>
        </row>
        <row r="842">
          <cell r="G842">
            <v>5.0810185185184431E-3</v>
          </cell>
        </row>
        <row r="843">
          <cell r="G843">
            <v>4.2592592592592404E-3</v>
          </cell>
        </row>
        <row r="844">
          <cell r="G844">
            <v>8.703703703703658E-3</v>
          </cell>
        </row>
        <row r="845">
          <cell r="G845">
            <v>1.55555555555556E-2</v>
          </cell>
        </row>
        <row r="846">
          <cell r="G846">
            <v>1.8171296296296546E-3</v>
          </cell>
        </row>
        <row r="847">
          <cell r="G847">
            <v>6.2499999999993117E-4</v>
          </cell>
        </row>
        <row r="848">
          <cell r="G848">
            <v>1.3842592592592629E-2</v>
          </cell>
        </row>
        <row r="849">
          <cell r="G849">
            <v>8.402777777777759E-3</v>
          </cell>
        </row>
        <row r="850">
          <cell r="G850">
            <v>3.2175925925925775E-3</v>
          </cell>
        </row>
        <row r="851">
          <cell r="G851">
            <v>1.782407407407427E-3</v>
          </cell>
        </row>
        <row r="852">
          <cell r="G852">
            <v>1.2280092592592551E-2</v>
          </cell>
        </row>
        <row r="853">
          <cell r="G853">
            <v>1.0451388888888857E-2</v>
          </cell>
        </row>
        <row r="854">
          <cell r="G854">
            <v>1.5671296296296267E-2</v>
          </cell>
        </row>
        <row r="855">
          <cell r="G855">
            <v>1.129629629629636E-2</v>
          </cell>
        </row>
        <row r="856">
          <cell r="G856">
            <v>1.9097222222221877E-3</v>
          </cell>
        </row>
        <row r="857">
          <cell r="G857">
            <v>5.9606481481482287E-3</v>
          </cell>
        </row>
        <row r="858">
          <cell r="G858">
            <v>2.280092592592653E-3</v>
          </cell>
        </row>
        <row r="859">
          <cell r="G859">
            <v>3.1712962962961999E-3</v>
          </cell>
        </row>
        <row r="860">
          <cell r="G860">
            <v>4.4675925925925508E-3</v>
          </cell>
        </row>
        <row r="861">
          <cell r="G861">
            <v>3.6689814814815369E-3</v>
          </cell>
        </row>
        <row r="862">
          <cell r="G862">
            <v>8.2291666666666208E-3</v>
          </cell>
        </row>
        <row r="863">
          <cell r="G863">
            <v>1.2615740740741233E-3</v>
          </cell>
        </row>
        <row r="864">
          <cell r="G864">
            <v>1.1319444444444438E-2</v>
          </cell>
        </row>
        <row r="865">
          <cell r="G865">
            <v>1.5821759259259216E-2</v>
          </cell>
        </row>
        <row r="866">
          <cell r="G866">
            <v>5.6944444444444464E-3</v>
          </cell>
        </row>
        <row r="867">
          <cell r="G867">
            <v>3.9351851851854303E-4</v>
          </cell>
        </row>
        <row r="868">
          <cell r="G868">
            <v>5.6134259259259522E-3</v>
          </cell>
        </row>
        <row r="869">
          <cell r="G869">
            <v>1.4490740740740748E-2</v>
          </cell>
        </row>
        <row r="870">
          <cell r="G870">
            <v>1.6458333333333353E-2</v>
          </cell>
        </row>
        <row r="871">
          <cell r="G871">
            <v>4.3634259259258679E-3</v>
          </cell>
        </row>
        <row r="872">
          <cell r="G872">
            <v>1.3460648148148069E-2</v>
          </cell>
        </row>
        <row r="873">
          <cell r="G873">
            <v>1.6377314814814747E-2</v>
          </cell>
        </row>
        <row r="874">
          <cell r="G874">
            <v>3.6226851851852704E-3</v>
          </cell>
        </row>
        <row r="875">
          <cell r="G875">
            <v>3.5879629629631538E-4</v>
          </cell>
        </row>
        <row r="876">
          <cell r="G876">
            <v>1.4305555555555571E-2</v>
          </cell>
        </row>
        <row r="877">
          <cell r="G877">
            <v>9.2592592592588563E-4</v>
          </cell>
        </row>
        <row r="878">
          <cell r="G878">
            <v>2.8321759259259283E-2</v>
          </cell>
        </row>
        <row r="879">
          <cell r="G879">
            <v>1.7118055555555567E-2</v>
          </cell>
        </row>
        <row r="880">
          <cell r="G880">
            <v>1.1331018518518698E-2</v>
          </cell>
        </row>
        <row r="881">
          <cell r="G881">
            <v>2.2592592592592609E-2</v>
          </cell>
        </row>
        <row r="882">
          <cell r="G882">
            <v>2.285879629629628E-2</v>
          </cell>
        </row>
        <row r="883">
          <cell r="G883">
            <v>2.655092592592595E-2</v>
          </cell>
        </row>
        <row r="884">
          <cell r="G884">
            <v>2.6666666666666616E-2</v>
          </cell>
        </row>
        <row r="885">
          <cell r="G885">
            <v>2.2175925925925877E-2</v>
          </cell>
        </row>
        <row r="886">
          <cell r="G886">
            <v>4.5138888888888729E-3</v>
          </cell>
        </row>
        <row r="887">
          <cell r="G887">
            <v>3.4953703703703431E-3</v>
          </cell>
        </row>
        <row r="888">
          <cell r="G888">
            <v>1.2627314814814772E-2</v>
          </cell>
        </row>
        <row r="889">
          <cell r="G889">
            <v>1.1006944444444444E-2</v>
          </cell>
        </row>
        <row r="890">
          <cell r="G890">
            <v>9.3518518518518334E-3</v>
          </cell>
        </row>
        <row r="891">
          <cell r="G891">
            <v>3.2407407407407107E-3</v>
          </cell>
        </row>
        <row r="892">
          <cell r="G892">
            <v>1.5856481481481499E-2</v>
          </cell>
        </row>
        <row r="893">
          <cell r="G893">
            <v>1.027777777777783E-2</v>
          </cell>
        </row>
        <row r="894">
          <cell r="G894">
            <v>7.7083333333333171E-3</v>
          </cell>
        </row>
        <row r="895">
          <cell r="G895">
            <v>1.5682870370370361E-2</v>
          </cell>
        </row>
        <row r="896">
          <cell r="G896">
            <v>1.3194444444444398E-2</v>
          </cell>
        </row>
        <row r="897">
          <cell r="G897">
            <v>1.2650462962962905E-2</v>
          </cell>
        </row>
        <row r="898">
          <cell r="G898">
            <v>8.0787037037037268E-3</v>
          </cell>
        </row>
        <row r="899">
          <cell r="G899">
            <v>8.4490740740739145E-4</v>
          </cell>
        </row>
        <row r="900">
          <cell r="G900">
            <v>1.5740740740740611E-3</v>
          </cell>
        </row>
        <row r="901">
          <cell r="G901">
            <v>9.8032407407407374E-3</v>
          </cell>
        </row>
        <row r="902">
          <cell r="G902">
            <v>1.5648148148148189E-2</v>
          </cell>
        </row>
        <row r="903">
          <cell r="G903">
            <v>1.1226851851851904E-2</v>
          </cell>
        </row>
        <row r="904">
          <cell r="G904">
            <v>3.9351851851854303E-4</v>
          </cell>
        </row>
        <row r="905">
          <cell r="G905">
            <v>1.186342592592593E-2</v>
          </cell>
        </row>
        <row r="906">
          <cell r="G906">
            <v>9.9189814814815147E-3</v>
          </cell>
        </row>
        <row r="907">
          <cell r="G907">
            <v>1.0023148148148087E-2</v>
          </cell>
        </row>
        <row r="908">
          <cell r="G908">
            <v>6.6435185185185208E-3</v>
          </cell>
        </row>
        <row r="909">
          <cell r="G909">
            <v>7.0601851851848085E-4</v>
          </cell>
        </row>
        <row r="910">
          <cell r="G910">
            <v>3.9351851851854303E-4</v>
          </cell>
        </row>
        <row r="911">
          <cell r="G911">
            <v>3.5879629629631538E-4</v>
          </cell>
        </row>
        <row r="912">
          <cell r="G912">
            <v>8.4143518518519089E-3</v>
          </cell>
        </row>
        <row r="913">
          <cell r="G913">
            <v>1.6724537037037024E-2</v>
          </cell>
        </row>
        <row r="914">
          <cell r="G914">
            <v>1.8090277777777719E-2</v>
          </cell>
        </row>
        <row r="915">
          <cell r="G915">
            <v>3.7349537037037139E-2</v>
          </cell>
        </row>
        <row r="916">
          <cell r="G916">
            <v>7.3263888888889239E-3</v>
          </cell>
        </row>
        <row r="917">
          <cell r="G917">
            <v>3.7534722222222316E-2</v>
          </cell>
        </row>
        <row r="918">
          <cell r="G918">
            <v>3.2094907407407391E-2</v>
          </cell>
        </row>
        <row r="919">
          <cell r="G919">
            <v>3.93518518518432E-4</v>
          </cell>
        </row>
        <row r="920">
          <cell r="G920">
            <v>9.2361111111110561E-3</v>
          </cell>
        </row>
        <row r="921">
          <cell r="G921">
            <v>1.2939814814814765E-2</v>
          </cell>
        </row>
        <row r="922">
          <cell r="G922">
            <v>6.0185185185185341E-4</v>
          </cell>
        </row>
        <row r="923">
          <cell r="G923">
            <v>1.7905092592592597E-2</v>
          </cell>
        </row>
        <row r="924">
          <cell r="G924">
            <v>1.5810185185185177E-2</v>
          </cell>
        </row>
        <row r="925">
          <cell r="G925">
            <v>1.6527777777777752E-2</v>
          </cell>
        </row>
        <row r="926">
          <cell r="G926">
            <v>1.4293981481481421E-2</v>
          </cell>
        </row>
        <row r="927">
          <cell r="G927">
            <v>1.4861111111111158E-2</v>
          </cell>
        </row>
        <row r="928">
          <cell r="G928">
            <v>9.7222222222220767E-4</v>
          </cell>
        </row>
        <row r="929">
          <cell r="G929">
            <v>1.1342592592592571E-2</v>
          </cell>
        </row>
        <row r="930">
          <cell r="G930">
            <v>1.1562500000000087E-2</v>
          </cell>
        </row>
        <row r="931">
          <cell r="G931">
            <v>1.4583333333332282E-3</v>
          </cell>
        </row>
        <row r="932">
          <cell r="G932">
            <v>2.0636574074074099E-2</v>
          </cell>
        </row>
        <row r="933">
          <cell r="G933">
            <v>1.3136574074074037E-2</v>
          </cell>
        </row>
        <row r="934">
          <cell r="G934">
            <v>7.3958333333333237E-3</v>
          </cell>
        </row>
        <row r="935">
          <cell r="G935">
            <v>1.157407407407407E-2</v>
          </cell>
        </row>
        <row r="936">
          <cell r="G936">
            <v>9.594907407407427E-3</v>
          </cell>
        </row>
        <row r="937">
          <cell r="G937">
            <v>6.2384259259259389E-3</v>
          </cell>
        </row>
        <row r="938">
          <cell r="G938">
            <v>4.3171296296296013E-3</v>
          </cell>
        </row>
        <row r="939">
          <cell r="G939">
            <v>3.067129629629628E-3</v>
          </cell>
        </row>
        <row r="940">
          <cell r="G940">
            <v>2.9513888888889062E-3</v>
          </cell>
        </row>
        <row r="941">
          <cell r="G941">
            <v>3.356481481481266E-4</v>
          </cell>
        </row>
        <row r="942">
          <cell r="G942">
            <v>2.2210648148148215E-2</v>
          </cell>
        </row>
        <row r="943">
          <cell r="G943">
            <v>2.0219907407407423E-2</v>
          </cell>
        </row>
        <row r="944">
          <cell r="G944">
            <v>1.1597222222222259E-2</v>
          </cell>
        </row>
        <row r="945">
          <cell r="G945">
            <v>1.2916666666666687E-2</v>
          </cell>
        </row>
        <row r="946">
          <cell r="G946">
            <v>8.9583333333332904E-3</v>
          </cell>
        </row>
        <row r="947">
          <cell r="G947">
            <v>3.0092592592589895E-4</v>
          </cell>
        </row>
        <row r="948">
          <cell r="G948">
            <v>1.1168981481481488E-2</v>
          </cell>
        </row>
        <row r="949">
          <cell r="G949">
            <v>1.0868055555555589E-2</v>
          </cell>
        </row>
        <row r="950">
          <cell r="G950">
            <v>1.0509259259259274E-2</v>
          </cell>
        </row>
        <row r="951">
          <cell r="G951">
            <v>1.4212962962962927E-2</v>
          </cell>
        </row>
        <row r="952">
          <cell r="G952">
            <v>2.2118055555555571E-2</v>
          </cell>
        </row>
        <row r="953">
          <cell r="G953">
            <v>5.7870370370416424E-5</v>
          </cell>
        </row>
        <row r="954">
          <cell r="G954">
            <v>1.8460648148148184E-2</v>
          </cell>
        </row>
        <row r="955">
          <cell r="G955">
            <v>3.5555555555555562E-2</v>
          </cell>
        </row>
        <row r="956">
          <cell r="G956">
            <v>1.3587962962963052E-2</v>
          </cell>
        </row>
        <row r="957">
          <cell r="G957">
            <v>1.5937500000000049E-2</v>
          </cell>
        </row>
        <row r="958">
          <cell r="G958">
            <v>3.8194444444450415E-4</v>
          </cell>
        </row>
        <row r="959">
          <cell r="G959">
            <v>2.3379629629629584E-2</v>
          </cell>
        </row>
        <row r="960">
          <cell r="G960">
            <v>1.2962962962961289E-3</v>
          </cell>
        </row>
        <row r="961">
          <cell r="G961">
            <v>1.8217592592592702E-2</v>
          </cell>
        </row>
        <row r="962">
          <cell r="G962">
            <v>3.1249999999993783E-4</v>
          </cell>
        </row>
        <row r="963">
          <cell r="G963">
            <v>5.0810185185184986E-3</v>
          </cell>
        </row>
        <row r="964">
          <cell r="G964">
            <v>4.3171296296296569E-3</v>
          </cell>
        </row>
        <row r="965">
          <cell r="G965">
            <v>3.472222222222765E-4</v>
          </cell>
        </row>
        <row r="966">
          <cell r="G966">
            <v>4.0983796296296338E-2</v>
          </cell>
        </row>
        <row r="967">
          <cell r="G967">
            <v>3.9953703703703769E-2</v>
          </cell>
        </row>
        <row r="968">
          <cell r="G968">
            <v>3.3807870370370363E-2</v>
          </cell>
        </row>
        <row r="969">
          <cell r="G969">
            <v>4.4675925925925508E-3</v>
          </cell>
        </row>
        <row r="970">
          <cell r="G970">
            <v>3.349537037037037E-2</v>
          </cell>
        </row>
        <row r="971">
          <cell r="G971">
            <v>1.0358796296296213E-2</v>
          </cell>
        </row>
        <row r="972">
          <cell r="G972">
            <v>2.2361111111111165E-2</v>
          </cell>
        </row>
        <row r="973">
          <cell r="G973">
            <v>2.1990740740740811E-2</v>
          </cell>
        </row>
        <row r="974">
          <cell r="G974">
            <v>7.6851851851852393E-3</v>
          </cell>
        </row>
        <row r="975">
          <cell r="G975">
            <v>8.6574074074073915E-3</v>
          </cell>
        </row>
        <row r="976">
          <cell r="G976">
            <v>8.2986111111110761E-3</v>
          </cell>
        </row>
        <row r="977">
          <cell r="G977">
            <v>3.7731481481481643E-3</v>
          </cell>
        </row>
        <row r="978">
          <cell r="G978">
            <v>9.3287037037037002E-3</v>
          </cell>
        </row>
        <row r="979">
          <cell r="G979">
            <v>1.0578703703703729E-2</v>
          </cell>
        </row>
        <row r="980">
          <cell r="G980">
            <v>2.7500000000000024E-2</v>
          </cell>
        </row>
        <row r="981">
          <cell r="G981">
            <v>1.3576388888888902E-2</v>
          </cell>
        </row>
        <row r="982">
          <cell r="G982">
            <v>3.5069444444444375E-3</v>
          </cell>
        </row>
        <row r="983">
          <cell r="G983">
            <v>3.472222222222765E-5</v>
          </cell>
        </row>
        <row r="984">
          <cell r="G984">
            <v>2.0833333333333814E-3</v>
          </cell>
        </row>
        <row r="985">
          <cell r="G985">
            <v>1.6203703703709937E-4</v>
          </cell>
        </row>
        <row r="986">
          <cell r="G986">
            <v>2.777777777778212E-4</v>
          </cell>
        </row>
        <row r="987">
          <cell r="G987">
            <v>1.1643518518518525E-2</v>
          </cell>
        </row>
        <row r="988">
          <cell r="G988">
            <v>8.6921296296296191E-3</v>
          </cell>
        </row>
        <row r="989">
          <cell r="G989">
            <v>1.0069444444444464E-2</v>
          </cell>
        </row>
        <row r="990">
          <cell r="G990">
            <v>1.3391203703703725E-2</v>
          </cell>
        </row>
        <row r="991">
          <cell r="G991">
            <v>1.5625000000000222E-3</v>
          </cell>
        </row>
        <row r="992">
          <cell r="G992">
            <v>3.2407407407408773E-4</v>
          </cell>
        </row>
        <row r="993">
          <cell r="G993">
            <v>9.7800925925926041E-3</v>
          </cell>
        </row>
        <row r="994">
          <cell r="G994">
            <v>1.9837962962962918E-2</v>
          </cell>
        </row>
        <row r="995">
          <cell r="G995">
            <v>1.4259259259259305E-2</v>
          </cell>
        </row>
        <row r="996">
          <cell r="G996">
            <v>1.0497685185185124E-2</v>
          </cell>
        </row>
        <row r="997">
          <cell r="G997">
            <v>1.4432870370370332E-2</v>
          </cell>
        </row>
        <row r="998">
          <cell r="G998">
            <v>7.1759259259258634E-3</v>
          </cell>
        </row>
        <row r="999">
          <cell r="G999">
            <v>2.9976851851851727E-3</v>
          </cell>
        </row>
        <row r="1000">
          <cell r="G1000">
            <v>1.782407407407427E-3</v>
          </cell>
        </row>
        <row r="1001">
          <cell r="G1001">
            <v>1.4409722222222143E-2</v>
          </cell>
        </row>
        <row r="1002">
          <cell r="G1002">
            <v>2.777777777778212E-4</v>
          </cell>
        </row>
        <row r="1003">
          <cell r="G1003">
            <v>1.1122685185185111E-2</v>
          </cell>
        </row>
        <row r="1004">
          <cell r="G1004">
            <v>1.1365740740740704E-2</v>
          </cell>
        </row>
        <row r="1005">
          <cell r="G1005">
            <v>9.6412037037036935E-3</v>
          </cell>
        </row>
        <row r="1006">
          <cell r="G1006">
            <v>2.3148148148188774E-5</v>
          </cell>
        </row>
        <row r="1007">
          <cell r="G1007">
            <v>2.5624999999999898E-2</v>
          </cell>
        </row>
        <row r="1008">
          <cell r="G1008">
            <v>2.777777777778212E-4</v>
          </cell>
        </row>
        <row r="1009">
          <cell r="G1009">
            <v>1.7534722222222188E-2</v>
          </cell>
        </row>
        <row r="1010">
          <cell r="G1010">
            <v>2.5462962962963243E-4</v>
          </cell>
        </row>
        <row r="1011">
          <cell r="G1011">
            <v>2.0034722222222245E-2</v>
          </cell>
        </row>
        <row r="1012">
          <cell r="G1012">
            <v>2.501157407407395E-2</v>
          </cell>
        </row>
        <row r="1013">
          <cell r="G1013">
            <v>4.3865740740740566E-3</v>
          </cell>
        </row>
        <row r="1014">
          <cell r="G1014">
            <v>1.1192129629629621E-2</v>
          </cell>
        </row>
        <row r="1015">
          <cell r="G1015">
            <v>1.0219907407407414E-2</v>
          </cell>
        </row>
        <row r="1016">
          <cell r="G1016">
            <v>2.1111111111111081E-2</v>
          </cell>
        </row>
        <row r="1017">
          <cell r="G1017">
            <v>2.8935185185185452E-3</v>
          </cell>
        </row>
        <row r="1018">
          <cell r="G1018">
            <v>1.8171296296296546E-3</v>
          </cell>
        </row>
        <row r="1019">
          <cell r="G1019">
            <v>1.8055555555555491E-2</v>
          </cell>
        </row>
        <row r="1020">
          <cell r="G1020">
            <v>2.5462962962968794E-4</v>
          </cell>
        </row>
        <row r="1021">
          <cell r="G1021">
            <v>1.7245370370370106E-3</v>
          </cell>
        </row>
        <row r="1022">
          <cell r="G1022">
            <v>1.3263888888888908E-2</v>
          </cell>
        </row>
        <row r="1023">
          <cell r="G1023">
            <v>2.0381944444444522E-2</v>
          </cell>
        </row>
        <row r="1024">
          <cell r="G1024">
            <v>1.1030092592592577E-2</v>
          </cell>
        </row>
        <row r="1025">
          <cell r="G1025">
            <v>4.0162037037037024E-3</v>
          </cell>
        </row>
        <row r="1026">
          <cell r="G1026">
            <v>3.7037037037046527E-4</v>
          </cell>
        </row>
        <row r="1027">
          <cell r="G1027">
            <v>2.3148148148155467E-4</v>
          </cell>
        </row>
        <row r="1028">
          <cell r="G1028">
            <v>1.1817129629629664E-2</v>
          </cell>
        </row>
        <row r="1029">
          <cell r="G1029">
            <v>1.6215277777777759E-2</v>
          </cell>
        </row>
        <row r="1030">
          <cell r="G1030">
            <v>1.4814814814814836E-2</v>
          </cell>
        </row>
        <row r="1031">
          <cell r="G1031">
            <v>7.9282407407407218E-3</v>
          </cell>
        </row>
        <row r="1032">
          <cell r="G1032">
            <v>5.046296296296271E-3</v>
          </cell>
        </row>
        <row r="1033">
          <cell r="G1033">
            <v>5.2314814814814481E-3</v>
          </cell>
        </row>
        <row r="1034">
          <cell r="G1034">
            <v>4.0046296296295525E-3</v>
          </cell>
        </row>
        <row r="1035">
          <cell r="G1035">
            <v>3.2870370370370328E-3</v>
          </cell>
        </row>
        <row r="1036">
          <cell r="G1036">
            <v>1.6689814814814796E-2</v>
          </cell>
        </row>
        <row r="1037">
          <cell r="G1037">
            <v>3.3564814814814881E-3</v>
          </cell>
        </row>
        <row r="1038">
          <cell r="G1038">
            <v>4.5370370370370061E-3</v>
          </cell>
        </row>
        <row r="1039">
          <cell r="G1039">
            <v>1.6956018518518468E-2</v>
          </cell>
        </row>
        <row r="1040">
          <cell r="G1040">
            <v>1.5868055555555594E-2</v>
          </cell>
        </row>
        <row r="1041">
          <cell r="G1041">
            <v>1.3622685185185168E-2</v>
          </cell>
        </row>
        <row r="1042">
          <cell r="G1042">
            <v>8.2407407407406597E-3</v>
          </cell>
        </row>
        <row r="1043">
          <cell r="G1043">
            <v>1.0613425925925957E-2</v>
          </cell>
        </row>
        <row r="1044">
          <cell r="G1044">
            <v>4.2129629629629184E-3</v>
          </cell>
        </row>
        <row r="1045">
          <cell r="G1045">
            <v>5.1620370370371038E-3</v>
          </cell>
        </row>
        <row r="1046">
          <cell r="G1046">
            <v>3.9120370370369084E-3</v>
          </cell>
        </row>
        <row r="1047">
          <cell r="G1047">
            <v>5.2546296296296369E-3</v>
          </cell>
        </row>
        <row r="1048">
          <cell r="G1048">
            <v>2.069444444444446E-2</v>
          </cell>
        </row>
        <row r="1049">
          <cell r="G1049">
            <v>1.9328703703702654E-3</v>
          </cell>
        </row>
        <row r="1050">
          <cell r="G1050">
            <v>8.310185185185115E-3</v>
          </cell>
        </row>
        <row r="1051">
          <cell r="G1051">
            <v>2.1620370370370345E-2</v>
          </cell>
        </row>
        <row r="1052">
          <cell r="G1052">
            <v>1.6412037037037086E-2</v>
          </cell>
        </row>
        <row r="1053">
          <cell r="G1053">
            <v>6.6319444444444819E-3</v>
          </cell>
        </row>
        <row r="1054">
          <cell r="G1054">
            <v>2.0428240740740788E-2</v>
          </cell>
        </row>
        <row r="1055">
          <cell r="G1055">
            <v>1.4525462962962976E-2</v>
          </cell>
        </row>
        <row r="1056">
          <cell r="G1056">
            <v>9.027777777779189E-4</v>
          </cell>
        </row>
        <row r="1057">
          <cell r="G1057">
            <v>2.0023148148147207E-3</v>
          </cell>
        </row>
        <row r="1058">
          <cell r="G1058">
            <v>2.4999999999999467E-3</v>
          </cell>
        </row>
        <row r="1059">
          <cell r="G1059">
            <v>8.4490740740741366E-3</v>
          </cell>
        </row>
        <row r="1060">
          <cell r="G1060">
            <v>8.506944444444553E-3</v>
          </cell>
        </row>
        <row r="1061">
          <cell r="G1061">
            <v>1.1689814814813682E-3</v>
          </cell>
        </row>
        <row r="1062">
          <cell r="G1062">
            <v>1.5810185185185177E-2</v>
          </cell>
        </row>
        <row r="1063">
          <cell r="G1063">
            <v>1.836805555555554E-2</v>
          </cell>
        </row>
        <row r="1064">
          <cell r="G1064">
            <v>1.7500000000000071E-2</v>
          </cell>
        </row>
        <row r="1065">
          <cell r="G1065">
            <v>1.8749999999999933E-2</v>
          </cell>
        </row>
        <row r="1066">
          <cell r="G1066">
            <v>2.4571759259259363E-2</v>
          </cell>
        </row>
        <row r="1067">
          <cell r="G1067">
            <v>2.6331018518518601E-2</v>
          </cell>
        </row>
        <row r="1068">
          <cell r="G1068">
            <v>4.8611111111112049E-3</v>
          </cell>
        </row>
        <row r="1069">
          <cell r="G1069">
            <v>1.6087962962962887E-3</v>
          </cell>
        </row>
        <row r="1070">
          <cell r="G1070">
            <v>2.083333333333659E-4</v>
          </cell>
        </row>
        <row r="1071">
          <cell r="G1071">
            <v>1.3935185185185217E-2</v>
          </cell>
        </row>
        <row r="1072">
          <cell r="G1072">
            <v>1.481481481481528E-3</v>
          </cell>
        </row>
        <row r="1073">
          <cell r="G1073">
            <v>3.7037037037035425E-4</v>
          </cell>
        </row>
        <row r="1074">
          <cell r="G1074">
            <v>1.135416666666661E-2</v>
          </cell>
        </row>
        <row r="1075">
          <cell r="G1075">
            <v>5.0925925925926485E-4</v>
          </cell>
        </row>
        <row r="1076">
          <cell r="G1076">
            <v>1.0763888888888351E-3</v>
          </cell>
        </row>
        <row r="1077">
          <cell r="G1077">
            <v>3.2407407407408773E-4</v>
          </cell>
        </row>
        <row r="1078">
          <cell r="G1078">
            <v>5.3935185185184364E-3</v>
          </cell>
        </row>
        <row r="1079">
          <cell r="G1079">
            <v>1.2731481481482732E-3</v>
          </cell>
        </row>
        <row r="1080">
          <cell r="G1080">
            <v>1.9930555555555562E-2</v>
          </cell>
        </row>
        <row r="1081">
          <cell r="G1081">
            <v>6.3194444444445441E-3</v>
          </cell>
        </row>
        <row r="1082">
          <cell r="G1082">
            <v>1.6377314814814747E-2</v>
          </cell>
        </row>
        <row r="1083">
          <cell r="G1083">
            <v>1.302083333333337E-2</v>
          </cell>
        </row>
        <row r="1084">
          <cell r="G1084">
            <v>1.1412037037036971E-2</v>
          </cell>
        </row>
        <row r="1085">
          <cell r="G1085">
            <v>1.3680555555555585E-2</v>
          </cell>
        </row>
        <row r="1086">
          <cell r="G1086">
            <v>6.018518518517979E-4</v>
          </cell>
        </row>
        <row r="1087">
          <cell r="G1087">
            <v>1.3055555555555487E-2</v>
          </cell>
        </row>
        <row r="1088">
          <cell r="G1088">
            <v>3.4259259259259434E-3</v>
          </cell>
        </row>
        <row r="1089">
          <cell r="G1089">
            <v>3.8888888888888862E-3</v>
          </cell>
        </row>
        <row r="1090">
          <cell r="G1090">
            <v>4.8495370370369995E-3</v>
          </cell>
        </row>
        <row r="1091">
          <cell r="G1091">
            <v>1.8645833333333306E-2</v>
          </cell>
        </row>
        <row r="1092">
          <cell r="G1092">
            <v>4.3981481481480955E-4</v>
          </cell>
        </row>
        <row r="1093">
          <cell r="G1093">
            <v>9.7916666666666985E-3</v>
          </cell>
        </row>
        <row r="1094">
          <cell r="G1094">
            <v>1.873842592592595E-2</v>
          </cell>
        </row>
        <row r="1095">
          <cell r="G1095">
            <v>7.3495370370370572E-3</v>
          </cell>
        </row>
        <row r="1096">
          <cell r="G1096">
            <v>6.9560185185185697E-3</v>
          </cell>
        </row>
        <row r="1097">
          <cell r="G1097">
            <v>2.1643518518518756E-3</v>
          </cell>
        </row>
        <row r="1098">
          <cell r="G1098">
            <v>1.3263888888888908E-2</v>
          </cell>
        </row>
        <row r="1099">
          <cell r="G1099">
            <v>1.0763888888888906E-3</v>
          </cell>
        </row>
        <row r="1100">
          <cell r="G1100">
            <v>1.346064814814818E-2</v>
          </cell>
        </row>
        <row r="1101">
          <cell r="G1101">
            <v>5.9722222222222676E-3</v>
          </cell>
        </row>
        <row r="1102">
          <cell r="G1102">
            <v>1.5821759259259272E-2</v>
          </cell>
        </row>
        <row r="1103">
          <cell r="G1103">
            <v>2.5462962962957691E-4</v>
          </cell>
        </row>
        <row r="1104">
          <cell r="G1104">
            <v>1.1805555555555625E-2</v>
          </cell>
        </row>
        <row r="1105">
          <cell r="G1105">
            <v>2.1990740740740478E-4</v>
          </cell>
        </row>
        <row r="1106">
          <cell r="G1106">
            <v>1.7314814814814838E-2</v>
          </cell>
        </row>
        <row r="1107">
          <cell r="G1107">
            <v>1.6203703703709937E-4</v>
          </cell>
        </row>
        <row r="1108">
          <cell r="G1108">
            <v>3.5763888888888928E-3</v>
          </cell>
        </row>
        <row r="1109">
          <cell r="G1109">
            <v>2.1122685185185119E-2</v>
          </cell>
        </row>
        <row r="1110">
          <cell r="G1110">
            <v>1.2280092592592551E-2</v>
          </cell>
        </row>
        <row r="1111">
          <cell r="G1111">
            <v>1.4351851851852615E-3</v>
          </cell>
        </row>
        <row r="1112">
          <cell r="G1112">
            <v>1.3252314814814703E-2</v>
          </cell>
        </row>
        <row r="1113">
          <cell r="G1113">
            <v>8.7615740740740744E-3</v>
          </cell>
        </row>
        <row r="1114">
          <cell r="G1114">
            <v>5.2083333333330373E-4</v>
          </cell>
        </row>
        <row r="1115">
          <cell r="G1115">
            <v>1.3159722222222281E-2</v>
          </cell>
        </row>
        <row r="1116">
          <cell r="G1116">
            <v>1.0798611111111134E-2</v>
          </cell>
        </row>
        <row r="1117">
          <cell r="G1117">
            <v>5.3472222222221699E-3</v>
          </cell>
        </row>
        <row r="1118">
          <cell r="G1118">
            <v>5.6134259259259522E-3</v>
          </cell>
        </row>
        <row r="1119">
          <cell r="G1119">
            <v>2.5231481481482465E-3</v>
          </cell>
        </row>
        <row r="1120">
          <cell r="G1120">
            <v>2.7777777777771018E-4</v>
          </cell>
        </row>
        <row r="1121">
          <cell r="G1121">
            <v>1.6608796296296191E-2</v>
          </cell>
        </row>
        <row r="1122">
          <cell r="G1122">
            <v>1.4560185185185093E-2</v>
          </cell>
        </row>
        <row r="1123">
          <cell r="G1123">
            <v>1.5891203703703782E-2</v>
          </cell>
        </row>
        <row r="1124">
          <cell r="G1124">
            <v>1.1944444444444424E-2</v>
          </cell>
        </row>
        <row r="1125">
          <cell r="G1125">
            <v>1.3842592592592684E-2</v>
          </cell>
        </row>
        <row r="1126">
          <cell r="G1126">
            <v>3.0439814814815502E-3</v>
          </cell>
        </row>
        <row r="1127">
          <cell r="G1127">
            <v>2.5358796296296227E-2</v>
          </cell>
        </row>
        <row r="1128">
          <cell r="G1128">
            <v>2.256944444444442E-2</v>
          </cell>
        </row>
        <row r="1129">
          <cell r="G1129">
            <v>1.7835648148148198E-2</v>
          </cell>
        </row>
        <row r="1130">
          <cell r="G1130">
            <v>1.288194444444446E-2</v>
          </cell>
        </row>
        <row r="1131">
          <cell r="G1131">
            <v>5.9027777777781454E-4</v>
          </cell>
        </row>
        <row r="1132">
          <cell r="G1132">
            <v>6.9444444444438647E-4</v>
          </cell>
        </row>
        <row r="1133">
          <cell r="G1133">
            <v>2.2326388888888826E-2</v>
          </cell>
        </row>
        <row r="1134">
          <cell r="G1134">
            <v>2.7939814814814834E-2</v>
          </cell>
        </row>
        <row r="1135">
          <cell r="G1135">
            <v>1.4490740740740748E-2</v>
          </cell>
        </row>
        <row r="1136">
          <cell r="G1136">
            <v>1.3842592592592573E-2</v>
          </cell>
        </row>
        <row r="1137">
          <cell r="G1137">
            <v>9.8148148148147762E-3</v>
          </cell>
        </row>
        <row r="1138">
          <cell r="G1138">
            <v>4.2245370370370683E-3</v>
          </cell>
        </row>
        <row r="1139">
          <cell r="G1139">
            <v>5.1504629629630094E-3</v>
          </cell>
        </row>
        <row r="1140">
          <cell r="G1140">
            <v>3.3912037037037712E-3</v>
          </cell>
        </row>
        <row r="1141">
          <cell r="G1141">
            <v>2.9629629629630005E-3</v>
          </cell>
        </row>
        <row r="1142">
          <cell r="G1142">
            <v>8.5995370370370305E-3</v>
          </cell>
        </row>
        <row r="1143">
          <cell r="G1143">
            <v>3.2060185185184276E-3</v>
          </cell>
        </row>
        <row r="1144">
          <cell r="G1144">
            <v>7.3958333333333237E-3</v>
          </cell>
        </row>
        <row r="1145">
          <cell r="G1145">
            <v>1.5312500000000007E-2</v>
          </cell>
        </row>
        <row r="1146">
          <cell r="G1146">
            <v>2.0833333333331039E-4</v>
          </cell>
        </row>
        <row r="1147">
          <cell r="G1147">
            <v>2.6620370370372681E-4</v>
          </cell>
        </row>
        <row r="1148">
          <cell r="G1148">
            <v>1.2326388888888817E-2</v>
          </cell>
        </row>
        <row r="1149">
          <cell r="G1149">
            <v>1.5046296296294948E-4</v>
          </cell>
        </row>
        <row r="1150">
          <cell r="G1150">
            <v>6.2499999999998668E-4</v>
          </cell>
        </row>
        <row r="1151">
          <cell r="G1151">
            <v>2.5578703703703631E-3</v>
          </cell>
        </row>
        <row r="1152">
          <cell r="G1152">
            <v>4.155092592592613E-3</v>
          </cell>
        </row>
        <row r="1153">
          <cell r="G1153">
            <v>4.4675925925926618E-3</v>
          </cell>
        </row>
        <row r="1154">
          <cell r="G1154">
            <v>1.41782407407407E-2</v>
          </cell>
        </row>
        <row r="1155">
          <cell r="G1155">
            <v>1.3425925925925841E-2</v>
          </cell>
        </row>
        <row r="1156">
          <cell r="G1156">
            <v>1.1157407407407449E-2</v>
          </cell>
        </row>
        <row r="1157">
          <cell r="G1157">
            <v>2.0000000000000018E-2</v>
          </cell>
        </row>
        <row r="1158">
          <cell r="G1158">
            <v>3.1481481481482332E-3</v>
          </cell>
        </row>
        <row r="1159">
          <cell r="G1159">
            <v>1.7106481481481528E-2</v>
          </cell>
        </row>
        <row r="1160">
          <cell r="G1160">
            <v>1.1956018518518574E-2</v>
          </cell>
        </row>
        <row r="1161">
          <cell r="G1161">
            <v>6.0069444444444953E-3</v>
          </cell>
        </row>
        <row r="1162">
          <cell r="G1162">
            <v>1.3333333333333308E-2</v>
          </cell>
        </row>
        <row r="1163">
          <cell r="G1163">
            <v>1.4421296296296293E-2</v>
          </cell>
        </row>
        <row r="1164">
          <cell r="G1164">
            <v>1.3518518518518485E-2</v>
          </cell>
        </row>
        <row r="1165">
          <cell r="G1165">
            <v>1.7361111111113825E-4</v>
          </cell>
        </row>
        <row r="1166">
          <cell r="G1166">
            <v>1.2384259259259345E-3</v>
          </cell>
        </row>
        <row r="1167">
          <cell r="G1167">
            <v>1.0555555555555651E-2</v>
          </cell>
        </row>
        <row r="1168">
          <cell r="G1168">
            <v>3.2939814814814783E-2</v>
          </cell>
        </row>
        <row r="1169">
          <cell r="G1169">
            <v>3.1979166666666781E-2</v>
          </cell>
        </row>
        <row r="1170">
          <cell r="G1170">
            <v>7.9976851851852881E-3</v>
          </cell>
        </row>
        <row r="1171">
          <cell r="G1171">
            <v>1.2731481481481399E-2</v>
          </cell>
        </row>
        <row r="1172">
          <cell r="G1172">
            <v>2.2766203703703747E-2</v>
          </cell>
        </row>
        <row r="1173">
          <cell r="G1173">
            <v>1.6041666666666621E-2</v>
          </cell>
        </row>
        <row r="1174">
          <cell r="G1174">
            <v>7.407407407407085E-4</v>
          </cell>
        </row>
        <row r="1175">
          <cell r="G1175">
            <v>1.5497685185185239E-2</v>
          </cell>
        </row>
        <row r="1176">
          <cell r="G1176">
            <v>3.0208333333332504E-3</v>
          </cell>
        </row>
        <row r="1177">
          <cell r="G1177">
            <v>2.2974537037037113E-2</v>
          </cell>
        </row>
        <row r="1178">
          <cell r="G1178">
            <v>1.8773148148148122E-2</v>
          </cell>
        </row>
        <row r="1179">
          <cell r="G1179">
            <v>1.9675925925910498E-4</v>
          </cell>
        </row>
        <row r="1180">
          <cell r="G1180">
            <v>2.1527777777777757E-2</v>
          </cell>
        </row>
        <row r="1181">
          <cell r="G1181">
            <v>1.0300925925925686E-3</v>
          </cell>
        </row>
        <row r="1182">
          <cell r="G1182">
            <v>1.3981481481481484E-2</v>
          </cell>
        </row>
        <row r="1183">
          <cell r="G1183">
            <v>2.6620370370372681E-4</v>
          </cell>
        </row>
        <row r="1184">
          <cell r="G1184">
            <v>1.1412037037037026E-2</v>
          </cell>
        </row>
        <row r="1185">
          <cell r="G1185">
            <v>2.7546296296296346E-3</v>
          </cell>
        </row>
        <row r="1186">
          <cell r="G1186">
            <v>1.4074074074074072E-2</v>
          </cell>
        </row>
        <row r="1187">
          <cell r="G1187">
            <v>1.2256944444444418E-2</v>
          </cell>
        </row>
        <row r="1188">
          <cell r="G1188">
            <v>2.3379629629629695E-2</v>
          </cell>
        </row>
        <row r="1189">
          <cell r="G1189">
            <v>1.2731481481481621E-4</v>
          </cell>
        </row>
        <row r="1190">
          <cell r="G1190">
            <v>2.2141203703703705E-2</v>
          </cell>
        </row>
        <row r="1191">
          <cell r="G1191">
            <v>1.3981481481481484E-2</v>
          </cell>
        </row>
        <row r="1192">
          <cell r="G1192">
            <v>5.5555555555553138E-4</v>
          </cell>
        </row>
        <row r="1193">
          <cell r="G1193">
            <v>6.5972222222221433E-4</v>
          </cell>
        </row>
        <row r="1194">
          <cell r="G1194">
            <v>4.1319444444444242E-3</v>
          </cell>
        </row>
        <row r="1195">
          <cell r="G1195">
            <v>3.3796296296296768E-3</v>
          </cell>
        </row>
        <row r="1196">
          <cell r="G1196">
            <v>2.6157407407407796E-3</v>
          </cell>
        </row>
        <row r="1197">
          <cell r="G1197">
            <v>2.0196759259259345E-2</v>
          </cell>
        </row>
        <row r="1198">
          <cell r="G1198">
            <v>2.7523148148148269E-2</v>
          </cell>
        </row>
        <row r="1199">
          <cell r="G1199">
            <v>1.1458333333333459E-2</v>
          </cell>
        </row>
        <row r="1200">
          <cell r="G1200">
            <v>1.8460648148148073E-2</v>
          </cell>
        </row>
        <row r="1201">
          <cell r="G1201">
            <v>2.7893518518518512E-2</v>
          </cell>
        </row>
        <row r="1202">
          <cell r="G1202">
            <v>1.5046296296294948E-4</v>
          </cell>
        </row>
        <row r="1203">
          <cell r="G1203">
            <v>1.7766203703703742E-2</v>
          </cell>
        </row>
        <row r="1204">
          <cell r="G1204">
            <v>2.1481481481481435E-2</v>
          </cell>
        </row>
        <row r="1205">
          <cell r="G1205">
            <v>2.7268518518518414E-2</v>
          </cell>
        </row>
        <row r="1206">
          <cell r="G1206">
            <v>1.2615740740741233E-3</v>
          </cell>
        </row>
        <row r="1207">
          <cell r="G1207">
            <v>7.9513888888889106E-3</v>
          </cell>
        </row>
        <row r="1208">
          <cell r="G1208">
            <v>2.8611111111111143E-2</v>
          </cell>
        </row>
        <row r="1209">
          <cell r="G1209">
            <v>2.2754629629629652E-2</v>
          </cell>
        </row>
        <row r="1210">
          <cell r="G1210">
            <v>2.2650462962962969E-2</v>
          </cell>
        </row>
        <row r="1211">
          <cell r="G1211">
            <v>1.0393518518518496E-2</v>
          </cell>
        </row>
        <row r="1212">
          <cell r="G1212">
            <v>3.4340277777777817E-2</v>
          </cell>
        </row>
        <row r="1213">
          <cell r="G1213">
            <v>2.3032407407406752E-3</v>
          </cell>
        </row>
        <row r="1214">
          <cell r="G1214">
            <v>1.7916666666666747E-2</v>
          </cell>
        </row>
        <row r="1215">
          <cell r="G1215">
            <v>1.9155092592592571E-2</v>
          </cell>
        </row>
        <row r="1216">
          <cell r="G1216">
            <v>3.1828703703702943E-3</v>
          </cell>
        </row>
        <row r="1217">
          <cell r="G1217">
            <v>9.1435185185179124E-4</v>
          </cell>
        </row>
        <row r="1218">
          <cell r="G1218">
            <v>8.101851851851638E-4</v>
          </cell>
        </row>
        <row r="1219">
          <cell r="G1219">
            <v>2.8136574074074105E-2</v>
          </cell>
        </row>
        <row r="1220">
          <cell r="G1220">
            <v>3.3518518518518503E-2</v>
          </cell>
        </row>
        <row r="1221">
          <cell r="G1221">
            <v>1.4490740740740748E-2</v>
          </cell>
        </row>
        <row r="1222">
          <cell r="G1222">
            <v>2.5289351851851882E-2</v>
          </cell>
        </row>
        <row r="1223">
          <cell r="G1223">
            <v>1.4421296296296293E-2</v>
          </cell>
        </row>
        <row r="1224">
          <cell r="G1224">
            <v>1.4212962962962927E-2</v>
          </cell>
        </row>
        <row r="1225">
          <cell r="G1225">
            <v>1.5243055555555496E-2</v>
          </cell>
        </row>
        <row r="1226">
          <cell r="G1226">
            <v>1.0659722222222223E-2</v>
          </cell>
        </row>
        <row r="1227">
          <cell r="G1227">
            <v>1.302083333333337E-2</v>
          </cell>
        </row>
        <row r="1228">
          <cell r="G1228">
            <v>1.2256944444444362E-2</v>
          </cell>
        </row>
        <row r="1229">
          <cell r="G1229">
            <v>7.9861111111112493E-4</v>
          </cell>
        </row>
        <row r="1230">
          <cell r="G1230">
            <v>1.6747685185185102E-2</v>
          </cell>
        </row>
        <row r="1231">
          <cell r="G1231">
            <v>2.0393518518518561E-2</v>
          </cell>
        </row>
        <row r="1232">
          <cell r="G1232">
            <v>2.7581018518518463E-2</v>
          </cell>
        </row>
        <row r="1233">
          <cell r="G1233">
            <v>8.796296296296191E-4</v>
          </cell>
        </row>
        <row r="1234">
          <cell r="G1234">
            <v>3.1666666666666732E-2</v>
          </cell>
        </row>
        <row r="1235">
          <cell r="G1235">
            <v>1.8634259259259323E-2</v>
          </cell>
        </row>
        <row r="1236">
          <cell r="G1236">
            <v>1.635416666666667E-2</v>
          </cell>
        </row>
        <row r="1237">
          <cell r="G1237">
            <v>3.7152777777778034E-3</v>
          </cell>
        </row>
        <row r="1238">
          <cell r="G1238">
            <v>1.7766203703703631E-2</v>
          </cell>
        </row>
        <row r="1239">
          <cell r="G1239">
            <v>1.9965277777777679E-2</v>
          </cell>
        </row>
        <row r="1240">
          <cell r="G1240">
            <v>3.4178240740740717E-2</v>
          </cell>
        </row>
        <row r="1241">
          <cell r="G1241">
            <v>4.8263888888889217E-3</v>
          </cell>
        </row>
        <row r="1242">
          <cell r="G1242">
            <v>2.7430555555555403E-3</v>
          </cell>
        </row>
        <row r="1243">
          <cell r="G1243">
            <v>3.9930555555555691E-3</v>
          </cell>
        </row>
        <row r="1244">
          <cell r="G1244">
            <v>1.0208333333333375E-2</v>
          </cell>
        </row>
        <row r="1245">
          <cell r="G1245">
            <v>1.0115740740740786E-2</v>
          </cell>
        </row>
        <row r="1246">
          <cell r="G1246">
            <v>3.1944444444444997E-3</v>
          </cell>
        </row>
        <row r="1247">
          <cell r="G1247">
            <v>1.2094907407407374E-2</v>
          </cell>
        </row>
        <row r="1248">
          <cell r="G1248">
            <v>7.3495370370370572E-3</v>
          </cell>
        </row>
        <row r="1249">
          <cell r="G1249">
            <v>6.030092592592573E-3</v>
          </cell>
        </row>
        <row r="1250">
          <cell r="G1250">
            <v>2.4884259259259078E-3</v>
          </cell>
        </row>
        <row r="1251">
          <cell r="G1251">
            <v>4.1435185185185186E-3</v>
          </cell>
        </row>
        <row r="1252">
          <cell r="G1252">
            <v>1.0219907407407414E-2</v>
          </cell>
        </row>
        <row r="1253">
          <cell r="G1253">
            <v>1.0254629629629697E-2</v>
          </cell>
        </row>
        <row r="1254">
          <cell r="G1254">
            <v>1.4236111111111116E-3</v>
          </cell>
        </row>
        <row r="1255">
          <cell r="G1255">
            <v>9.5254629629630272E-3</v>
          </cell>
        </row>
        <row r="1256">
          <cell r="G1256">
            <v>9.6481481481481557E-2</v>
          </cell>
        </row>
        <row r="1257">
          <cell r="G1257">
            <v>8.3449074074073981E-3</v>
          </cell>
        </row>
        <row r="1258">
          <cell r="G1258">
            <v>3.6342592592592537E-3</v>
          </cell>
        </row>
        <row r="1259">
          <cell r="G1259">
            <v>1.5266203703703685E-2</v>
          </cell>
        </row>
        <row r="1260">
          <cell r="G1260">
            <v>6.6319444444444819E-3</v>
          </cell>
        </row>
        <row r="1261">
          <cell r="G1261">
            <v>3.1053240740740784E-2</v>
          </cell>
        </row>
        <row r="1262">
          <cell r="G1262">
            <v>4.1898148148147296E-3</v>
          </cell>
        </row>
        <row r="1263">
          <cell r="G1263">
            <v>2.9687499999999978E-2</v>
          </cell>
        </row>
        <row r="1264">
          <cell r="G1264">
            <v>1.0995370370370239E-3</v>
          </cell>
        </row>
        <row r="1265">
          <cell r="G1265">
            <v>1.2037037037037068E-3</v>
          </cell>
        </row>
        <row r="1266">
          <cell r="G1266">
            <v>9.594907407407316E-3</v>
          </cell>
        </row>
        <row r="1267">
          <cell r="G1267">
            <v>8.5763888888887863E-3</v>
          </cell>
        </row>
        <row r="1268">
          <cell r="G1268">
            <v>7.6620370370370505E-3</v>
          </cell>
        </row>
        <row r="1269">
          <cell r="G1269">
            <v>1.489583333333333E-2</v>
          </cell>
        </row>
        <row r="1270">
          <cell r="G1270">
            <v>1.7476851851851882E-2</v>
          </cell>
        </row>
        <row r="1271">
          <cell r="G1271">
            <v>1.7939814814813548E-3</v>
          </cell>
        </row>
        <row r="1272">
          <cell r="G1272">
            <v>5.3009259259259034E-3</v>
          </cell>
        </row>
        <row r="1273">
          <cell r="G1273">
            <v>1.1435185185185159E-2</v>
          </cell>
        </row>
        <row r="1274">
          <cell r="G1274">
            <v>9.791666666666754E-3</v>
          </cell>
        </row>
        <row r="1275">
          <cell r="G1275">
            <v>4.8379629629630161E-3</v>
          </cell>
        </row>
        <row r="1276">
          <cell r="G1276">
            <v>1.2835648148148193E-2</v>
          </cell>
        </row>
        <row r="1277">
          <cell r="G1277">
            <v>4.2939814814815236E-3</v>
          </cell>
        </row>
        <row r="1278">
          <cell r="G1278">
            <v>4.3981481481480955E-3</v>
          </cell>
        </row>
        <row r="1279">
          <cell r="G1279">
            <v>3.9236111111110583E-3</v>
          </cell>
        </row>
        <row r="1280">
          <cell r="G1280">
            <v>8.101851851851638E-4</v>
          </cell>
        </row>
        <row r="1281">
          <cell r="G1281">
            <v>8.6805555555558023E-4</v>
          </cell>
        </row>
        <row r="1282">
          <cell r="G1282">
            <v>1.2083333333333446E-2</v>
          </cell>
        </row>
        <row r="1283">
          <cell r="G1283">
            <v>1.2615740740741233E-3</v>
          </cell>
        </row>
        <row r="1284">
          <cell r="G1284">
            <v>1.3425925925926174E-3</v>
          </cell>
        </row>
        <row r="1285">
          <cell r="G1285">
            <v>5.3240740740745363E-4</v>
          </cell>
        </row>
        <row r="1286">
          <cell r="G1286">
            <v>1.5393518518518445E-2</v>
          </cell>
        </row>
        <row r="1287">
          <cell r="G1287">
            <v>1.3136574074074092E-2</v>
          </cell>
        </row>
        <row r="1288">
          <cell r="G1288">
            <v>7.2916666666666963E-3</v>
          </cell>
        </row>
        <row r="1289">
          <cell r="G1289">
            <v>1.70717592592593E-2</v>
          </cell>
        </row>
        <row r="1290">
          <cell r="G1290">
            <v>9.1782407407408062E-3</v>
          </cell>
        </row>
        <row r="1291">
          <cell r="G1291">
            <v>2.7696759259259185E-2</v>
          </cell>
        </row>
        <row r="1292">
          <cell r="G1292">
            <v>4.7337962962962998E-2</v>
          </cell>
        </row>
        <row r="1293">
          <cell r="G1293">
            <v>3.7060185185185279E-2</v>
          </cell>
        </row>
        <row r="1294">
          <cell r="G1294">
            <v>1.2268518518520066E-3</v>
          </cell>
        </row>
        <row r="1295">
          <cell r="G1295">
            <v>2.2337962962963309E-3</v>
          </cell>
        </row>
        <row r="1296">
          <cell r="G1296">
            <v>1.1689814814814792E-3</v>
          </cell>
        </row>
        <row r="1297">
          <cell r="G1297">
            <v>1.7546296296296338E-2</v>
          </cell>
        </row>
        <row r="1298">
          <cell r="G1298">
            <v>1.5023148148148147E-2</v>
          </cell>
        </row>
        <row r="1299">
          <cell r="G1299">
            <v>7.2916666666666963E-4</v>
          </cell>
        </row>
        <row r="1300">
          <cell r="G1300">
            <v>2.285879629629628E-2</v>
          </cell>
        </row>
        <row r="1301">
          <cell r="G1301">
            <v>1.0752314814814812E-2</v>
          </cell>
        </row>
        <row r="1302">
          <cell r="G1302">
            <v>1.5092592592592546E-2</v>
          </cell>
        </row>
        <row r="1303">
          <cell r="G1303">
            <v>1.1481481481481537E-2</v>
          </cell>
        </row>
        <row r="1304">
          <cell r="G1304">
            <v>1.1192129629629566E-2</v>
          </cell>
        </row>
        <row r="1305">
          <cell r="G1305">
            <v>3.8194444444444864E-3</v>
          </cell>
        </row>
        <row r="1306">
          <cell r="G1306">
            <v>5.6944444444444464E-3</v>
          </cell>
        </row>
        <row r="1307">
          <cell r="G1307">
            <v>1.4097222222222205E-2</v>
          </cell>
        </row>
        <row r="1308">
          <cell r="G1308">
            <v>2.7893518518518068E-3</v>
          </cell>
        </row>
        <row r="1309">
          <cell r="G1309">
            <v>6.0648148148148007E-3</v>
          </cell>
        </row>
        <row r="1310">
          <cell r="G1310">
            <v>1.4050925925925828E-2</v>
          </cell>
        </row>
        <row r="1311">
          <cell r="G1311">
            <v>1.1111111111111072E-2</v>
          </cell>
        </row>
        <row r="1312">
          <cell r="G1312">
            <v>5.9027777777775903E-4</v>
          </cell>
        </row>
        <row r="1313">
          <cell r="G1313">
            <v>7.8703703703697503E-4</v>
          </cell>
        </row>
        <row r="1314">
          <cell r="G1314">
            <v>8.7615740740739634E-3</v>
          </cell>
        </row>
        <row r="1315">
          <cell r="G1315">
            <v>1.4629629629629659E-2</v>
          </cell>
        </row>
        <row r="1316">
          <cell r="G1316">
            <v>2.0069444444444584E-2</v>
          </cell>
        </row>
        <row r="1317">
          <cell r="G1317">
            <v>1.9849537037037068E-2</v>
          </cell>
        </row>
        <row r="1318">
          <cell r="G1318">
            <v>3.1631944444444393E-2</v>
          </cell>
        </row>
        <row r="1319">
          <cell r="G1319">
            <v>7.9282407407407218E-3</v>
          </cell>
        </row>
      </sheetData>
      <sheetData sheetId="3">
        <row r="3">
          <cell r="G3">
            <v>3.5069444444444375E-3</v>
          </cell>
        </row>
        <row r="4">
          <cell r="G4">
            <v>5.1504629629630094E-3</v>
          </cell>
        </row>
        <row r="5">
          <cell r="G5">
            <v>4.108796296296291E-3</v>
          </cell>
        </row>
        <row r="6">
          <cell r="G6">
            <v>1.7592592592592382E-3</v>
          </cell>
        </row>
        <row r="7">
          <cell r="G7">
            <v>7.523148148148584E-4</v>
          </cell>
        </row>
        <row r="8">
          <cell r="G8">
            <v>1.606481481481481E-2</v>
          </cell>
        </row>
        <row r="9">
          <cell r="G9">
            <v>1.6168981481481437E-2</v>
          </cell>
        </row>
        <row r="10">
          <cell r="G10">
            <v>1.0775462962963001E-2</v>
          </cell>
        </row>
        <row r="11">
          <cell r="G11">
            <v>7.5231481481481399E-3</v>
          </cell>
        </row>
        <row r="12">
          <cell r="G12">
            <v>6.8634259259259256E-3</v>
          </cell>
        </row>
        <row r="13">
          <cell r="G13">
            <v>3.3680555555555824E-3</v>
          </cell>
        </row>
        <row r="14">
          <cell r="G14">
            <v>1.4699074074074336E-3</v>
          </cell>
        </row>
        <row r="15">
          <cell r="G15">
            <v>9.3750000000003553E-4</v>
          </cell>
        </row>
        <row r="16">
          <cell r="G16">
            <v>1.2291666666666645E-2</v>
          </cell>
        </row>
        <row r="17">
          <cell r="G17">
            <v>4.1087962962963465E-3</v>
          </cell>
        </row>
        <row r="18">
          <cell r="G18">
            <v>3.5416666666666097E-3</v>
          </cell>
        </row>
        <row r="19">
          <cell r="G19">
            <v>5.6712962962957025E-4</v>
          </cell>
        </row>
        <row r="20">
          <cell r="G20">
            <v>1.1909722222222197E-2</v>
          </cell>
        </row>
        <row r="21">
          <cell r="G21">
            <v>1.5046296296296613E-3</v>
          </cell>
        </row>
        <row r="22">
          <cell r="G22">
            <v>6.1226851851852171E-3</v>
          </cell>
        </row>
        <row r="23">
          <cell r="G23">
            <v>2.2824074074073997E-2</v>
          </cell>
        </row>
        <row r="24">
          <cell r="G24">
            <v>1.0069444444444353E-3</v>
          </cell>
        </row>
        <row r="25">
          <cell r="G25">
            <v>2.7546296296295791E-3</v>
          </cell>
        </row>
        <row r="26">
          <cell r="G26">
            <v>1.3310185185184675E-3</v>
          </cell>
        </row>
        <row r="27">
          <cell r="G27">
            <v>1.7187500000000022E-2</v>
          </cell>
        </row>
        <row r="28">
          <cell r="G28">
            <v>2.0868055555555487E-2</v>
          </cell>
        </row>
        <row r="29">
          <cell r="G29">
            <v>4.3171296296296013E-3</v>
          </cell>
        </row>
        <row r="30">
          <cell r="G30">
            <v>3.7268518518518423E-3</v>
          </cell>
        </row>
        <row r="31">
          <cell r="G31">
            <v>1.2766203703703738E-2</v>
          </cell>
        </row>
        <row r="32">
          <cell r="G32">
            <v>1.837962962962969E-2</v>
          </cell>
        </row>
        <row r="33">
          <cell r="G33">
            <v>1.5659722222222228E-2</v>
          </cell>
        </row>
        <row r="34">
          <cell r="G34">
            <v>3.5532407407408151E-3</v>
          </cell>
        </row>
        <row r="35">
          <cell r="G35">
            <v>3.3217592592592604E-3</v>
          </cell>
        </row>
        <row r="36">
          <cell r="G36">
            <v>2.4305555555556024E-3</v>
          </cell>
        </row>
        <row r="37">
          <cell r="G37">
            <v>2.3148148148148806E-3</v>
          </cell>
        </row>
        <row r="38">
          <cell r="G38">
            <v>2.7430555555555403E-3</v>
          </cell>
        </row>
        <row r="39">
          <cell r="G39">
            <v>1.3344907407407458E-2</v>
          </cell>
        </row>
        <row r="40">
          <cell r="G40">
            <v>1.5810185185185177E-2</v>
          </cell>
        </row>
        <row r="41">
          <cell r="G41">
            <v>5.5555555555553138E-4</v>
          </cell>
        </row>
        <row r="42">
          <cell r="G42">
            <v>1.3958333333333295E-2</v>
          </cell>
        </row>
        <row r="43">
          <cell r="G43">
            <v>8.0555555555555935E-3</v>
          </cell>
        </row>
        <row r="44">
          <cell r="G44">
            <v>6.828703703704031E-4</v>
          </cell>
        </row>
        <row r="45">
          <cell r="G45">
            <v>2.155092592592589E-2</v>
          </cell>
        </row>
        <row r="46">
          <cell r="G46">
            <v>6.9444444444444198E-4</v>
          </cell>
        </row>
        <row r="47">
          <cell r="G47">
            <v>1.1898148148148269E-2</v>
          </cell>
        </row>
        <row r="48">
          <cell r="G48">
            <v>1.1724537037037019E-2</v>
          </cell>
        </row>
        <row r="49">
          <cell r="G49">
            <v>1.6053240740740771E-2</v>
          </cell>
        </row>
        <row r="50">
          <cell r="G50">
            <v>7.6967592592591672E-3</v>
          </cell>
        </row>
        <row r="51">
          <cell r="G51">
            <v>9.5486111111111605E-3</v>
          </cell>
        </row>
        <row r="52">
          <cell r="G52">
            <v>1.2835648148148082E-2</v>
          </cell>
        </row>
        <row r="53">
          <cell r="G53">
            <v>2.5960648148148135E-2</v>
          </cell>
        </row>
        <row r="54">
          <cell r="G54">
            <v>2.6493055555555589E-2</v>
          </cell>
        </row>
        <row r="55">
          <cell r="G55">
            <v>4.9999999999999489E-3</v>
          </cell>
        </row>
        <row r="56">
          <cell r="G56">
            <v>1.7395833333333333E-2</v>
          </cell>
        </row>
        <row r="57">
          <cell r="G57">
            <v>1.0335648148148191E-2</v>
          </cell>
        </row>
        <row r="58">
          <cell r="G58">
            <v>1.1273148148148115E-2</v>
          </cell>
        </row>
        <row r="59">
          <cell r="G59">
            <v>1.5520833333333373E-2</v>
          </cell>
        </row>
        <row r="60">
          <cell r="G60">
            <v>1.149305555555552E-2</v>
          </cell>
        </row>
        <row r="61">
          <cell r="G61">
            <v>1.056712962962969E-2</v>
          </cell>
        </row>
        <row r="62">
          <cell r="G62">
            <v>1.6666666666666718E-2</v>
          </cell>
        </row>
        <row r="63">
          <cell r="G63">
            <v>7.1527777777777857E-3</v>
          </cell>
        </row>
        <row r="64">
          <cell r="G64">
            <v>9.2592592592594114E-4</v>
          </cell>
        </row>
        <row r="65">
          <cell r="G65">
            <v>1.0763888888888906E-3</v>
          </cell>
        </row>
        <row r="66">
          <cell r="G66">
            <v>2.8819444444445064E-3</v>
          </cell>
        </row>
        <row r="67">
          <cell r="G67">
            <v>1.0648148148147962E-3</v>
          </cell>
        </row>
        <row r="68">
          <cell r="G68">
            <v>1.2268518518518956E-3</v>
          </cell>
        </row>
        <row r="69">
          <cell r="G69">
            <v>1.6423611111111125E-2</v>
          </cell>
        </row>
        <row r="70">
          <cell r="G70">
            <v>1.1689814814814792E-3</v>
          </cell>
        </row>
        <row r="71">
          <cell r="G71">
            <v>3.2071759259259203E-2</v>
          </cell>
        </row>
        <row r="72">
          <cell r="G72">
            <v>1.9409722222222259E-2</v>
          </cell>
        </row>
        <row r="73">
          <cell r="G73">
            <v>9.3634259259258723E-3</v>
          </cell>
        </row>
        <row r="74">
          <cell r="G74">
            <v>9.490740740740744E-4</v>
          </cell>
        </row>
        <row r="75">
          <cell r="G75">
            <v>3.8773148148147918E-3</v>
          </cell>
        </row>
        <row r="76">
          <cell r="G76">
            <v>1.1840277777777852E-2</v>
          </cell>
        </row>
        <row r="77">
          <cell r="G77">
            <v>2.7893518518518068E-3</v>
          </cell>
        </row>
        <row r="78">
          <cell r="G78">
            <v>1.1620370370370336E-2</v>
          </cell>
        </row>
        <row r="79">
          <cell r="G79">
            <v>6.6666666666667096E-3</v>
          </cell>
        </row>
        <row r="80">
          <cell r="G80">
            <v>4.7916666666666385E-3</v>
          </cell>
        </row>
        <row r="81">
          <cell r="G81">
            <v>1.284722222222201E-3</v>
          </cell>
        </row>
        <row r="82">
          <cell r="G82">
            <v>4.4907407407408506E-3</v>
          </cell>
        </row>
        <row r="83">
          <cell r="G83">
            <v>7.3726851851851904E-3</v>
          </cell>
        </row>
        <row r="84">
          <cell r="G84">
            <v>1.0636574074074034E-2</v>
          </cell>
        </row>
        <row r="85">
          <cell r="G85">
            <v>1.1342592592592515E-3</v>
          </cell>
        </row>
        <row r="86">
          <cell r="G86">
            <v>1.0763888888888351E-3</v>
          </cell>
        </row>
        <row r="87">
          <cell r="G87">
            <v>1.3993055555555522E-2</v>
          </cell>
        </row>
        <row r="88">
          <cell r="G88">
            <v>1.6550925925926663E-3</v>
          </cell>
        </row>
        <row r="89">
          <cell r="G89">
            <v>6.7708333333333925E-3</v>
          </cell>
        </row>
        <row r="90">
          <cell r="G90">
            <v>6.5046296296294992E-3</v>
          </cell>
        </row>
        <row r="91">
          <cell r="G91">
            <v>5.6018518518519134E-3</v>
          </cell>
        </row>
        <row r="92">
          <cell r="G92">
            <v>1.2013888888888768E-2</v>
          </cell>
        </row>
        <row r="93">
          <cell r="G93">
            <v>4.7337962962961111E-3</v>
          </cell>
        </row>
        <row r="94">
          <cell r="G94">
            <v>2.6504629629628962E-3</v>
          </cell>
        </row>
        <row r="95">
          <cell r="G95">
            <v>9.1435185185173573E-4</v>
          </cell>
        </row>
        <row r="96">
          <cell r="G96">
            <v>3.3912037037037157E-3</v>
          </cell>
        </row>
        <row r="97">
          <cell r="G97">
            <v>1.5625000000001332E-3</v>
          </cell>
        </row>
        <row r="98">
          <cell r="G98">
            <v>4.0856481481481577E-2</v>
          </cell>
        </row>
        <row r="99">
          <cell r="G99">
            <v>5.3124999999998312E-3</v>
          </cell>
        </row>
        <row r="100">
          <cell r="G100">
            <v>3.9120370370370416E-2</v>
          </cell>
        </row>
        <row r="101">
          <cell r="G101">
            <v>3.4837962962962488E-3</v>
          </cell>
        </row>
        <row r="102">
          <cell r="G102">
            <v>1.5277777777777946E-3</v>
          </cell>
        </row>
        <row r="103">
          <cell r="G103">
            <v>1.6203703703703276E-3</v>
          </cell>
        </row>
        <row r="104">
          <cell r="G104">
            <v>1.7395833333333388E-2</v>
          </cell>
        </row>
        <row r="105">
          <cell r="G105">
            <v>1.1712962962962925E-2</v>
          </cell>
        </row>
        <row r="106">
          <cell r="G106">
            <v>1.2222222222222301E-2</v>
          </cell>
        </row>
        <row r="107">
          <cell r="G107">
            <v>1.3946759259259256E-2</v>
          </cell>
        </row>
        <row r="108">
          <cell r="G108">
            <v>7.9976851851852326E-3</v>
          </cell>
        </row>
        <row r="109">
          <cell r="G109">
            <v>1.612268518518517E-2</v>
          </cell>
        </row>
        <row r="110">
          <cell r="G110">
            <v>4.1898148148147851E-3</v>
          </cell>
        </row>
        <row r="111">
          <cell r="G111">
            <v>2.7546296296296346E-3</v>
          </cell>
        </row>
        <row r="112">
          <cell r="G112">
            <v>1.5277777777777946E-3</v>
          </cell>
        </row>
        <row r="113">
          <cell r="G113">
            <v>1.8750000000000155E-3</v>
          </cell>
        </row>
        <row r="114">
          <cell r="G114">
            <v>2.5810185185184964E-3</v>
          </cell>
        </row>
        <row r="115">
          <cell r="G115">
            <v>6.2500000000004219E-4</v>
          </cell>
        </row>
        <row r="116">
          <cell r="G116">
            <v>4.3981481481480955E-4</v>
          </cell>
        </row>
        <row r="117">
          <cell r="G117">
            <v>4.0509259259252639E-4</v>
          </cell>
        </row>
        <row r="118">
          <cell r="G118">
            <v>4.1666666666667629E-4</v>
          </cell>
        </row>
        <row r="119">
          <cell r="G119">
            <v>9.0046296296296124E-3</v>
          </cell>
        </row>
        <row r="120">
          <cell r="G120">
            <v>8.4027777777778145E-3</v>
          </cell>
        </row>
        <row r="121">
          <cell r="G121">
            <v>4.0509259259263741E-4</v>
          </cell>
        </row>
        <row r="122">
          <cell r="G122">
            <v>8.4259259259258923E-3</v>
          </cell>
        </row>
        <row r="123">
          <cell r="G123">
            <v>1.3715277777777812E-2</v>
          </cell>
        </row>
        <row r="124">
          <cell r="G124">
            <v>7.9050925925926441E-3</v>
          </cell>
        </row>
        <row r="125">
          <cell r="G125">
            <v>1.1041666666666672E-2</v>
          </cell>
        </row>
        <row r="126">
          <cell r="G126">
            <v>1.1319444444444438E-2</v>
          </cell>
        </row>
        <row r="127">
          <cell r="G127">
            <v>9.8611111111110983E-3</v>
          </cell>
        </row>
        <row r="128">
          <cell r="G128">
            <v>1.7106481481481528E-2</v>
          </cell>
        </row>
        <row r="129">
          <cell r="G129">
            <v>1.40162037037036E-2</v>
          </cell>
        </row>
        <row r="130">
          <cell r="G130">
            <v>8.5532407407407085E-3</v>
          </cell>
        </row>
        <row r="131">
          <cell r="G131">
            <v>6.8055555555555092E-3</v>
          </cell>
        </row>
        <row r="132">
          <cell r="G132">
            <v>2.1064814814815147E-3</v>
          </cell>
        </row>
        <row r="133">
          <cell r="G133">
            <v>1.0798611111111134E-2</v>
          </cell>
        </row>
        <row r="134">
          <cell r="G134">
            <v>2.3599537037036988E-2</v>
          </cell>
        </row>
        <row r="135">
          <cell r="G135">
            <v>2.3530092592592644E-2</v>
          </cell>
        </row>
        <row r="136">
          <cell r="G136">
            <v>2.3368055555555545E-2</v>
          </cell>
        </row>
        <row r="137">
          <cell r="G137">
            <v>9.8379629629641308E-4</v>
          </cell>
        </row>
        <row r="138">
          <cell r="G138">
            <v>2.0196759259259234E-2</v>
          </cell>
        </row>
        <row r="139">
          <cell r="G139">
            <v>1.8993055555555527E-2</v>
          </cell>
        </row>
        <row r="140">
          <cell r="G140">
            <v>2.1712962962962989E-2</v>
          </cell>
        </row>
        <row r="141">
          <cell r="G141">
            <v>9.5717592592592382E-3</v>
          </cell>
        </row>
        <row r="142">
          <cell r="G142">
            <v>1.5231481481481457E-2</v>
          </cell>
        </row>
        <row r="143">
          <cell r="G143">
            <v>9.6990740740739989E-3</v>
          </cell>
        </row>
        <row r="144">
          <cell r="G144">
            <v>3.263888888888844E-3</v>
          </cell>
        </row>
        <row r="145">
          <cell r="G145">
            <v>6.3425925925926219E-3</v>
          </cell>
        </row>
        <row r="146">
          <cell r="G146">
            <v>3.4374999999999822E-3</v>
          </cell>
        </row>
        <row r="147">
          <cell r="G147">
            <v>5.2893518518517535E-3</v>
          </cell>
        </row>
        <row r="148">
          <cell r="G148">
            <v>5.1273148148148762E-3</v>
          </cell>
        </row>
        <row r="149">
          <cell r="G149">
            <v>3.1481481481481222E-3</v>
          </cell>
        </row>
        <row r="150">
          <cell r="G150">
            <v>1.4004629629629561E-2</v>
          </cell>
        </row>
        <row r="151">
          <cell r="G151">
            <v>1.4004629629630339E-3</v>
          </cell>
        </row>
        <row r="152">
          <cell r="G152">
            <v>1.0578703703703729E-2</v>
          </cell>
        </row>
        <row r="153">
          <cell r="G153">
            <v>8.9583333333334014E-3</v>
          </cell>
        </row>
        <row r="154">
          <cell r="G154">
            <v>1.9525462962963092E-2</v>
          </cell>
        </row>
        <row r="155">
          <cell r="G155">
            <v>1.8865740740741099E-3</v>
          </cell>
        </row>
        <row r="156">
          <cell r="G156">
            <v>3.1018518518519667E-3</v>
          </cell>
        </row>
        <row r="157">
          <cell r="G157">
            <v>1.0648148148148073E-2</v>
          </cell>
        </row>
        <row r="158">
          <cell r="G158">
            <v>1.431712962962961E-2</v>
          </cell>
        </row>
        <row r="159">
          <cell r="G159">
            <v>2.3611111111111471E-3</v>
          </cell>
        </row>
        <row r="160">
          <cell r="G160">
            <v>1.3009259259259331E-2</v>
          </cell>
        </row>
        <row r="161">
          <cell r="G161">
            <v>1.287037037037031E-2</v>
          </cell>
        </row>
        <row r="162">
          <cell r="G162">
            <v>2.4398148148148224E-2</v>
          </cell>
        </row>
        <row r="163">
          <cell r="G163">
            <v>2.4745370370370501E-2</v>
          </cell>
        </row>
        <row r="164">
          <cell r="G164">
            <v>1.1134259259259371E-2</v>
          </cell>
        </row>
        <row r="165">
          <cell r="G165">
            <v>1.5393518518518556E-2</v>
          </cell>
        </row>
        <row r="166">
          <cell r="G166">
            <v>1.4953703703703747E-2</v>
          </cell>
        </row>
        <row r="167">
          <cell r="G167">
            <v>1.3344907407407403E-2</v>
          </cell>
        </row>
        <row r="168">
          <cell r="G168">
            <v>7.3958333333333792E-3</v>
          </cell>
        </row>
        <row r="169">
          <cell r="G169">
            <v>6.8402777777777923E-3</v>
          </cell>
        </row>
        <row r="170">
          <cell r="G170">
            <v>8.91203703703769E-4</v>
          </cell>
        </row>
        <row r="171">
          <cell r="G171">
            <v>1.1539351851851842E-2</v>
          </cell>
        </row>
        <row r="172">
          <cell r="G172">
            <v>4.9189814814815103E-3</v>
          </cell>
        </row>
        <row r="173">
          <cell r="G173">
            <v>7.5000000000000067E-3</v>
          </cell>
        </row>
        <row r="174">
          <cell r="G174">
            <v>6.6203703703703876E-3</v>
          </cell>
        </row>
        <row r="175">
          <cell r="G175">
            <v>2.025462962962965E-3</v>
          </cell>
        </row>
        <row r="176">
          <cell r="G176">
            <v>4.1435185185185741E-3</v>
          </cell>
        </row>
        <row r="177">
          <cell r="G177">
            <v>9.4212962962962887E-3</v>
          </cell>
        </row>
        <row r="178">
          <cell r="G178">
            <v>1.5740740740741166E-3</v>
          </cell>
        </row>
        <row r="179">
          <cell r="G179">
            <v>1.0254629629629586E-2</v>
          </cell>
        </row>
        <row r="180">
          <cell r="G180">
            <v>1.1111111111110628E-3</v>
          </cell>
        </row>
        <row r="181">
          <cell r="G181">
            <v>1.7465277777777788E-2</v>
          </cell>
        </row>
        <row r="182">
          <cell r="G182">
            <v>1.5625000000000222E-3</v>
          </cell>
        </row>
        <row r="183">
          <cell r="G183">
            <v>1.0648148148148517E-3</v>
          </cell>
        </row>
        <row r="184">
          <cell r="G184">
            <v>2.5844907407407414E-2</v>
          </cell>
        </row>
        <row r="185">
          <cell r="G185">
            <v>1.7685185185185193E-2</v>
          </cell>
        </row>
        <row r="186">
          <cell r="G186">
            <v>6.2499999999998668E-4</v>
          </cell>
        </row>
        <row r="187">
          <cell r="G187">
            <v>2.9317129629629624E-2</v>
          </cell>
        </row>
        <row r="188">
          <cell r="G188">
            <v>2.0196759259259234E-2</v>
          </cell>
        </row>
        <row r="189">
          <cell r="G189">
            <v>3.7384259259258812E-3</v>
          </cell>
        </row>
        <row r="190">
          <cell r="G190">
            <v>1.0069444444443798E-3</v>
          </cell>
        </row>
        <row r="191">
          <cell r="G191">
            <v>5.3240740740739811E-3</v>
          </cell>
        </row>
        <row r="192">
          <cell r="G192">
            <v>4.1898148148147296E-3</v>
          </cell>
        </row>
        <row r="193">
          <cell r="G193">
            <v>2.9861111111111338E-3</v>
          </cell>
        </row>
        <row r="194">
          <cell r="G194">
            <v>1.3935185185185106E-2</v>
          </cell>
        </row>
        <row r="195">
          <cell r="G195">
            <v>3.3101851851852215E-3</v>
          </cell>
        </row>
        <row r="196">
          <cell r="G196">
            <v>1.0011574074074048E-2</v>
          </cell>
        </row>
        <row r="197">
          <cell r="G197">
            <v>9.4212962962962887E-3</v>
          </cell>
        </row>
        <row r="198">
          <cell r="G198">
            <v>6.6782407407407485E-3</v>
          </cell>
        </row>
        <row r="199">
          <cell r="G199">
            <v>5.5671296296296857E-3</v>
          </cell>
        </row>
        <row r="200">
          <cell r="G200">
            <v>3.9004629629628695E-3</v>
          </cell>
        </row>
        <row r="201">
          <cell r="G201">
            <v>9.1435185185184675E-4</v>
          </cell>
        </row>
        <row r="202">
          <cell r="G202">
            <v>8.8078703703703409E-3</v>
          </cell>
        </row>
        <row r="203">
          <cell r="G203">
            <v>2.9282407407407174E-3</v>
          </cell>
        </row>
        <row r="204">
          <cell r="G204">
            <v>1.6168981481481493E-2</v>
          </cell>
        </row>
        <row r="205">
          <cell r="G205">
            <v>2.7199074074074625E-3</v>
          </cell>
        </row>
        <row r="206">
          <cell r="G206">
            <v>4.05092592592593E-3</v>
          </cell>
        </row>
        <row r="207">
          <cell r="G207">
            <v>1.2685185185185133E-2</v>
          </cell>
        </row>
        <row r="208">
          <cell r="G208">
            <v>9.8842592592592871E-3</v>
          </cell>
        </row>
        <row r="209">
          <cell r="G209">
            <v>5.7060185185185963E-3</v>
          </cell>
        </row>
        <row r="210">
          <cell r="G210">
            <v>9.68749999999996E-3</v>
          </cell>
        </row>
        <row r="211">
          <cell r="G211">
            <v>2.9976851851851727E-3</v>
          </cell>
        </row>
        <row r="212">
          <cell r="G212">
            <v>1.2152777777777457E-3</v>
          </cell>
        </row>
        <row r="213">
          <cell r="G213">
            <v>4.4212962962962843E-3</v>
          </cell>
        </row>
        <row r="214">
          <cell r="G214">
            <v>1.055555555555554E-2</v>
          </cell>
        </row>
        <row r="215">
          <cell r="G215">
            <v>2.7893518518519178E-3</v>
          </cell>
        </row>
        <row r="216">
          <cell r="G216">
            <v>4.0625000000000799E-3</v>
          </cell>
        </row>
        <row r="217">
          <cell r="G217">
            <v>1.1689814814814792E-3</v>
          </cell>
        </row>
        <row r="218">
          <cell r="G218">
            <v>6.7129629629636423E-4</v>
          </cell>
        </row>
        <row r="219">
          <cell r="G219">
            <v>1.1458333333332904E-3</v>
          </cell>
        </row>
        <row r="220">
          <cell r="G220">
            <v>1.3333333333333308E-2</v>
          </cell>
        </row>
        <row r="221">
          <cell r="G221">
            <v>1.3379629629629686E-2</v>
          </cell>
        </row>
        <row r="222">
          <cell r="G222">
            <v>6.1342592592583678E-4</v>
          </cell>
        </row>
        <row r="223">
          <cell r="G223">
            <v>7.8703703703697503E-4</v>
          </cell>
        </row>
        <row r="224">
          <cell r="G224">
            <v>3.1365740740740833E-2</v>
          </cell>
        </row>
        <row r="225">
          <cell r="G225">
            <v>1.4363425925925988E-2</v>
          </cell>
        </row>
        <row r="226">
          <cell r="G226">
            <v>9.4444444444444775E-3</v>
          </cell>
        </row>
        <row r="227">
          <cell r="G227">
            <v>5.0219907407407394E-2</v>
          </cell>
        </row>
        <row r="228">
          <cell r="G228">
            <v>7.2847222222222285E-2</v>
          </cell>
        </row>
        <row r="229">
          <cell r="G229">
            <v>7.2534722222222181E-2</v>
          </cell>
        </row>
        <row r="230">
          <cell r="G230">
            <v>6.5208333333333313E-2</v>
          </cell>
        </row>
        <row r="231">
          <cell r="G231">
            <v>6.8541666666666612E-2</v>
          </cell>
        </row>
        <row r="232">
          <cell r="G232">
            <v>6.6793981481481413E-2</v>
          </cell>
        </row>
        <row r="233">
          <cell r="G233">
            <v>6.1504629629629604E-2</v>
          </cell>
        </row>
        <row r="234">
          <cell r="G234">
            <v>6.5185185185185124E-2</v>
          </cell>
        </row>
        <row r="235">
          <cell r="G235">
            <v>1.6967592592592562E-2</v>
          </cell>
        </row>
        <row r="236">
          <cell r="G236">
            <v>6.5185185185185124E-2</v>
          </cell>
        </row>
        <row r="237">
          <cell r="G237">
            <v>1.5381944444444462E-2</v>
          </cell>
        </row>
        <row r="238">
          <cell r="G238">
            <v>6.3599537037037024E-2</v>
          </cell>
        </row>
        <row r="239">
          <cell r="G239">
            <v>6.0439814814814752E-2</v>
          </cell>
        </row>
        <row r="240">
          <cell r="G240">
            <v>5.844907407407407E-2</v>
          </cell>
        </row>
        <row r="241">
          <cell r="G241">
            <v>5.7314814814814818E-2</v>
          </cell>
        </row>
        <row r="242">
          <cell r="G242">
            <v>5.7592592592592584E-2</v>
          </cell>
        </row>
        <row r="243">
          <cell r="G243">
            <v>5.9039351851851829E-2</v>
          </cell>
        </row>
        <row r="244">
          <cell r="G244">
            <v>2.8229166666666694E-2</v>
          </cell>
        </row>
        <row r="245">
          <cell r="G245">
            <v>5.6342592592592611E-2</v>
          </cell>
        </row>
        <row r="246">
          <cell r="G246">
            <v>5.4560185185185128E-2</v>
          </cell>
        </row>
        <row r="247">
          <cell r="G247">
            <v>4.7731481481481486E-2</v>
          </cell>
        </row>
        <row r="248">
          <cell r="G248">
            <v>5.2731481481481435E-2</v>
          </cell>
        </row>
        <row r="249">
          <cell r="G249">
            <v>5.1365740740740795E-2</v>
          </cell>
        </row>
        <row r="250">
          <cell r="G250">
            <v>4.3518518518518845E-3</v>
          </cell>
        </row>
        <row r="251">
          <cell r="G251">
            <v>1.1689814814814792E-2</v>
          </cell>
        </row>
        <row r="252">
          <cell r="G252">
            <v>4.8368055555555511E-2</v>
          </cell>
        </row>
        <row r="253">
          <cell r="G253">
            <v>3.6701388888888853E-2</v>
          </cell>
        </row>
        <row r="254">
          <cell r="G254">
            <v>4.7557870370370403E-2</v>
          </cell>
        </row>
        <row r="255">
          <cell r="G255">
            <v>4.7569444444444386E-2</v>
          </cell>
        </row>
        <row r="256">
          <cell r="G256">
            <v>2.4930555555555567E-2</v>
          </cell>
        </row>
        <row r="257">
          <cell r="G257">
            <v>4.3298611111111107E-2</v>
          </cell>
        </row>
        <row r="258">
          <cell r="G258">
            <v>1.5601851851851811E-2</v>
          </cell>
        </row>
        <row r="259">
          <cell r="G259">
            <v>8.2407407407407707E-3</v>
          </cell>
        </row>
        <row r="260">
          <cell r="G260">
            <v>2.1006944444444398E-2</v>
          </cell>
        </row>
        <row r="261">
          <cell r="G261">
            <v>4.5138888888888729E-3</v>
          </cell>
        </row>
        <row r="262">
          <cell r="G262">
            <v>1.2025462962963029E-2</v>
          </cell>
        </row>
        <row r="263">
          <cell r="G263">
            <v>3.6388888888888971E-2</v>
          </cell>
        </row>
        <row r="264">
          <cell r="G264">
            <v>1.4502314814814732E-2</v>
          </cell>
        </row>
        <row r="265">
          <cell r="G265">
            <v>1.0648148148147962E-3</v>
          </cell>
        </row>
        <row r="266">
          <cell r="G266">
            <v>3.7962962962962976E-3</v>
          </cell>
        </row>
        <row r="267">
          <cell r="G267">
            <v>2.1712962962962934E-2</v>
          </cell>
        </row>
        <row r="268">
          <cell r="G268">
            <v>7.3958333333333792E-3</v>
          </cell>
        </row>
        <row r="269">
          <cell r="G269">
            <v>1.6689814814814852E-2</v>
          </cell>
        </row>
        <row r="270">
          <cell r="G270">
            <v>2.8935185185184897E-3</v>
          </cell>
        </row>
        <row r="271">
          <cell r="G271">
            <v>6.6319444444444819E-3</v>
          </cell>
        </row>
        <row r="272">
          <cell r="G272">
            <v>7.858796296296322E-3</v>
          </cell>
        </row>
        <row r="273">
          <cell r="G273">
            <v>9.9537037037036868E-3</v>
          </cell>
        </row>
        <row r="274">
          <cell r="G274">
            <v>8.8657407407407574E-3</v>
          </cell>
        </row>
        <row r="275">
          <cell r="G275">
            <v>1.0520833333333368E-2</v>
          </cell>
        </row>
        <row r="276">
          <cell r="G276">
            <v>1.193287037037033E-2</v>
          </cell>
        </row>
        <row r="277">
          <cell r="G277">
            <v>1.71412037037037E-2</v>
          </cell>
        </row>
        <row r="278">
          <cell r="G278">
            <v>1.5833333333333255E-2</v>
          </cell>
        </row>
        <row r="279">
          <cell r="G279">
            <v>1.0335648148148135E-2</v>
          </cell>
        </row>
        <row r="280">
          <cell r="G280">
            <v>2.0833333333333259E-3</v>
          </cell>
        </row>
        <row r="281">
          <cell r="G281">
            <v>1.8055555555556158E-3</v>
          </cell>
        </row>
        <row r="282">
          <cell r="G282">
            <v>4.3055555555555625E-3</v>
          </cell>
        </row>
        <row r="283">
          <cell r="G283">
            <v>5.1620370370369928E-3</v>
          </cell>
        </row>
        <row r="284">
          <cell r="G284">
            <v>2.4675925925925934E-2</v>
          </cell>
        </row>
        <row r="285">
          <cell r="G285">
            <v>2.0277777777777839E-2</v>
          </cell>
        </row>
        <row r="286">
          <cell r="G286">
            <v>1.4016203703703711E-2</v>
          </cell>
        </row>
        <row r="287">
          <cell r="G287">
            <v>8.5648148148148584E-3</v>
          </cell>
        </row>
        <row r="288">
          <cell r="G288">
            <v>1.1782407407407436E-2</v>
          </cell>
        </row>
        <row r="289">
          <cell r="G289">
            <v>3.8078703703703365E-3</v>
          </cell>
        </row>
        <row r="290">
          <cell r="G290">
            <v>8.5648148148143033E-4</v>
          </cell>
        </row>
        <row r="291">
          <cell r="G291">
            <v>1.4710648148148042E-2</v>
          </cell>
        </row>
        <row r="292">
          <cell r="G292">
            <v>1.0069444444444908E-3</v>
          </cell>
        </row>
        <row r="293">
          <cell r="G293">
            <v>1.8402777777777768E-2</v>
          </cell>
        </row>
        <row r="294">
          <cell r="G294">
            <v>2.2662037037037064E-2</v>
          </cell>
        </row>
        <row r="295">
          <cell r="G295">
            <v>2.7499999999999969E-2</v>
          </cell>
        </row>
        <row r="296">
          <cell r="G296">
            <v>3.6921296296296147E-3</v>
          </cell>
        </row>
        <row r="297">
          <cell r="G297">
            <v>3.2175925925925775E-3</v>
          </cell>
        </row>
        <row r="298">
          <cell r="G298">
            <v>3.9571759259259154E-2</v>
          </cell>
        </row>
        <row r="299">
          <cell r="G299">
            <v>2.2303240740740859E-2</v>
          </cell>
        </row>
        <row r="300">
          <cell r="G300">
            <v>3.0439814814815502E-3</v>
          </cell>
        </row>
        <row r="301">
          <cell r="G301">
            <v>3.4953703703703987E-3</v>
          </cell>
        </row>
        <row r="302">
          <cell r="G302">
            <v>3.6226851851851594E-3</v>
          </cell>
        </row>
        <row r="303">
          <cell r="G303">
            <v>2.1296296296295925E-3</v>
          </cell>
        </row>
        <row r="304">
          <cell r="G304">
            <v>9.9537037037045195E-4</v>
          </cell>
        </row>
        <row r="305">
          <cell r="G305">
            <v>1.0648148148147962E-3</v>
          </cell>
        </row>
        <row r="306">
          <cell r="G306">
            <v>1.4583333333333393E-3</v>
          </cell>
        </row>
        <row r="307">
          <cell r="G307">
            <v>1.3969907407407389E-2</v>
          </cell>
        </row>
        <row r="308">
          <cell r="G308">
            <v>1.6574074074074074E-2</v>
          </cell>
        </row>
        <row r="309">
          <cell r="G309">
            <v>5.9953703703703454E-3</v>
          </cell>
        </row>
        <row r="310">
          <cell r="G310">
            <v>7.9166666666666829E-3</v>
          </cell>
        </row>
        <row r="311">
          <cell r="G311">
            <v>9.3171296296296058E-3</v>
          </cell>
        </row>
        <row r="312">
          <cell r="G312">
            <v>2.4537037037036802E-3</v>
          </cell>
        </row>
        <row r="313">
          <cell r="G313">
            <v>6.8749999999999645E-3</v>
          </cell>
        </row>
        <row r="314">
          <cell r="G314">
            <v>1.0972222222222161E-2</v>
          </cell>
        </row>
        <row r="315">
          <cell r="G315">
            <v>3.6342592592591982E-3</v>
          </cell>
        </row>
        <row r="316">
          <cell r="G316">
            <v>1.6435185185185719E-3</v>
          </cell>
        </row>
        <row r="317">
          <cell r="G317">
            <v>1.0069444444443798E-3</v>
          </cell>
        </row>
        <row r="318">
          <cell r="G318">
            <v>8.7615740740740744E-3</v>
          </cell>
        </row>
        <row r="319">
          <cell r="G319">
            <v>8.1828703703703543E-3</v>
          </cell>
        </row>
        <row r="320">
          <cell r="G320">
            <v>7.5347222222221788E-3</v>
          </cell>
        </row>
        <row r="321">
          <cell r="G321">
            <v>7.7893518518518112E-3</v>
          </cell>
        </row>
        <row r="322">
          <cell r="G322">
            <v>5.6481481481481799E-3</v>
          </cell>
        </row>
        <row r="323">
          <cell r="G323">
            <v>3.8194444444444309E-3</v>
          </cell>
        </row>
        <row r="324">
          <cell r="G324">
            <v>5.8564814814814348E-3</v>
          </cell>
        </row>
        <row r="325">
          <cell r="G325">
            <v>4.0856481481480467E-3</v>
          </cell>
        </row>
        <row r="326">
          <cell r="G326">
            <v>3.1250000000004885E-4</v>
          </cell>
        </row>
        <row r="327">
          <cell r="G327">
            <v>1.0532407407408129E-3</v>
          </cell>
        </row>
        <row r="328">
          <cell r="G328">
            <v>2.5462962962968794E-4</v>
          </cell>
        </row>
        <row r="329">
          <cell r="G329">
            <v>6.0763888888888951E-3</v>
          </cell>
        </row>
        <row r="330">
          <cell r="G330">
            <v>9.8611111111110983E-3</v>
          </cell>
        </row>
        <row r="331">
          <cell r="G331">
            <v>6.1921296296296724E-3</v>
          </cell>
        </row>
        <row r="332">
          <cell r="G332">
            <v>1.0532407407407018E-3</v>
          </cell>
        </row>
        <row r="333">
          <cell r="G333">
            <v>1.2037037037037623E-3</v>
          </cell>
        </row>
        <row r="334">
          <cell r="G334">
            <v>1.2094907407407429E-2</v>
          </cell>
        </row>
        <row r="335">
          <cell r="G335">
            <v>1.2118055555555562E-2</v>
          </cell>
        </row>
        <row r="336">
          <cell r="G336">
            <v>1.2824074074074043E-2</v>
          </cell>
        </row>
        <row r="337">
          <cell r="G337">
            <v>1.2488425925925917E-2</v>
          </cell>
        </row>
        <row r="338">
          <cell r="G338">
            <v>1.1261574074074132E-2</v>
          </cell>
        </row>
        <row r="339">
          <cell r="G339">
            <v>9.8148148148147207E-3</v>
          </cell>
        </row>
        <row r="340">
          <cell r="G340">
            <v>1.142361111111112E-2</v>
          </cell>
        </row>
        <row r="341">
          <cell r="G341">
            <v>2.3263888888888085E-3</v>
          </cell>
        </row>
        <row r="342">
          <cell r="G342">
            <v>7.4768518518518734E-3</v>
          </cell>
        </row>
        <row r="343">
          <cell r="G343">
            <v>1.0763888888888351E-3</v>
          </cell>
        </row>
        <row r="344">
          <cell r="G344">
            <v>8.7731481481481133E-3</v>
          </cell>
        </row>
        <row r="345">
          <cell r="G345">
            <v>1.2129629629629601E-2</v>
          </cell>
        </row>
        <row r="346">
          <cell r="G346">
            <v>1.585648148148211E-3</v>
          </cell>
        </row>
        <row r="347">
          <cell r="G347">
            <v>2.1990740740740478E-3</v>
          </cell>
        </row>
        <row r="348">
          <cell r="G348">
            <v>1.979166666666643E-3</v>
          </cell>
        </row>
        <row r="349">
          <cell r="G349">
            <v>6.8402777777777368E-3</v>
          </cell>
        </row>
        <row r="350">
          <cell r="G350">
            <v>1.7164351851851833E-2</v>
          </cell>
        </row>
        <row r="351">
          <cell r="G351">
            <v>4.1122685185185137E-2</v>
          </cell>
        </row>
        <row r="352">
          <cell r="G352">
            <v>3.7071759259259318E-2</v>
          </cell>
        </row>
        <row r="353">
          <cell r="G353">
            <v>3.2349537037037024E-2</v>
          </cell>
        </row>
        <row r="354">
          <cell r="G354">
            <v>3.0370370370370381E-2</v>
          </cell>
        </row>
        <row r="355">
          <cell r="G355">
            <v>3.0474537037037064E-2</v>
          </cell>
        </row>
        <row r="356">
          <cell r="G356">
            <v>2.7291666666666603E-2</v>
          </cell>
        </row>
        <row r="357">
          <cell r="G357">
            <v>1.3194444444444398E-2</v>
          </cell>
        </row>
        <row r="358">
          <cell r="G358">
            <v>1.2418981481481461E-2</v>
          </cell>
        </row>
        <row r="359">
          <cell r="G359">
            <v>1.6157407407407343E-2</v>
          </cell>
        </row>
        <row r="360">
          <cell r="G360">
            <v>9.7800925925926041E-3</v>
          </cell>
        </row>
        <row r="361">
          <cell r="G361">
            <v>8.8773148148147962E-3</v>
          </cell>
        </row>
        <row r="362">
          <cell r="G362">
            <v>2.8240740740740344E-3</v>
          </cell>
        </row>
        <row r="363">
          <cell r="G363">
            <v>1.446759259259256E-2</v>
          </cell>
        </row>
        <row r="364">
          <cell r="G364">
            <v>1.1620370370370336E-2</v>
          </cell>
        </row>
        <row r="365">
          <cell r="G365">
            <v>1.4062500000000089E-2</v>
          </cell>
        </row>
        <row r="366">
          <cell r="G366">
            <v>1.2048611111111218E-2</v>
          </cell>
        </row>
        <row r="367">
          <cell r="G367">
            <v>3.7557870370370283E-2</v>
          </cell>
        </row>
        <row r="368">
          <cell r="G368">
            <v>2.6157407407407463E-2</v>
          </cell>
        </row>
        <row r="369">
          <cell r="G369">
            <v>3.2291666666667274E-3</v>
          </cell>
        </row>
        <row r="370">
          <cell r="G370">
            <v>5.2083333333330373E-4</v>
          </cell>
        </row>
        <row r="371">
          <cell r="G371">
            <v>3.657407407407387E-3</v>
          </cell>
        </row>
        <row r="372">
          <cell r="G372">
            <v>2.6620370370370461E-3</v>
          </cell>
        </row>
        <row r="373">
          <cell r="G373">
            <v>1.2384259259259178E-2</v>
          </cell>
        </row>
        <row r="374">
          <cell r="G374">
            <v>9.6412037037036935E-3</v>
          </cell>
        </row>
        <row r="375">
          <cell r="G375">
            <v>1.0995370370370794E-3</v>
          </cell>
        </row>
        <row r="376">
          <cell r="G376">
            <v>1.1840277777777741E-2</v>
          </cell>
        </row>
        <row r="377">
          <cell r="G377">
            <v>6.4699074074073826E-3</v>
          </cell>
        </row>
        <row r="378">
          <cell r="G378">
            <v>1.6087962962963442E-3</v>
          </cell>
        </row>
        <row r="379">
          <cell r="G379">
            <v>9.9768518518518756E-3</v>
          </cell>
        </row>
        <row r="380">
          <cell r="G380">
            <v>2.2800925925925974E-3</v>
          </cell>
        </row>
        <row r="381">
          <cell r="G381">
            <v>2.8240740740741455E-3</v>
          </cell>
        </row>
        <row r="382">
          <cell r="G382">
            <v>1.1342592592592515E-3</v>
          </cell>
        </row>
        <row r="383">
          <cell r="G383">
            <v>1.87499999999996E-3</v>
          </cell>
        </row>
        <row r="384">
          <cell r="G384">
            <v>2.4143518518518592E-2</v>
          </cell>
        </row>
        <row r="385">
          <cell r="G385">
            <v>8.4374999999999867E-3</v>
          </cell>
        </row>
        <row r="386">
          <cell r="G386">
            <v>1.4976851851851825E-2</v>
          </cell>
        </row>
        <row r="387">
          <cell r="G387">
            <v>1.3055555555555598E-2</v>
          </cell>
        </row>
        <row r="388">
          <cell r="G388">
            <v>9.3287037037036447E-3</v>
          </cell>
        </row>
        <row r="389">
          <cell r="G389">
            <v>3.9351851851852082E-3</v>
          </cell>
        </row>
        <row r="390">
          <cell r="G390">
            <v>6.8865740740741144E-3</v>
          </cell>
        </row>
        <row r="391">
          <cell r="G391">
            <v>1.2372685185185084E-2</v>
          </cell>
        </row>
        <row r="392">
          <cell r="G392">
            <v>6.7129629629636423E-4</v>
          </cell>
        </row>
        <row r="393">
          <cell r="G393">
            <v>1.3506944444444446E-2</v>
          </cell>
        </row>
        <row r="394">
          <cell r="G394">
            <v>2.3379629629629584E-3</v>
          </cell>
        </row>
        <row r="395">
          <cell r="G395">
            <v>1.143518518518527E-2</v>
          </cell>
        </row>
        <row r="396">
          <cell r="G396">
            <v>1.5266203703703796E-2</v>
          </cell>
        </row>
        <row r="397">
          <cell r="G397">
            <v>1.4212962962962927E-2</v>
          </cell>
        </row>
        <row r="398">
          <cell r="G398">
            <v>5.7986111111111294E-3</v>
          </cell>
        </row>
        <row r="399">
          <cell r="G399">
            <v>4.3981481481480955E-4</v>
          </cell>
        </row>
        <row r="400">
          <cell r="G400">
            <v>9.2824074074074892E-3</v>
          </cell>
        </row>
        <row r="401">
          <cell r="G401">
            <v>2.870370370370412E-3</v>
          </cell>
        </row>
        <row r="402">
          <cell r="G402">
            <v>6.2499999999998668E-4</v>
          </cell>
        </row>
        <row r="403">
          <cell r="G403">
            <v>5.7291666666666741E-3</v>
          </cell>
        </row>
        <row r="404">
          <cell r="G404">
            <v>1.6539351851851847E-2</v>
          </cell>
        </row>
        <row r="405">
          <cell r="G405">
            <v>2.0138888888887596E-3</v>
          </cell>
        </row>
        <row r="406">
          <cell r="G406">
            <v>1.9548611111111058E-2</v>
          </cell>
        </row>
        <row r="407">
          <cell r="G407">
            <v>1.8541666666666679E-2</v>
          </cell>
        </row>
        <row r="408">
          <cell r="G408">
            <v>7.6620370370369395E-3</v>
          </cell>
        </row>
        <row r="409">
          <cell r="G409">
            <v>1.3796296296296195E-2</v>
          </cell>
        </row>
        <row r="410">
          <cell r="G410">
            <v>1.3900462962962878E-2</v>
          </cell>
        </row>
        <row r="411">
          <cell r="G411">
            <v>4.5370370370370061E-3</v>
          </cell>
        </row>
        <row r="412">
          <cell r="G412">
            <v>2.0370370370370483E-2</v>
          </cell>
        </row>
        <row r="413">
          <cell r="G413">
            <v>2.1377314814814863E-2</v>
          </cell>
        </row>
        <row r="414">
          <cell r="G414">
            <v>1.9178240740740815E-2</v>
          </cell>
        </row>
        <row r="415">
          <cell r="G415">
            <v>2.0717592592592871E-3</v>
          </cell>
        </row>
        <row r="416">
          <cell r="G416">
            <v>2.1875000000000089E-3</v>
          </cell>
        </row>
        <row r="417">
          <cell r="G417">
            <v>4.2824074074071516E-4</v>
          </cell>
        </row>
        <row r="418">
          <cell r="G418">
            <v>1.1458333333333459E-3</v>
          </cell>
        </row>
        <row r="419">
          <cell r="G419">
            <v>2.372685185185186E-2</v>
          </cell>
        </row>
        <row r="420">
          <cell r="G420">
            <v>2.3101851851851818E-2</v>
          </cell>
        </row>
        <row r="421">
          <cell r="G421">
            <v>1.489583333333333E-2</v>
          </cell>
        </row>
        <row r="422">
          <cell r="G422">
            <v>3.4374999999999822E-3</v>
          </cell>
        </row>
        <row r="423">
          <cell r="G423">
            <v>1.5277777777777946E-3</v>
          </cell>
        </row>
        <row r="424">
          <cell r="G424">
            <v>2.0497685185185133E-2</v>
          </cell>
        </row>
        <row r="425">
          <cell r="G425">
            <v>1.0509259259259274E-2</v>
          </cell>
        </row>
        <row r="426">
          <cell r="G426">
            <v>6.7361111111111649E-3</v>
          </cell>
        </row>
        <row r="427">
          <cell r="G427">
            <v>6.1458333333332948E-3</v>
          </cell>
        </row>
        <row r="428">
          <cell r="G428">
            <v>7.3611111111110961E-3</v>
          </cell>
        </row>
        <row r="429">
          <cell r="G429">
            <v>4.5138888888884843E-4</v>
          </cell>
        </row>
        <row r="430">
          <cell r="G430">
            <v>8.0324074074074048E-3</v>
          </cell>
        </row>
        <row r="431">
          <cell r="G431">
            <v>1.0092592592592653E-2</v>
          </cell>
        </row>
        <row r="432">
          <cell r="G432">
            <v>1.8125000000000002E-2</v>
          </cell>
        </row>
        <row r="433">
          <cell r="G433">
            <v>8.7152777777777524E-3</v>
          </cell>
        </row>
        <row r="434">
          <cell r="G434">
            <v>4.69907407407405E-3</v>
          </cell>
        </row>
        <row r="435">
          <cell r="G435">
            <v>6.1921296296296724E-3</v>
          </cell>
        </row>
        <row r="436">
          <cell r="G436">
            <v>4.502314814814834E-3</v>
          </cell>
        </row>
        <row r="437">
          <cell r="G437">
            <v>4.6412037037037446E-3</v>
          </cell>
        </row>
        <row r="438">
          <cell r="G438">
            <v>7.1759259259259744E-3</v>
          </cell>
        </row>
        <row r="439">
          <cell r="G439">
            <v>8.7268518518518468E-3</v>
          </cell>
        </row>
        <row r="440">
          <cell r="G440">
            <v>1.7002314814814845E-2</v>
          </cell>
        </row>
        <row r="441">
          <cell r="G441">
            <v>1.6817129629629668E-2</v>
          </cell>
        </row>
        <row r="442">
          <cell r="G442">
            <v>8.7499999999999245E-3</v>
          </cell>
        </row>
        <row r="443">
          <cell r="G443">
            <v>4.4560185185185119E-3</v>
          </cell>
        </row>
        <row r="444">
          <cell r="G444">
            <v>8.1944444444445041E-3</v>
          </cell>
        </row>
        <row r="445">
          <cell r="G445">
            <v>4.9884259259259656E-3</v>
          </cell>
        </row>
        <row r="446">
          <cell r="G446">
            <v>1.192129629629668E-3</v>
          </cell>
        </row>
        <row r="447">
          <cell r="G447">
            <v>1.6736111111111174E-2</v>
          </cell>
        </row>
        <row r="448">
          <cell r="G448">
            <v>2.2743055555555558E-2</v>
          </cell>
        </row>
        <row r="449">
          <cell r="G449">
            <v>7.9745370370369884E-3</v>
          </cell>
        </row>
        <row r="450">
          <cell r="G450">
            <v>6.6319444444443709E-3</v>
          </cell>
        </row>
        <row r="451">
          <cell r="G451">
            <v>1.3819444444444384E-2</v>
          </cell>
        </row>
        <row r="452">
          <cell r="G452">
            <v>1.0902777777777817E-2</v>
          </cell>
        </row>
        <row r="453">
          <cell r="G453">
            <v>6.9097222222221921E-3</v>
          </cell>
        </row>
        <row r="454">
          <cell r="G454">
            <v>2.3148148148144365E-4</v>
          </cell>
        </row>
        <row r="455">
          <cell r="G455">
            <v>2.1979166666666661E-2</v>
          </cell>
        </row>
        <row r="456">
          <cell r="G456">
            <v>1.3263888888888964E-2</v>
          </cell>
        </row>
        <row r="457">
          <cell r="G457">
            <v>1.3692129629629624E-2</v>
          </cell>
        </row>
        <row r="458">
          <cell r="G458">
            <v>1.2847222222222232E-2</v>
          </cell>
        </row>
        <row r="459">
          <cell r="G459">
            <v>1.2037037037037068E-2</v>
          </cell>
        </row>
        <row r="460">
          <cell r="G460">
            <v>3.0902777777777057E-3</v>
          </cell>
        </row>
        <row r="461">
          <cell r="G461">
            <v>5.2893518518519755E-3</v>
          </cell>
        </row>
        <row r="462">
          <cell r="G462">
            <v>4.8726851851852437E-3</v>
          </cell>
        </row>
        <row r="463">
          <cell r="G463">
            <v>1.7719907407407254E-2</v>
          </cell>
        </row>
        <row r="464">
          <cell r="G464">
            <v>6.9444444444445308E-3</v>
          </cell>
        </row>
        <row r="465">
          <cell r="G465">
            <v>6.0416666666666119E-3</v>
          </cell>
        </row>
        <row r="466">
          <cell r="G466">
            <v>2.6273148148149295E-3</v>
          </cell>
        </row>
        <row r="467">
          <cell r="G467">
            <v>1.9675925925926041E-3</v>
          </cell>
        </row>
        <row r="468">
          <cell r="G468">
            <v>1.0648148148147962E-3</v>
          </cell>
        </row>
        <row r="469">
          <cell r="G469">
            <v>6.2152777777777501E-3</v>
          </cell>
        </row>
        <row r="470">
          <cell r="G470">
            <v>8.506944444444442E-3</v>
          </cell>
        </row>
        <row r="471">
          <cell r="G471">
            <v>4.629629629628873E-4</v>
          </cell>
        </row>
        <row r="472">
          <cell r="G472">
            <v>4.8611111111107608E-4</v>
          </cell>
        </row>
        <row r="473">
          <cell r="G473">
            <v>3.1828703703704053E-3</v>
          </cell>
        </row>
        <row r="474">
          <cell r="G474">
            <v>1.6585648148148169E-2</v>
          </cell>
        </row>
        <row r="475">
          <cell r="G475">
            <v>2.2083333333333288E-2</v>
          </cell>
        </row>
        <row r="476">
          <cell r="G476">
            <v>2.6273148148148184E-3</v>
          </cell>
        </row>
        <row r="477">
          <cell r="G477">
            <v>3.0555555555555891E-3</v>
          </cell>
        </row>
        <row r="478">
          <cell r="G478">
            <v>2.3032407407407363E-2</v>
          </cell>
        </row>
        <row r="479">
          <cell r="G479">
            <v>9.4560185185185164E-3</v>
          </cell>
        </row>
        <row r="480">
          <cell r="G480">
            <v>8.5300925925926308E-3</v>
          </cell>
        </row>
        <row r="481">
          <cell r="G481">
            <v>9.2939814814814725E-3</v>
          </cell>
        </row>
        <row r="482">
          <cell r="G482">
            <v>4.5370370370370061E-3</v>
          </cell>
        </row>
        <row r="483">
          <cell r="G483">
            <v>1.561342592592585E-2</v>
          </cell>
        </row>
        <row r="484">
          <cell r="G484">
            <v>3.9236111111111138E-3</v>
          </cell>
        </row>
        <row r="485">
          <cell r="G485">
            <v>8.5995370370370305E-3</v>
          </cell>
        </row>
        <row r="486">
          <cell r="G486">
            <v>3.9004629629629251E-3</v>
          </cell>
        </row>
        <row r="487">
          <cell r="G487">
            <v>4.6296296296294281E-4</v>
          </cell>
        </row>
        <row r="488">
          <cell r="G488">
            <v>2.9861111111111338E-3</v>
          </cell>
        </row>
        <row r="489">
          <cell r="G489">
            <v>1.0243055555555547E-2</v>
          </cell>
        </row>
        <row r="490">
          <cell r="G490">
            <v>8.113425925925899E-3</v>
          </cell>
        </row>
        <row r="491">
          <cell r="G491">
            <v>5.3124999999999423E-3</v>
          </cell>
        </row>
        <row r="492">
          <cell r="G492">
            <v>6.8287037037034759E-4</v>
          </cell>
        </row>
        <row r="493">
          <cell r="G493">
            <v>1.3541666666667118E-3</v>
          </cell>
        </row>
        <row r="494">
          <cell r="G494">
            <v>8.2870370370369817E-3</v>
          </cell>
        </row>
        <row r="495">
          <cell r="G495">
            <v>4.2824074074077068E-4</v>
          </cell>
        </row>
        <row r="496">
          <cell r="G496">
            <v>6.7361111111110539E-3</v>
          </cell>
        </row>
        <row r="497">
          <cell r="G497">
            <v>9.5370370370370661E-3</v>
          </cell>
        </row>
        <row r="498">
          <cell r="G498">
            <v>1.0578703703703729E-2</v>
          </cell>
        </row>
        <row r="499">
          <cell r="G499">
            <v>9.247685185185206E-3</v>
          </cell>
        </row>
        <row r="500">
          <cell r="G500">
            <v>6.8287037037034759E-4</v>
          </cell>
        </row>
        <row r="501">
          <cell r="G501">
            <v>2.4305555555554914E-3</v>
          </cell>
        </row>
        <row r="502">
          <cell r="G502">
            <v>1.3831018518518534E-2</v>
          </cell>
        </row>
        <row r="503">
          <cell r="G503">
            <v>3.7500000000000311E-3</v>
          </cell>
        </row>
        <row r="504">
          <cell r="G504">
            <v>3.9467592592592471E-3</v>
          </cell>
        </row>
        <row r="505">
          <cell r="G505">
            <v>6.8287037037029208E-4</v>
          </cell>
        </row>
        <row r="506">
          <cell r="G506">
            <v>5.3240740740745363E-4</v>
          </cell>
        </row>
        <row r="507">
          <cell r="G507">
            <v>7.118055555555558E-3</v>
          </cell>
        </row>
        <row r="508">
          <cell r="G508">
            <v>4.1006944444444526E-2</v>
          </cell>
        </row>
        <row r="509">
          <cell r="G509">
            <v>3.7777777777777799E-2</v>
          </cell>
        </row>
        <row r="510">
          <cell r="G510">
            <v>2.6875000000000093E-2</v>
          </cell>
        </row>
        <row r="511">
          <cell r="G511">
            <v>2.7812500000000018E-2</v>
          </cell>
        </row>
        <row r="512">
          <cell r="G512">
            <v>9.4097222222222499E-3</v>
          </cell>
        </row>
        <row r="513">
          <cell r="G513">
            <v>1.7210648148148211E-2</v>
          </cell>
        </row>
        <row r="514">
          <cell r="G514">
            <v>2.2499999999999964E-2</v>
          </cell>
        </row>
        <row r="515">
          <cell r="G515">
            <v>1.4583333333333393E-2</v>
          </cell>
        </row>
        <row r="516">
          <cell r="G516">
            <v>2.0370370370370594E-3</v>
          </cell>
        </row>
        <row r="517">
          <cell r="G517">
            <v>1.1608796296296298E-2</v>
          </cell>
        </row>
        <row r="518">
          <cell r="G518">
            <v>1.1689814814814792E-3</v>
          </cell>
        </row>
        <row r="519">
          <cell r="G519">
            <v>2.4513888888888835E-2</v>
          </cell>
        </row>
        <row r="520">
          <cell r="G520">
            <v>2.5069444444444478E-2</v>
          </cell>
        </row>
        <row r="521">
          <cell r="G521">
            <v>2.5069444444444366E-2</v>
          </cell>
        </row>
        <row r="522">
          <cell r="G522">
            <v>8.7615740740740744E-3</v>
          </cell>
        </row>
        <row r="523">
          <cell r="G523">
            <v>9.7800925925926041E-3</v>
          </cell>
        </row>
        <row r="524">
          <cell r="G524">
            <v>7.9629629629629495E-3</v>
          </cell>
        </row>
        <row r="525">
          <cell r="G525">
            <v>9.2245370370370727E-3</v>
          </cell>
        </row>
        <row r="526">
          <cell r="G526">
            <v>5.8796296296296235E-3</v>
          </cell>
        </row>
        <row r="527">
          <cell r="G527">
            <v>4.6643518518518778E-3</v>
          </cell>
        </row>
        <row r="528">
          <cell r="G528">
            <v>1.9710648148148047E-2</v>
          </cell>
        </row>
        <row r="529">
          <cell r="G529">
            <v>1.7847222222222348E-2</v>
          </cell>
        </row>
        <row r="530">
          <cell r="G530">
            <v>3.263888888888955E-3</v>
          </cell>
        </row>
        <row r="531">
          <cell r="G531">
            <v>1.388888888888884E-3</v>
          </cell>
        </row>
        <row r="532">
          <cell r="G532">
            <v>6.2615740740740167E-3</v>
          </cell>
        </row>
        <row r="533">
          <cell r="G533">
            <v>4.9305555555555491E-3</v>
          </cell>
        </row>
        <row r="534">
          <cell r="G534">
            <v>9.0162037037037068E-3</v>
          </cell>
        </row>
        <row r="535">
          <cell r="G535">
            <v>2.4652777777777191E-3</v>
          </cell>
        </row>
        <row r="536">
          <cell r="G536">
            <v>1.3078703703703898E-3</v>
          </cell>
        </row>
        <row r="537">
          <cell r="G537">
            <v>1.5023148148148202E-2</v>
          </cell>
        </row>
        <row r="538">
          <cell r="G538">
            <v>1.1909722222222197E-2</v>
          </cell>
        </row>
        <row r="539">
          <cell r="G539">
            <v>1.3599537037036979E-2</v>
          </cell>
        </row>
        <row r="540">
          <cell r="G540">
            <v>7.6041666666667451E-3</v>
          </cell>
        </row>
        <row r="541">
          <cell r="G541">
            <v>2.8472222222222232E-3</v>
          </cell>
        </row>
        <row r="542">
          <cell r="G542">
            <v>1.5659722222222228E-2</v>
          </cell>
        </row>
        <row r="543">
          <cell r="G543">
            <v>4.2824074074077068E-4</v>
          </cell>
        </row>
        <row r="544">
          <cell r="G544">
            <v>1.3136574074073981E-2</v>
          </cell>
        </row>
        <row r="545">
          <cell r="G545">
            <v>8.2638888888889594E-3</v>
          </cell>
        </row>
        <row r="546">
          <cell r="G546">
            <v>7.3032407407408462E-3</v>
          </cell>
        </row>
        <row r="547">
          <cell r="G547">
            <v>1.1400462962963043E-2</v>
          </cell>
        </row>
        <row r="548">
          <cell r="G548">
            <v>2.2916666666666918E-3</v>
          </cell>
        </row>
        <row r="549">
          <cell r="G549">
            <v>7.418981481481457E-3</v>
          </cell>
        </row>
        <row r="550">
          <cell r="G550">
            <v>8.4259259259259478E-3</v>
          </cell>
        </row>
        <row r="551">
          <cell r="G551">
            <v>4.0509259259247088E-4</v>
          </cell>
        </row>
        <row r="552">
          <cell r="G552">
            <v>2.8564814814814876E-2</v>
          </cell>
        </row>
        <row r="553">
          <cell r="G553">
            <v>2.5717592592592764E-2</v>
          </cell>
        </row>
        <row r="554">
          <cell r="G554">
            <v>2.6018518518518496E-2</v>
          </cell>
        </row>
        <row r="555">
          <cell r="G555">
            <v>9.6180555555555047E-3</v>
          </cell>
        </row>
        <row r="556">
          <cell r="G556">
            <v>1.4375000000000027E-2</v>
          </cell>
        </row>
        <row r="557">
          <cell r="G557">
            <v>1.3194444444444287E-3</v>
          </cell>
        </row>
        <row r="558">
          <cell r="G558">
            <v>1.2094907407407429E-2</v>
          </cell>
        </row>
        <row r="559">
          <cell r="G559">
            <v>1.1412037037037026E-2</v>
          </cell>
        </row>
        <row r="560">
          <cell r="G560">
            <v>1.1180555555555582E-2</v>
          </cell>
        </row>
        <row r="561">
          <cell r="G561">
            <v>4.5138888888884843E-4</v>
          </cell>
        </row>
        <row r="562">
          <cell r="G562">
            <v>2.766203703703729E-3</v>
          </cell>
        </row>
        <row r="563">
          <cell r="G563">
            <v>2.8819444444443398E-3</v>
          </cell>
        </row>
        <row r="564">
          <cell r="G564">
            <v>1.1574074074074403E-3</v>
          </cell>
        </row>
        <row r="565">
          <cell r="G565">
            <v>3.460648148148171E-3</v>
          </cell>
        </row>
        <row r="566">
          <cell r="G566">
            <v>1.0381944444444402E-2</v>
          </cell>
        </row>
        <row r="567">
          <cell r="G567">
            <v>6.4814814814806443E-4</v>
          </cell>
        </row>
        <row r="568">
          <cell r="G568">
            <v>3.3912037037038267E-3</v>
          </cell>
        </row>
        <row r="569">
          <cell r="G569">
            <v>1.3124999999999942E-2</v>
          </cell>
        </row>
        <row r="570">
          <cell r="G570">
            <v>4.548611111111045E-3</v>
          </cell>
        </row>
        <row r="571">
          <cell r="G571">
            <v>1.41782407407407E-2</v>
          </cell>
        </row>
        <row r="572">
          <cell r="G572">
            <v>1.3113425925925903E-2</v>
          </cell>
        </row>
        <row r="573">
          <cell r="G573">
            <v>2.7893518518518068E-3</v>
          </cell>
        </row>
        <row r="574">
          <cell r="G574">
            <v>9.6064814814811328E-4</v>
          </cell>
        </row>
        <row r="575">
          <cell r="G575">
            <v>6.712962962962532E-4</v>
          </cell>
        </row>
        <row r="576">
          <cell r="G576">
            <v>1.2615740740741233E-3</v>
          </cell>
        </row>
        <row r="577">
          <cell r="G577">
            <v>7.6388888888878625E-4</v>
          </cell>
        </row>
        <row r="578">
          <cell r="G578">
            <v>8.680555555554692E-4</v>
          </cell>
        </row>
        <row r="579">
          <cell r="G579">
            <v>1.4687499999999964E-2</v>
          </cell>
        </row>
        <row r="580">
          <cell r="G580">
            <v>1.4560185185185093E-2</v>
          </cell>
        </row>
        <row r="581">
          <cell r="G581">
            <v>6.9444444444444198E-3</v>
          </cell>
        </row>
        <row r="582">
          <cell r="G582">
            <v>2.1388888888888791E-2</v>
          </cell>
        </row>
        <row r="583">
          <cell r="G583">
            <v>1.4930555555555558E-2</v>
          </cell>
        </row>
        <row r="584">
          <cell r="G584">
            <v>5.7870370370349811E-4</v>
          </cell>
        </row>
        <row r="585">
          <cell r="G585">
            <v>4.1666666666650976E-4</v>
          </cell>
        </row>
        <row r="586">
          <cell r="G586">
            <v>1.1597222222222148E-2</v>
          </cell>
        </row>
        <row r="587">
          <cell r="G587">
            <v>2.3229166666666745E-2</v>
          </cell>
        </row>
        <row r="588">
          <cell r="G588">
            <v>4.050925925925819E-4</v>
          </cell>
        </row>
        <row r="589">
          <cell r="G589">
            <v>4.1666666666662078E-4</v>
          </cell>
        </row>
        <row r="590">
          <cell r="G590">
            <v>2.2476851851851776E-2</v>
          </cell>
        </row>
        <row r="591">
          <cell r="G591">
            <v>3.3564814814823762E-4</v>
          </cell>
        </row>
        <row r="592">
          <cell r="G592">
            <v>1.3518518518518596E-2</v>
          </cell>
        </row>
        <row r="593">
          <cell r="G593">
            <v>6.4814814814806443E-4</v>
          </cell>
        </row>
        <row r="594">
          <cell r="G594">
            <v>1.9907407407407929E-3</v>
          </cell>
        </row>
        <row r="595">
          <cell r="G595">
            <v>2.5266203703703694E-2</v>
          </cell>
        </row>
        <row r="596">
          <cell r="G596">
            <v>1.504629629629628E-2</v>
          </cell>
        </row>
        <row r="597">
          <cell r="G597">
            <v>1.2905092592592593E-2</v>
          </cell>
        </row>
        <row r="598">
          <cell r="G598">
            <v>1.0949074074074083E-2</v>
          </cell>
        </row>
        <row r="599">
          <cell r="G599">
            <v>1.0879629629629628E-2</v>
          </cell>
        </row>
        <row r="600">
          <cell r="G600">
            <v>9.3287037037036447E-3</v>
          </cell>
        </row>
        <row r="601">
          <cell r="G601">
            <v>7.1643518518518245E-3</v>
          </cell>
        </row>
        <row r="602">
          <cell r="G602">
            <v>7.8240740740740389E-3</v>
          </cell>
        </row>
        <row r="603">
          <cell r="G603">
            <v>3.9120370370370749E-3</v>
          </cell>
        </row>
        <row r="604">
          <cell r="G604">
            <v>5.243055555555487E-3</v>
          </cell>
        </row>
        <row r="605">
          <cell r="G605">
            <v>1.4930555555556224E-3</v>
          </cell>
        </row>
        <row r="606">
          <cell r="G606">
            <v>5.6828703703704075E-3</v>
          </cell>
        </row>
        <row r="607">
          <cell r="G607">
            <v>1.1863425925925986E-2</v>
          </cell>
        </row>
        <row r="608">
          <cell r="G608">
            <v>4.0277777777777413E-3</v>
          </cell>
        </row>
        <row r="609">
          <cell r="G609">
            <v>1.1099537037037033E-2</v>
          </cell>
        </row>
        <row r="610">
          <cell r="G610">
            <v>6.9444444444438647E-4</v>
          </cell>
        </row>
        <row r="611">
          <cell r="G611">
            <v>2.1412037037037424E-3</v>
          </cell>
        </row>
        <row r="612">
          <cell r="G612">
            <v>5.8217592592592626E-3</v>
          </cell>
        </row>
        <row r="613">
          <cell r="G613">
            <v>5.0925925925926485E-3</v>
          </cell>
        </row>
        <row r="614">
          <cell r="G614">
            <v>4.1087962962962354E-3</v>
          </cell>
        </row>
        <row r="615">
          <cell r="G615">
            <v>1.631944444444422E-3</v>
          </cell>
        </row>
        <row r="616">
          <cell r="G616">
            <v>1.1724537037037019E-2</v>
          </cell>
        </row>
        <row r="617">
          <cell r="G617">
            <v>1.2106481481481413E-2</v>
          </cell>
        </row>
        <row r="618">
          <cell r="G618">
            <v>1.121527777777781E-2</v>
          </cell>
        </row>
        <row r="619">
          <cell r="G619">
            <v>1.1053240740740822E-2</v>
          </cell>
        </row>
        <row r="620">
          <cell r="G620">
            <v>2.1886574074074183E-2</v>
          </cell>
        </row>
        <row r="621">
          <cell r="G621">
            <v>4.2824074074073737E-3</v>
          </cell>
        </row>
        <row r="622">
          <cell r="G622">
            <v>1.6736111111111174E-2</v>
          </cell>
        </row>
        <row r="623">
          <cell r="G623">
            <v>1.7199074074074061E-2</v>
          </cell>
        </row>
        <row r="624">
          <cell r="G624">
            <v>2.9606481481481484E-2</v>
          </cell>
        </row>
        <row r="625">
          <cell r="G625">
            <v>1.3831018518518534E-2</v>
          </cell>
        </row>
        <row r="626">
          <cell r="G626">
            <v>8.9120370370371349E-3</v>
          </cell>
        </row>
        <row r="627">
          <cell r="G627">
            <v>1.7418981481481466E-2</v>
          </cell>
        </row>
        <row r="628">
          <cell r="G628">
            <v>1.5150462962963074E-2</v>
          </cell>
        </row>
        <row r="629">
          <cell r="G629">
            <v>7.0601851851851416E-3</v>
          </cell>
        </row>
        <row r="630">
          <cell r="G630">
            <v>2.8888888888888853E-2</v>
          </cell>
        </row>
        <row r="631">
          <cell r="G631">
            <v>1.157407407407407E-2</v>
          </cell>
        </row>
        <row r="632">
          <cell r="G632">
            <v>1.4236111111111116E-2</v>
          </cell>
        </row>
        <row r="633">
          <cell r="G633">
            <v>1.1550925925925881E-2</v>
          </cell>
        </row>
        <row r="634">
          <cell r="G634">
            <v>1.2418981481481461E-2</v>
          </cell>
        </row>
        <row r="635">
          <cell r="G635">
            <v>6.5046296296296102E-3</v>
          </cell>
        </row>
        <row r="636">
          <cell r="G636">
            <v>5.046296296296271E-3</v>
          </cell>
        </row>
        <row r="637">
          <cell r="G637">
            <v>6.0763888888889506E-3</v>
          </cell>
        </row>
        <row r="638">
          <cell r="G638">
            <v>8.2175925925925819E-3</v>
          </cell>
        </row>
        <row r="639">
          <cell r="G639">
            <v>2.6620370370370461E-3</v>
          </cell>
        </row>
        <row r="640">
          <cell r="G640">
            <v>1.1747685185185208E-2</v>
          </cell>
        </row>
        <row r="641">
          <cell r="G641">
            <v>5.2083333333341475E-4</v>
          </cell>
        </row>
        <row r="642">
          <cell r="G642">
            <v>3.2407407407408773E-4</v>
          </cell>
        </row>
        <row r="643">
          <cell r="G643">
            <v>5.6712962962968128E-4</v>
          </cell>
        </row>
        <row r="644">
          <cell r="G644">
            <v>4.745370370370372E-4</v>
          </cell>
        </row>
        <row r="645">
          <cell r="G645">
            <v>1.5717592592592644E-2</v>
          </cell>
        </row>
        <row r="646">
          <cell r="G646">
            <v>2.5949074074074097E-2</v>
          </cell>
        </row>
        <row r="647">
          <cell r="G647">
            <v>2.7002314814814854E-2</v>
          </cell>
        </row>
        <row r="648">
          <cell r="G648">
            <v>2.1064814814814814E-2</v>
          </cell>
        </row>
        <row r="649">
          <cell r="G649">
            <v>3.8194444444450415E-4</v>
          </cell>
        </row>
        <row r="650">
          <cell r="G650">
            <v>1.2083333333333335E-2</v>
          </cell>
        </row>
        <row r="651">
          <cell r="G651">
            <v>1.460648148148147E-2</v>
          </cell>
        </row>
        <row r="652">
          <cell r="G652">
            <v>9.5254629629630827E-3</v>
          </cell>
        </row>
        <row r="653">
          <cell r="G653">
            <v>2.2696759259259291E-2</v>
          </cell>
        </row>
        <row r="654">
          <cell r="G654">
            <v>6.3425925925926219E-3</v>
          </cell>
        </row>
        <row r="655">
          <cell r="G655">
            <v>6.134259259259256E-3</v>
          </cell>
        </row>
        <row r="656">
          <cell r="G656">
            <v>3.1249999999999334E-4</v>
          </cell>
        </row>
        <row r="657">
          <cell r="G657">
            <v>2.9282407407407729E-3</v>
          </cell>
        </row>
        <row r="658">
          <cell r="G658">
            <v>1.7245370370370106E-3</v>
          </cell>
        </row>
        <row r="659">
          <cell r="G659">
            <v>1.6215277777777759E-2</v>
          </cell>
        </row>
        <row r="660">
          <cell r="G660">
            <v>7.9513888888889106E-3</v>
          </cell>
        </row>
        <row r="661">
          <cell r="G661">
            <v>7.3379629629630183E-3</v>
          </cell>
        </row>
        <row r="662">
          <cell r="G662">
            <v>1.3877314814814801E-2</v>
          </cell>
        </row>
        <row r="663">
          <cell r="G663">
            <v>2.0370370370370594E-3</v>
          </cell>
        </row>
        <row r="664">
          <cell r="G664">
            <v>1.3969907407407389E-2</v>
          </cell>
        </row>
        <row r="665">
          <cell r="G665">
            <v>5.9027777777775903E-4</v>
          </cell>
        </row>
        <row r="666">
          <cell r="G666">
            <v>1.4583333333333393E-3</v>
          </cell>
        </row>
        <row r="667">
          <cell r="G667">
            <v>7.858796296296322E-3</v>
          </cell>
        </row>
        <row r="668">
          <cell r="G668">
            <v>2.8935185185180456E-4</v>
          </cell>
        </row>
        <row r="669">
          <cell r="G669">
            <v>1.1701388888888886E-2</v>
          </cell>
        </row>
        <row r="670">
          <cell r="G670">
            <v>1.0694444444444395E-2</v>
          </cell>
        </row>
        <row r="671">
          <cell r="G671">
            <v>2.5578703703703631E-3</v>
          </cell>
        </row>
        <row r="672">
          <cell r="G672">
            <v>1.0393518518518496E-2</v>
          </cell>
        </row>
        <row r="673">
          <cell r="G673">
            <v>6.3773148148148495E-3</v>
          </cell>
        </row>
        <row r="674">
          <cell r="G674">
            <v>6.0879629629629339E-3</v>
          </cell>
        </row>
        <row r="675">
          <cell r="G675">
            <v>4.2592592592592959E-3</v>
          </cell>
        </row>
        <row r="676">
          <cell r="G676">
            <v>4.0393518518518912E-3</v>
          </cell>
        </row>
        <row r="677">
          <cell r="G677">
            <v>5.9027777777775903E-4</v>
          </cell>
        </row>
        <row r="678">
          <cell r="G678">
            <v>1.2604166666666639E-2</v>
          </cell>
        </row>
        <row r="679">
          <cell r="G679">
            <v>1.6203703703709937E-4</v>
          </cell>
        </row>
        <row r="680">
          <cell r="G680">
            <v>1.2002314814814841E-2</v>
          </cell>
        </row>
        <row r="681">
          <cell r="G681">
            <v>7.8703703703708605E-4</v>
          </cell>
        </row>
        <row r="682">
          <cell r="G682">
            <v>1.5162037037037557E-3</v>
          </cell>
        </row>
        <row r="683">
          <cell r="G683">
            <v>2.2685185185185031E-3</v>
          </cell>
        </row>
        <row r="684">
          <cell r="G684">
            <v>1.1689814814814792E-3</v>
          </cell>
        </row>
        <row r="685">
          <cell r="G685">
            <v>9.7222222222222987E-3</v>
          </cell>
        </row>
        <row r="686">
          <cell r="G686">
            <v>9.201388888888884E-3</v>
          </cell>
        </row>
        <row r="687">
          <cell r="G687">
            <v>3.7268518518518423E-3</v>
          </cell>
        </row>
        <row r="688">
          <cell r="G688">
            <v>1.9328703703704875E-3</v>
          </cell>
        </row>
        <row r="689">
          <cell r="G689">
            <v>2.372685185185075E-3</v>
          </cell>
        </row>
        <row r="690">
          <cell r="G690">
            <v>1.5694444444444455E-2</v>
          </cell>
        </row>
        <row r="691">
          <cell r="G691">
            <v>4.247685185185146E-3</v>
          </cell>
        </row>
        <row r="692">
          <cell r="G692">
            <v>3.0092592592589895E-4</v>
          </cell>
        </row>
        <row r="693">
          <cell r="G693">
            <v>3.8888888888889417E-3</v>
          </cell>
        </row>
        <row r="694">
          <cell r="G694">
            <v>1.2349537037037117E-2</v>
          </cell>
        </row>
        <row r="695">
          <cell r="G695">
            <v>6.724537037037126E-3</v>
          </cell>
        </row>
        <row r="696">
          <cell r="G696">
            <v>3.3217592592592604E-3</v>
          </cell>
        </row>
        <row r="697">
          <cell r="G697">
            <v>7.7430555555555447E-3</v>
          </cell>
        </row>
        <row r="698">
          <cell r="G698">
            <v>2.8472222222222232E-3</v>
          </cell>
        </row>
        <row r="699">
          <cell r="G699">
            <v>7.9861111111112493E-4</v>
          </cell>
        </row>
        <row r="700">
          <cell r="G700">
            <v>3.1249999999993783E-4</v>
          </cell>
        </row>
        <row r="701">
          <cell r="G701">
            <v>1.4351851851852615E-3</v>
          </cell>
        </row>
        <row r="702">
          <cell r="G702">
            <v>1.519675925925934E-2</v>
          </cell>
        </row>
        <row r="703">
          <cell r="G703">
            <v>3.4976851851851953E-2</v>
          </cell>
        </row>
        <row r="704">
          <cell r="G704">
            <v>2.3495370370371083E-3</v>
          </cell>
        </row>
        <row r="705">
          <cell r="G705">
            <v>1.8321759259259274E-2</v>
          </cell>
        </row>
        <row r="706">
          <cell r="G706">
            <v>9.6064814814811328E-4</v>
          </cell>
        </row>
        <row r="707">
          <cell r="G707">
            <v>1.1342592592592515E-3</v>
          </cell>
        </row>
        <row r="708">
          <cell r="G708">
            <v>3.1481481481481222E-3</v>
          </cell>
        </row>
        <row r="709">
          <cell r="G709">
            <v>4.0509259259247088E-4</v>
          </cell>
        </row>
        <row r="710">
          <cell r="G710">
            <v>2.3553240740740666E-2</v>
          </cell>
        </row>
        <row r="711">
          <cell r="G711">
            <v>1.5023148148148202E-2</v>
          </cell>
        </row>
        <row r="712">
          <cell r="G712">
            <v>1.5115740740740735E-2</v>
          </cell>
        </row>
        <row r="713">
          <cell r="G713">
            <v>3.472222222222765E-4</v>
          </cell>
        </row>
        <row r="714">
          <cell r="G714">
            <v>7.6967592592593337E-3</v>
          </cell>
        </row>
        <row r="715">
          <cell r="G715">
            <v>4.6527777777777835E-3</v>
          </cell>
        </row>
        <row r="716">
          <cell r="G716">
            <v>4.3518518518518845E-3</v>
          </cell>
        </row>
        <row r="717">
          <cell r="G717">
            <v>3.3449074074074492E-3</v>
          </cell>
        </row>
        <row r="718">
          <cell r="G718">
            <v>2.6388888888888573E-3</v>
          </cell>
        </row>
        <row r="719">
          <cell r="G719">
            <v>8.3796296296295703E-3</v>
          </cell>
        </row>
        <row r="720">
          <cell r="G720">
            <v>7.8356481481481888E-3</v>
          </cell>
        </row>
        <row r="721">
          <cell r="G721">
            <v>4.305555555555507E-3</v>
          </cell>
        </row>
        <row r="722">
          <cell r="G722">
            <v>3.7384259259258812E-3</v>
          </cell>
        </row>
        <row r="723">
          <cell r="G723">
            <v>7.7546296296299166E-4</v>
          </cell>
        </row>
        <row r="724">
          <cell r="G724">
            <v>2.9050925925925841E-3</v>
          </cell>
        </row>
        <row r="725">
          <cell r="G725">
            <v>1.9560185185185097E-3</v>
          </cell>
        </row>
        <row r="726">
          <cell r="G726">
            <v>6.8171296296296036E-3</v>
          </cell>
        </row>
        <row r="727">
          <cell r="G727">
            <v>7.2106481481482021E-3</v>
          </cell>
        </row>
        <row r="728">
          <cell r="G728">
            <v>5.5555555555555913E-3</v>
          </cell>
        </row>
        <row r="729">
          <cell r="G729">
            <v>3.9120370370370194E-3</v>
          </cell>
        </row>
        <row r="730">
          <cell r="G730">
            <v>5.5555555555553138E-4</v>
          </cell>
        </row>
        <row r="731">
          <cell r="G731">
            <v>8.8657407407408129E-3</v>
          </cell>
        </row>
        <row r="732">
          <cell r="G732">
            <v>9.7222222222220767E-4</v>
          </cell>
        </row>
        <row r="733">
          <cell r="G733">
            <v>2.3148148148144365E-4</v>
          </cell>
        </row>
        <row r="734">
          <cell r="G734">
            <v>1.2210648148148151E-2</v>
          </cell>
        </row>
        <row r="735">
          <cell r="G735">
            <v>3.5879629629625986E-4</v>
          </cell>
        </row>
        <row r="736">
          <cell r="G736">
            <v>2.5578703703704186E-3</v>
          </cell>
        </row>
        <row r="737">
          <cell r="G737">
            <v>2.1527777777777812E-3</v>
          </cell>
        </row>
        <row r="738">
          <cell r="G738">
            <v>1.1145833333333355E-2</v>
          </cell>
        </row>
        <row r="739">
          <cell r="G739">
            <v>1.1030092592592633E-2</v>
          </cell>
        </row>
        <row r="740">
          <cell r="G740">
            <v>1.388888888888884E-3</v>
          </cell>
        </row>
        <row r="741">
          <cell r="G741">
            <v>8.8773148148149073E-3</v>
          </cell>
        </row>
        <row r="742">
          <cell r="G742">
            <v>7.6736111111110894E-3</v>
          </cell>
        </row>
        <row r="743">
          <cell r="G743">
            <v>1.1643518518518525E-2</v>
          </cell>
        </row>
        <row r="744">
          <cell r="G744">
            <v>1.2916666666666687E-2</v>
          </cell>
        </row>
        <row r="745">
          <cell r="G745">
            <v>1.8171296296295436E-3</v>
          </cell>
        </row>
        <row r="746">
          <cell r="G746">
            <v>5.0925925925925375E-3</v>
          </cell>
        </row>
        <row r="747">
          <cell r="G747">
            <v>8.2407407407407707E-3</v>
          </cell>
        </row>
        <row r="748">
          <cell r="G748">
            <v>5.9374999999999289E-3</v>
          </cell>
        </row>
        <row r="749">
          <cell r="G749">
            <v>5.0810185185186096E-3</v>
          </cell>
        </row>
        <row r="750">
          <cell r="G750">
            <v>2.1527777777776702E-3</v>
          </cell>
        </row>
        <row r="751">
          <cell r="G751">
            <v>2.6620370370371571E-3</v>
          </cell>
        </row>
        <row r="752">
          <cell r="G752">
            <v>2.4189814814814525E-3</v>
          </cell>
        </row>
        <row r="753">
          <cell r="G753">
            <v>1.1458333333334014E-3</v>
          </cell>
        </row>
        <row r="754">
          <cell r="G754">
            <v>1.1805555555555181E-3</v>
          </cell>
        </row>
        <row r="755">
          <cell r="G755">
            <v>5.8217592592593181E-3</v>
          </cell>
        </row>
        <row r="756">
          <cell r="G756">
            <v>9.884259259259176E-3</v>
          </cell>
        </row>
        <row r="757">
          <cell r="G757">
            <v>5.1736111111111427E-3</v>
          </cell>
        </row>
        <row r="758">
          <cell r="G758">
            <v>1.3657407407406952E-3</v>
          </cell>
        </row>
        <row r="759">
          <cell r="G759">
            <v>1.2384259259259345E-3</v>
          </cell>
        </row>
        <row r="760">
          <cell r="G760">
            <v>1.6319444444444775E-3</v>
          </cell>
        </row>
        <row r="761">
          <cell r="G761">
            <v>1.6504629629629619E-2</v>
          </cell>
        </row>
        <row r="762">
          <cell r="G762">
            <v>7.5578703703703676E-3</v>
          </cell>
        </row>
        <row r="763">
          <cell r="G763">
            <v>1.3182870370370359E-2</v>
          </cell>
        </row>
        <row r="764">
          <cell r="G764">
            <v>1.3101851851851976E-2</v>
          </cell>
        </row>
        <row r="765">
          <cell r="G765">
            <v>1.0046296296296386E-2</v>
          </cell>
        </row>
        <row r="766">
          <cell r="G766">
            <v>1.678240740740744E-3</v>
          </cell>
        </row>
        <row r="767">
          <cell r="G767">
            <v>1.0763888888888351E-3</v>
          </cell>
        </row>
        <row r="768">
          <cell r="G768">
            <v>1.0648148148147962E-3</v>
          </cell>
        </row>
        <row r="769">
          <cell r="G769">
            <v>1.7152777777777795E-2</v>
          </cell>
        </row>
        <row r="770">
          <cell r="G770">
            <v>1.7314814814814672E-2</v>
          </cell>
        </row>
        <row r="771">
          <cell r="G771">
            <v>7.6967592592591672E-3</v>
          </cell>
        </row>
        <row r="772">
          <cell r="G772">
            <v>1.4976851851851936E-2</v>
          </cell>
        </row>
        <row r="773">
          <cell r="G773">
            <v>1.3425925925925064E-3</v>
          </cell>
        </row>
        <row r="774">
          <cell r="G774">
            <v>1.7141203703703756E-2</v>
          </cell>
        </row>
        <row r="775">
          <cell r="G775">
            <v>8.4374999999999867E-3</v>
          </cell>
        </row>
        <row r="776">
          <cell r="G776">
            <v>9.3171296296296058E-3</v>
          </cell>
        </row>
        <row r="777">
          <cell r="G777">
            <v>1.9583333333333341E-2</v>
          </cell>
        </row>
        <row r="778">
          <cell r="G778">
            <v>3.1018518518518001E-3</v>
          </cell>
        </row>
        <row r="779">
          <cell r="G779">
            <v>5.1620370370370483E-3</v>
          </cell>
        </row>
        <row r="780">
          <cell r="G780">
            <v>7.8935185185184942E-3</v>
          </cell>
        </row>
        <row r="781">
          <cell r="G781">
            <v>9.8379629629624654E-4</v>
          </cell>
        </row>
        <row r="782">
          <cell r="G782">
            <v>1.310185185185192E-2</v>
          </cell>
        </row>
        <row r="783">
          <cell r="G783">
            <v>1.317129629629632E-2</v>
          </cell>
        </row>
        <row r="784">
          <cell r="G784">
            <v>1.2824074074073988E-2</v>
          </cell>
        </row>
        <row r="785">
          <cell r="G785">
            <v>1.0879629629629628E-2</v>
          </cell>
        </row>
        <row r="786">
          <cell r="G786">
            <v>1.2465277777777783E-2</v>
          </cell>
        </row>
        <row r="787">
          <cell r="G787">
            <v>1.7708333333333381E-2</v>
          </cell>
        </row>
        <row r="788">
          <cell r="G788">
            <v>6.7592592592592426E-3</v>
          </cell>
        </row>
        <row r="789">
          <cell r="G789">
            <v>3.5416666666665542E-3</v>
          </cell>
        </row>
        <row r="790">
          <cell r="G790">
            <v>7.8819444444444553E-3</v>
          </cell>
        </row>
        <row r="791">
          <cell r="G791">
            <v>1.3194444444444287E-3</v>
          </cell>
        </row>
        <row r="792">
          <cell r="G792">
            <v>1.9675925925926041E-3</v>
          </cell>
        </row>
        <row r="793">
          <cell r="G793">
            <v>9.8726851851851372E-3</v>
          </cell>
        </row>
        <row r="794">
          <cell r="G794">
            <v>8.5300925925926308E-3</v>
          </cell>
        </row>
        <row r="795">
          <cell r="G795">
            <v>9.6064814814811328E-4</v>
          </cell>
        </row>
        <row r="796">
          <cell r="G796">
            <v>1.7708333333332771E-3</v>
          </cell>
        </row>
        <row r="797">
          <cell r="G797">
            <v>1.481481481481417E-3</v>
          </cell>
        </row>
        <row r="798">
          <cell r="G798">
            <v>9.4560185185185164E-3</v>
          </cell>
        </row>
        <row r="799">
          <cell r="G799">
            <v>7.5810185185185563E-3</v>
          </cell>
        </row>
        <row r="800">
          <cell r="G800">
            <v>1.0740740740740717E-2</v>
          </cell>
        </row>
        <row r="801">
          <cell r="G801">
            <v>1.0405092592592591E-2</v>
          </cell>
        </row>
        <row r="802">
          <cell r="G802">
            <v>1.2407407407407423E-2</v>
          </cell>
        </row>
        <row r="803">
          <cell r="G803">
            <v>8.900462962962985E-3</v>
          </cell>
        </row>
        <row r="804">
          <cell r="G804">
            <v>6.7592592592592426E-3</v>
          </cell>
        </row>
        <row r="805">
          <cell r="G805">
            <v>7.523148148148584E-4</v>
          </cell>
        </row>
        <row r="806">
          <cell r="G806">
            <v>7.523148148148584E-4</v>
          </cell>
        </row>
        <row r="807">
          <cell r="G807">
            <v>9.0393518518517846E-3</v>
          </cell>
        </row>
        <row r="808">
          <cell r="G808">
            <v>7.9398148148148717E-3</v>
          </cell>
        </row>
        <row r="809">
          <cell r="G809">
            <v>8.5648148148147474E-3</v>
          </cell>
        </row>
        <row r="810">
          <cell r="G810">
            <v>6.5972222222221433E-3</v>
          </cell>
        </row>
        <row r="811">
          <cell r="G811">
            <v>9.7222222222215215E-4</v>
          </cell>
        </row>
        <row r="812">
          <cell r="G812">
            <v>1.0763888888889461E-3</v>
          </cell>
        </row>
        <row r="813">
          <cell r="G813">
            <v>1.7395833333333277E-2</v>
          </cell>
        </row>
        <row r="814">
          <cell r="G814">
            <v>1.0868055555555367E-2</v>
          </cell>
        </row>
        <row r="815">
          <cell r="G815">
            <v>6.2152777777777501E-3</v>
          </cell>
        </row>
        <row r="816">
          <cell r="G816">
            <v>9.7222222222226318E-4</v>
          </cell>
        </row>
        <row r="817">
          <cell r="G817">
            <v>1.6087962962961777E-3</v>
          </cell>
        </row>
        <row r="818">
          <cell r="G818">
            <v>2.4675925925925934E-2</v>
          </cell>
        </row>
        <row r="819">
          <cell r="G819">
            <v>2.4270833333333353E-2</v>
          </cell>
        </row>
        <row r="820">
          <cell r="G820">
            <v>2.1550925925926001E-2</v>
          </cell>
        </row>
        <row r="821">
          <cell r="G821">
            <v>1.9224537037037082E-2</v>
          </cell>
        </row>
        <row r="822">
          <cell r="G822">
            <v>1.3935185185185106E-2</v>
          </cell>
        </row>
        <row r="823">
          <cell r="G823">
            <v>1.4895833333333219E-2</v>
          </cell>
        </row>
        <row r="824">
          <cell r="G824">
            <v>6.4120370370370772E-3</v>
          </cell>
        </row>
        <row r="825">
          <cell r="G825">
            <v>8.0439814814814437E-3</v>
          </cell>
        </row>
        <row r="826">
          <cell r="G826">
            <v>9.8379629629619103E-4</v>
          </cell>
        </row>
        <row r="827">
          <cell r="G827">
            <v>1.2106481481481524E-2</v>
          </cell>
        </row>
        <row r="828">
          <cell r="G828">
            <v>1.0844907407407456E-2</v>
          </cell>
        </row>
        <row r="829">
          <cell r="G829">
            <v>6.8865740740741144E-3</v>
          </cell>
        </row>
        <row r="830">
          <cell r="G830">
            <v>1.8275462962962896E-2</v>
          </cell>
        </row>
        <row r="831">
          <cell r="G831">
            <v>2.1006944444444453E-2</v>
          </cell>
        </row>
        <row r="832">
          <cell r="G832">
            <v>1.9340277777777803E-2</v>
          </cell>
        </row>
        <row r="833">
          <cell r="G833">
            <v>2.0081018518518512E-2</v>
          </cell>
        </row>
        <row r="834">
          <cell r="G834">
            <v>1.8831018518518539E-2</v>
          </cell>
        </row>
        <row r="835">
          <cell r="G835">
            <v>1.5624999999999667E-3</v>
          </cell>
        </row>
        <row r="836">
          <cell r="G836">
            <v>1.0821759259259323E-2</v>
          </cell>
        </row>
        <row r="837">
          <cell r="G837">
            <v>5.335648148148131E-3</v>
          </cell>
        </row>
        <row r="838">
          <cell r="G838">
            <v>5.4513888888888529E-3</v>
          </cell>
        </row>
        <row r="839">
          <cell r="G839">
            <v>6.1689814814814281E-3</v>
          </cell>
        </row>
        <row r="840">
          <cell r="G840">
            <v>4.5717592592591783E-3</v>
          </cell>
        </row>
        <row r="841">
          <cell r="G841">
            <v>9.8379629629624654E-4</v>
          </cell>
        </row>
        <row r="842">
          <cell r="G842">
            <v>1.5856481481481555E-3</v>
          </cell>
        </row>
        <row r="843">
          <cell r="G843">
            <v>9.490740740740744E-4</v>
          </cell>
        </row>
        <row r="844">
          <cell r="G844">
            <v>9.490740740740744E-4</v>
          </cell>
        </row>
        <row r="845">
          <cell r="G845">
            <v>2.4652777777777746E-3</v>
          </cell>
        </row>
        <row r="846">
          <cell r="G846">
            <v>7.407407407407085E-4</v>
          </cell>
        </row>
        <row r="847">
          <cell r="G847">
            <v>1.8750000000000155E-3</v>
          </cell>
        </row>
        <row r="848">
          <cell r="G848">
            <v>1.087962962962985E-3</v>
          </cell>
        </row>
        <row r="849">
          <cell r="G849">
            <v>1.9444444444444708E-3</v>
          </cell>
        </row>
        <row r="850">
          <cell r="G850">
            <v>1.0879629629629628E-2</v>
          </cell>
        </row>
        <row r="851">
          <cell r="G851">
            <v>9.6180555555555602E-3</v>
          </cell>
        </row>
        <row r="852">
          <cell r="G852">
            <v>9.8032407407407929E-3</v>
          </cell>
        </row>
        <row r="853">
          <cell r="G853">
            <v>9.2592592592588563E-4</v>
          </cell>
        </row>
        <row r="854">
          <cell r="G854">
            <v>1.6180555555555531E-2</v>
          </cell>
        </row>
        <row r="855">
          <cell r="G855">
            <v>1.4282407407407383E-2</v>
          </cell>
        </row>
        <row r="856">
          <cell r="G856">
            <v>7.8472222222222276E-3</v>
          </cell>
        </row>
        <row r="857">
          <cell r="G857">
            <v>4.9074074074073604E-3</v>
          </cell>
        </row>
        <row r="858">
          <cell r="G858">
            <v>3.2175925925925775E-3</v>
          </cell>
        </row>
        <row r="859">
          <cell r="G859">
            <v>1.0671296296296373E-2</v>
          </cell>
        </row>
        <row r="860">
          <cell r="G860">
            <v>7.0601851851848085E-4</v>
          </cell>
        </row>
        <row r="861">
          <cell r="G861">
            <v>2.1319444444444446E-2</v>
          </cell>
        </row>
        <row r="862">
          <cell r="G862">
            <v>3.7152777777776924E-3</v>
          </cell>
        </row>
        <row r="863">
          <cell r="G863">
            <v>1.0520833333333313E-2</v>
          </cell>
        </row>
        <row r="864">
          <cell r="G864">
            <v>5.5555555555555358E-3</v>
          </cell>
        </row>
        <row r="865">
          <cell r="G865">
            <v>2.372685185185186E-2</v>
          </cell>
        </row>
        <row r="866">
          <cell r="G866">
            <v>1.2060185185185257E-2</v>
          </cell>
        </row>
        <row r="867">
          <cell r="G867">
            <v>7.9861111111112493E-4</v>
          </cell>
        </row>
        <row r="868">
          <cell r="G868">
            <v>3.9120370370369084E-3</v>
          </cell>
        </row>
        <row r="869">
          <cell r="G869">
            <v>9.6064814814811328E-4</v>
          </cell>
        </row>
        <row r="870">
          <cell r="G870">
            <v>9.7106481481481488E-3</v>
          </cell>
        </row>
        <row r="871">
          <cell r="G871">
            <v>1.3449074074074141E-2</v>
          </cell>
        </row>
        <row r="872">
          <cell r="G872">
            <v>9.4791666666667052E-3</v>
          </cell>
        </row>
        <row r="873">
          <cell r="G873">
            <v>4.3287037037037512E-3</v>
          </cell>
        </row>
        <row r="874">
          <cell r="G874">
            <v>9.7453703703704875E-3</v>
          </cell>
        </row>
        <row r="875">
          <cell r="G875">
            <v>7.4884259259259123E-3</v>
          </cell>
        </row>
        <row r="876">
          <cell r="G876">
            <v>7.4884259259259123E-3</v>
          </cell>
        </row>
        <row r="877">
          <cell r="G877">
            <v>7.6388888888889728E-3</v>
          </cell>
        </row>
        <row r="878">
          <cell r="G878">
            <v>2.9826388888888999E-2</v>
          </cell>
        </row>
        <row r="879">
          <cell r="G879">
            <v>9.3750000000003553E-4</v>
          </cell>
        </row>
        <row r="880">
          <cell r="G880">
            <v>1.7349537037037011E-2</v>
          </cell>
        </row>
        <row r="881">
          <cell r="G881">
            <v>1.5821759259259327E-2</v>
          </cell>
        </row>
        <row r="882">
          <cell r="G882">
            <v>6.9097222222223031E-3</v>
          </cell>
        </row>
        <row r="883">
          <cell r="G883">
            <v>3.7037037037036535E-3</v>
          </cell>
        </row>
        <row r="884">
          <cell r="G884">
            <v>3.3217592592591494E-3</v>
          </cell>
        </row>
        <row r="885">
          <cell r="G885">
            <v>2.1990740740740478E-3</v>
          </cell>
        </row>
        <row r="886">
          <cell r="G886">
            <v>3.1481481481480111E-3</v>
          </cell>
        </row>
        <row r="887">
          <cell r="G887">
            <v>2.3032407407408417E-3</v>
          </cell>
        </row>
        <row r="888">
          <cell r="G888">
            <v>1.7939814814815769E-3</v>
          </cell>
        </row>
        <row r="889">
          <cell r="G889">
            <v>2.5115740740739856E-3</v>
          </cell>
        </row>
        <row r="890">
          <cell r="G890">
            <v>3.460648148148282E-3</v>
          </cell>
        </row>
        <row r="891">
          <cell r="G891">
            <v>7.1990740740741632E-3</v>
          </cell>
        </row>
        <row r="892">
          <cell r="G892">
            <v>1.2731481481481621E-3</v>
          </cell>
        </row>
        <row r="893">
          <cell r="G893">
            <v>2.6157407407407796E-3</v>
          </cell>
        </row>
        <row r="894">
          <cell r="G894">
            <v>9.3402777777777946E-3</v>
          </cell>
        </row>
        <row r="895">
          <cell r="G895">
            <v>5.1967592592593315E-3</v>
          </cell>
        </row>
        <row r="896">
          <cell r="G896">
            <v>3.0555555555555336E-3</v>
          </cell>
        </row>
        <row r="897">
          <cell r="G897">
            <v>2.3726851851852415E-3</v>
          </cell>
        </row>
        <row r="898">
          <cell r="G898">
            <v>1.0648148148148517E-3</v>
          </cell>
        </row>
        <row r="899">
          <cell r="G899">
            <v>2.52314814814808E-3</v>
          </cell>
        </row>
        <row r="900">
          <cell r="G900">
            <v>6.9444444444449749E-4</v>
          </cell>
        </row>
        <row r="901">
          <cell r="G901">
            <v>2.9143518518518485E-2</v>
          </cell>
        </row>
        <row r="902">
          <cell r="G902">
            <v>1.0972222222222272E-2</v>
          </cell>
        </row>
        <row r="903">
          <cell r="G903">
            <v>1.0381944444444458E-2</v>
          </cell>
        </row>
        <row r="904">
          <cell r="G904">
            <v>9.3865740740741166E-3</v>
          </cell>
        </row>
        <row r="905">
          <cell r="G905">
            <v>5.2314814814815036E-3</v>
          </cell>
        </row>
        <row r="906">
          <cell r="G906">
            <v>1.0393518518518496E-2</v>
          </cell>
        </row>
        <row r="907">
          <cell r="G907">
            <v>2.0833333333333259E-3</v>
          </cell>
        </row>
        <row r="908">
          <cell r="G908">
            <v>1.606481481481481E-2</v>
          </cell>
        </row>
        <row r="909">
          <cell r="G909">
            <v>2.6504629629629517E-3</v>
          </cell>
        </row>
        <row r="910">
          <cell r="G910">
            <v>1.0740740740740662E-2</v>
          </cell>
        </row>
        <row r="911">
          <cell r="G911">
            <v>6.7129629629636423E-4</v>
          </cell>
        </row>
        <row r="912">
          <cell r="G912">
            <v>1.3460648148148069E-2</v>
          </cell>
        </row>
        <row r="913">
          <cell r="G913">
            <v>1.2615740740740677E-2</v>
          </cell>
        </row>
        <row r="914">
          <cell r="G914">
            <v>1.1747685185185208E-2</v>
          </cell>
        </row>
        <row r="915">
          <cell r="G915">
            <v>6.3194444444444331E-3</v>
          </cell>
        </row>
        <row r="916">
          <cell r="G916">
            <v>2.2499999999999964E-2</v>
          </cell>
        </row>
        <row r="917">
          <cell r="G917">
            <v>2.6504629629628962E-3</v>
          </cell>
        </row>
        <row r="918">
          <cell r="G918">
            <v>6.1921296296295614E-3</v>
          </cell>
        </row>
        <row r="919">
          <cell r="G919">
            <v>1.2118055555555562E-2</v>
          </cell>
        </row>
        <row r="920">
          <cell r="G920">
            <v>2.0254629629629095E-3</v>
          </cell>
        </row>
        <row r="921">
          <cell r="G921">
            <v>2.9166666666666785E-3</v>
          </cell>
        </row>
        <row r="922">
          <cell r="G922">
            <v>1.4652777777777737E-2</v>
          </cell>
        </row>
        <row r="923">
          <cell r="G923">
            <v>6.0648148148148007E-3</v>
          </cell>
        </row>
        <row r="924">
          <cell r="G924">
            <v>5.0578703703703098E-3</v>
          </cell>
        </row>
        <row r="925">
          <cell r="G925">
            <v>4.3750000000000178E-3</v>
          </cell>
        </row>
        <row r="926">
          <cell r="G926">
            <v>1.1921296296295569E-3</v>
          </cell>
        </row>
        <row r="927">
          <cell r="G927">
            <v>6.8055555555555092E-3</v>
          </cell>
        </row>
        <row r="928">
          <cell r="G928">
            <v>1.9479166666666603E-2</v>
          </cell>
        </row>
        <row r="929">
          <cell r="G929">
            <v>7.3958333333333792E-3</v>
          </cell>
        </row>
        <row r="930">
          <cell r="G930">
            <v>1.0520833333333313E-2</v>
          </cell>
        </row>
        <row r="931">
          <cell r="G931">
            <v>7.5694444444444065E-3</v>
          </cell>
        </row>
        <row r="932">
          <cell r="G932">
            <v>2.2685185185185142E-2</v>
          </cell>
        </row>
        <row r="933">
          <cell r="G933">
            <v>8.8888888888889461E-3</v>
          </cell>
        </row>
        <row r="934">
          <cell r="G934">
            <v>9.3865740740740611E-3</v>
          </cell>
        </row>
        <row r="935">
          <cell r="G935">
            <v>1.1805555555555514E-2</v>
          </cell>
        </row>
        <row r="936">
          <cell r="G936">
            <v>4.9768518518518157E-3</v>
          </cell>
        </row>
        <row r="937">
          <cell r="G937">
            <v>2.7083333333333126E-3</v>
          </cell>
        </row>
        <row r="938">
          <cell r="G938">
            <v>1.9444444444445264E-3</v>
          </cell>
        </row>
        <row r="939">
          <cell r="G939">
            <v>1.7152777777777795E-2</v>
          </cell>
        </row>
        <row r="940">
          <cell r="G940">
            <v>2.0856481481481337E-2</v>
          </cell>
        </row>
        <row r="941">
          <cell r="G941">
            <v>9.4907407407396338E-4</v>
          </cell>
        </row>
        <row r="942">
          <cell r="G942">
            <v>1.4340277777777799E-2</v>
          </cell>
        </row>
        <row r="943">
          <cell r="G943">
            <v>1.0300925925926796E-3</v>
          </cell>
        </row>
        <row r="944">
          <cell r="G944">
            <v>1.518518518518519E-2</v>
          </cell>
        </row>
        <row r="945">
          <cell r="G945">
            <v>2.1724537037037028E-2</v>
          </cell>
        </row>
        <row r="946">
          <cell r="G946">
            <v>1.4849537037037064E-2</v>
          </cell>
        </row>
        <row r="947">
          <cell r="G947">
            <v>4.1203703703704964E-3</v>
          </cell>
        </row>
        <row r="948">
          <cell r="G948">
            <v>1.2349537037037117E-2</v>
          </cell>
        </row>
        <row r="949">
          <cell r="G949">
            <v>1.09143518518518E-2</v>
          </cell>
        </row>
        <row r="950">
          <cell r="G950">
            <v>1.2731481481481621E-3</v>
          </cell>
        </row>
        <row r="951">
          <cell r="G951">
            <v>3.4374999999999822E-3</v>
          </cell>
        </row>
        <row r="952">
          <cell r="G952">
            <v>1.0474537037036991E-2</v>
          </cell>
        </row>
        <row r="953">
          <cell r="G953">
            <v>3.6226851851852149E-3</v>
          </cell>
        </row>
        <row r="954">
          <cell r="G954">
            <v>1.5231481481481512E-2</v>
          </cell>
        </row>
        <row r="955">
          <cell r="G955">
            <v>1.0694444444444395E-2</v>
          </cell>
        </row>
        <row r="956">
          <cell r="G956">
            <v>9.3865740740740611E-3</v>
          </cell>
        </row>
        <row r="957">
          <cell r="G957">
            <v>9.1898148148148451E-3</v>
          </cell>
        </row>
        <row r="958">
          <cell r="G958">
            <v>7.6851851851852393E-3</v>
          </cell>
        </row>
        <row r="959">
          <cell r="G959">
            <v>9.9537037037036868E-3</v>
          </cell>
        </row>
        <row r="960">
          <cell r="G960">
            <v>1.5370370370370312E-2</v>
          </cell>
        </row>
        <row r="961">
          <cell r="G961">
            <v>3.5532407407408151E-3</v>
          </cell>
        </row>
        <row r="962">
          <cell r="G962">
            <v>5.93750000000004E-3</v>
          </cell>
        </row>
        <row r="963">
          <cell r="G963">
            <v>9.8842592592592871E-3</v>
          </cell>
        </row>
        <row r="964">
          <cell r="G964">
            <v>1.4710648148148153E-2</v>
          </cell>
        </row>
        <row r="965">
          <cell r="G965">
            <v>1.5428240740740673E-2</v>
          </cell>
        </row>
        <row r="966">
          <cell r="G966">
            <v>5.93750000000004E-3</v>
          </cell>
        </row>
        <row r="967">
          <cell r="G967">
            <v>1.620370370370372E-2</v>
          </cell>
        </row>
        <row r="968">
          <cell r="G968">
            <v>1.6539351851851847E-2</v>
          </cell>
        </row>
        <row r="969">
          <cell r="G969">
            <v>2.0023148148149428E-3</v>
          </cell>
        </row>
        <row r="970">
          <cell r="G970">
            <v>1.5451388888888973E-2</v>
          </cell>
        </row>
        <row r="971">
          <cell r="G971">
            <v>9.1087962962963509E-3</v>
          </cell>
        </row>
        <row r="972">
          <cell r="G972">
            <v>5.6712962962962576E-3</v>
          </cell>
        </row>
        <row r="973">
          <cell r="G973">
            <v>6.9675925925924975E-3</v>
          </cell>
        </row>
        <row r="974">
          <cell r="G974">
            <v>3.9120370370371305E-3</v>
          </cell>
        </row>
        <row r="975">
          <cell r="G975">
            <v>2.7199074074074625E-3</v>
          </cell>
        </row>
        <row r="976">
          <cell r="G976">
            <v>4.1898148148148406E-3</v>
          </cell>
        </row>
        <row r="977">
          <cell r="G977">
            <v>4.35185185185194E-3</v>
          </cell>
        </row>
        <row r="978">
          <cell r="G978">
            <v>1.9097222222221877E-3</v>
          </cell>
        </row>
        <row r="979">
          <cell r="G979">
            <v>1.1585648148148109E-2</v>
          </cell>
        </row>
        <row r="980">
          <cell r="G980">
            <v>1.6203703703704386E-3</v>
          </cell>
        </row>
        <row r="981">
          <cell r="G981">
            <v>4.3402777777777901E-3</v>
          </cell>
        </row>
        <row r="982">
          <cell r="G982">
            <v>1.3252314814814814E-2</v>
          </cell>
        </row>
        <row r="983">
          <cell r="G983">
            <v>1.0694444444444451E-2</v>
          </cell>
        </row>
        <row r="984">
          <cell r="G984">
            <v>1.0208333333333375E-2</v>
          </cell>
        </row>
        <row r="985">
          <cell r="G985">
            <v>9.3981481481481E-3</v>
          </cell>
        </row>
        <row r="986">
          <cell r="G986">
            <v>9.6759259259259212E-3</v>
          </cell>
        </row>
        <row r="987">
          <cell r="G987">
            <v>4.7916666666666385E-3</v>
          </cell>
        </row>
        <row r="988">
          <cell r="G988">
            <v>8.680555555554692E-4</v>
          </cell>
        </row>
        <row r="989">
          <cell r="G989">
            <v>5.3009259259259034E-3</v>
          </cell>
        </row>
        <row r="990">
          <cell r="G990">
            <v>9.2592592592599665E-4</v>
          </cell>
        </row>
        <row r="991">
          <cell r="G991">
            <v>1.5740740740740611E-3</v>
          </cell>
        </row>
        <row r="992">
          <cell r="G992">
            <v>9.2592592592599665E-4</v>
          </cell>
        </row>
        <row r="993">
          <cell r="G993">
            <v>1.5949074074074088E-2</v>
          </cell>
        </row>
        <row r="994">
          <cell r="G994">
            <v>1.7627314814814832E-2</v>
          </cell>
        </row>
        <row r="995">
          <cell r="G995">
            <v>1.7268518518518627E-2</v>
          </cell>
        </row>
        <row r="996">
          <cell r="G996">
            <v>7.6736111111112004E-3</v>
          </cell>
        </row>
        <row r="997">
          <cell r="G997">
            <v>8.4490740740739145E-4</v>
          </cell>
        </row>
        <row r="998">
          <cell r="G998">
            <v>1.2071759259259296E-2</v>
          </cell>
        </row>
        <row r="999">
          <cell r="G999">
            <v>1.1307870370370399E-2</v>
          </cell>
        </row>
        <row r="1000">
          <cell r="G1000">
            <v>6.712962962962532E-4</v>
          </cell>
        </row>
        <row r="1001">
          <cell r="G1001">
            <v>9.7569444444444153E-3</v>
          </cell>
        </row>
        <row r="1002">
          <cell r="G1002">
            <v>2.8148148148148144E-2</v>
          </cell>
        </row>
        <row r="1003">
          <cell r="G1003">
            <v>1.2673611111111094E-2</v>
          </cell>
        </row>
        <row r="1004">
          <cell r="G1004">
            <v>1.7476851851851882E-2</v>
          </cell>
        </row>
        <row r="1005">
          <cell r="G1005">
            <v>5.335648148148131E-3</v>
          </cell>
        </row>
        <row r="1006">
          <cell r="G1006">
            <v>9.9421296296295925E-3</v>
          </cell>
        </row>
        <row r="1007">
          <cell r="G1007">
            <v>2.7951388888888928E-2</v>
          </cell>
        </row>
        <row r="1008">
          <cell r="G1008">
            <v>1.0532407407406463E-3</v>
          </cell>
        </row>
        <row r="1009">
          <cell r="G1009">
            <v>1.0567129629629635E-2</v>
          </cell>
        </row>
        <row r="1010">
          <cell r="G1010">
            <v>2.5810185185184964E-3</v>
          </cell>
        </row>
        <row r="1011">
          <cell r="G1011">
            <v>2.076388888888886E-2</v>
          </cell>
        </row>
        <row r="1012">
          <cell r="G1012">
            <v>5.1157407407407263E-3</v>
          </cell>
        </row>
        <row r="1013">
          <cell r="G1013">
            <v>8.6805555555558023E-4</v>
          </cell>
        </row>
        <row r="1014">
          <cell r="G1014">
            <v>1.8958333333333299E-2</v>
          </cell>
        </row>
        <row r="1015">
          <cell r="G1015">
            <v>8.5648148148154135E-4</v>
          </cell>
        </row>
        <row r="1016">
          <cell r="G1016">
            <v>9.7106481481481488E-3</v>
          </cell>
        </row>
        <row r="1017">
          <cell r="G1017">
            <v>1.0879629629629628E-2</v>
          </cell>
        </row>
        <row r="1018">
          <cell r="G1018">
            <v>1.2858796296296326E-2</v>
          </cell>
        </row>
        <row r="1019">
          <cell r="G1019">
            <v>1.2314814814814834E-2</v>
          </cell>
        </row>
        <row r="1020">
          <cell r="G1020">
            <v>1.2893518518518554E-2</v>
          </cell>
        </row>
        <row r="1021">
          <cell r="G1021">
            <v>1.636574074074082E-2</v>
          </cell>
        </row>
        <row r="1022">
          <cell r="G1022">
            <v>1.6099537037036926E-2</v>
          </cell>
        </row>
        <row r="1023">
          <cell r="G1023">
            <v>1.4155092592592622E-2</v>
          </cell>
        </row>
        <row r="1024">
          <cell r="G1024">
            <v>2.1944444444444433E-2</v>
          </cell>
        </row>
        <row r="1025">
          <cell r="G1025">
            <v>2.7824074074074057E-2</v>
          </cell>
        </row>
        <row r="1026">
          <cell r="G1026">
            <v>7.222222222222241E-3</v>
          </cell>
        </row>
        <row r="1027">
          <cell r="G1027">
            <v>1.4004629629629228E-3</v>
          </cell>
        </row>
        <row r="1028">
          <cell r="G1028">
            <v>1.9479166666666603E-2</v>
          </cell>
        </row>
        <row r="1029">
          <cell r="G1029">
            <v>8.4490740740728043E-4</v>
          </cell>
        </row>
        <row r="1030">
          <cell r="G1030">
            <v>1.5509259259259833E-3</v>
          </cell>
        </row>
        <row r="1031">
          <cell r="G1031">
            <v>1.0798611111111134E-2</v>
          </cell>
        </row>
        <row r="1032">
          <cell r="G1032">
            <v>5.335648148148131E-3</v>
          </cell>
        </row>
        <row r="1033">
          <cell r="G1033">
            <v>1.5196759259259229E-2</v>
          </cell>
        </row>
        <row r="1034">
          <cell r="G1034">
            <v>1.489583333333333E-2</v>
          </cell>
        </row>
        <row r="1035">
          <cell r="G1035">
            <v>8.4490740740750248E-4</v>
          </cell>
        </row>
        <row r="1036">
          <cell r="G1036">
            <v>1.3217592592592586E-2</v>
          </cell>
        </row>
        <row r="1037">
          <cell r="G1037">
            <v>1.4236111111111116E-2</v>
          </cell>
        </row>
        <row r="1038">
          <cell r="G1038">
            <v>1.0405092592592591E-2</v>
          </cell>
        </row>
        <row r="1039">
          <cell r="G1039">
            <v>1.6111111111111076E-2</v>
          </cell>
        </row>
        <row r="1040">
          <cell r="G1040">
            <v>6.9907407407406863E-3</v>
          </cell>
        </row>
        <row r="1041">
          <cell r="G1041">
            <v>1.9733796296296235E-2</v>
          </cell>
        </row>
        <row r="1042">
          <cell r="G1042">
            <v>8.217592592593137E-4</v>
          </cell>
        </row>
        <row r="1043">
          <cell r="G1043">
            <v>1.9791666666666763E-2</v>
          </cell>
        </row>
        <row r="1044">
          <cell r="G1044">
            <v>1.317129629629632E-2</v>
          </cell>
        </row>
        <row r="1045">
          <cell r="G1045">
            <v>8.6805555555569125E-4</v>
          </cell>
        </row>
        <row r="1046">
          <cell r="G1046">
            <v>2.0439814814814827E-2</v>
          </cell>
        </row>
        <row r="1047">
          <cell r="G1047">
            <v>8.8657407407406463E-3</v>
          </cell>
        </row>
        <row r="1048">
          <cell r="G1048">
            <v>1.1516203703703765E-2</v>
          </cell>
        </row>
        <row r="1049">
          <cell r="G1049">
            <v>1.3344907407407458E-2</v>
          </cell>
        </row>
        <row r="1050">
          <cell r="G1050">
            <v>6.7824074074074314E-3</v>
          </cell>
        </row>
        <row r="1051">
          <cell r="G1051">
            <v>3.7962962962962976E-3</v>
          </cell>
        </row>
        <row r="1052">
          <cell r="G1052">
            <v>4.3634259259258679E-3</v>
          </cell>
        </row>
        <row r="1053">
          <cell r="G1053">
            <v>3.3680555555555269E-3</v>
          </cell>
        </row>
        <row r="1054">
          <cell r="G1054">
            <v>5.1851851851851816E-3</v>
          </cell>
        </row>
        <row r="1055">
          <cell r="G1055">
            <v>2.3402777777777772E-2</v>
          </cell>
        </row>
        <row r="1056">
          <cell r="G1056">
            <v>1.3148148148148131E-2</v>
          </cell>
        </row>
        <row r="1057">
          <cell r="G1057">
            <v>3.5995370370370261E-3</v>
          </cell>
        </row>
        <row r="1058">
          <cell r="G1058">
            <v>2.5347222222222299E-3</v>
          </cell>
        </row>
        <row r="1059">
          <cell r="G1059">
            <v>1.979166666666643E-3</v>
          </cell>
        </row>
        <row r="1060">
          <cell r="G1060">
            <v>9.5486111111110494E-3</v>
          </cell>
        </row>
        <row r="1061">
          <cell r="G1061">
            <v>8.4259259259260033E-3</v>
          </cell>
        </row>
        <row r="1062">
          <cell r="G1062">
            <v>1.0127314814814825E-2</v>
          </cell>
        </row>
        <row r="1063">
          <cell r="G1063">
            <v>7.1643518518518801E-3</v>
          </cell>
        </row>
        <row r="1064">
          <cell r="G1064">
            <v>7.4884259259258568E-3</v>
          </cell>
        </row>
        <row r="1065">
          <cell r="G1065">
            <v>3.6226851851852149E-3</v>
          </cell>
        </row>
        <row r="1066">
          <cell r="G1066">
            <v>1.1458333333333459E-3</v>
          </cell>
        </row>
        <row r="1067">
          <cell r="G1067">
            <v>7.5231481481480289E-4</v>
          </cell>
        </row>
        <row r="1068">
          <cell r="G1068">
            <v>6.0416666666666119E-3</v>
          </cell>
        </row>
        <row r="1069">
          <cell r="G1069">
            <v>3.067129629629628E-3</v>
          </cell>
        </row>
        <row r="1070">
          <cell r="G1070">
            <v>2.0833333333333259E-3</v>
          </cell>
        </row>
        <row r="1071">
          <cell r="G1071">
            <v>3.1944444444443887E-3</v>
          </cell>
        </row>
        <row r="1072">
          <cell r="G1072">
            <v>2.7546296296296346E-3</v>
          </cell>
        </row>
        <row r="1073">
          <cell r="G1073">
            <v>9.8611111111110983E-3</v>
          </cell>
        </row>
        <row r="1074">
          <cell r="G1074">
            <v>1.0648148148148517E-3</v>
          </cell>
        </row>
        <row r="1075">
          <cell r="G1075">
            <v>6.2847222222222054E-3</v>
          </cell>
        </row>
        <row r="1076">
          <cell r="G1076">
            <v>3.2986111111110716E-3</v>
          </cell>
        </row>
        <row r="1077">
          <cell r="G1077">
            <v>3.414351851851849E-3</v>
          </cell>
        </row>
        <row r="1078">
          <cell r="G1078">
            <v>3.5532407407407596E-3</v>
          </cell>
        </row>
        <row r="1079">
          <cell r="G1079">
            <v>6.527777777777799E-3</v>
          </cell>
        </row>
        <row r="1080">
          <cell r="G1080">
            <v>2.2106481481481977E-3</v>
          </cell>
        </row>
        <row r="1081">
          <cell r="G1081">
            <v>1.5972222222222499E-3</v>
          </cell>
        </row>
        <row r="1082">
          <cell r="G1082">
            <v>7.3842592592592293E-3</v>
          </cell>
        </row>
        <row r="1083">
          <cell r="G1083">
            <v>5.8449074074073959E-3</v>
          </cell>
        </row>
        <row r="1084">
          <cell r="G1084">
            <v>5.6712962962962576E-4</v>
          </cell>
        </row>
        <row r="1085">
          <cell r="G1085">
            <v>8.9351851851852127E-3</v>
          </cell>
        </row>
        <row r="1086">
          <cell r="G1086">
            <v>5.7175925925925797E-3</v>
          </cell>
        </row>
        <row r="1087">
          <cell r="G1087">
            <v>1.208333333333339E-2</v>
          </cell>
        </row>
        <row r="1088">
          <cell r="G1088">
            <v>8.7962962962963021E-3</v>
          </cell>
        </row>
        <row r="1089">
          <cell r="G1089">
            <v>7.0138888888889861E-3</v>
          </cell>
        </row>
        <row r="1090">
          <cell r="G1090">
            <v>1.694444444444454E-2</v>
          </cell>
        </row>
        <row r="1091">
          <cell r="G1091">
            <v>1.087962962962985E-3</v>
          </cell>
        </row>
        <row r="1092">
          <cell r="G1092">
            <v>1.1631944444444375E-2</v>
          </cell>
        </row>
        <row r="1093">
          <cell r="G1093">
            <v>1.0532407407407574E-3</v>
          </cell>
        </row>
        <row r="1094">
          <cell r="G1094">
            <v>1.4375000000000027E-2</v>
          </cell>
        </row>
        <row r="1095">
          <cell r="G1095">
            <v>8.101851851851638E-4</v>
          </cell>
        </row>
        <row r="1096">
          <cell r="G1096">
            <v>1.5046296296296058E-3</v>
          </cell>
        </row>
        <row r="1097">
          <cell r="G1097">
            <v>4.7569444444445219E-3</v>
          </cell>
        </row>
        <row r="1098">
          <cell r="G1098">
            <v>1.4826388888888875E-2</v>
          </cell>
        </row>
        <row r="1099">
          <cell r="G1099">
            <v>6.2615740740741277E-3</v>
          </cell>
        </row>
        <row r="1100">
          <cell r="G1100">
            <v>7.7662037037037335E-3</v>
          </cell>
        </row>
        <row r="1101">
          <cell r="G1101">
            <v>8.4722222222222143E-3</v>
          </cell>
        </row>
        <row r="1102">
          <cell r="G1102">
            <v>8.5185185185185919E-3</v>
          </cell>
        </row>
        <row r="1103">
          <cell r="G1103">
            <v>5.6249999999999911E-3</v>
          </cell>
        </row>
        <row r="1104">
          <cell r="G1104">
            <v>5.4976851851851194E-3</v>
          </cell>
        </row>
        <row r="1105">
          <cell r="G1105">
            <v>1.0000000000000009E-2</v>
          </cell>
        </row>
        <row r="1106">
          <cell r="G1106">
            <v>1.0717592592592529E-2</v>
          </cell>
        </row>
        <row r="1107">
          <cell r="G1107">
            <v>6.0185185185185341E-3</v>
          </cell>
        </row>
        <row r="1108">
          <cell r="G1108">
            <v>5.439814814814814E-3</v>
          </cell>
        </row>
        <row r="1109">
          <cell r="G1109">
            <v>5.1736111111109206E-3</v>
          </cell>
        </row>
        <row r="1110">
          <cell r="G1110">
            <v>3.5995370370369706E-3</v>
          </cell>
        </row>
        <row r="1111">
          <cell r="G1111">
            <v>9.1435185185173573E-4</v>
          </cell>
        </row>
        <row r="1112">
          <cell r="G1112">
            <v>8.4490740740750248E-4</v>
          </cell>
        </row>
        <row r="1113">
          <cell r="G1113">
            <v>6.4699074074072715E-3</v>
          </cell>
        </row>
        <row r="1114">
          <cell r="G1114">
            <v>4.8611111111112049E-3</v>
          </cell>
        </row>
        <row r="1115">
          <cell r="G1115">
            <v>2.5810185185185519E-3</v>
          </cell>
        </row>
        <row r="1116">
          <cell r="G1116">
            <v>2.9201388888888902E-2</v>
          </cell>
        </row>
        <row r="1117">
          <cell r="G1117">
            <v>3.5104166666666603E-2</v>
          </cell>
        </row>
        <row r="1118">
          <cell r="G1118">
            <v>3.2812499999999967E-2</v>
          </cell>
        </row>
        <row r="1119">
          <cell r="G1119">
            <v>3.0706018518518563E-2</v>
          </cell>
        </row>
        <row r="1120">
          <cell r="G1120">
            <v>2.1331018518518541E-2</v>
          </cell>
        </row>
        <row r="1121">
          <cell r="G1121">
            <v>4.0856481481481577E-3</v>
          </cell>
        </row>
        <row r="1122">
          <cell r="G1122">
            <v>1.3692129629629568E-2</v>
          </cell>
        </row>
        <row r="1123">
          <cell r="G1123">
            <v>9.9768518518518756E-3</v>
          </cell>
        </row>
        <row r="1124">
          <cell r="G1124">
            <v>5.8101851851851127E-3</v>
          </cell>
        </row>
        <row r="1125">
          <cell r="G1125">
            <v>2.4537037037037357E-3</v>
          </cell>
        </row>
        <row r="1126">
          <cell r="G1126">
            <v>1.4548611111111054E-2</v>
          </cell>
        </row>
        <row r="1127">
          <cell r="G1127">
            <v>1.6793981481481479E-2</v>
          </cell>
        </row>
        <row r="1128">
          <cell r="G1128">
            <v>4.6759259259259167E-3</v>
          </cell>
        </row>
        <row r="1129">
          <cell r="G1129">
            <v>1.1342592592592515E-3</v>
          </cell>
        </row>
        <row r="1130">
          <cell r="G1130">
            <v>3.4953703703703987E-3</v>
          </cell>
        </row>
        <row r="1131">
          <cell r="G1131">
            <v>2.5115740740741521E-3</v>
          </cell>
        </row>
        <row r="1132">
          <cell r="G1132">
            <v>7.9861111111110827E-3</v>
          </cell>
        </row>
        <row r="1133">
          <cell r="G1133">
            <v>2.5115740740741521E-3</v>
          </cell>
        </row>
        <row r="1134">
          <cell r="G1134">
            <v>2.2916666666666363E-3</v>
          </cell>
        </row>
        <row r="1135">
          <cell r="G1135">
            <v>1.4583333333333393E-3</v>
          </cell>
        </row>
        <row r="1136">
          <cell r="G1136">
            <v>7.0370370370370638E-3</v>
          </cell>
        </row>
        <row r="1137">
          <cell r="G1137">
            <v>2.6736111111111405E-3</v>
          </cell>
        </row>
        <row r="1138">
          <cell r="G1138">
            <v>1.5509259259259278E-3</v>
          </cell>
        </row>
        <row r="1139">
          <cell r="G1139">
            <v>1.9560185185185652E-3</v>
          </cell>
        </row>
        <row r="1140">
          <cell r="G1140">
            <v>7.6736111111112004E-3</v>
          </cell>
        </row>
        <row r="1141">
          <cell r="G1141">
            <v>7.5578703703704231E-3</v>
          </cell>
        </row>
        <row r="1142">
          <cell r="G1142">
            <v>7.1990740740740522E-3</v>
          </cell>
        </row>
        <row r="1143">
          <cell r="G1143">
            <v>6.7939814814814703E-3</v>
          </cell>
        </row>
        <row r="1144">
          <cell r="G1144">
            <v>3.7962962962962976E-3</v>
          </cell>
        </row>
        <row r="1145">
          <cell r="G1145">
            <v>2.5231481481481355E-3</v>
          </cell>
        </row>
        <row r="1146">
          <cell r="G1146">
            <v>3.0324074074074003E-3</v>
          </cell>
        </row>
        <row r="1147">
          <cell r="G1147">
            <v>2.1377314814814752E-2</v>
          </cell>
        </row>
        <row r="1148">
          <cell r="G1148">
            <v>2.0000000000000018E-2</v>
          </cell>
        </row>
        <row r="1149">
          <cell r="G1149">
            <v>1.3611111111111129E-2</v>
          </cell>
        </row>
        <row r="1150">
          <cell r="G1150">
            <v>9.1898148148148451E-3</v>
          </cell>
        </row>
        <row r="1151">
          <cell r="G1151">
            <v>1.8402777777778434E-3</v>
          </cell>
        </row>
        <row r="1152">
          <cell r="G1152">
            <v>1.7013888888888218E-3</v>
          </cell>
        </row>
        <row r="1153">
          <cell r="G1153">
            <v>1.4351851851851505E-3</v>
          </cell>
        </row>
        <row r="1154">
          <cell r="G1154">
            <v>1.129629629629636E-2</v>
          </cell>
        </row>
        <row r="1155">
          <cell r="G1155">
            <v>8.599537037036975E-3</v>
          </cell>
        </row>
        <row r="1156">
          <cell r="G1156">
            <v>8.6805555555558023E-4</v>
          </cell>
        </row>
        <row r="1157">
          <cell r="G1157">
            <v>1.8124999999999947E-2</v>
          </cell>
        </row>
        <row r="1158">
          <cell r="G1158">
            <v>1.4131944444444433E-2</v>
          </cell>
        </row>
        <row r="1159">
          <cell r="G1159">
            <v>1.4282407407407383E-2</v>
          </cell>
        </row>
        <row r="1160">
          <cell r="G1160">
            <v>4.9768518518511495E-4</v>
          </cell>
        </row>
        <row r="1161">
          <cell r="G1161">
            <v>1.3194444444445397E-3</v>
          </cell>
        </row>
        <row r="1162">
          <cell r="G1162">
            <v>1.0115740740740731E-2</v>
          </cell>
        </row>
        <row r="1163">
          <cell r="G1163">
            <v>9.5717592592592382E-3</v>
          </cell>
        </row>
        <row r="1164">
          <cell r="G1164">
            <v>1.1030092592592577E-2</v>
          </cell>
        </row>
        <row r="1165">
          <cell r="G1165">
            <v>1.2071759259259407E-2</v>
          </cell>
        </row>
        <row r="1166">
          <cell r="G1166">
            <v>7.9861111111112493E-4</v>
          </cell>
        </row>
        <row r="1167">
          <cell r="G1167">
            <v>2.5462962962962132E-3</v>
          </cell>
        </row>
        <row r="1168">
          <cell r="G1168">
            <v>1.4120370370370727E-3</v>
          </cell>
        </row>
        <row r="1169">
          <cell r="G1169">
            <v>1.6909722222222201E-2</v>
          </cell>
        </row>
        <row r="1170">
          <cell r="G1170">
            <v>9.3518518518518334E-3</v>
          </cell>
        </row>
        <row r="1171">
          <cell r="G1171">
            <v>7.8703703703697503E-4</v>
          </cell>
        </row>
        <row r="1172">
          <cell r="G1172">
            <v>8.5648148148154135E-4</v>
          </cell>
        </row>
        <row r="1173">
          <cell r="G1173">
            <v>8.3333333333335258E-4</v>
          </cell>
        </row>
        <row r="1174">
          <cell r="G1174">
            <v>5.6828703703705186E-3</v>
          </cell>
        </row>
        <row r="1175">
          <cell r="G1175">
            <v>1.8854166666666727E-2</v>
          </cell>
        </row>
        <row r="1176">
          <cell r="G1176">
            <v>7.8703703703708605E-4</v>
          </cell>
        </row>
        <row r="1177">
          <cell r="G1177">
            <v>1.7361111111110494E-3</v>
          </cell>
        </row>
        <row r="1178">
          <cell r="G1178">
            <v>1.4861111111111047E-2</v>
          </cell>
        </row>
        <row r="1179">
          <cell r="G1179">
            <v>1.2152777777778012E-3</v>
          </cell>
        </row>
        <row r="1180">
          <cell r="G1180">
            <v>2.6620370370369906E-3</v>
          </cell>
        </row>
        <row r="1181">
          <cell r="G1181">
            <v>1.0844907407407456E-2</v>
          </cell>
        </row>
        <row r="1182">
          <cell r="G1182">
            <v>9.3749999999999667E-3</v>
          </cell>
        </row>
        <row r="1183">
          <cell r="G1183">
            <v>1.3692129629629679E-2</v>
          </cell>
        </row>
        <row r="1184">
          <cell r="G1184">
            <v>7.5347222222221788E-3</v>
          </cell>
        </row>
        <row r="1185">
          <cell r="G1185">
            <v>6.1689814814815391E-3</v>
          </cell>
        </row>
        <row r="1186">
          <cell r="G1186">
            <v>5.9027777777775903E-4</v>
          </cell>
        </row>
        <row r="1187">
          <cell r="G1187">
            <v>4.6527777777777835E-3</v>
          </cell>
        </row>
        <row r="1188">
          <cell r="G1188">
            <v>8.3912037037037202E-3</v>
          </cell>
        </row>
        <row r="1189">
          <cell r="G1189">
            <v>7.523148148148584E-4</v>
          </cell>
        </row>
        <row r="1190">
          <cell r="G1190">
            <v>4.8495370370369995E-3</v>
          </cell>
        </row>
        <row r="1191">
          <cell r="G1191">
            <v>3.0324074074074558E-3</v>
          </cell>
        </row>
        <row r="1192">
          <cell r="G1192">
            <v>1.5266203703703685E-2</v>
          </cell>
        </row>
        <row r="1193">
          <cell r="G1193">
            <v>5.1388888888888595E-3</v>
          </cell>
        </row>
        <row r="1194">
          <cell r="G1194">
            <v>6.3888888888888884E-3</v>
          </cell>
        </row>
        <row r="1195">
          <cell r="G1195">
            <v>3.4722222222222099E-3</v>
          </cell>
        </row>
        <row r="1196">
          <cell r="G1196">
            <v>2.5115740740739856E-3</v>
          </cell>
        </row>
        <row r="1197">
          <cell r="G1197">
            <v>2.3067129629629646E-2</v>
          </cell>
        </row>
        <row r="1198">
          <cell r="G1198">
            <v>1.3726851851851851E-2</v>
          </cell>
        </row>
        <row r="1199">
          <cell r="G1199">
            <v>1.0393518518518441E-2</v>
          </cell>
        </row>
        <row r="1200">
          <cell r="G1200">
            <v>1.0127314814814881E-2</v>
          </cell>
        </row>
        <row r="1201">
          <cell r="G1201">
            <v>1.2349537037037117E-2</v>
          </cell>
        </row>
        <row r="1202">
          <cell r="G1202">
            <v>3.0208333333333615E-3</v>
          </cell>
        </row>
        <row r="1203">
          <cell r="G1203">
            <v>1.0486111111111085E-2</v>
          </cell>
        </row>
        <row r="1204">
          <cell r="G1204">
            <v>1.4583333333333393E-3</v>
          </cell>
        </row>
        <row r="1205">
          <cell r="G1205">
            <v>9.5601851851851993E-3</v>
          </cell>
        </row>
        <row r="1206">
          <cell r="G1206">
            <v>8.9467592592592515E-3</v>
          </cell>
        </row>
        <row r="1207">
          <cell r="G1207">
            <v>1.8564814814814756E-2</v>
          </cell>
        </row>
        <row r="1208">
          <cell r="G1208">
            <v>1.6747685185185213E-2</v>
          </cell>
        </row>
        <row r="1209">
          <cell r="G1209">
            <v>6.5625000000000266E-3</v>
          </cell>
        </row>
        <row r="1210">
          <cell r="G1210">
            <v>1.1921296296296346E-2</v>
          </cell>
        </row>
        <row r="1211">
          <cell r="G1211">
            <v>1.1678240740740753E-2</v>
          </cell>
        </row>
        <row r="1212">
          <cell r="G1212">
            <v>1.0300925925925908E-2</v>
          </cell>
        </row>
        <row r="1213">
          <cell r="G1213">
            <v>5.5555555555556468E-3</v>
          </cell>
        </row>
        <row r="1214">
          <cell r="G1214">
            <v>7.1412037037036358E-3</v>
          </cell>
        </row>
        <row r="1215">
          <cell r="G1215">
            <v>8.796296296296191E-4</v>
          </cell>
        </row>
        <row r="1216">
          <cell r="G1216">
            <v>7.407407407407085E-4</v>
          </cell>
        </row>
        <row r="1217">
          <cell r="G1217">
            <v>1.4861111111111103E-2</v>
          </cell>
        </row>
        <row r="1218">
          <cell r="G1218">
            <v>1.1111111111109517E-3</v>
          </cell>
        </row>
        <row r="1219">
          <cell r="G1219">
            <v>2.1643518518518201E-3</v>
          </cell>
        </row>
        <row r="1220">
          <cell r="G1220">
            <v>1.8634259259258101E-3</v>
          </cell>
        </row>
        <row r="1221">
          <cell r="G1221">
            <v>2.0949074074074758E-3</v>
          </cell>
        </row>
        <row r="1222">
          <cell r="G1222">
            <v>2.6967592592592626E-2</v>
          </cell>
        </row>
        <row r="1223">
          <cell r="G1223">
            <v>2.1620370370370345E-2</v>
          </cell>
        </row>
        <row r="1224">
          <cell r="G1224">
            <v>2.6851851851851793E-2</v>
          </cell>
        </row>
        <row r="1225">
          <cell r="G1225">
            <v>1.9155092592592515E-2</v>
          </cell>
        </row>
        <row r="1226">
          <cell r="G1226">
            <v>3.8194444444443754E-3</v>
          </cell>
        </row>
        <row r="1227">
          <cell r="G1227">
            <v>1.2986111111111032E-2</v>
          </cell>
        </row>
        <row r="1228">
          <cell r="G1228">
            <v>1.3055555555555709E-2</v>
          </cell>
        </row>
        <row r="1229">
          <cell r="G1229">
            <v>1.5162037037037557E-3</v>
          </cell>
        </row>
        <row r="1230">
          <cell r="G1230">
            <v>2.5925925925924798E-3</v>
          </cell>
        </row>
        <row r="1231">
          <cell r="G1231">
            <v>4.7800925925925997E-3</v>
          </cell>
        </row>
        <row r="1232">
          <cell r="G1232">
            <v>1.1261574074074132E-2</v>
          </cell>
        </row>
        <row r="1233">
          <cell r="G1233">
            <v>3.1134259259258945E-3</v>
          </cell>
        </row>
        <row r="1234">
          <cell r="G1234">
            <v>2.0717592592592871E-3</v>
          </cell>
        </row>
        <row r="1235">
          <cell r="G1235">
            <v>1.0671296296296262E-2</v>
          </cell>
        </row>
        <row r="1236">
          <cell r="G1236">
            <v>1.0104166666666581E-2</v>
          </cell>
        </row>
        <row r="1237">
          <cell r="G1237">
            <v>8.4722222222222143E-3</v>
          </cell>
        </row>
        <row r="1238">
          <cell r="G1238">
            <v>1.1284722222222099E-2</v>
          </cell>
        </row>
        <row r="1239">
          <cell r="G1239">
            <v>9.5833333333333881E-3</v>
          </cell>
        </row>
        <row r="1240">
          <cell r="G1240">
            <v>5.9374999999999845E-3</v>
          </cell>
        </row>
        <row r="1241">
          <cell r="G1241">
            <v>3.4953703703702876E-3</v>
          </cell>
        </row>
        <row r="1242">
          <cell r="G1242">
            <v>3.9930555555556246E-3</v>
          </cell>
        </row>
        <row r="1243">
          <cell r="G1243">
            <v>7.5925925925925952E-3</v>
          </cell>
        </row>
        <row r="1244">
          <cell r="G1244">
            <v>7.0601851851851971E-3</v>
          </cell>
        </row>
        <row r="1245">
          <cell r="G1245">
            <v>1.2384259259259345E-3</v>
          </cell>
        </row>
        <row r="1246">
          <cell r="G1246">
            <v>9.6990740740741099E-3</v>
          </cell>
        </row>
        <row r="1247">
          <cell r="G1247">
            <v>1.2141203703703696E-2</v>
          </cell>
        </row>
        <row r="1248">
          <cell r="G1248">
            <v>1.033564814814808E-2</v>
          </cell>
        </row>
        <row r="1249">
          <cell r="G1249">
            <v>7.6273148148148784E-3</v>
          </cell>
        </row>
        <row r="1250">
          <cell r="G1250">
            <v>7.6388888888884177E-4</v>
          </cell>
        </row>
        <row r="1251">
          <cell r="G1251">
            <v>8.101851851851638E-4</v>
          </cell>
        </row>
        <row r="1252">
          <cell r="G1252">
            <v>8.5416666666666696E-3</v>
          </cell>
        </row>
        <row r="1253">
          <cell r="G1253">
            <v>2.3611111111110916E-3</v>
          </cell>
        </row>
        <row r="1254">
          <cell r="G1254">
            <v>1.5046296296296613E-3</v>
          </cell>
        </row>
        <row r="1255">
          <cell r="G1255">
            <v>1.0208333333333264E-2</v>
          </cell>
        </row>
        <row r="1256">
          <cell r="G1256">
            <v>9.5486111111111049E-3</v>
          </cell>
        </row>
        <row r="1257">
          <cell r="G1257">
            <v>8.0439814814813881E-3</v>
          </cell>
        </row>
        <row r="1258">
          <cell r="G1258">
            <v>7.9976851851851216E-3</v>
          </cell>
        </row>
        <row r="1259">
          <cell r="G1259">
            <v>1.0381944444444402E-2</v>
          </cell>
        </row>
        <row r="1260">
          <cell r="G1260">
            <v>4.5138888888884843E-4</v>
          </cell>
        </row>
        <row r="1261">
          <cell r="G1261">
            <v>8.5185185185184809E-3</v>
          </cell>
        </row>
        <row r="1262">
          <cell r="G1262">
            <v>4.0046296296296635E-3</v>
          </cell>
        </row>
        <row r="1263">
          <cell r="G1263">
            <v>1.1122685185185111E-2</v>
          </cell>
        </row>
        <row r="1264">
          <cell r="G1264">
            <v>1.8692129629629628E-2</v>
          </cell>
        </row>
        <row r="1265">
          <cell r="G1265">
            <v>4.629629629628873E-4</v>
          </cell>
        </row>
        <row r="1266">
          <cell r="G1266">
            <v>2.3495370370369972E-3</v>
          </cell>
        </row>
        <row r="1267">
          <cell r="G1267">
            <v>1.388888888888884E-2</v>
          </cell>
        </row>
        <row r="1268">
          <cell r="G1268">
            <v>1.4259259259259305E-2</v>
          </cell>
        </row>
        <row r="1269">
          <cell r="G1269">
            <v>1.7962962962962958E-2</v>
          </cell>
        </row>
        <row r="1270">
          <cell r="G1270">
            <v>1.2372685185185195E-2</v>
          </cell>
        </row>
        <row r="1271">
          <cell r="G1271">
            <v>3.9930555555556246E-3</v>
          </cell>
        </row>
        <row r="1272">
          <cell r="G1272">
            <v>1.3634259259259318E-2</v>
          </cell>
        </row>
        <row r="1273">
          <cell r="G1273">
            <v>9.3981481481481E-3</v>
          </cell>
        </row>
        <row r="1274">
          <cell r="G1274">
            <v>8.4722222222222143E-3</v>
          </cell>
        </row>
        <row r="1275">
          <cell r="G1275">
            <v>1.7187499999999911E-2</v>
          </cell>
        </row>
        <row r="1276">
          <cell r="G1276">
            <v>1.2847222222222232E-2</v>
          </cell>
        </row>
        <row r="1277">
          <cell r="G1277">
            <v>1.2222222222222134E-2</v>
          </cell>
        </row>
        <row r="1278">
          <cell r="G1278">
            <v>1.2094907407407374E-2</v>
          </cell>
        </row>
        <row r="1279">
          <cell r="G1279">
            <v>4.155092592592613E-3</v>
          </cell>
        </row>
        <row r="1280">
          <cell r="G1280">
            <v>1.1099537037037033E-2</v>
          </cell>
        </row>
        <row r="1281">
          <cell r="G1281">
            <v>1.0682870370370412E-2</v>
          </cell>
        </row>
        <row r="1282">
          <cell r="G1282">
            <v>1.1307870370370399E-2</v>
          </cell>
        </row>
        <row r="1283">
          <cell r="G1283">
            <v>9.9768518518518201E-3</v>
          </cell>
        </row>
        <row r="1284">
          <cell r="G1284">
            <v>7.9513888888889106E-3</v>
          </cell>
        </row>
        <row r="1285">
          <cell r="G1285">
            <v>6.2731481481481666E-3</v>
          </cell>
        </row>
        <row r="1286">
          <cell r="G1286">
            <v>1.3541666666667673E-3</v>
          </cell>
        </row>
        <row r="1287">
          <cell r="G1287">
            <v>3.4953703703703987E-3</v>
          </cell>
        </row>
        <row r="1288">
          <cell r="G1288">
            <v>1.4618055555555509E-2</v>
          </cell>
        </row>
        <row r="1289">
          <cell r="G1289">
            <v>1.6111111111111187E-2</v>
          </cell>
        </row>
        <row r="1290">
          <cell r="G1290">
            <v>1.9467592592592564E-2</v>
          </cell>
        </row>
        <row r="1291">
          <cell r="G1291">
            <v>2.4004629629629681E-2</v>
          </cell>
        </row>
        <row r="1292">
          <cell r="G1292">
            <v>7.5000000000000622E-3</v>
          </cell>
        </row>
        <row r="1293">
          <cell r="G1293">
            <v>1.9884259259259185E-2</v>
          </cell>
        </row>
        <row r="1294">
          <cell r="G1294">
            <v>2.0775462962962954E-2</v>
          </cell>
        </row>
        <row r="1295">
          <cell r="G1295">
            <v>2.0324074074074105E-2</v>
          </cell>
        </row>
        <row r="1296">
          <cell r="G1296">
            <v>1.8715277777777706E-2</v>
          </cell>
        </row>
        <row r="1297">
          <cell r="G1297">
            <v>2.9861111111110228E-3</v>
          </cell>
        </row>
        <row r="1298">
          <cell r="G1298">
            <v>2.0231481481481461E-2</v>
          </cell>
        </row>
        <row r="1299">
          <cell r="G1299">
            <v>1.7939814814813548E-3</v>
          </cell>
        </row>
        <row r="1300">
          <cell r="G1300">
            <v>9.097222222222201E-3</v>
          </cell>
        </row>
        <row r="1301">
          <cell r="G1301">
            <v>9.9074074074074758E-3</v>
          </cell>
        </row>
        <row r="1302">
          <cell r="G1302">
            <v>7.8819444444444553E-3</v>
          </cell>
        </row>
        <row r="1303">
          <cell r="G1303">
            <v>8.796296296296191E-4</v>
          </cell>
        </row>
        <row r="1304">
          <cell r="G1304">
            <v>1.2696759259259283E-2</v>
          </cell>
        </row>
        <row r="1305">
          <cell r="G1305">
            <v>1.6319444444444775E-3</v>
          </cell>
        </row>
        <row r="1306">
          <cell r="G1306">
            <v>1.5277777777777946E-3</v>
          </cell>
        </row>
        <row r="1307">
          <cell r="G1307">
            <v>7.8356481481482998E-3</v>
          </cell>
        </row>
        <row r="1308">
          <cell r="G1308">
            <v>8.1365740740740877E-3</v>
          </cell>
        </row>
        <row r="1309">
          <cell r="G1309">
            <v>7.5231481481474738E-4</v>
          </cell>
        </row>
        <row r="1310">
          <cell r="G1310">
            <v>6.1689814814815946E-3</v>
          </cell>
        </row>
        <row r="1311">
          <cell r="G1311">
            <v>4.9537037037037379E-3</v>
          </cell>
        </row>
        <row r="1312">
          <cell r="G1312">
            <v>5.4050925925925863E-3</v>
          </cell>
        </row>
        <row r="1313">
          <cell r="G1313">
            <v>5.8217592592592071E-3</v>
          </cell>
        </row>
        <row r="1314">
          <cell r="G1314">
            <v>4.3634259259259789E-3</v>
          </cell>
        </row>
        <row r="1315">
          <cell r="G1315">
            <v>5.3587962962964308E-3</v>
          </cell>
        </row>
        <row r="1316">
          <cell r="G1316">
            <v>2.8935185185183787E-3</v>
          </cell>
        </row>
        <row r="1317">
          <cell r="G1317">
            <v>6.3657407407408106E-3</v>
          </cell>
        </row>
        <row r="1318">
          <cell r="G1318">
            <v>5.3240740740740922E-3</v>
          </cell>
        </row>
        <row r="1319">
          <cell r="G1319">
            <v>2.569444444444402E-3</v>
          </cell>
        </row>
        <row r="1320">
          <cell r="G1320">
            <v>1.0416666666666075E-3</v>
          </cell>
        </row>
        <row r="1321">
          <cell r="G1321">
            <v>1.1574074074073293E-3</v>
          </cell>
        </row>
        <row r="1322">
          <cell r="G1322">
            <v>9.8726851851851372E-3</v>
          </cell>
        </row>
        <row r="1323">
          <cell r="G1323">
            <v>1.620370370370372E-2</v>
          </cell>
        </row>
        <row r="1324">
          <cell r="G1324">
            <v>3.5995370370371926E-3</v>
          </cell>
        </row>
        <row r="1325">
          <cell r="G1325">
            <v>2.3310185185185239E-2</v>
          </cell>
        </row>
        <row r="1326">
          <cell r="G1326">
            <v>2.0486111111111205E-2</v>
          </cell>
        </row>
        <row r="1327">
          <cell r="G1327">
            <v>6.8287037037034759E-4</v>
          </cell>
        </row>
        <row r="1328">
          <cell r="G1328">
            <v>1.1793981481481419E-2</v>
          </cell>
        </row>
        <row r="1329">
          <cell r="G1329">
            <v>7.0949074074074803E-3</v>
          </cell>
        </row>
        <row r="1330">
          <cell r="G1330">
            <v>1.0763888888888906E-2</v>
          </cell>
        </row>
        <row r="1331">
          <cell r="G1331">
            <v>8.9930555555555181E-3</v>
          </cell>
        </row>
        <row r="1332">
          <cell r="G1332">
            <v>6.0532407407407618E-3</v>
          </cell>
        </row>
        <row r="1333">
          <cell r="G1333">
            <v>6.8287037037034759E-4</v>
          </cell>
        </row>
        <row r="1334">
          <cell r="G1334">
            <v>9.2592592592588563E-4</v>
          </cell>
        </row>
        <row r="1335">
          <cell r="G1335">
            <v>6.5740740740740655E-3</v>
          </cell>
        </row>
        <row r="1336">
          <cell r="G1336">
            <v>9.3171296296296058E-3</v>
          </cell>
        </row>
        <row r="1337">
          <cell r="G1337">
            <v>6.3541666666666607E-3</v>
          </cell>
        </row>
        <row r="1338">
          <cell r="G1338">
            <v>1.9444444444444708E-3</v>
          </cell>
        </row>
        <row r="1339">
          <cell r="G1339">
            <v>1.1921296296296124E-3</v>
          </cell>
        </row>
        <row r="1340">
          <cell r="G1340">
            <v>7.1180555555555025E-3</v>
          </cell>
        </row>
        <row r="1341">
          <cell r="G1341">
            <v>6.1226851851851616E-3</v>
          </cell>
        </row>
        <row r="1342">
          <cell r="G1342">
            <v>4.5833333333333282E-3</v>
          </cell>
        </row>
        <row r="1343">
          <cell r="G1343">
            <v>3.807870370370392E-3</v>
          </cell>
        </row>
        <row r="1344">
          <cell r="G1344">
            <v>4.5138888888888173E-3</v>
          </cell>
        </row>
        <row r="1345">
          <cell r="G1345">
            <v>3.113425925925839E-3</v>
          </cell>
        </row>
        <row r="1346">
          <cell r="G1346">
            <v>7.22222222222213E-3</v>
          </cell>
        </row>
        <row r="1347">
          <cell r="G1347">
            <v>7.7662037037037335E-3</v>
          </cell>
        </row>
        <row r="1348">
          <cell r="G1348">
            <v>7.6504629629629561E-3</v>
          </cell>
        </row>
        <row r="1349">
          <cell r="G1349">
            <v>6.2499999999998668E-4</v>
          </cell>
        </row>
        <row r="1350">
          <cell r="G1350">
            <v>7.0949074074073692E-3</v>
          </cell>
        </row>
        <row r="1351">
          <cell r="G1351">
            <v>9.2939814814814725E-3</v>
          </cell>
        </row>
        <row r="1352">
          <cell r="G1352">
            <v>2.6388888888889128E-3</v>
          </cell>
        </row>
        <row r="1353">
          <cell r="G1353">
            <v>7.8009259259259611E-3</v>
          </cell>
        </row>
        <row r="1354">
          <cell r="G1354">
            <v>3.5069444444445486E-3</v>
          </cell>
        </row>
        <row r="1355">
          <cell r="G1355">
            <v>1.0844907407407289E-2</v>
          </cell>
        </row>
        <row r="1356">
          <cell r="G1356">
            <v>8.9699074074073293E-3</v>
          </cell>
        </row>
        <row r="1357">
          <cell r="G1357">
            <v>9.3634259259259833E-3</v>
          </cell>
        </row>
        <row r="1358">
          <cell r="G1358">
            <v>1.3773148148148007E-2</v>
          </cell>
        </row>
        <row r="1359">
          <cell r="G1359">
            <v>1.0208333333333264E-2</v>
          </cell>
        </row>
        <row r="1360">
          <cell r="G1360">
            <v>2.7905092592592662E-2</v>
          </cell>
        </row>
        <row r="1361">
          <cell r="G1361">
            <v>5.2546296296296369E-3</v>
          </cell>
        </row>
        <row r="1362">
          <cell r="G1362">
            <v>2.3333333333333428E-2</v>
          </cell>
        </row>
        <row r="1363">
          <cell r="G1363">
            <v>1.5173611111111152E-2</v>
          </cell>
        </row>
        <row r="1364">
          <cell r="G1364">
            <v>1.1087962962962994E-2</v>
          </cell>
        </row>
        <row r="1365">
          <cell r="G1365">
            <v>3.8310185185185253E-3</v>
          </cell>
        </row>
        <row r="1366">
          <cell r="G1366">
            <v>4.3171296296296013E-3</v>
          </cell>
        </row>
        <row r="1367">
          <cell r="G1367">
            <v>4.2939814814815236E-3</v>
          </cell>
        </row>
        <row r="1368">
          <cell r="G1368">
            <v>5.046296296296271E-3</v>
          </cell>
        </row>
        <row r="1369">
          <cell r="G1369">
            <v>2.2106481481481977E-3</v>
          </cell>
        </row>
        <row r="1370">
          <cell r="G1370">
            <v>1.3356481481481497E-2</v>
          </cell>
        </row>
        <row r="1371">
          <cell r="G1371">
            <v>2.3842592592592249E-3</v>
          </cell>
        </row>
        <row r="1372">
          <cell r="G1372">
            <v>9.1435185185184675E-4</v>
          </cell>
        </row>
        <row r="1373">
          <cell r="G1373">
            <v>6.9444444444444198E-3</v>
          </cell>
        </row>
        <row r="1374">
          <cell r="G1374">
            <v>6.9328703703703809E-3</v>
          </cell>
        </row>
        <row r="1375">
          <cell r="G1375">
            <v>5.3935185185185475E-3</v>
          </cell>
        </row>
        <row r="1376">
          <cell r="G1376">
            <v>5.4861111111110805E-3</v>
          </cell>
        </row>
        <row r="1377">
          <cell r="G1377">
            <v>8.7847222222221522E-3</v>
          </cell>
        </row>
        <row r="1378">
          <cell r="G1378">
            <v>9.2592592592588563E-4</v>
          </cell>
        </row>
        <row r="1379">
          <cell r="G1379">
            <v>1.0416666666666741E-2</v>
          </cell>
        </row>
        <row r="1380">
          <cell r="G1380">
            <v>1.2824074074074043E-2</v>
          </cell>
        </row>
        <row r="1381">
          <cell r="G1381">
            <v>8.0902777777778212E-3</v>
          </cell>
        </row>
        <row r="1382">
          <cell r="G1382">
            <v>1.3414351851851802E-2</v>
          </cell>
        </row>
        <row r="1383">
          <cell r="G1383">
            <v>6.6666666666667096E-3</v>
          </cell>
        </row>
        <row r="1384">
          <cell r="G1384">
            <v>9.189814814814623E-3</v>
          </cell>
        </row>
        <row r="1385">
          <cell r="G1385">
            <v>1.0486111111111085E-2</v>
          </cell>
        </row>
        <row r="1386">
          <cell r="G1386">
            <v>1.7314814814814783E-2</v>
          </cell>
        </row>
        <row r="1387">
          <cell r="G1387">
            <v>7.0601851851859188E-4</v>
          </cell>
        </row>
        <row r="1388">
          <cell r="G1388">
            <v>1.3287037037037042E-2</v>
          </cell>
        </row>
        <row r="1389">
          <cell r="G1389">
            <v>1.288194444444446E-2</v>
          </cell>
        </row>
        <row r="1390">
          <cell r="G1390">
            <v>4.8611111111110938E-3</v>
          </cell>
        </row>
        <row r="1391">
          <cell r="G1391">
            <v>7.407407407407085E-4</v>
          </cell>
        </row>
        <row r="1392">
          <cell r="G1392">
            <v>1.6967592592592506E-2</v>
          </cell>
        </row>
        <row r="1393">
          <cell r="G1393">
            <v>1.4224537037037077E-2</v>
          </cell>
        </row>
        <row r="1394">
          <cell r="G1394">
            <v>8.3333333333333037E-3</v>
          </cell>
        </row>
        <row r="1395">
          <cell r="G1395">
            <v>6.7129629629636423E-4</v>
          </cell>
        </row>
        <row r="1396">
          <cell r="G1396">
            <v>3.2465277777777857E-2</v>
          </cell>
        </row>
        <row r="1397">
          <cell r="G1397">
            <v>8.101851851851638E-4</v>
          </cell>
        </row>
        <row r="1398">
          <cell r="G1398">
            <v>7.3032407407407351E-3</v>
          </cell>
        </row>
        <row r="1399">
          <cell r="G1399">
            <v>6.5972222222221433E-4</v>
          </cell>
        </row>
        <row r="1400">
          <cell r="G1400">
            <v>6.3657407407408106E-4</v>
          </cell>
        </row>
        <row r="1401">
          <cell r="G1401">
            <v>8.2407407407407707E-3</v>
          </cell>
        </row>
        <row r="1402">
          <cell r="G1402">
            <v>1.7395833333333333E-2</v>
          </cell>
        </row>
        <row r="1403">
          <cell r="G1403">
            <v>1.5740740740741166E-3</v>
          </cell>
        </row>
        <row r="1404">
          <cell r="G1404">
            <v>1.087962962962985E-3</v>
          </cell>
        </row>
        <row r="1405">
          <cell r="G1405">
            <v>1.3182870370370303E-2</v>
          </cell>
        </row>
        <row r="1406">
          <cell r="G1406">
            <v>1.6365740740740709E-2</v>
          </cell>
        </row>
        <row r="1407">
          <cell r="G1407">
            <v>2.1458333333333246E-2</v>
          </cell>
        </row>
        <row r="1408">
          <cell r="G1408">
            <v>1.2187500000000018E-2</v>
          </cell>
        </row>
        <row r="1409">
          <cell r="G1409">
            <v>1.4722222222222303E-2</v>
          </cell>
        </row>
        <row r="1410">
          <cell r="G1410">
            <v>1.9444444444445264E-3</v>
          </cell>
        </row>
        <row r="1411">
          <cell r="G1411">
            <v>1.9328703703704875E-3</v>
          </cell>
        </row>
        <row r="1412">
          <cell r="G1412">
            <v>1.318287037037047E-2</v>
          </cell>
        </row>
        <row r="1413">
          <cell r="G1413">
            <v>1.1157407407407449E-2</v>
          </cell>
        </row>
        <row r="1414">
          <cell r="G1414">
            <v>1.5393518518518334E-3</v>
          </cell>
        </row>
        <row r="1415">
          <cell r="G1415">
            <v>1.056712962962969E-2</v>
          </cell>
        </row>
        <row r="1416">
          <cell r="G1416">
            <v>5.2662037037036757E-3</v>
          </cell>
        </row>
        <row r="1417">
          <cell r="G1417">
            <v>4.4328703703703232E-3</v>
          </cell>
        </row>
        <row r="1418">
          <cell r="G1418">
            <v>5.8796296296296235E-3</v>
          </cell>
        </row>
        <row r="1419">
          <cell r="G1419">
            <v>1.5046296296296058E-3</v>
          </cell>
        </row>
        <row r="1420">
          <cell r="G1420">
            <v>6.3657407407413658E-4</v>
          </cell>
        </row>
        <row r="1421">
          <cell r="G1421">
            <v>7.986111111110139E-4</v>
          </cell>
        </row>
        <row r="1422">
          <cell r="G1422">
            <v>1.1516203703703765E-2</v>
          </cell>
        </row>
        <row r="1423">
          <cell r="G1423">
            <v>6.4814814814817545E-4</v>
          </cell>
        </row>
        <row r="1424">
          <cell r="G1424">
            <v>1.6134259259259376E-2</v>
          </cell>
        </row>
        <row r="1425">
          <cell r="G1425">
            <v>1.4756944444444531E-2</v>
          </cell>
        </row>
        <row r="1426">
          <cell r="G1426">
            <v>1.7407407407407427E-2</v>
          </cell>
        </row>
        <row r="1427">
          <cell r="G1427">
            <v>8.2638888888889594E-3</v>
          </cell>
        </row>
        <row r="1428">
          <cell r="G1428">
            <v>6.3657407407413658E-4</v>
          </cell>
        </row>
        <row r="1429">
          <cell r="G1429">
            <v>1.1493055555555576E-2</v>
          </cell>
        </row>
        <row r="1430">
          <cell r="G1430">
            <v>2.3888888888888848E-2</v>
          </cell>
        </row>
        <row r="1431">
          <cell r="G1431">
            <v>2.5532407407407365E-2</v>
          </cell>
        </row>
        <row r="1432">
          <cell r="G1432">
            <v>3.2291666666666718E-3</v>
          </cell>
        </row>
        <row r="1433">
          <cell r="G1433">
            <v>1.9444444444444708E-3</v>
          </cell>
        </row>
        <row r="1434">
          <cell r="G1434">
            <v>4.6874999999999556E-3</v>
          </cell>
        </row>
        <row r="1435">
          <cell r="G1435">
            <v>5.0694444444444042E-3</v>
          </cell>
        </row>
        <row r="1436">
          <cell r="G1436">
            <v>7.3379629629629073E-3</v>
          </cell>
        </row>
        <row r="1437">
          <cell r="G1437">
            <v>4.8263888888889772E-3</v>
          </cell>
        </row>
        <row r="1438">
          <cell r="G1438">
            <v>1.331018518518523E-3</v>
          </cell>
        </row>
        <row r="1439">
          <cell r="G1439">
            <v>1.2152777777777735E-2</v>
          </cell>
        </row>
        <row r="1440">
          <cell r="G1440">
            <v>1.0543981481481446E-2</v>
          </cell>
        </row>
        <row r="1441">
          <cell r="G1441">
            <v>8.9236111111111183E-3</v>
          </cell>
        </row>
        <row r="1442">
          <cell r="G1442">
            <v>1.0162037037037053E-2</v>
          </cell>
        </row>
        <row r="1443">
          <cell r="G1443">
            <v>8.0324074074074048E-3</v>
          </cell>
        </row>
        <row r="1444">
          <cell r="G1444">
            <v>1.070601851851849E-2</v>
          </cell>
        </row>
        <row r="1445">
          <cell r="G1445">
            <v>9.7800925925926041E-3</v>
          </cell>
        </row>
        <row r="1446">
          <cell r="G1446">
            <v>1.6435185185185719E-3</v>
          </cell>
        </row>
        <row r="1447">
          <cell r="G1447">
            <v>7.5925925925925952E-3</v>
          </cell>
        </row>
        <row r="1448">
          <cell r="G1448">
            <v>2.6504629629629517E-3</v>
          </cell>
        </row>
        <row r="1449">
          <cell r="G1449">
            <v>2.6388888888889128E-3</v>
          </cell>
        </row>
        <row r="1450">
          <cell r="G1450">
            <v>1.1435185185185104E-2</v>
          </cell>
        </row>
        <row r="1451">
          <cell r="G1451">
            <v>4.0277777777777413E-3</v>
          </cell>
        </row>
        <row r="1452">
          <cell r="G1452">
            <v>1.1631944444444431E-2</v>
          </cell>
        </row>
        <row r="1453">
          <cell r="G1453">
            <v>6.5624999999999711E-3</v>
          </cell>
        </row>
        <row r="1454">
          <cell r="G1454">
            <v>6.3657407407413658E-4</v>
          </cell>
        </row>
        <row r="1455">
          <cell r="G1455">
            <v>6.2268518518518445E-3</v>
          </cell>
        </row>
        <row r="1456">
          <cell r="G1456">
            <v>9.201388888888884E-3</v>
          </cell>
        </row>
        <row r="1457">
          <cell r="G1457">
            <v>1.4687499999999964E-2</v>
          </cell>
        </row>
        <row r="1458">
          <cell r="G1458">
            <v>2.2337962962962754E-3</v>
          </cell>
        </row>
        <row r="1459">
          <cell r="G1459">
            <v>6.018518518517979E-4</v>
          </cell>
        </row>
        <row r="1460">
          <cell r="G1460">
            <v>1.8599537037036984E-2</v>
          </cell>
        </row>
        <row r="1461">
          <cell r="G1461">
            <v>6.134259259259478E-4</v>
          </cell>
        </row>
        <row r="1462">
          <cell r="G1462">
            <v>6.828703703704031E-4</v>
          </cell>
        </row>
        <row r="1463">
          <cell r="G1463">
            <v>1.1898148148148158E-2</v>
          </cell>
        </row>
        <row r="1464">
          <cell r="G1464">
            <v>1.2453703703703689E-2</v>
          </cell>
        </row>
        <row r="1465">
          <cell r="G1465">
            <v>9.6064814814811328E-4</v>
          </cell>
        </row>
        <row r="1466">
          <cell r="G1466">
            <v>6.921296296296342E-3</v>
          </cell>
        </row>
        <row r="1467">
          <cell r="G1467">
            <v>1.3310185185185119E-2</v>
          </cell>
        </row>
        <row r="1468">
          <cell r="G1468">
            <v>6.3657407407402555E-4</v>
          </cell>
        </row>
        <row r="1469">
          <cell r="G1469">
            <v>7.5925925925925952E-3</v>
          </cell>
        </row>
        <row r="1470">
          <cell r="G1470">
            <v>1.4976851851851825E-2</v>
          </cell>
        </row>
        <row r="1471">
          <cell r="G1471">
            <v>1.347222222222233E-2</v>
          </cell>
        </row>
        <row r="1472">
          <cell r="G1472">
            <v>1.2500000000000067E-2</v>
          </cell>
        </row>
        <row r="1473">
          <cell r="G1473">
            <v>6.2499999999998668E-4</v>
          </cell>
        </row>
        <row r="1474">
          <cell r="G1474">
            <v>1.9583333333333286E-2</v>
          </cell>
        </row>
        <row r="1475">
          <cell r="G1475">
            <v>2.4421296296295303E-3</v>
          </cell>
        </row>
        <row r="1476">
          <cell r="G1476">
            <v>2.372685185185075E-3</v>
          </cell>
        </row>
        <row r="1477">
          <cell r="G1477">
            <v>9.2939814814814725E-3</v>
          </cell>
        </row>
        <row r="1478">
          <cell r="G1478">
            <v>7.0601851851851971E-3</v>
          </cell>
        </row>
        <row r="1479">
          <cell r="G1479">
            <v>3.9004629629629251E-3</v>
          </cell>
        </row>
        <row r="1480">
          <cell r="G1480">
            <v>5.9027777777781454E-4</v>
          </cell>
        </row>
        <row r="1481">
          <cell r="G1481">
            <v>7.0138888888888751E-3</v>
          </cell>
        </row>
        <row r="1482">
          <cell r="G1482">
            <v>9.0625000000000289E-3</v>
          </cell>
        </row>
        <row r="1483">
          <cell r="G1483">
            <v>1.1041666666666616E-2</v>
          </cell>
        </row>
        <row r="1484">
          <cell r="G1484">
            <v>4.3055555555555625E-3</v>
          </cell>
        </row>
        <row r="1485">
          <cell r="G1485">
            <v>6.0185185185190893E-4</v>
          </cell>
        </row>
        <row r="1486">
          <cell r="G1486">
            <v>8.8194444444444353E-3</v>
          </cell>
        </row>
        <row r="1487">
          <cell r="G1487">
            <v>4.4675925925926063E-3</v>
          </cell>
        </row>
        <row r="1488">
          <cell r="G1488">
            <v>7.7777777777778279E-3</v>
          </cell>
        </row>
        <row r="1489">
          <cell r="G1489">
            <v>9.594907407407427E-3</v>
          </cell>
        </row>
        <row r="1490">
          <cell r="G1490">
            <v>5.7754629629629406E-3</v>
          </cell>
        </row>
        <row r="1491">
          <cell r="G1491">
            <v>8.0902777777777102E-3</v>
          </cell>
        </row>
        <row r="1492">
          <cell r="G1492">
            <v>5.9027777777775903E-4</v>
          </cell>
        </row>
        <row r="1493">
          <cell r="G1493">
            <v>1.1064814814814805E-2</v>
          </cell>
        </row>
        <row r="1494">
          <cell r="G1494">
            <v>1.1388888888888893E-2</v>
          </cell>
        </row>
        <row r="1495">
          <cell r="G1495">
            <v>1.1458333333333237E-2</v>
          </cell>
        </row>
        <row r="1496">
          <cell r="G1496">
            <v>4.4907407407408506E-3</v>
          </cell>
        </row>
        <row r="1497">
          <cell r="G1497">
            <v>1.4201388888888888E-2</v>
          </cell>
        </row>
        <row r="1498">
          <cell r="G1498">
            <v>1.2928240740740726E-2</v>
          </cell>
        </row>
        <row r="1499">
          <cell r="G1499">
            <v>1.071759259259264E-2</v>
          </cell>
        </row>
        <row r="1500">
          <cell r="G1500">
            <v>1.6701388888888946E-2</v>
          </cell>
        </row>
        <row r="1501">
          <cell r="G1501">
            <v>2.0439814814814827E-2</v>
          </cell>
        </row>
        <row r="1502">
          <cell r="G1502">
            <v>1.8703703703703667E-2</v>
          </cell>
        </row>
        <row r="1503">
          <cell r="G1503">
            <v>1.1111111111111072E-2</v>
          </cell>
        </row>
        <row r="1504">
          <cell r="G1504">
            <v>1.2233796296296395E-2</v>
          </cell>
        </row>
        <row r="1505">
          <cell r="G1505">
            <v>1.1712962962963092E-2</v>
          </cell>
        </row>
        <row r="1506">
          <cell r="G1506">
            <v>1.2245370370370323E-2</v>
          </cell>
        </row>
        <row r="1507">
          <cell r="G1507">
            <v>1.3900462962962989E-2</v>
          </cell>
        </row>
        <row r="1508">
          <cell r="G1508">
            <v>4.6759259259259167E-3</v>
          </cell>
        </row>
        <row r="1509">
          <cell r="G1509">
            <v>1.1562500000000031E-2</v>
          </cell>
        </row>
        <row r="1510">
          <cell r="G1510">
            <v>4.4097222222222454E-3</v>
          </cell>
        </row>
        <row r="1511">
          <cell r="G1511">
            <v>5.740740740740824E-3</v>
          </cell>
        </row>
        <row r="1512">
          <cell r="G1512">
            <v>1.5648148148148078E-2</v>
          </cell>
        </row>
        <row r="1513">
          <cell r="G1513">
            <v>1.258101851851845E-2</v>
          </cell>
        </row>
        <row r="1514">
          <cell r="G1514">
            <v>1.1805555555555181E-3</v>
          </cell>
        </row>
        <row r="1515">
          <cell r="G1515">
            <v>5.6712962962963687E-3</v>
          </cell>
        </row>
        <row r="1516">
          <cell r="G1516">
            <v>2.4768518518517579E-3</v>
          </cell>
        </row>
        <row r="1517">
          <cell r="G1517">
            <v>4.3402777777777901E-3</v>
          </cell>
        </row>
        <row r="1518">
          <cell r="G1518">
            <v>4.3055555555555625E-3</v>
          </cell>
        </row>
        <row r="1519">
          <cell r="G1519">
            <v>1.3194444444444287E-3</v>
          </cell>
        </row>
        <row r="1520">
          <cell r="G1520">
            <v>2.0717592592592871E-3</v>
          </cell>
        </row>
        <row r="1521">
          <cell r="G1521">
            <v>1.1655092592592564E-2</v>
          </cell>
        </row>
        <row r="1522">
          <cell r="G1522">
            <v>3.8194444444443754E-3</v>
          </cell>
        </row>
        <row r="1523">
          <cell r="G1523">
            <v>1.041666666666663E-2</v>
          </cell>
        </row>
        <row r="1524">
          <cell r="G1524">
            <v>6.3078703703703942E-3</v>
          </cell>
        </row>
        <row r="1525">
          <cell r="G1525">
            <v>4.5717592592592338E-3</v>
          </cell>
        </row>
        <row r="1526">
          <cell r="G1526">
            <v>4.3865740740740566E-3</v>
          </cell>
        </row>
        <row r="1527">
          <cell r="G1527">
            <v>4.247685185185146E-3</v>
          </cell>
        </row>
        <row r="1528">
          <cell r="G1528">
            <v>2.1643518518518201E-3</v>
          </cell>
        </row>
        <row r="1529">
          <cell r="G1529">
            <v>7.8703703703697503E-4</v>
          </cell>
        </row>
        <row r="1530">
          <cell r="G1530">
            <v>8.2407407407407707E-3</v>
          </cell>
        </row>
        <row r="1531">
          <cell r="G1531">
            <v>9.5486111111111605E-3</v>
          </cell>
        </row>
        <row r="1532">
          <cell r="G1532">
            <v>1.3425925925926174E-3</v>
          </cell>
        </row>
        <row r="1533">
          <cell r="G1533">
            <v>3.9467592592592471E-3</v>
          </cell>
        </row>
        <row r="1534">
          <cell r="G1534">
            <v>7.7893518518518112E-3</v>
          </cell>
        </row>
        <row r="1535">
          <cell r="G1535">
            <v>1.9907407407407929E-3</v>
          </cell>
        </row>
        <row r="1536">
          <cell r="G1536">
            <v>7.8935185185184942E-3</v>
          </cell>
        </row>
        <row r="1537">
          <cell r="G1537">
            <v>1.6226851851851798E-2</v>
          </cell>
        </row>
        <row r="1538">
          <cell r="G1538">
            <v>8.7962962962963021E-3</v>
          </cell>
        </row>
        <row r="1539">
          <cell r="G1539">
            <v>7.2106481481482021E-3</v>
          </cell>
        </row>
        <row r="1540">
          <cell r="G1540">
            <v>8.3333333333335258E-4</v>
          </cell>
        </row>
        <row r="1541">
          <cell r="G1541">
            <v>7.6851851851851283E-3</v>
          </cell>
        </row>
        <row r="1542">
          <cell r="G1542">
            <v>6.1111111111111782E-3</v>
          </cell>
        </row>
        <row r="1543">
          <cell r="G1543">
            <v>9.490740740740744E-4</v>
          </cell>
        </row>
        <row r="1544">
          <cell r="G1544">
            <v>3.2870370370370328E-3</v>
          </cell>
        </row>
        <row r="1545">
          <cell r="G1545">
            <v>1.1192129629629566E-2</v>
          </cell>
        </row>
        <row r="1546">
          <cell r="G1546">
            <v>3.5879629629631538E-4</v>
          </cell>
        </row>
        <row r="1547">
          <cell r="G1547">
            <v>9.3750000000000222E-3</v>
          </cell>
        </row>
        <row r="1548">
          <cell r="G1548">
            <v>2.3599537037037044E-2</v>
          </cell>
        </row>
        <row r="1549">
          <cell r="G1549">
            <v>1.4664351851851887E-2</v>
          </cell>
        </row>
        <row r="1550">
          <cell r="G1550">
            <v>1.135416666666661E-2</v>
          </cell>
        </row>
        <row r="1551">
          <cell r="G1551">
            <v>1.1435185185185215E-2</v>
          </cell>
        </row>
        <row r="1552">
          <cell r="G1552">
            <v>3.0439814814814947E-3</v>
          </cell>
        </row>
        <row r="1553">
          <cell r="G1553">
            <v>8.8657407407407574E-3</v>
          </cell>
        </row>
        <row r="1554">
          <cell r="G1554">
            <v>9.0740740740740677E-3</v>
          </cell>
        </row>
        <row r="1555">
          <cell r="G1555">
            <v>4.9768518518517046E-4</v>
          </cell>
        </row>
        <row r="1556">
          <cell r="G1556">
            <v>5.4282407407407196E-3</v>
          </cell>
        </row>
        <row r="1557">
          <cell r="G1557">
            <v>5.6712962962957025E-4</v>
          </cell>
        </row>
        <row r="1558">
          <cell r="G1558">
            <v>1.0011574074074048E-2</v>
          </cell>
        </row>
        <row r="1559">
          <cell r="G1559">
            <v>9.3865740740740611E-3</v>
          </cell>
        </row>
        <row r="1560">
          <cell r="G1560">
            <v>6.0879629629629339E-3</v>
          </cell>
        </row>
        <row r="1561">
          <cell r="G1561">
            <v>1.3726851851851851E-2</v>
          </cell>
        </row>
        <row r="1562">
          <cell r="G1562">
            <v>2.2569444444444087E-3</v>
          </cell>
        </row>
        <row r="1563">
          <cell r="G1563">
            <v>1.9560185185185652E-3</v>
          </cell>
        </row>
        <row r="1564">
          <cell r="G1564">
            <v>7.1643518518518801E-3</v>
          </cell>
        </row>
        <row r="1565">
          <cell r="G1565">
            <v>1.4988425925925919E-2</v>
          </cell>
        </row>
        <row r="1566">
          <cell r="G1566">
            <v>5.7870370370372015E-4</v>
          </cell>
        </row>
        <row r="1567">
          <cell r="G1567">
            <v>1.6550925925926108E-3</v>
          </cell>
        </row>
        <row r="1568">
          <cell r="G1568">
            <v>5.7870370370372015E-4</v>
          </cell>
        </row>
        <row r="1569">
          <cell r="G1569">
            <v>3.9351851851854303E-4</v>
          </cell>
        </row>
        <row r="1570">
          <cell r="G1570">
            <v>9.837962962962965E-3</v>
          </cell>
        </row>
        <row r="1571">
          <cell r="G1571">
            <v>7.5462962962962732E-3</v>
          </cell>
        </row>
        <row r="1572">
          <cell r="G1572">
            <v>2.8935185185174905E-4</v>
          </cell>
        </row>
        <row r="1573">
          <cell r="G1573">
            <v>7.3842592592592848E-3</v>
          </cell>
        </row>
        <row r="1574">
          <cell r="G1574">
            <v>8.6689814814815414E-3</v>
          </cell>
        </row>
        <row r="1575">
          <cell r="G1575">
            <v>8.9351851851852127E-3</v>
          </cell>
        </row>
        <row r="1576">
          <cell r="G1576">
            <v>1.7592592592592382E-3</v>
          </cell>
        </row>
        <row r="1577">
          <cell r="G1577">
            <v>1.0532407407407574E-3</v>
          </cell>
        </row>
        <row r="1578">
          <cell r="G1578">
            <v>5.3935185185185475E-3</v>
          </cell>
        </row>
        <row r="1579">
          <cell r="G1579">
            <v>2.962962962962945E-3</v>
          </cell>
        </row>
        <row r="1580">
          <cell r="G1580">
            <v>1.5972222222222499E-3</v>
          </cell>
        </row>
        <row r="1581">
          <cell r="G1581">
            <v>9.9537037037037424E-3</v>
          </cell>
        </row>
        <row r="1582">
          <cell r="G1582">
            <v>1.4351851851851505E-3</v>
          </cell>
        </row>
        <row r="1583">
          <cell r="G1583">
            <v>6.5972222222221433E-4</v>
          </cell>
        </row>
        <row r="1584">
          <cell r="G1584">
            <v>1.2986111111111032E-2</v>
          </cell>
        </row>
        <row r="1585">
          <cell r="G1585">
            <v>3.0555555555555891E-3</v>
          </cell>
        </row>
        <row r="1586">
          <cell r="G1586">
            <v>1.736111111111116E-2</v>
          </cell>
        </row>
        <row r="1587">
          <cell r="G1587">
            <v>7.9166666666665719E-3</v>
          </cell>
        </row>
        <row r="1588">
          <cell r="G1588">
            <v>5.439814814814925E-4</v>
          </cell>
        </row>
        <row r="1589">
          <cell r="G1589">
            <v>1.5092592592592546E-2</v>
          </cell>
        </row>
        <row r="1590">
          <cell r="G1590">
            <v>1.5092592592592546E-2</v>
          </cell>
        </row>
        <row r="1591">
          <cell r="G1591">
            <v>5.8680555555554736E-3</v>
          </cell>
        </row>
        <row r="1592">
          <cell r="G1592">
            <v>1.0636574074074034E-2</v>
          </cell>
        </row>
        <row r="1593">
          <cell r="G1593">
            <v>1.1099537037036922E-2</v>
          </cell>
        </row>
        <row r="1594">
          <cell r="G1594">
            <v>1.5138888888888924E-2</v>
          </cell>
        </row>
        <row r="1595">
          <cell r="G1595">
            <v>5.9027777777775903E-4</v>
          </cell>
        </row>
        <row r="1596">
          <cell r="G1596">
            <v>2.1516203703703662E-2</v>
          </cell>
        </row>
        <row r="1597">
          <cell r="G1597">
            <v>5.7870370370372015E-4</v>
          </cell>
        </row>
        <row r="1598">
          <cell r="G1598">
            <v>1.8842592592592688E-2</v>
          </cell>
        </row>
        <row r="1599">
          <cell r="G1599">
            <v>1.749999999999996E-2</v>
          </cell>
        </row>
        <row r="1600">
          <cell r="G1600">
            <v>1.665509259259268E-2</v>
          </cell>
        </row>
        <row r="1601">
          <cell r="G1601">
            <v>1.7824074074074159E-2</v>
          </cell>
        </row>
        <row r="1602">
          <cell r="G1602">
            <v>5.7407407407407129E-3</v>
          </cell>
        </row>
        <row r="1603">
          <cell r="G1603">
            <v>1.1921296296296346E-2</v>
          </cell>
        </row>
        <row r="1604">
          <cell r="G1604">
            <v>2.7870370370370323E-2</v>
          </cell>
        </row>
        <row r="1605">
          <cell r="G1605">
            <v>1.8900462962962938E-2</v>
          </cell>
        </row>
        <row r="1606">
          <cell r="G1606">
            <v>1.3576388888888791E-2</v>
          </cell>
        </row>
        <row r="1607">
          <cell r="G1607">
            <v>1.0590277777777768E-2</v>
          </cell>
        </row>
        <row r="1608">
          <cell r="G1608">
            <v>5.3703703703703587E-3</v>
          </cell>
        </row>
        <row r="1609">
          <cell r="G1609">
            <v>3.5763888888888928E-3</v>
          </cell>
        </row>
        <row r="1610">
          <cell r="G1610">
            <v>8.4953703703703476E-3</v>
          </cell>
        </row>
        <row r="1611">
          <cell r="G1611">
            <v>7.9745370370370439E-3</v>
          </cell>
        </row>
        <row r="1612">
          <cell r="G1612">
            <v>1.4120370370370172E-3</v>
          </cell>
        </row>
        <row r="1613">
          <cell r="G1613">
            <v>8.8657407407407018E-3</v>
          </cell>
        </row>
        <row r="1614">
          <cell r="G1614">
            <v>9.5717592592592382E-3</v>
          </cell>
        </row>
        <row r="1615">
          <cell r="G1615">
            <v>5.3240740740740922E-3</v>
          </cell>
        </row>
        <row r="1616">
          <cell r="G1616">
            <v>5.7870370370366464E-4</v>
          </cell>
        </row>
        <row r="1617">
          <cell r="G1617">
            <v>4.8611111111113159E-4</v>
          </cell>
        </row>
        <row r="1618">
          <cell r="G1618">
            <v>8.6921296296296191E-3</v>
          </cell>
        </row>
        <row r="1619">
          <cell r="G1619">
            <v>1.4270833333333288E-2</v>
          </cell>
        </row>
        <row r="1620">
          <cell r="G1620">
            <v>5.2083333333335924E-4</v>
          </cell>
        </row>
        <row r="1621">
          <cell r="G1621">
            <v>5.6712962962962576E-4</v>
          </cell>
        </row>
        <row r="1622">
          <cell r="G1622">
            <v>1.5277777777777779E-2</v>
          </cell>
        </row>
        <row r="1623">
          <cell r="G1623">
            <v>5.4398148148160352E-4</v>
          </cell>
        </row>
        <row r="1624">
          <cell r="G1624">
            <v>3.2986111111110716E-3</v>
          </cell>
        </row>
        <row r="1625">
          <cell r="G1625">
            <v>5.324074074073426E-4</v>
          </cell>
        </row>
        <row r="1626">
          <cell r="G1626">
            <v>7.7199074074073559E-3</v>
          </cell>
        </row>
        <row r="1627">
          <cell r="G1627">
            <v>1.8356481481481501E-2</v>
          </cell>
        </row>
        <row r="1628">
          <cell r="G1628">
            <v>7.1527777777777857E-3</v>
          </cell>
        </row>
        <row r="1629">
          <cell r="G1629">
            <v>1.6030092592592582E-2</v>
          </cell>
        </row>
        <row r="1630">
          <cell r="G1630">
            <v>1.2499999999999734E-3</v>
          </cell>
        </row>
        <row r="1631">
          <cell r="G1631">
            <v>8.7962962962964131E-3</v>
          </cell>
        </row>
        <row r="1632">
          <cell r="G1632">
            <v>1.026620370370368E-2</v>
          </cell>
        </row>
        <row r="1633">
          <cell r="G1633">
            <v>1.344907407407403E-2</v>
          </cell>
        </row>
        <row r="1634">
          <cell r="G1634">
            <v>1.201388888888888E-2</v>
          </cell>
        </row>
        <row r="1635">
          <cell r="G1635">
            <v>6.8518518518518312E-3</v>
          </cell>
        </row>
        <row r="1636">
          <cell r="G1636">
            <v>5.5555555555558689E-4</v>
          </cell>
        </row>
        <row r="1637">
          <cell r="G1637">
            <v>2.1145833333333308E-2</v>
          </cell>
        </row>
        <row r="1638">
          <cell r="G1638">
            <v>1.8842592592592577E-2</v>
          </cell>
        </row>
        <row r="1639">
          <cell r="G1639">
            <v>7.222222222222241E-3</v>
          </cell>
        </row>
        <row r="1640">
          <cell r="G1640">
            <v>9.4675925925925553E-3</v>
          </cell>
        </row>
        <row r="1641">
          <cell r="G1641">
            <v>2.2557870370370381E-2</v>
          </cell>
        </row>
        <row r="1642">
          <cell r="G1642">
            <v>7.1875000000000688E-3</v>
          </cell>
        </row>
        <row r="1643">
          <cell r="G1643">
            <v>5.8912037037037734E-3</v>
          </cell>
        </row>
        <row r="1644">
          <cell r="G1644">
            <v>7.6736111111110894E-3</v>
          </cell>
        </row>
        <row r="1645">
          <cell r="G1645">
            <v>1.4930555555555614E-2</v>
          </cell>
        </row>
        <row r="1646">
          <cell r="G1646">
            <v>8.3912037037037202E-3</v>
          </cell>
        </row>
        <row r="1647">
          <cell r="G1647">
            <v>1.445601851851841E-2</v>
          </cell>
        </row>
        <row r="1648">
          <cell r="G1648">
            <v>7.569444444444462E-3</v>
          </cell>
        </row>
        <row r="1649">
          <cell r="G1649">
            <v>4.8611111111102057E-4</v>
          </cell>
        </row>
        <row r="1650">
          <cell r="G1650">
            <v>5.9490740740740233E-3</v>
          </cell>
        </row>
        <row r="1651">
          <cell r="G1651">
            <v>5.1157407407407263E-3</v>
          </cell>
        </row>
        <row r="1652">
          <cell r="G1652">
            <v>5.0925925925926485E-4</v>
          </cell>
        </row>
        <row r="1653">
          <cell r="G1653">
            <v>9.7222222222222432E-3</v>
          </cell>
        </row>
        <row r="1654">
          <cell r="G1654">
            <v>6.9444444444438647E-4</v>
          </cell>
        </row>
        <row r="1655">
          <cell r="G1655">
            <v>6.5393518518518934E-3</v>
          </cell>
        </row>
        <row r="1656">
          <cell r="G1656">
            <v>8.2175925925925264E-3</v>
          </cell>
        </row>
        <row r="1657">
          <cell r="G1657">
            <v>4.8263888888888662E-3</v>
          </cell>
        </row>
        <row r="1658">
          <cell r="G1658">
            <v>5.7754629629629961E-3</v>
          </cell>
        </row>
        <row r="1659">
          <cell r="G1659">
            <v>5.2546296296296369E-3</v>
          </cell>
        </row>
        <row r="1660">
          <cell r="G1660">
            <v>8.5995370370370861E-3</v>
          </cell>
        </row>
        <row r="1661">
          <cell r="G1661">
            <v>4.9537037037037379E-3</v>
          </cell>
        </row>
        <row r="1662">
          <cell r="G1662">
            <v>1.6111111111111076E-2</v>
          </cell>
        </row>
        <row r="1663">
          <cell r="G1663">
            <v>4.7453703703714822E-4</v>
          </cell>
        </row>
        <row r="1664">
          <cell r="G1664">
            <v>6.8287037037029208E-4</v>
          </cell>
        </row>
        <row r="1665">
          <cell r="G1665">
            <v>1.7465277777777732E-2</v>
          </cell>
        </row>
        <row r="1666">
          <cell r="G1666">
            <v>1.5879629629629632E-2</v>
          </cell>
        </row>
        <row r="1667">
          <cell r="G1667">
            <v>1.4398148148148104E-2</v>
          </cell>
        </row>
        <row r="1668">
          <cell r="G1668">
            <v>7.1759259259263075E-4</v>
          </cell>
        </row>
        <row r="1669">
          <cell r="G1669">
            <v>1.3842592592592573E-2</v>
          </cell>
        </row>
        <row r="1670">
          <cell r="G1670">
            <v>8.8194444444444908E-3</v>
          </cell>
        </row>
        <row r="1671">
          <cell r="G1671">
            <v>3.0208333333333615E-3</v>
          </cell>
        </row>
        <row r="1672">
          <cell r="G1672">
            <v>1.2083333333333335E-2</v>
          </cell>
        </row>
        <row r="1673">
          <cell r="G1673">
            <v>1.2048611111111107E-2</v>
          </cell>
        </row>
        <row r="1674">
          <cell r="G1674">
            <v>1.9062499999999982E-2</v>
          </cell>
        </row>
        <row r="1675">
          <cell r="G1675">
            <v>1.1122685185185222E-2</v>
          </cell>
        </row>
        <row r="1676">
          <cell r="G1676">
            <v>1.0196759259259336E-2</v>
          </cell>
        </row>
        <row r="1677">
          <cell r="G1677">
            <v>5.0925925925926485E-4</v>
          </cell>
        </row>
        <row r="1678">
          <cell r="G1678">
            <v>4.3865740740739456E-3</v>
          </cell>
        </row>
      </sheetData>
      <sheetData sheetId="4">
        <row r="3">
          <cell r="G3">
            <v>1.3645833333333302E-2</v>
          </cell>
        </row>
        <row r="4">
          <cell r="G4">
            <v>4.9652777777777768E-3</v>
          </cell>
        </row>
        <row r="5">
          <cell r="G5">
            <v>3.0439814814814947E-3</v>
          </cell>
        </row>
        <row r="6">
          <cell r="G6">
            <v>1.9907407407407429E-2</v>
          </cell>
        </row>
        <row r="7">
          <cell r="G7">
            <v>5.1504629629628984E-3</v>
          </cell>
        </row>
        <row r="8">
          <cell r="G8">
            <v>1.636574074074082E-2</v>
          </cell>
        </row>
        <row r="9">
          <cell r="G9">
            <v>1.4976851851851825E-2</v>
          </cell>
        </row>
        <row r="10">
          <cell r="G10">
            <v>8.6226851851851638E-3</v>
          </cell>
        </row>
        <row r="11">
          <cell r="G11">
            <v>9.6412037037036935E-3</v>
          </cell>
        </row>
        <row r="12">
          <cell r="G12">
            <v>7.5462962962962732E-3</v>
          </cell>
        </row>
        <row r="13">
          <cell r="G13">
            <v>8.2986111111111316E-3</v>
          </cell>
        </row>
        <row r="14">
          <cell r="G14">
            <v>2.3969907407407398E-2</v>
          </cell>
        </row>
        <row r="15">
          <cell r="G15">
            <v>2.1296296296296313E-2</v>
          </cell>
        </row>
        <row r="16">
          <cell r="G16">
            <v>1.6342592592592631E-2</v>
          </cell>
        </row>
        <row r="17">
          <cell r="G17">
            <v>9.7569444444444708E-3</v>
          </cell>
        </row>
        <row r="18">
          <cell r="G18">
            <v>2.4421296296295858E-3</v>
          </cell>
        </row>
        <row r="19">
          <cell r="G19">
            <v>1.851851851851849E-2</v>
          </cell>
        </row>
        <row r="20">
          <cell r="G20">
            <v>1.5462962962962956E-2</v>
          </cell>
        </row>
        <row r="21">
          <cell r="G21">
            <v>1.7708333333333326E-2</v>
          </cell>
        </row>
        <row r="22">
          <cell r="G22">
            <v>1.1331018518518587E-2</v>
          </cell>
        </row>
        <row r="23">
          <cell r="G23">
            <v>1.5208333333333268E-2</v>
          </cell>
        </row>
        <row r="24">
          <cell r="G24">
            <v>1.4826388888888875E-2</v>
          </cell>
        </row>
        <row r="25">
          <cell r="G25">
            <v>1.087962962962985E-3</v>
          </cell>
        </row>
        <row r="26">
          <cell r="G26">
            <v>8.5763888888890083E-3</v>
          </cell>
        </row>
        <row r="27">
          <cell r="G27">
            <v>1.6319444444444775E-3</v>
          </cell>
        </row>
        <row r="28">
          <cell r="G28">
            <v>1.087962962962985E-3</v>
          </cell>
        </row>
        <row r="29">
          <cell r="G29">
            <v>1.1874999999999969E-2</v>
          </cell>
        </row>
        <row r="30">
          <cell r="G30">
            <v>7.6967592592592782E-3</v>
          </cell>
        </row>
        <row r="31">
          <cell r="G31">
            <v>1.2152777777778567E-3</v>
          </cell>
        </row>
        <row r="32">
          <cell r="G32">
            <v>1.0613425925925846E-2</v>
          </cell>
        </row>
        <row r="33">
          <cell r="G33">
            <v>1.7916666666666636E-2</v>
          </cell>
        </row>
        <row r="34">
          <cell r="G34">
            <v>1.4699074074073781E-3</v>
          </cell>
        </row>
        <row r="35">
          <cell r="G35">
            <v>7.2916666666666408E-3</v>
          </cell>
        </row>
        <row r="36">
          <cell r="G36">
            <v>4.0740740740741188E-3</v>
          </cell>
        </row>
        <row r="37">
          <cell r="G37">
            <v>6.3425925925925108E-3</v>
          </cell>
        </row>
        <row r="38">
          <cell r="G38">
            <v>2.2581018518518459E-2</v>
          </cell>
        </row>
        <row r="39">
          <cell r="G39">
            <v>8.055555555555538E-3</v>
          </cell>
        </row>
        <row r="40">
          <cell r="G40">
            <v>8.5763888888888418E-3</v>
          </cell>
        </row>
        <row r="41">
          <cell r="G41">
            <v>9.5370370370370661E-3</v>
          </cell>
        </row>
        <row r="42">
          <cell r="G42">
            <v>5.0578703703703654E-3</v>
          </cell>
        </row>
        <row r="43">
          <cell r="G43">
            <v>5.9722222222222121E-3</v>
          </cell>
        </row>
        <row r="44">
          <cell r="G44">
            <v>4.7337962962962776E-3</v>
          </cell>
        </row>
        <row r="45">
          <cell r="G45">
            <v>8.0208333333333659E-3</v>
          </cell>
        </row>
        <row r="46">
          <cell r="G46">
            <v>1.5000000000000069E-2</v>
          </cell>
        </row>
        <row r="47">
          <cell r="G47">
            <v>1.1226851851852127E-3</v>
          </cell>
        </row>
        <row r="48">
          <cell r="G48">
            <v>1.1273148148148171E-2</v>
          </cell>
        </row>
        <row r="49">
          <cell r="G49">
            <v>1.0763888888889461E-3</v>
          </cell>
        </row>
        <row r="50">
          <cell r="G50">
            <v>1.1168981481481488E-2</v>
          </cell>
        </row>
        <row r="51">
          <cell r="G51">
            <v>6.0185185185185341E-3</v>
          </cell>
        </row>
        <row r="52">
          <cell r="G52">
            <v>5.63657407407403E-3</v>
          </cell>
        </row>
        <row r="53">
          <cell r="G53">
            <v>2.6967592592592737E-3</v>
          </cell>
        </row>
        <row r="54">
          <cell r="G54">
            <v>1.2152777777778567E-3</v>
          </cell>
        </row>
        <row r="55">
          <cell r="G55">
            <v>1.0416666666667185E-3</v>
          </cell>
        </row>
        <row r="56">
          <cell r="G56">
            <v>3.1365740740740833E-3</v>
          </cell>
        </row>
        <row r="57">
          <cell r="G57">
            <v>1.0416666666666075E-3</v>
          </cell>
        </row>
        <row r="58">
          <cell r="G58">
            <v>5.4513888888888529E-3</v>
          </cell>
        </row>
        <row r="59">
          <cell r="G59">
            <v>4.3634259259258679E-3</v>
          </cell>
        </row>
        <row r="60">
          <cell r="G60">
            <v>1.0648148148147962E-3</v>
          </cell>
        </row>
        <row r="61">
          <cell r="G61">
            <v>1.3923611111111178E-2</v>
          </cell>
        </row>
        <row r="62">
          <cell r="G62">
            <v>1.2361111111111045E-2</v>
          </cell>
        </row>
      </sheetData>
      <sheetData sheetId="5">
        <row r="3">
          <cell r="G3">
            <v>1.1192129629629566E-2</v>
          </cell>
        </row>
        <row r="4">
          <cell r="G4">
            <v>9.7800925925927151E-3</v>
          </cell>
        </row>
        <row r="5">
          <cell r="G5">
            <v>6.8518518518518867E-3</v>
          </cell>
        </row>
        <row r="6">
          <cell r="G6">
            <v>2.8819444444444509E-3</v>
          </cell>
        </row>
        <row r="7">
          <cell r="G7">
            <v>1.6597222222222152E-2</v>
          </cell>
        </row>
        <row r="8">
          <cell r="G8">
            <v>9.6064814814814103E-3</v>
          </cell>
        </row>
        <row r="9">
          <cell r="G9">
            <v>1.9340277777777803E-2</v>
          </cell>
        </row>
        <row r="10">
          <cell r="G10">
            <v>2.3715277777777821E-2</v>
          </cell>
        </row>
        <row r="11">
          <cell r="G11">
            <v>2.1643518518518201E-3</v>
          </cell>
        </row>
        <row r="12">
          <cell r="G12">
            <v>1.4004629629629672E-2</v>
          </cell>
        </row>
        <row r="13">
          <cell r="G13">
            <v>1.3611111111111129E-2</v>
          </cell>
        </row>
        <row r="14">
          <cell r="G14">
            <v>1.9988425925925979E-2</v>
          </cell>
        </row>
        <row r="15">
          <cell r="G15">
            <v>1.9247685185185048E-2</v>
          </cell>
        </row>
        <row r="16">
          <cell r="G16">
            <v>1.5972222222221388E-3</v>
          </cell>
        </row>
        <row r="17">
          <cell r="G17">
            <v>2.1527777777777812E-3</v>
          </cell>
        </row>
        <row r="18">
          <cell r="G18">
            <v>2.0428240740740788E-2</v>
          </cell>
        </row>
        <row r="19">
          <cell r="G19">
            <v>5.1504629629629539E-3</v>
          </cell>
        </row>
        <row r="20">
          <cell r="G20">
            <v>5.7407407407407685E-3</v>
          </cell>
        </row>
        <row r="21">
          <cell r="G21">
            <v>1.6435185185185164E-2</v>
          </cell>
        </row>
        <row r="22">
          <cell r="G22">
            <v>1.5486111111111089E-2</v>
          </cell>
        </row>
        <row r="23">
          <cell r="G23">
            <v>1.6666666666666496E-3</v>
          </cell>
        </row>
        <row r="24">
          <cell r="G24">
            <v>1.7708333333333326E-3</v>
          </cell>
        </row>
        <row r="25">
          <cell r="G25">
            <v>9.9537037037036868E-3</v>
          </cell>
        </row>
        <row r="26">
          <cell r="G26">
            <v>1.207175925925924E-2</v>
          </cell>
        </row>
        <row r="27">
          <cell r="G27">
            <v>1.5972222222222499E-3</v>
          </cell>
        </row>
        <row r="28">
          <cell r="G28">
            <v>5.3240740740740367E-3</v>
          </cell>
        </row>
        <row r="29">
          <cell r="G29">
            <v>1.8518518518517713E-3</v>
          </cell>
        </row>
        <row r="30">
          <cell r="G30">
            <v>3.3564814814814881E-3</v>
          </cell>
        </row>
        <row r="31">
          <cell r="G31">
            <v>1.1747685185185097E-2</v>
          </cell>
        </row>
        <row r="32">
          <cell r="G32">
            <v>6.2731481481481666E-3</v>
          </cell>
        </row>
        <row r="33">
          <cell r="G33">
            <v>2.3148148148147696E-3</v>
          </cell>
        </row>
        <row r="34">
          <cell r="G34">
            <v>6.3194444444445441E-3</v>
          </cell>
        </row>
        <row r="35">
          <cell r="G35">
            <v>1.9131944444444438E-2</v>
          </cell>
        </row>
        <row r="36">
          <cell r="G36">
            <v>1.6701388888888946E-2</v>
          </cell>
        </row>
        <row r="37">
          <cell r="G37">
            <v>4.35185185185194E-3</v>
          </cell>
        </row>
        <row r="38">
          <cell r="G38">
            <v>3.2523148148149161E-3</v>
          </cell>
        </row>
        <row r="39">
          <cell r="G39">
            <v>4.0162037037037024E-3</v>
          </cell>
        </row>
        <row r="40">
          <cell r="G40">
            <v>1.7893518518518503E-2</v>
          </cell>
        </row>
        <row r="41">
          <cell r="G41">
            <v>1.5046296296297168E-3</v>
          </cell>
        </row>
        <row r="42">
          <cell r="G42">
            <v>2.3379629629629584E-3</v>
          </cell>
        </row>
        <row r="43">
          <cell r="G43">
            <v>1.4687499999999964E-2</v>
          </cell>
        </row>
        <row r="44">
          <cell r="G44">
            <v>1.0729166666666679E-2</v>
          </cell>
        </row>
        <row r="45">
          <cell r="G45">
            <v>2.2106481481481977E-3</v>
          </cell>
        </row>
        <row r="46">
          <cell r="G46">
            <v>1.1597222222222259E-2</v>
          </cell>
        </row>
        <row r="47">
          <cell r="G47">
            <v>1.3657407407407396E-2</v>
          </cell>
        </row>
        <row r="48">
          <cell r="G48">
            <v>1.0833333333333361E-2</v>
          </cell>
        </row>
        <row r="49">
          <cell r="G49">
            <v>1.3854166666666612E-2</v>
          </cell>
        </row>
        <row r="50">
          <cell r="G50">
            <v>1.2824074074073932E-2</v>
          </cell>
        </row>
        <row r="51">
          <cell r="G51">
            <v>1.7407407407407538E-2</v>
          </cell>
        </row>
        <row r="52">
          <cell r="G52">
            <v>1.2870370370370421E-2</v>
          </cell>
        </row>
        <row r="53">
          <cell r="G53">
            <v>2.3148148148148251E-2</v>
          </cell>
        </row>
        <row r="54">
          <cell r="G54">
            <v>2.5335648148148149E-2</v>
          </cell>
        </row>
        <row r="55">
          <cell r="G55">
            <v>2.3460648148148189E-2</v>
          </cell>
        </row>
        <row r="56">
          <cell r="G56">
            <v>7.0023148148147252E-3</v>
          </cell>
        </row>
        <row r="57">
          <cell r="G57">
            <v>2.0543981481481399E-2</v>
          </cell>
        </row>
        <row r="58">
          <cell r="G58">
            <v>1.1319444444444438E-2</v>
          </cell>
        </row>
        <row r="59">
          <cell r="G59">
            <v>1.3101851851851809E-2</v>
          </cell>
        </row>
        <row r="60">
          <cell r="G60">
            <v>9.3634259259258723E-3</v>
          </cell>
        </row>
        <row r="61">
          <cell r="G61">
            <v>1.435185185185206E-3</v>
          </cell>
        </row>
        <row r="62">
          <cell r="G62">
            <v>2.326388888888864E-3</v>
          </cell>
        </row>
        <row r="63">
          <cell r="G63">
            <v>3.0208333333333059E-3</v>
          </cell>
        </row>
        <row r="64">
          <cell r="G64">
            <v>1.266203703703711E-2</v>
          </cell>
        </row>
        <row r="65">
          <cell r="G65">
            <v>5.8796296296296235E-3</v>
          </cell>
        </row>
        <row r="66">
          <cell r="G66">
            <v>1.5393518518518334E-3</v>
          </cell>
        </row>
        <row r="67">
          <cell r="G67">
            <v>1.2962962962962898E-2</v>
          </cell>
        </row>
        <row r="68">
          <cell r="G68">
            <v>1.2499999999999734E-3</v>
          </cell>
        </row>
        <row r="69">
          <cell r="G69">
            <v>8.9120370370370239E-3</v>
          </cell>
        </row>
        <row r="70">
          <cell r="G70">
            <v>7.9745370370369884E-3</v>
          </cell>
        </row>
        <row r="71">
          <cell r="G71">
            <v>2.1643518518518479E-2</v>
          </cell>
        </row>
        <row r="72">
          <cell r="G72">
            <v>1.5902777777777877E-2</v>
          </cell>
        </row>
        <row r="73">
          <cell r="G73">
            <v>4.7453703703704275E-3</v>
          </cell>
        </row>
        <row r="74">
          <cell r="G74">
            <v>3.4027777777777546E-3</v>
          </cell>
        </row>
        <row r="75">
          <cell r="G75">
            <v>2.3958333333333748E-3</v>
          </cell>
        </row>
        <row r="76">
          <cell r="G76">
            <v>6.3888888888887774E-3</v>
          </cell>
        </row>
        <row r="77">
          <cell r="G77">
            <v>2.1168981481481386E-2</v>
          </cell>
        </row>
        <row r="78">
          <cell r="G78">
            <v>7.7083333333333171E-3</v>
          </cell>
        </row>
        <row r="79">
          <cell r="G79">
            <v>1.5162037037037557E-3</v>
          </cell>
        </row>
        <row r="80">
          <cell r="G80">
            <v>1.0740740740740717E-2</v>
          </cell>
        </row>
        <row r="81">
          <cell r="G81">
            <v>1.1643518518518525E-2</v>
          </cell>
        </row>
        <row r="82">
          <cell r="G82">
            <v>1.3194444444445397E-3</v>
          </cell>
        </row>
        <row r="83">
          <cell r="G83">
            <v>8.3217592592592649E-3</v>
          </cell>
        </row>
        <row r="84">
          <cell r="G84">
            <v>1.0231481481481453E-2</v>
          </cell>
        </row>
        <row r="85">
          <cell r="G85">
            <v>1.4583333333333393E-3</v>
          </cell>
        </row>
        <row r="86">
          <cell r="G86">
            <v>3.0208333333333615E-3</v>
          </cell>
        </row>
        <row r="87">
          <cell r="G87">
            <v>2.0185185185185195E-2</v>
          </cell>
        </row>
        <row r="88">
          <cell r="G88">
            <v>1.8194444444444513E-2</v>
          </cell>
        </row>
        <row r="89">
          <cell r="G89">
            <v>9.4675925925924442E-3</v>
          </cell>
        </row>
        <row r="90">
          <cell r="G90">
            <v>2.0057870370370323E-2</v>
          </cell>
        </row>
        <row r="91">
          <cell r="G91">
            <v>3.1134259259260055E-3</v>
          </cell>
        </row>
        <row r="92">
          <cell r="G92">
            <v>3.3495370370370314E-2</v>
          </cell>
        </row>
        <row r="93">
          <cell r="G93">
            <v>1.8206018518518441E-2</v>
          </cell>
        </row>
        <row r="94">
          <cell r="G94">
            <v>8.2754629629629428E-3</v>
          </cell>
        </row>
        <row r="95">
          <cell r="G95">
            <v>4.9305555555556047E-3</v>
          </cell>
        </row>
        <row r="96">
          <cell r="G96">
            <v>3.9930555555555691E-3</v>
          </cell>
        </row>
        <row r="97">
          <cell r="G97">
            <v>2.9745370370370949E-3</v>
          </cell>
        </row>
        <row r="98">
          <cell r="G98">
            <v>3.3217592592593159E-3</v>
          </cell>
        </row>
        <row r="99">
          <cell r="G99">
            <v>1.7060185185185206E-2</v>
          </cell>
        </row>
        <row r="100">
          <cell r="G100">
            <v>1.8599537037037039E-2</v>
          </cell>
        </row>
        <row r="101">
          <cell r="G101">
            <v>1.7129629629629717E-3</v>
          </cell>
        </row>
        <row r="102">
          <cell r="G102">
            <v>6.180555555555578E-3</v>
          </cell>
        </row>
        <row r="103">
          <cell r="G103">
            <v>4.1319444444444797E-3</v>
          </cell>
        </row>
        <row r="104">
          <cell r="G104">
            <v>6.7013888888888817E-3</v>
          </cell>
        </row>
        <row r="105">
          <cell r="G105">
            <v>5.4861111111110805E-3</v>
          </cell>
        </row>
        <row r="106">
          <cell r="G106">
            <v>8.3912037037036646E-3</v>
          </cell>
        </row>
        <row r="107">
          <cell r="G107">
            <v>1.0138888888888919E-2</v>
          </cell>
        </row>
        <row r="108">
          <cell r="G108">
            <v>1.4467592592592449E-3</v>
          </cell>
        </row>
        <row r="109">
          <cell r="G109">
            <v>1.4201388888888944E-2</v>
          </cell>
        </row>
        <row r="110">
          <cell r="G110">
            <v>2.6967592592592737E-3</v>
          </cell>
        </row>
        <row r="111">
          <cell r="G111">
            <v>2.3495370370369972E-3</v>
          </cell>
        </row>
        <row r="112">
          <cell r="G112">
            <v>1.5162037037037002E-3</v>
          </cell>
        </row>
        <row r="113">
          <cell r="G113">
            <v>1.1678240740740753E-2</v>
          </cell>
        </row>
        <row r="114">
          <cell r="G114">
            <v>5.7175925925926352E-3</v>
          </cell>
        </row>
        <row r="115">
          <cell r="G115">
            <v>1.2499999999999734E-3</v>
          </cell>
        </row>
        <row r="116">
          <cell r="G116">
            <v>2.1527777777778367E-3</v>
          </cell>
        </row>
        <row r="117">
          <cell r="G117">
            <v>8.3912037037037202E-3</v>
          </cell>
        </row>
        <row r="118">
          <cell r="G118">
            <v>2.1990740740740478E-3</v>
          </cell>
        </row>
        <row r="119">
          <cell r="G119">
            <v>1.7013888888888218E-3</v>
          </cell>
        </row>
        <row r="120">
          <cell r="G120">
            <v>2.1180555555555536E-3</v>
          </cell>
        </row>
        <row r="121">
          <cell r="G121">
            <v>1.2326388888888817E-2</v>
          </cell>
        </row>
        <row r="122">
          <cell r="G122">
            <v>1.2002314814814841E-2</v>
          </cell>
        </row>
        <row r="123">
          <cell r="G123">
            <v>1.230324074074074E-2</v>
          </cell>
        </row>
        <row r="124">
          <cell r="G124">
            <v>1.0312499999999947E-2</v>
          </cell>
        </row>
        <row r="125">
          <cell r="G125">
            <v>3.4374999999999822E-3</v>
          </cell>
        </row>
        <row r="126">
          <cell r="G126">
            <v>9.4791666666665941E-3</v>
          </cell>
        </row>
        <row r="127">
          <cell r="G127">
            <v>1.083333333333325E-2</v>
          </cell>
        </row>
        <row r="128">
          <cell r="G128">
            <v>4.3171296296296013E-3</v>
          </cell>
        </row>
        <row r="129">
          <cell r="G129">
            <v>2.4305555555556024E-3</v>
          </cell>
        </row>
        <row r="130">
          <cell r="G130">
            <v>1.0821759259259323E-2</v>
          </cell>
        </row>
        <row r="131">
          <cell r="G131">
            <v>4.2592592592592959E-3</v>
          </cell>
        </row>
        <row r="132">
          <cell r="G132">
            <v>3.1365740740740833E-3</v>
          </cell>
        </row>
        <row r="133">
          <cell r="G133">
            <v>2.0138888888889817E-3</v>
          </cell>
        </row>
        <row r="134">
          <cell r="G134">
            <v>2.6851851851852349E-3</v>
          </cell>
        </row>
        <row r="135">
          <cell r="G135">
            <v>2.3148148148147696E-3</v>
          </cell>
        </row>
        <row r="136">
          <cell r="G136">
            <v>1.481481481481417E-3</v>
          </cell>
        </row>
        <row r="137">
          <cell r="G137">
            <v>1.7106481481481528E-2</v>
          </cell>
        </row>
        <row r="138">
          <cell r="G138">
            <v>1.6203703703703609E-2</v>
          </cell>
        </row>
        <row r="139">
          <cell r="G139">
            <v>1.5624999999999112E-3</v>
          </cell>
        </row>
        <row r="140">
          <cell r="G140">
            <v>1.4699074074074892E-3</v>
          </cell>
        </row>
        <row r="141">
          <cell r="G141">
            <v>1.9097222222221877E-3</v>
          </cell>
        </row>
        <row r="142">
          <cell r="G142">
            <v>1.4988425925925919E-2</v>
          </cell>
        </row>
        <row r="143">
          <cell r="G143">
            <v>1.4583333333333393E-3</v>
          </cell>
        </row>
        <row r="144">
          <cell r="G144">
            <v>2.5347222222222299E-3</v>
          </cell>
        </row>
        <row r="145">
          <cell r="G145">
            <v>1.8287037037037046E-2</v>
          </cell>
        </row>
        <row r="146">
          <cell r="G146">
            <v>9.8379629629630205E-3</v>
          </cell>
        </row>
        <row r="147">
          <cell r="G147">
            <v>1.9907407407406819E-3</v>
          </cell>
        </row>
        <row r="148">
          <cell r="G148">
            <v>9.2824074074073781E-3</v>
          </cell>
        </row>
        <row r="149">
          <cell r="G149">
            <v>1.5706018518518494E-2</v>
          </cell>
        </row>
        <row r="150">
          <cell r="G150">
            <v>1.1898148148148158E-2</v>
          </cell>
        </row>
        <row r="151">
          <cell r="G151">
            <v>2.7777777777777679E-3</v>
          </cell>
        </row>
        <row r="152">
          <cell r="G152">
            <v>1.4236111111111116E-3</v>
          </cell>
        </row>
        <row r="153">
          <cell r="G153">
            <v>7.7430555555555447E-3</v>
          </cell>
        </row>
        <row r="154">
          <cell r="G154">
            <v>1.4467592592593004E-3</v>
          </cell>
        </row>
        <row r="155">
          <cell r="G155">
            <v>2.1875000000000089E-3</v>
          </cell>
        </row>
        <row r="156">
          <cell r="G156">
            <v>1.3506944444444446E-2</v>
          </cell>
        </row>
        <row r="157">
          <cell r="G157">
            <v>8.5300925925926308E-3</v>
          </cell>
        </row>
        <row r="158">
          <cell r="G158">
            <v>3.1134259259258945E-3</v>
          </cell>
        </row>
        <row r="159">
          <cell r="G159">
            <v>8.2986111111110761E-3</v>
          </cell>
        </row>
        <row r="160">
          <cell r="G160">
            <v>2.4236111111111125E-2</v>
          </cell>
        </row>
        <row r="161">
          <cell r="G161">
            <v>1.4236111111111116E-3</v>
          </cell>
        </row>
        <row r="162">
          <cell r="G162">
            <v>1.1585648148148109E-2</v>
          </cell>
        </row>
        <row r="163">
          <cell r="G163">
            <v>9.3865740740740611E-3</v>
          </cell>
        </row>
        <row r="164">
          <cell r="G164">
            <v>2.3321759259259167E-2</v>
          </cell>
        </row>
        <row r="165">
          <cell r="G165">
            <v>1.388888888888884E-3</v>
          </cell>
        </row>
        <row r="166">
          <cell r="G166">
            <v>8.2638888888888484E-3</v>
          </cell>
        </row>
        <row r="167">
          <cell r="G167">
            <v>8.1249999999999378E-3</v>
          </cell>
        </row>
        <row r="168">
          <cell r="G168">
            <v>1.4814814814816391E-3</v>
          </cell>
        </row>
        <row r="169">
          <cell r="G169">
            <v>1.7662037037037059E-2</v>
          </cell>
        </row>
        <row r="170">
          <cell r="G170">
            <v>1.0243055555555602E-2</v>
          </cell>
        </row>
        <row r="171">
          <cell r="G171">
            <v>6.1921296296296724E-3</v>
          </cell>
        </row>
        <row r="172">
          <cell r="G172">
            <v>1.4583333333333393E-3</v>
          </cell>
        </row>
        <row r="173">
          <cell r="G173">
            <v>1.4467592592591894E-3</v>
          </cell>
        </row>
        <row r="174">
          <cell r="G174">
            <v>1.8981481481481488E-2</v>
          </cell>
        </row>
        <row r="175">
          <cell r="G175">
            <v>2.0763888888888804E-2</v>
          </cell>
        </row>
        <row r="176">
          <cell r="G176">
            <v>2.3599537037037099E-2</v>
          </cell>
        </row>
        <row r="177">
          <cell r="G177">
            <v>2.6006944444444513E-2</v>
          </cell>
        </row>
        <row r="178">
          <cell r="G178">
            <v>2.0150462962963078E-2</v>
          </cell>
        </row>
        <row r="179">
          <cell r="G179">
            <v>2.4594907407407329E-2</v>
          </cell>
        </row>
        <row r="180">
          <cell r="G180">
            <v>7.4537037037036846E-3</v>
          </cell>
        </row>
        <row r="181">
          <cell r="G181">
            <v>5.4745370370370416E-3</v>
          </cell>
        </row>
        <row r="182">
          <cell r="G182">
            <v>5.3587962962962643E-3</v>
          </cell>
        </row>
        <row r="183">
          <cell r="G183">
            <v>6.0995370370370838E-3</v>
          </cell>
        </row>
        <row r="184">
          <cell r="G184">
            <v>1.0543981481481557E-2</v>
          </cell>
        </row>
        <row r="185">
          <cell r="G185">
            <v>6.5972222222221988E-3</v>
          </cell>
        </row>
        <row r="186">
          <cell r="G186">
            <v>4.8379629629630161E-3</v>
          </cell>
        </row>
        <row r="187">
          <cell r="G187">
            <v>3.8194444444444864E-3</v>
          </cell>
        </row>
        <row r="188">
          <cell r="G188">
            <v>3.0092592592593226E-3</v>
          </cell>
        </row>
        <row r="189">
          <cell r="G189">
            <v>2.6273148148148184E-3</v>
          </cell>
        </row>
        <row r="190">
          <cell r="G190">
            <v>1.979166666666643E-3</v>
          </cell>
        </row>
        <row r="191">
          <cell r="G191">
            <v>8.74999999999998E-3</v>
          </cell>
        </row>
        <row r="192">
          <cell r="G192">
            <v>2.4884259259260189E-3</v>
          </cell>
        </row>
        <row r="193">
          <cell r="G193">
            <v>7.0023148148147252E-3</v>
          </cell>
        </row>
        <row r="194">
          <cell r="G194">
            <v>3.4143518518517935E-3</v>
          </cell>
        </row>
        <row r="195">
          <cell r="G195">
            <v>1.5011574074074052E-2</v>
          </cell>
        </row>
        <row r="196">
          <cell r="G196">
            <v>2.372685185185186E-2</v>
          </cell>
        </row>
        <row r="197">
          <cell r="G197">
            <v>2.2291666666666654E-2</v>
          </cell>
        </row>
        <row r="198">
          <cell r="G198">
            <v>1.3368055555555536E-2</v>
          </cell>
        </row>
        <row r="199">
          <cell r="G199">
            <v>3.1944444444443887E-3</v>
          </cell>
        </row>
        <row r="200">
          <cell r="G200">
            <v>9.1435185185185786E-3</v>
          </cell>
        </row>
        <row r="201">
          <cell r="G201">
            <v>5.0115740740740433E-3</v>
          </cell>
        </row>
        <row r="202">
          <cell r="G202">
            <v>3.310185185185166E-3</v>
          </cell>
        </row>
        <row r="203">
          <cell r="G203">
            <v>1.3541666666666619E-2</v>
          </cell>
        </row>
        <row r="204">
          <cell r="G204">
            <v>1.1689814814814792E-2</v>
          </cell>
        </row>
        <row r="205">
          <cell r="G205">
            <v>1.1122685185185166E-2</v>
          </cell>
        </row>
        <row r="206">
          <cell r="G206">
            <v>2.2476851851851776E-2</v>
          </cell>
        </row>
        <row r="207">
          <cell r="G207">
            <v>3.8888888888888862E-3</v>
          </cell>
        </row>
        <row r="208">
          <cell r="G208">
            <v>1.6423611111111014E-2</v>
          </cell>
        </row>
        <row r="209">
          <cell r="G209">
            <v>1.5740740740740666E-2</v>
          </cell>
        </row>
        <row r="210">
          <cell r="G210">
            <v>1.0960648148148122E-2</v>
          </cell>
        </row>
        <row r="211">
          <cell r="G211">
            <v>1.157407407407407E-2</v>
          </cell>
        </row>
        <row r="212">
          <cell r="G212">
            <v>4.3865740740740566E-3</v>
          </cell>
        </row>
        <row r="213">
          <cell r="G213">
            <v>1.5740740740740611E-3</v>
          </cell>
        </row>
        <row r="214">
          <cell r="G214">
            <v>4.8032407407407329E-3</v>
          </cell>
        </row>
        <row r="215">
          <cell r="G215">
            <v>2.1226851851851913E-2</v>
          </cell>
        </row>
        <row r="216">
          <cell r="G216">
            <v>1.9803240740740746E-2</v>
          </cell>
        </row>
        <row r="217">
          <cell r="G217">
            <v>1.9861111111111052E-2</v>
          </cell>
        </row>
        <row r="218">
          <cell r="G218">
            <v>6.8981481481480422E-3</v>
          </cell>
        </row>
        <row r="219">
          <cell r="G219">
            <v>2.7777777777777679E-3</v>
          </cell>
        </row>
        <row r="220">
          <cell r="G220">
            <v>3.3564814814814881E-3</v>
          </cell>
        </row>
        <row r="221">
          <cell r="G221">
            <v>5.1967592592592204E-3</v>
          </cell>
        </row>
        <row r="222">
          <cell r="G222">
            <v>3.2986111111111827E-3</v>
          </cell>
        </row>
        <row r="223">
          <cell r="G223">
            <v>2.0347222222222183E-2</v>
          </cell>
        </row>
        <row r="224">
          <cell r="G224">
            <v>4.2476851851852571E-3</v>
          </cell>
        </row>
        <row r="225">
          <cell r="G225">
            <v>4.6643518518518778E-3</v>
          </cell>
        </row>
        <row r="226">
          <cell r="G226">
            <v>4.1435185185185741E-3</v>
          </cell>
        </row>
        <row r="227">
          <cell r="G227">
            <v>8.0324074074074048E-3</v>
          </cell>
        </row>
        <row r="228">
          <cell r="G228">
            <v>2.0520833333333433E-2</v>
          </cell>
        </row>
        <row r="229">
          <cell r="G229">
            <v>7.1875000000000133E-3</v>
          </cell>
        </row>
        <row r="230">
          <cell r="G230">
            <v>1.6597222222222152E-2</v>
          </cell>
        </row>
        <row r="231">
          <cell r="G231">
            <v>1.5092592592592657E-2</v>
          </cell>
        </row>
        <row r="232">
          <cell r="G232">
            <v>1.490740740740748E-2</v>
          </cell>
        </row>
        <row r="233">
          <cell r="G233">
            <v>1.0381944444444513E-2</v>
          </cell>
        </row>
        <row r="234">
          <cell r="G234">
            <v>3.3912037037037157E-3</v>
          </cell>
        </row>
        <row r="235">
          <cell r="G235">
            <v>1.6076388888888848E-2</v>
          </cell>
        </row>
        <row r="236">
          <cell r="G236">
            <v>1.648148148148143E-2</v>
          </cell>
        </row>
        <row r="237">
          <cell r="G237">
            <v>1.620370370370372E-2</v>
          </cell>
        </row>
        <row r="238">
          <cell r="G238">
            <v>7.0717592592592915E-3</v>
          </cell>
        </row>
        <row r="239">
          <cell r="G239">
            <v>1.4351851851851505E-3</v>
          </cell>
        </row>
        <row r="240">
          <cell r="G240">
            <v>9.8148148148149428E-3</v>
          </cell>
        </row>
        <row r="241">
          <cell r="G241">
            <v>2.1365740740740713E-2</v>
          </cell>
        </row>
        <row r="242">
          <cell r="G242">
            <v>3.0555555555555891E-3</v>
          </cell>
        </row>
        <row r="243">
          <cell r="G243">
            <v>2.1006944444444509E-2</v>
          </cell>
        </row>
        <row r="244">
          <cell r="G244">
            <v>1.4351851851852615E-3</v>
          </cell>
        </row>
        <row r="245">
          <cell r="G245">
            <v>1.388888888888995E-3</v>
          </cell>
        </row>
        <row r="246">
          <cell r="G246">
            <v>1.9664351851851836E-2</v>
          </cell>
        </row>
        <row r="247">
          <cell r="G247">
            <v>2.135416666666673E-2</v>
          </cell>
        </row>
        <row r="248">
          <cell r="G248">
            <v>1.4583333333333393E-3</v>
          </cell>
        </row>
        <row r="249">
          <cell r="G249">
            <v>3.7268518518518423E-3</v>
          </cell>
        </row>
        <row r="250">
          <cell r="G250">
            <v>1.2187500000000018E-2</v>
          </cell>
        </row>
        <row r="251">
          <cell r="G251">
            <v>8.2638888888888484E-3</v>
          </cell>
        </row>
        <row r="252">
          <cell r="G252">
            <v>5.6134259259259522E-3</v>
          </cell>
        </row>
        <row r="253">
          <cell r="G253">
            <v>1.5219907407407474E-2</v>
          </cell>
        </row>
        <row r="254">
          <cell r="G254">
            <v>1.5740740740741166E-3</v>
          </cell>
        </row>
        <row r="255">
          <cell r="G255">
            <v>2.7546296296295791E-3</v>
          </cell>
        </row>
        <row r="256">
          <cell r="G256">
            <v>2.2222222222222365E-3</v>
          </cell>
        </row>
        <row r="257">
          <cell r="G257">
            <v>2.3252314814814878E-2</v>
          </cell>
        </row>
        <row r="258">
          <cell r="G258">
            <v>2.372685185185186E-2</v>
          </cell>
        </row>
        <row r="259">
          <cell r="G259">
            <v>2.241898148148147E-2</v>
          </cell>
        </row>
        <row r="260">
          <cell r="G260">
            <v>2.0555555555555549E-2</v>
          </cell>
        </row>
        <row r="261">
          <cell r="G261">
            <v>1.71412037037037E-2</v>
          </cell>
        </row>
        <row r="262">
          <cell r="G262">
            <v>1.583333333333331E-2</v>
          </cell>
        </row>
        <row r="263">
          <cell r="G263">
            <v>1.5092592592592602E-2</v>
          </cell>
        </row>
        <row r="264">
          <cell r="G264">
            <v>1.3668981481481435E-2</v>
          </cell>
        </row>
        <row r="265">
          <cell r="G265">
            <v>1.3368055555555536E-2</v>
          </cell>
        </row>
        <row r="266">
          <cell r="G266">
            <v>7.1527777777777857E-3</v>
          </cell>
        </row>
        <row r="267">
          <cell r="G267">
            <v>8.6342592592592027E-3</v>
          </cell>
        </row>
        <row r="268">
          <cell r="G268">
            <v>1.0624999999999996E-2</v>
          </cell>
        </row>
        <row r="269">
          <cell r="G269">
            <v>6.8865740740740589E-3</v>
          </cell>
        </row>
        <row r="270">
          <cell r="G270">
            <v>9.6064814814814659E-3</v>
          </cell>
        </row>
        <row r="271">
          <cell r="G271">
            <v>3.7731481481481643E-3</v>
          </cell>
        </row>
        <row r="272">
          <cell r="G272">
            <v>3.3564814814814881E-3</v>
          </cell>
        </row>
        <row r="273">
          <cell r="G273">
            <v>4.201388888888824E-3</v>
          </cell>
        </row>
        <row r="274">
          <cell r="G274">
            <v>3.4259259259259434E-3</v>
          </cell>
        </row>
        <row r="275">
          <cell r="G275">
            <v>2.3495370370371083E-3</v>
          </cell>
        </row>
        <row r="276">
          <cell r="G276">
            <v>1.2407407407407423E-2</v>
          </cell>
        </row>
        <row r="277">
          <cell r="G277">
            <v>2.5115740740740411E-3</v>
          </cell>
        </row>
        <row r="278">
          <cell r="G278">
            <v>4.5254629629629672E-3</v>
          </cell>
        </row>
        <row r="279">
          <cell r="G279">
            <v>1.2847222222222232E-2</v>
          </cell>
        </row>
        <row r="280">
          <cell r="G280">
            <v>6.8865740740740033E-3</v>
          </cell>
        </row>
        <row r="281">
          <cell r="G281">
            <v>1.2349537037037006E-2</v>
          </cell>
        </row>
        <row r="282">
          <cell r="G282">
            <v>1.1435185185185159E-2</v>
          </cell>
        </row>
        <row r="283">
          <cell r="G283">
            <v>1.2280092592592551E-2</v>
          </cell>
        </row>
        <row r="284">
          <cell r="G284">
            <v>3.9699074074074359E-3</v>
          </cell>
        </row>
        <row r="285">
          <cell r="G285">
            <v>2.2916666666665808E-3</v>
          </cell>
        </row>
        <row r="286">
          <cell r="G286">
            <v>5.2083333333333703E-3</v>
          </cell>
        </row>
        <row r="287">
          <cell r="G287">
            <v>5.3819444444445086E-3</v>
          </cell>
        </row>
        <row r="288">
          <cell r="G288">
            <v>1.7245370370370106E-3</v>
          </cell>
        </row>
        <row r="289">
          <cell r="G289">
            <v>1.7083333333333339E-2</v>
          </cell>
        </row>
        <row r="290">
          <cell r="G290">
            <v>1.7604166666666643E-2</v>
          </cell>
        </row>
        <row r="291">
          <cell r="G291">
            <v>1.6666666666667052E-3</v>
          </cell>
        </row>
        <row r="292">
          <cell r="G292">
            <v>6.6898148148147873E-3</v>
          </cell>
        </row>
        <row r="293">
          <cell r="G293">
            <v>2.5462962962963243E-3</v>
          </cell>
        </row>
        <row r="294">
          <cell r="G294">
            <v>3.1365740740740833E-3</v>
          </cell>
        </row>
        <row r="295">
          <cell r="G295">
            <v>1.2638888888888866E-2</v>
          </cell>
        </row>
        <row r="296">
          <cell r="G296">
            <v>4.0740740740740078E-3</v>
          </cell>
        </row>
        <row r="297">
          <cell r="G297">
            <v>1.1793981481481586E-2</v>
          </cell>
        </row>
        <row r="298">
          <cell r="G298">
            <v>3.854166666666603E-3</v>
          </cell>
        </row>
        <row r="299">
          <cell r="G299">
            <v>1.5763888888888911E-2</v>
          </cell>
        </row>
        <row r="300">
          <cell r="G300">
            <v>1.3125000000000053E-2</v>
          </cell>
        </row>
        <row r="301">
          <cell r="G301">
            <v>1.4803240740740797E-2</v>
          </cell>
        </row>
        <row r="302">
          <cell r="G302">
            <v>8.7962962962964131E-3</v>
          </cell>
        </row>
        <row r="303">
          <cell r="G303">
            <v>5.8101851851851682E-3</v>
          </cell>
        </row>
        <row r="304">
          <cell r="G304">
            <v>1.87499999999996E-3</v>
          </cell>
        </row>
        <row r="305">
          <cell r="G305">
            <v>2.2685185185185031E-3</v>
          </cell>
        </row>
        <row r="306">
          <cell r="G306">
            <v>1.3425925925926174E-3</v>
          </cell>
        </row>
        <row r="307">
          <cell r="G307">
            <v>1.4189814814814738E-2</v>
          </cell>
        </row>
        <row r="308">
          <cell r="G308">
            <v>3.5185185185184764E-3</v>
          </cell>
        </row>
        <row r="309">
          <cell r="G309">
            <v>1.0763888888888795E-2</v>
          </cell>
        </row>
        <row r="310">
          <cell r="G310">
            <v>2.0254629629629095E-3</v>
          </cell>
        </row>
        <row r="311">
          <cell r="G311">
            <v>8.6111111111110139E-3</v>
          </cell>
        </row>
        <row r="312">
          <cell r="G312">
            <v>1.3425925925925064E-3</v>
          </cell>
        </row>
        <row r="313">
          <cell r="G313">
            <v>3.7500000000000311E-3</v>
          </cell>
        </row>
        <row r="314">
          <cell r="G314">
            <v>2.4999999999999467E-3</v>
          </cell>
        </row>
      </sheetData>
      <sheetData sheetId="6">
        <row r="3">
          <cell r="G3">
            <v>1.5671296296296322E-2</v>
          </cell>
        </row>
        <row r="4">
          <cell r="G4">
            <v>1.4513888888888937E-2</v>
          </cell>
        </row>
        <row r="5">
          <cell r="G5">
            <v>1.2847222222222565E-3</v>
          </cell>
        </row>
        <row r="6">
          <cell r="G6">
            <v>1.0300925925925908E-2</v>
          </cell>
        </row>
        <row r="7">
          <cell r="G7">
            <v>1.0821759259259212E-2</v>
          </cell>
        </row>
        <row r="8">
          <cell r="G8">
            <v>1.2905092592592593E-2</v>
          </cell>
        </row>
        <row r="9">
          <cell r="G9">
            <v>8.2986111111110761E-3</v>
          </cell>
        </row>
        <row r="10">
          <cell r="G10">
            <v>2.9282407407407729E-3</v>
          </cell>
        </row>
        <row r="11">
          <cell r="G11">
            <v>1.2152777777778012E-3</v>
          </cell>
        </row>
        <row r="12">
          <cell r="G12">
            <v>1.317129629629632E-2</v>
          </cell>
        </row>
        <row r="13">
          <cell r="G13">
            <v>1.1863425925925986E-2</v>
          </cell>
        </row>
        <row r="14">
          <cell r="G14">
            <v>9.2824074074073781E-3</v>
          </cell>
        </row>
        <row r="15">
          <cell r="G15">
            <v>8.5648148148148029E-3</v>
          </cell>
        </row>
        <row r="16">
          <cell r="G16">
            <v>7.5000000000000067E-3</v>
          </cell>
        </row>
        <row r="17">
          <cell r="G17">
            <v>7.7662037037037335E-3</v>
          </cell>
        </row>
        <row r="18">
          <cell r="G18">
            <v>5.3935185185185475E-3</v>
          </cell>
        </row>
        <row r="19">
          <cell r="G19">
            <v>6.8171296296296036E-3</v>
          </cell>
        </row>
        <row r="20">
          <cell r="G20">
            <v>6.6666666666666541E-3</v>
          </cell>
        </row>
        <row r="21">
          <cell r="G21">
            <v>5.5555555555555358E-3</v>
          </cell>
        </row>
        <row r="22">
          <cell r="G22">
            <v>1.8252314814814763E-2</v>
          </cell>
        </row>
        <row r="23">
          <cell r="G23">
            <v>9.3287037037036447E-3</v>
          </cell>
        </row>
        <row r="24">
          <cell r="G24">
            <v>2.0833333333333259E-3</v>
          </cell>
        </row>
        <row r="25">
          <cell r="G25">
            <v>1.2731481481481621E-3</v>
          </cell>
        </row>
        <row r="26">
          <cell r="G26">
            <v>4.5960648148148264E-2</v>
          </cell>
        </row>
        <row r="27">
          <cell r="G27">
            <v>1.9444444444444153E-3</v>
          </cell>
        </row>
        <row r="28">
          <cell r="G28">
            <v>4.1319444444443132E-3</v>
          </cell>
        </row>
        <row r="29">
          <cell r="G29">
            <v>1.8483796296296262E-2</v>
          </cell>
        </row>
        <row r="30">
          <cell r="G30">
            <v>1.2152777777777457E-3</v>
          </cell>
        </row>
        <row r="31">
          <cell r="G31">
            <v>9.0393518518518956E-3</v>
          </cell>
        </row>
        <row r="32">
          <cell r="G32">
            <v>1.3078703703702788E-3</v>
          </cell>
        </row>
        <row r="33">
          <cell r="G33">
            <v>1.2731481481482732E-3</v>
          </cell>
        </row>
        <row r="34">
          <cell r="G34">
            <v>1.481481481481528E-3</v>
          </cell>
        </row>
        <row r="35">
          <cell r="G35">
            <v>1.2615740740741233E-3</v>
          </cell>
        </row>
        <row r="36">
          <cell r="G36">
            <v>1.2152777777777457E-3</v>
          </cell>
        </row>
        <row r="37">
          <cell r="G37">
            <v>1.2499999999999734E-3</v>
          </cell>
        </row>
        <row r="38">
          <cell r="G38">
            <v>1.6030092592592471E-2</v>
          </cell>
        </row>
        <row r="39">
          <cell r="G39">
            <v>4.1203703703703853E-3</v>
          </cell>
        </row>
        <row r="40">
          <cell r="G40">
            <v>8.4722222222222143E-3</v>
          </cell>
        </row>
        <row r="41">
          <cell r="G41">
            <v>2.2361111111111276E-2</v>
          </cell>
        </row>
        <row r="42">
          <cell r="G42">
            <v>1.9212962962962821E-2</v>
          </cell>
        </row>
        <row r="43">
          <cell r="G43">
            <v>1.2152777777778012E-3</v>
          </cell>
        </row>
        <row r="44">
          <cell r="G44">
            <v>1.2384259259259345E-3</v>
          </cell>
        </row>
        <row r="45">
          <cell r="G45">
            <v>5.833333333333357E-3</v>
          </cell>
        </row>
        <row r="46">
          <cell r="G46">
            <v>1.284722222222201E-3</v>
          </cell>
        </row>
        <row r="47">
          <cell r="G47">
            <v>1.2384259259259345E-3</v>
          </cell>
        </row>
        <row r="48">
          <cell r="G48">
            <v>1.192129629629668E-3</v>
          </cell>
        </row>
        <row r="49">
          <cell r="G49">
            <v>1.4456018518518521E-2</v>
          </cell>
        </row>
        <row r="50">
          <cell r="G50">
            <v>1.4131944444444433E-2</v>
          </cell>
        </row>
        <row r="51">
          <cell r="G51">
            <v>7.7199074074074669E-3</v>
          </cell>
        </row>
        <row r="52">
          <cell r="G52">
            <v>7.6157407407407285E-3</v>
          </cell>
        </row>
        <row r="53">
          <cell r="G53">
            <v>1.5879629629629688E-2</v>
          </cell>
        </row>
        <row r="54">
          <cell r="G54">
            <v>1.5381944444444462E-2</v>
          </cell>
        </row>
        <row r="55">
          <cell r="G55">
            <v>2.8587962962963731E-3</v>
          </cell>
        </row>
        <row r="56">
          <cell r="G56">
            <v>1.0787037037036984E-2</v>
          </cell>
        </row>
        <row r="57">
          <cell r="G57">
            <v>6.3657407407407551E-3</v>
          </cell>
        </row>
        <row r="58">
          <cell r="G58">
            <v>1.1840277777777741E-2</v>
          </cell>
        </row>
        <row r="59">
          <cell r="G59">
            <v>1.6203703703703831E-3</v>
          </cell>
        </row>
        <row r="60">
          <cell r="G60">
            <v>4.1666666666666519E-3</v>
          </cell>
        </row>
        <row r="61">
          <cell r="G61">
            <v>2.2453703703704253E-3</v>
          </cell>
        </row>
        <row r="62">
          <cell r="G62">
            <v>1.129629629629636E-2</v>
          </cell>
        </row>
        <row r="63">
          <cell r="G63">
            <v>1.5393518518518334E-3</v>
          </cell>
        </row>
        <row r="64">
          <cell r="G64">
            <v>1.3807870370370345E-2</v>
          </cell>
        </row>
        <row r="65">
          <cell r="G65">
            <v>1.7696759259259287E-2</v>
          </cell>
        </row>
        <row r="66">
          <cell r="G66">
            <v>2.3692129629629632E-2</v>
          </cell>
        </row>
        <row r="67">
          <cell r="G67">
            <v>1.4293981481481532E-2</v>
          </cell>
        </row>
        <row r="68">
          <cell r="G68">
            <v>1.3391203703703725E-2</v>
          </cell>
        </row>
        <row r="69">
          <cell r="G69">
            <v>7.314814814814885E-3</v>
          </cell>
        </row>
        <row r="70">
          <cell r="G70">
            <v>6.423611111111116E-3</v>
          </cell>
        </row>
        <row r="71">
          <cell r="G71">
            <v>5.1504629629629539E-3</v>
          </cell>
        </row>
        <row r="72">
          <cell r="G72">
            <v>9.7222222222221877E-3</v>
          </cell>
        </row>
        <row r="73">
          <cell r="G73">
            <v>9.4328703703704386E-3</v>
          </cell>
        </row>
        <row r="74">
          <cell r="G74">
            <v>1.7546296296296227E-2</v>
          </cell>
        </row>
        <row r="75">
          <cell r="G75">
            <v>1.7569444444444526E-2</v>
          </cell>
        </row>
        <row r="76">
          <cell r="G76">
            <v>1.6793981481481479E-2</v>
          </cell>
        </row>
        <row r="77">
          <cell r="G77">
            <v>1.5266203703703685E-2</v>
          </cell>
        </row>
        <row r="78">
          <cell r="G78">
            <v>9.3518518518518334E-3</v>
          </cell>
        </row>
        <row r="79">
          <cell r="G79">
            <v>1.4120370370370394E-2</v>
          </cell>
        </row>
        <row r="80">
          <cell r="G80">
            <v>1.317129629629632E-2</v>
          </cell>
        </row>
        <row r="81">
          <cell r="G81">
            <v>1.3078703703703898E-3</v>
          </cell>
        </row>
        <row r="82">
          <cell r="G82">
            <v>9.4791666666665941E-3</v>
          </cell>
        </row>
        <row r="83">
          <cell r="G83">
            <v>5.4629629629630028E-3</v>
          </cell>
        </row>
        <row r="84">
          <cell r="G84">
            <v>4.9305555555556602E-3</v>
          </cell>
        </row>
        <row r="85">
          <cell r="G85">
            <v>9.0162037037037068E-3</v>
          </cell>
        </row>
        <row r="86">
          <cell r="G86">
            <v>6.0185185185186452E-3</v>
          </cell>
        </row>
        <row r="87">
          <cell r="G87">
            <v>2.9050925925926396E-3</v>
          </cell>
        </row>
        <row r="88">
          <cell r="G88">
            <v>1.1145833333333299E-2</v>
          </cell>
        </row>
        <row r="89">
          <cell r="G89">
            <v>2.1990740740740478E-3</v>
          </cell>
        </row>
        <row r="90">
          <cell r="G90">
            <v>1.460648148148147E-2</v>
          </cell>
        </row>
        <row r="91">
          <cell r="G91">
            <v>1.0381944444444402E-2</v>
          </cell>
        </row>
        <row r="92">
          <cell r="G92">
            <v>1.2384259259259345E-3</v>
          </cell>
        </row>
        <row r="93">
          <cell r="G93">
            <v>1.0949074074074083E-2</v>
          </cell>
        </row>
        <row r="94">
          <cell r="G94">
            <v>1.2488425925925917E-2</v>
          </cell>
        </row>
        <row r="95">
          <cell r="G95">
            <v>1.2499999999998623E-3</v>
          </cell>
        </row>
        <row r="96">
          <cell r="G96">
            <v>1.3287037037037042E-2</v>
          </cell>
        </row>
        <row r="97">
          <cell r="G97">
            <v>1.3368055555555536E-2</v>
          </cell>
        </row>
        <row r="98">
          <cell r="G98">
            <v>1.2268518518517846E-3</v>
          </cell>
        </row>
        <row r="99">
          <cell r="G99">
            <v>3.3564814814814881E-3</v>
          </cell>
        </row>
        <row r="100">
          <cell r="G100">
            <v>1.8518518518518823E-3</v>
          </cell>
        </row>
        <row r="101">
          <cell r="G101">
            <v>1.1967592592592613E-2</v>
          </cell>
        </row>
        <row r="102">
          <cell r="G102">
            <v>1.1921296296296124E-3</v>
          </cell>
        </row>
        <row r="103">
          <cell r="G103">
            <v>1.1805555555555181E-3</v>
          </cell>
        </row>
        <row r="104">
          <cell r="G104">
            <v>1.2152777777778012E-3</v>
          </cell>
        </row>
        <row r="105">
          <cell r="G105">
            <v>1.1921296296296124E-3</v>
          </cell>
        </row>
        <row r="106">
          <cell r="G106">
            <v>1.4004629629629228E-3</v>
          </cell>
        </row>
        <row r="107">
          <cell r="G107">
            <v>1.1574074074073293E-3</v>
          </cell>
        </row>
        <row r="108">
          <cell r="G108">
            <v>5.046296296296271E-3</v>
          </cell>
        </row>
        <row r="109">
          <cell r="G109">
            <v>1.0069444444444409E-2</v>
          </cell>
        </row>
        <row r="110">
          <cell r="G110">
            <v>4.6874999999999556E-3</v>
          </cell>
        </row>
        <row r="111">
          <cell r="G111">
            <v>1.1805555555556291E-3</v>
          </cell>
        </row>
        <row r="112">
          <cell r="G112">
            <v>1.0324074074074097E-2</v>
          </cell>
        </row>
        <row r="113">
          <cell r="G113">
            <v>5.3009259259259034E-3</v>
          </cell>
        </row>
        <row r="114">
          <cell r="G114">
            <v>1.3043981481481504E-2</v>
          </cell>
        </row>
        <row r="115">
          <cell r="G115">
            <v>8.5763888888888973E-3</v>
          </cell>
        </row>
        <row r="116">
          <cell r="G116">
            <v>6.6087962962964042E-3</v>
          </cell>
        </row>
        <row r="117">
          <cell r="G117">
            <v>1.2499999999999734E-3</v>
          </cell>
        </row>
        <row r="118">
          <cell r="G118">
            <v>6.527777777777799E-3</v>
          </cell>
        </row>
        <row r="119">
          <cell r="G119">
            <v>5.9953703703704564E-3</v>
          </cell>
        </row>
        <row r="120">
          <cell r="G120">
            <v>8.9236111111110628E-3</v>
          </cell>
        </row>
        <row r="121">
          <cell r="G121">
            <v>2.5925925925925908E-3</v>
          </cell>
        </row>
        <row r="122">
          <cell r="G122">
            <v>7.511574074074101E-3</v>
          </cell>
        </row>
        <row r="123">
          <cell r="G123">
            <v>8.2291666666667318E-3</v>
          </cell>
        </row>
        <row r="124">
          <cell r="G124">
            <v>1.3715277777777812E-2</v>
          </cell>
        </row>
        <row r="125">
          <cell r="G125">
            <v>1.1562500000000031E-2</v>
          </cell>
        </row>
        <row r="126">
          <cell r="G126">
            <v>5.2083333333332593E-3</v>
          </cell>
        </row>
        <row r="127">
          <cell r="G127">
            <v>5.8217592592593181E-3</v>
          </cell>
        </row>
        <row r="128">
          <cell r="G128">
            <v>4.3402777777777901E-3</v>
          </cell>
        </row>
        <row r="129">
          <cell r="G129">
            <v>1.5405092592592595E-2</v>
          </cell>
        </row>
        <row r="130">
          <cell r="G130">
            <v>4.6296296296296502E-3</v>
          </cell>
        </row>
        <row r="131">
          <cell r="G131">
            <v>3.7500000000000311E-3</v>
          </cell>
        </row>
        <row r="132">
          <cell r="G132">
            <v>2.280092592592653E-3</v>
          </cell>
        </row>
        <row r="133">
          <cell r="G133">
            <v>1.0636574074074034E-2</v>
          </cell>
        </row>
        <row r="134">
          <cell r="G134">
            <v>6.4814814814814214E-3</v>
          </cell>
        </row>
        <row r="135">
          <cell r="G135">
            <v>5.6481481481481799E-3</v>
          </cell>
        </row>
        <row r="136">
          <cell r="G136">
            <v>1.026620370370368E-2</v>
          </cell>
        </row>
        <row r="137">
          <cell r="G137">
            <v>4.1782407407408018E-3</v>
          </cell>
        </row>
        <row r="138">
          <cell r="G138">
            <v>3.0555555555555891E-3</v>
          </cell>
        </row>
        <row r="139">
          <cell r="G139">
            <v>1.2187500000000018E-2</v>
          </cell>
        </row>
        <row r="140">
          <cell r="G140">
            <v>1.192129629629668E-3</v>
          </cell>
        </row>
        <row r="141">
          <cell r="G141">
            <v>5.2083333333332593E-3</v>
          </cell>
        </row>
        <row r="142">
          <cell r="G142">
            <v>8.5879629629629362E-3</v>
          </cell>
        </row>
        <row r="143">
          <cell r="G143">
            <v>6.4814814814815325E-3</v>
          </cell>
        </row>
        <row r="144">
          <cell r="G144">
            <v>3.3680555555555269E-3</v>
          </cell>
        </row>
        <row r="145">
          <cell r="G145">
            <v>2.4652777777777191E-3</v>
          </cell>
        </row>
        <row r="146">
          <cell r="G146">
            <v>1.481481481481417E-3</v>
          </cell>
        </row>
        <row r="147">
          <cell r="G147">
            <v>2.0486111111110983E-3</v>
          </cell>
        </row>
        <row r="148">
          <cell r="G148">
            <v>1.0648148148147962E-3</v>
          </cell>
        </row>
        <row r="149">
          <cell r="G149">
            <v>1.4849537037037175E-2</v>
          </cell>
        </row>
        <row r="150">
          <cell r="G150">
            <v>4.2592592592592959E-3</v>
          </cell>
        </row>
        <row r="151">
          <cell r="G151">
            <v>1.1574074074074403E-3</v>
          </cell>
        </row>
        <row r="152">
          <cell r="G152">
            <v>1.9710648148148269E-2</v>
          </cell>
        </row>
        <row r="153">
          <cell r="G153">
            <v>2.2685185185185142E-2</v>
          </cell>
        </row>
        <row r="154">
          <cell r="G154">
            <v>2.1064814814814758E-2</v>
          </cell>
        </row>
        <row r="155">
          <cell r="G155">
            <v>1.388888888888884E-3</v>
          </cell>
        </row>
        <row r="156">
          <cell r="G156">
            <v>1.0104166666666636E-2</v>
          </cell>
        </row>
        <row r="157">
          <cell r="G157">
            <v>1.4340277777777799E-2</v>
          </cell>
        </row>
        <row r="158">
          <cell r="G158">
            <v>3.1365740740740833E-3</v>
          </cell>
        </row>
        <row r="159">
          <cell r="G159">
            <v>1.2337962962962967E-2</v>
          </cell>
        </row>
        <row r="160">
          <cell r="G160">
            <v>1.1805555555556291E-3</v>
          </cell>
        </row>
        <row r="161">
          <cell r="G161">
            <v>1.3194444444445397E-3</v>
          </cell>
        </row>
        <row r="162">
          <cell r="G162">
            <v>9.2939814814814725E-3</v>
          </cell>
        </row>
        <row r="163">
          <cell r="G163">
            <v>8.9120370370370239E-3</v>
          </cell>
        </row>
        <row r="164">
          <cell r="G164">
            <v>9.9305555555555536E-3</v>
          </cell>
        </row>
        <row r="165">
          <cell r="G165">
            <v>1.1574074074074403E-3</v>
          </cell>
        </row>
        <row r="166">
          <cell r="G166">
            <v>1.134259259259307E-3</v>
          </cell>
        </row>
        <row r="167">
          <cell r="G167">
            <v>3.7847222222221477E-3</v>
          </cell>
        </row>
        <row r="168">
          <cell r="G168">
            <v>5.7060185185184853E-3</v>
          </cell>
        </row>
        <row r="169">
          <cell r="G169">
            <v>5.7986111111111294E-3</v>
          </cell>
        </row>
        <row r="170">
          <cell r="G170">
            <v>5.7638888888889017E-3</v>
          </cell>
        </row>
        <row r="171">
          <cell r="G171">
            <v>2.6620370370369906E-3</v>
          </cell>
        </row>
        <row r="172">
          <cell r="G172">
            <v>2.9861111111111338E-3</v>
          </cell>
        </row>
        <row r="173">
          <cell r="G173">
            <v>1.4363425925925877E-2</v>
          </cell>
        </row>
        <row r="174">
          <cell r="G174">
            <v>1.1111111111111183E-3</v>
          </cell>
        </row>
        <row r="175">
          <cell r="G175">
            <v>1.6435185185185108E-2</v>
          </cell>
        </row>
        <row r="176">
          <cell r="G176">
            <v>2.6504629629629517E-3</v>
          </cell>
        </row>
        <row r="177">
          <cell r="G177">
            <v>1.5590277777777661E-2</v>
          </cell>
        </row>
        <row r="178">
          <cell r="G178">
            <v>1.1111111111110628E-3</v>
          </cell>
        </row>
        <row r="179">
          <cell r="G179">
            <v>5.8449074074073959E-3</v>
          </cell>
        </row>
        <row r="180">
          <cell r="G180">
            <v>1.7986111111111147E-2</v>
          </cell>
        </row>
        <row r="181">
          <cell r="G181">
            <v>1.3854166666666723E-2</v>
          </cell>
        </row>
        <row r="182">
          <cell r="G182">
            <v>1.8414351851851807E-2</v>
          </cell>
        </row>
        <row r="183">
          <cell r="G183">
            <v>1.4421296296296293E-2</v>
          </cell>
        </row>
        <row r="184">
          <cell r="G184">
            <v>1.3379629629629575E-2</v>
          </cell>
        </row>
        <row r="185">
          <cell r="G185">
            <v>1.3969907407407445E-2</v>
          </cell>
        </row>
        <row r="186">
          <cell r="G186">
            <v>1.260416666666675E-2</v>
          </cell>
        </row>
        <row r="187">
          <cell r="G187">
            <v>6.7824074074074314E-3</v>
          </cell>
        </row>
        <row r="188">
          <cell r="G188">
            <v>5.7870370370370905E-3</v>
          </cell>
        </row>
        <row r="189">
          <cell r="G189">
            <v>1.2384259259259345E-3</v>
          </cell>
        </row>
        <row r="190">
          <cell r="G190">
            <v>5.6712962962962576E-3</v>
          </cell>
        </row>
        <row r="191">
          <cell r="G191">
            <v>1.3310185185184675E-3</v>
          </cell>
        </row>
        <row r="192">
          <cell r="G192">
            <v>7.0370370370369528E-3</v>
          </cell>
        </row>
        <row r="193">
          <cell r="G193">
            <v>1.6666666666667052E-3</v>
          </cell>
        </row>
        <row r="194">
          <cell r="G194">
            <v>1.1342592592591405E-3</v>
          </cell>
        </row>
        <row r="195">
          <cell r="G195">
            <v>1.7581018518518565E-2</v>
          </cell>
        </row>
        <row r="196">
          <cell r="G196">
            <v>1.3078703703703898E-3</v>
          </cell>
        </row>
        <row r="197">
          <cell r="G197">
            <v>1.1574074074073293E-3</v>
          </cell>
        </row>
        <row r="198">
          <cell r="G198">
            <v>1.2129629629629601E-2</v>
          </cell>
        </row>
        <row r="199">
          <cell r="G199">
            <v>1.1157407407407449E-2</v>
          </cell>
        </row>
        <row r="200">
          <cell r="G200">
            <v>2.8935185185186008E-3</v>
          </cell>
        </row>
        <row r="201">
          <cell r="G201">
            <v>4.5833333333332726E-3</v>
          </cell>
        </row>
        <row r="202">
          <cell r="G202">
            <v>6.3078703703703942E-3</v>
          </cell>
        </row>
        <row r="203">
          <cell r="G203">
            <v>4.5833333333333837E-3</v>
          </cell>
        </row>
        <row r="204">
          <cell r="G204">
            <v>1.4236111111112226E-3</v>
          </cell>
        </row>
        <row r="205">
          <cell r="G205">
            <v>3.7847222222221477E-3</v>
          </cell>
        </row>
        <row r="206">
          <cell r="G206">
            <v>8.4722222222222143E-3</v>
          </cell>
        </row>
        <row r="207">
          <cell r="G207">
            <v>1.5277777777779056E-3</v>
          </cell>
        </row>
        <row r="208">
          <cell r="G208">
            <v>1.7013888888890438E-3</v>
          </cell>
        </row>
        <row r="209">
          <cell r="G209">
            <v>8.9699074074073848E-3</v>
          </cell>
        </row>
        <row r="210">
          <cell r="G210">
            <v>3.9699074074074359E-3</v>
          </cell>
        </row>
        <row r="211">
          <cell r="G211">
            <v>2.6388888888888573E-3</v>
          </cell>
        </row>
        <row r="212">
          <cell r="G212">
            <v>6.8518518518517757E-3</v>
          </cell>
        </row>
        <row r="213">
          <cell r="G213">
            <v>3.6458333333333481E-3</v>
          </cell>
        </row>
        <row r="214">
          <cell r="G214">
            <v>2.4861111111111112E-2</v>
          </cell>
        </row>
        <row r="215">
          <cell r="G215">
            <v>2.6319444444444451E-2</v>
          </cell>
        </row>
        <row r="216">
          <cell r="G216">
            <v>2.6041666666666852E-3</v>
          </cell>
        </row>
        <row r="217">
          <cell r="G217">
            <v>2.5925925925925908E-2</v>
          </cell>
        </row>
        <row r="218">
          <cell r="G218">
            <v>2.5636574074074048E-2</v>
          </cell>
        </row>
        <row r="219">
          <cell r="G219">
            <v>2.4201388888888897E-2</v>
          </cell>
        </row>
        <row r="220">
          <cell r="G220">
            <v>1.9432870370370336E-2</v>
          </cell>
        </row>
        <row r="221">
          <cell r="G221">
            <v>2.4085648148148175E-2</v>
          </cell>
        </row>
        <row r="222">
          <cell r="G222">
            <v>2.0138888888888873E-2</v>
          </cell>
        </row>
        <row r="223">
          <cell r="G223">
            <v>1.5219907407407474E-2</v>
          </cell>
        </row>
        <row r="224">
          <cell r="G224">
            <v>1.9363425925925937E-2</v>
          </cell>
        </row>
        <row r="225">
          <cell r="G225">
            <v>8.4837962962962532E-3</v>
          </cell>
        </row>
        <row r="226">
          <cell r="G226">
            <v>1.1111111111110628E-3</v>
          </cell>
        </row>
        <row r="227">
          <cell r="G227">
            <v>7.0138888888888751E-3</v>
          </cell>
        </row>
        <row r="228">
          <cell r="G228">
            <v>3.5763888888888928E-3</v>
          </cell>
        </row>
        <row r="229">
          <cell r="G229">
            <v>5.6018518518518579E-3</v>
          </cell>
        </row>
        <row r="230">
          <cell r="G230">
            <v>3.094907407407399E-2</v>
          </cell>
        </row>
        <row r="231">
          <cell r="G231">
            <v>2.8321759259259227E-2</v>
          </cell>
        </row>
        <row r="232">
          <cell r="G232">
            <v>2.748842592592593E-2</v>
          </cell>
        </row>
        <row r="233">
          <cell r="G233">
            <v>2.6585648148148122E-2</v>
          </cell>
        </row>
        <row r="234">
          <cell r="G234">
            <v>2.6527777777777817E-2</v>
          </cell>
        </row>
        <row r="235">
          <cell r="G235">
            <v>1.5868055555555538E-2</v>
          </cell>
        </row>
        <row r="236">
          <cell r="G236">
            <v>3.703703703703709E-3</v>
          </cell>
        </row>
        <row r="237">
          <cell r="G237">
            <v>7.0138888888888751E-3</v>
          </cell>
        </row>
        <row r="238">
          <cell r="G238">
            <v>2.3495370370370305E-2</v>
          </cell>
        </row>
        <row r="239">
          <cell r="G239">
            <v>2.4826388888888884E-2</v>
          </cell>
        </row>
        <row r="240">
          <cell r="G240">
            <v>3.7037037037036535E-3</v>
          </cell>
        </row>
        <row r="241">
          <cell r="G241">
            <v>6.8865740740740589E-3</v>
          </cell>
        </row>
        <row r="242">
          <cell r="G242">
            <v>1.1990740740740746E-2</v>
          </cell>
        </row>
        <row r="243">
          <cell r="G243">
            <v>1.1354166666666665E-2</v>
          </cell>
        </row>
        <row r="244">
          <cell r="G244">
            <v>1.0740740740740717E-2</v>
          </cell>
        </row>
        <row r="245">
          <cell r="G245">
            <v>9.6296296296296546E-3</v>
          </cell>
        </row>
        <row r="246">
          <cell r="G246">
            <v>1.663194444444438E-2</v>
          </cell>
        </row>
        <row r="247">
          <cell r="G247">
            <v>9.9074074074073648E-3</v>
          </cell>
        </row>
        <row r="248">
          <cell r="G248">
            <v>1.3645833333333357E-2</v>
          </cell>
        </row>
        <row r="249">
          <cell r="G249">
            <v>1.3576388888888902E-2</v>
          </cell>
        </row>
        <row r="250">
          <cell r="G250">
            <v>2.0949074074074203E-3</v>
          </cell>
        </row>
        <row r="251">
          <cell r="G251">
            <v>1.7245370370370661E-3</v>
          </cell>
        </row>
        <row r="252">
          <cell r="G252">
            <v>5.7291666666666741E-3</v>
          </cell>
        </row>
        <row r="253">
          <cell r="G253">
            <v>4.8379629629630161E-3</v>
          </cell>
        </row>
        <row r="254">
          <cell r="G254">
            <v>1.0034722222222292E-2</v>
          </cell>
        </row>
        <row r="255">
          <cell r="G255">
            <v>2.5925925925925353E-3</v>
          </cell>
        </row>
        <row r="256">
          <cell r="G256">
            <v>1.1226851851852127E-3</v>
          </cell>
        </row>
        <row r="257">
          <cell r="G257">
            <v>9.8263888888889261E-3</v>
          </cell>
        </row>
        <row r="258">
          <cell r="G258">
            <v>1.3240740740740775E-2</v>
          </cell>
        </row>
        <row r="259">
          <cell r="G259">
            <v>1.8888888888888955E-2</v>
          </cell>
        </row>
        <row r="260">
          <cell r="G260">
            <v>1.1932870370370441E-2</v>
          </cell>
        </row>
        <row r="261">
          <cell r="G261">
            <v>1.0451388888888968E-2</v>
          </cell>
        </row>
        <row r="262">
          <cell r="G262">
            <v>5.5092592592592138E-3</v>
          </cell>
        </row>
        <row r="263">
          <cell r="G263">
            <v>5.2662037037036757E-3</v>
          </cell>
        </row>
        <row r="264">
          <cell r="G264">
            <v>1.2199074074074112E-2</v>
          </cell>
        </row>
        <row r="265">
          <cell r="G265">
            <v>1.2824074074074043E-2</v>
          </cell>
        </row>
        <row r="266">
          <cell r="G266">
            <v>2.0717592592592871E-3</v>
          </cell>
        </row>
        <row r="267">
          <cell r="G267">
            <v>6.7245370370370705E-3</v>
          </cell>
        </row>
        <row r="268">
          <cell r="G268">
            <v>6.678240740740804E-3</v>
          </cell>
        </row>
        <row r="269">
          <cell r="G269">
            <v>2.3032407407406752E-3</v>
          </cell>
        </row>
        <row r="270">
          <cell r="G270">
            <v>1.4143518518518527E-2</v>
          </cell>
        </row>
        <row r="271">
          <cell r="G271">
            <v>7.8819444444444553E-3</v>
          </cell>
        </row>
        <row r="272">
          <cell r="G272">
            <v>4.9537037037037379E-3</v>
          </cell>
        </row>
        <row r="273">
          <cell r="G273">
            <v>1.1805555555556291E-3</v>
          </cell>
        </row>
        <row r="274">
          <cell r="G274">
            <v>9.7222222222226318E-4</v>
          </cell>
        </row>
        <row r="275">
          <cell r="G275">
            <v>1.0925925925925895E-2</v>
          </cell>
        </row>
        <row r="276">
          <cell r="G276">
            <v>1.2291666666666701E-2</v>
          </cell>
        </row>
        <row r="277">
          <cell r="G277">
            <v>2.0486111111112093E-3</v>
          </cell>
        </row>
        <row r="278">
          <cell r="G278">
            <v>4.0393518518517801E-3</v>
          </cell>
        </row>
        <row r="279">
          <cell r="G279">
            <v>2.6747685185185222E-2</v>
          </cell>
        </row>
        <row r="280">
          <cell r="G280">
            <v>2.4583333333333401E-2</v>
          </cell>
        </row>
        <row r="281">
          <cell r="G281">
            <v>9.5833333333333881E-3</v>
          </cell>
        </row>
        <row r="282">
          <cell r="G282">
            <v>1.8877314814814805E-2</v>
          </cell>
        </row>
        <row r="283">
          <cell r="G283">
            <v>1.1608796296296298E-2</v>
          </cell>
        </row>
        <row r="284">
          <cell r="G284">
            <v>1.042824074074078E-2</v>
          </cell>
        </row>
        <row r="285">
          <cell r="G285">
            <v>9.0162037037037068E-3</v>
          </cell>
        </row>
        <row r="286">
          <cell r="G286">
            <v>8.5763888888888973E-3</v>
          </cell>
        </row>
        <row r="287">
          <cell r="G287">
            <v>2.5000000000000577E-3</v>
          </cell>
        </row>
        <row r="288">
          <cell r="G288">
            <v>7.4999999999999512E-3</v>
          </cell>
        </row>
        <row r="289">
          <cell r="G289">
            <v>5.3240740740740922E-3</v>
          </cell>
        </row>
        <row r="290">
          <cell r="G290">
            <v>6.3888888888888884E-3</v>
          </cell>
        </row>
        <row r="291">
          <cell r="G291">
            <v>5.7870370370369795E-3</v>
          </cell>
        </row>
        <row r="292">
          <cell r="G292">
            <v>1.4814814814814725E-2</v>
          </cell>
        </row>
        <row r="293">
          <cell r="G293">
            <v>1.4953703703703747E-2</v>
          </cell>
        </row>
        <row r="294">
          <cell r="G294">
            <v>1.5289351851851873E-2</v>
          </cell>
        </row>
        <row r="295">
          <cell r="G295">
            <v>1.0648148148148184E-2</v>
          </cell>
        </row>
        <row r="296">
          <cell r="G296">
            <v>8.0671296296296324E-3</v>
          </cell>
        </row>
        <row r="297">
          <cell r="G297">
            <v>7.5231481481481399E-3</v>
          </cell>
        </row>
        <row r="298">
          <cell r="G298">
            <v>7.8935185185184942E-3</v>
          </cell>
        </row>
        <row r="299">
          <cell r="G299">
            <v>3.2060185185184276E-3</v>
          </cell>
        </row>
        <row r="300">
          <cell r="G300">
            <v>2.1527777777776702E-3</v>
          </cell>
        </row>
        <row r="301">
          <cell r="G301">
            <v>7.3379629629629628E-3</v>
          </cell>
        </row>
        <row r="302">
          <cell r="G302">
            <v>1.0624999999999996E-2</v>
          </cell>
        </row>
        <row r="303">
          <cell r="G303">
            <v>2.3032407407407307E-3</v>
          </cell>
        </row>
        <row r="304">
          <cell r="G304">
            <v>1.2164351851851829E-2</v>
          </cell>
        </row>
        <row r="305">
          <cell r="G305">
            <v>1.0983796296296311E-2</v>
          </cell>
        </row>
        <row r="306">
          <cell r="G306">
            <v>1.0763888888889461E-3</v>
          </cell>
        </row>
        <row r="307">
          <cell r="G307">
            <v>1.1574074074074181E-2</v>
          </cell>
        </row>
        <row r="308">
          <cell r="G308">
            <v>3.2060185185185386E-3</v>
          </cell>
        </row>
        <row r="309">
          <cell r="G309">
            <v>1.5162037037037113E-2</v>
          </cell>
        </row>
        <row r="310">
          <cell r="G310">
            <v>1.0902777777777706E-2</v>
          </cell>
        </row>
        <row r="311">
          <cell r="G311">
            <v>6.3773148148147385E-3</v>
          </cell>
        </row>
        <row r="312">
          <cell r="G312">
            <v>2.2916666666666918E-3</v>
          </cell>
        </row>
        <row r="313">
          <cell r="G313">
            <v>1.4351851851851505E-3</v>
          </cell>
        </row>
        <row r="314">
          <cell r="G314">
            <v>1.5393518518518334E-3</v>
          </cell>
        </row>
        <row r="315">
          <cell r="G315">
            <v>7.1990740740740522E-3</v>
          </cell>
        </row>
        <row r="316">
          <cell r="G316">
            <v>7.4884259259258013E-3</v>
          </cell>
        </row>
        <row r="317">
          <cell r="G317">
            <v>2.2916666666666918E-3</v>
          </cell>
        </row>
        <row r="318">
          <cell r="G318">
            <v>1.0648148148147962E-3</v>
          </cell>
        </row>
        <row r="319">
          <cell r="G319">
            <v>2.8599537037036993E-2</v>
          </cell>
        </row>
        <row r="320">
          <cell r="G320">
            <v>2.1111111111111081E-2</v>
          </cell>
        </row>
        <row r="321">
          <cell r="G321">
            <v>1.5370370370370368E-2</v>
          </cell>
        </row>
        <row r="322">
          <cell r="G322">
            <v>9.0393518518517846E-3</v>
          </cell>
        </row>
        <row r="323">
          <cell r="G323">
            <v>7.22222222222213E-3</v>
          </cell>
        </row>
        <row r="324">
          <cell r="G324">
            <v>5.4282407407408861E-3</v>
          </cell>
        </row>
        <row r="325">
          <cell r="G325">
            <v>5.2662037037035647E-3</v>
          </cell>
        </row>
        <row r="326">
          <cell r="G326">
            <v>3.7847222222223698E-3</v>
          </cell>
        </row>
        <row r="327">
          <cell r="G327">
            <v>1.9884259259259296E-2</v>
          </cell>
        </row>
        <row r="328">
          <cell r="G328">
            <v>1.5162037037035336E-3</v>
          </cell>
        </row>
        <row r="329">
          <cell r="G329">
            <v>1.6817129629629557E-2</v>
          </cell>
        </row>
        <row r="330">
          <cell r="G330">
            <v>1.2650462962962905E-2</v>
          </cell>
        </row>
        <row r="331">
          <cell r="G331">
            <v>2.4826388888888884E-2</v>
          </cell>
        </row>
        <row r="332">
          <cell r="G332">
            <v>2.9976851851851727E-3</v>
          </cell>
        </row>
        <row r="333">
          <cell r="G333">
            <v>5.1851851851851816E-3</v>
          </cell>
        </row>
        <row r="334">
          <cell r="G334">
            <v>8.9583333333333459E-3</v>
          </cell>
        </row>
        <row r="335">
          <cell r="G335">
            <v>3.11342592592595E-3</v>
          </cell>
        </row>
        <row r="336">
          <cell r="G336">
            <v>3.3449074074074492E-3</v>
          </cell>
        </row>
        <row r="337">
          <cell r="G337">
            <v>5.8912037037036624E-3</v>
          </cell>
        </row>
        <row r="338">
          <cell r="G338">
            <v>1.8287037037036935E-3</v>
          </cell>
        </row>
        <row r="339">
          <cell r="G339">
            <v>1.4293981481481532E-2</v>
          </cell>
        </row>
        <row r="340">
          <cell r="G340">
            <v>1.1435185185185215E-2</v>
          </cell>
        </row>
        <row r="341">
          <cell r="G341">
            <v>8.6921296296296191E-3</v>
          </cell>
        </row>
        <row r="342">
          <cell r="G342">
            <v>1.0995370370370405E-2</v>
          </cell>
        </row>
        <row r="343">
          <cell r="G343">
            <v>1.5509259259259278E-3</v>
          </cell>
        </row>
        <row r="344">
          <cell r="G344">
            <v>1.5289351851851818E-2</v>
          </cell>
        </row>
        <row r="345">
          <cell r="G345">
            <v>1.0243055555555547E-2</v>
          </cell>
        </row>
        <row r="346">
          <cell r="G346">
            <v>1.0763888888888351E-3</v>
          </cell>
        </row>
        <row r="347">
          <cell r="G347">
            <v>1.134259259259196E-3</v>
          </cell>
        </row>
        <row r="348">
          <cell r="G348">
            <v>1.134259259259196E-3</v>
          </cell>
        </row>
        <row r="349">
          <cell r="G349">
            <v>1.0763888888889461E-3</v>
          </cell>
        </row>
        <row r="350">
          <cell r="G350">
            <v>1.0763888888888351E-3</v>
          </cell>
        </row>
        <row r="351">
          <cell r="G351">
            <v>3.4317129629629628E-2</v>
          </cell>
        </row>
        <row r="352">
          <cell r="G352">
            <v>1.7986111111111147E-2</v>
          </cell>
        </row>
        <row r="353">
          <cell r="G353">
            <v>3.4374999999999822E-3</v>
          </cell>
        </row>
        <row r="354">
          <cell r="G354">
            <v>1.8518518518518823E-3</v>
          </cell>
        </row>
        <row r="355">
          <cell r="G355">
            <v>1.6087962962962887E-3</v>
          </cell>
        </row>
        <row r="356">
          <cell r="G356">
            <v>1.7881944444444464E-2</v>
          </cell>
        </row>
        <row r="357">
          <cell r="G357">
            <v>1.7337962962962861E-2</v>
          </cell>
        </row>
        <row r="358">
          <cell r="G358">
            <v>9.4444444444444775E-3</v>
          </cell>
        </row>
        <row r="359">
          <cell r="G359">
            <v>3.4490740740741321E-3</v>
          </cell>
        </row>
        <row r="360">
          <cell r="G360">
            <v>1.0763888888888351E-3</v>
          </cell>
        </row>
        <row r="361">
          <cell r="G361">
            <v>9.6412037037036935E-3</v>
          </cell>
        </row>
        <row r="362">
          <cell r="G362">
            <v>1.6689814814814796E-2</v>
          </cell>
        </row>
        <row r="363">
          <cell r="G363">
            <v>3.4282407407407289E-2</v>
          </cell>
        </row>
        <row r="364">
          <cell r="G364">
            <v>3.137731481481465E-2</v>
          </cell>
        </row>
        <row r="365">
          <cell r="G365">
            <v>1.6076388888888959E-2</v>
          </cell>
        </row>
        <row r="366">
          <cell r="G366">
            <v>1.6631944444444491E-2</v>
          </cell>
        </row>
        <row r="367">
          <cell r="G367">
            <v>3.2175925925925775E-3</v>
          </cell>
        </row>
        <row r="368">
          <cell r="G368">
            <v>4.5138888888889284E-3</v>
          </cell>
        </row>
        <row r="369">
          <cell r="G369">
            <v>6.180555555555578E-3</v>
          </cell>
        </row>
        <row r="370">
          <cell r="G370">
            <v>2.4537037037036802E-3</v>
          </cell>
        </row>
        <row r="371">
          <cell r="G371">
            <v>2.4421296296295858E-3</v>
          </cell>
        </row>
        <row r="372">
          <cell r="G372">
            <v>2.2800925925925974E-3</v>
          </cell>
        </row>
        <row r="373">
          <cell r="G373">
            <v>2.9861111111111338E-3</v>
          </cell>
        </row>
        <row r="374">
          <cell r="G374">
            <v>1.7592592592592382E-3</v>
          </cell>
        </row>
        <row r="375">
          <cell r="G375">
            <v>1.7476851851851993E-3</v>
          </cell>
        </row>
        <row r="376">
          <cell r="G376">
            <v>1.5555555555555545E-2</v>
          </cell>
        </row>
        <row r="377">
          <cell r="G377">
            <v>1.6250000000000042E-2</v>
          </cell>
        </row>
        <row r="378">
          <cell r="G378">
            <v>1.4340277777777743E-2</v>
          </cell>
        </row>
        <row r="379">
          <cell r="G379">
            <v>1.157407407407407E-2</v>
          </cell>
        </row>
        <row r="380">
          <cell r="G380">
            <v>7.5694444444444065E-3</v>
          </cell>
        </row>
        <row r="381">
          <cell r="G381">
            <v>6.8981481481481532E-3</v>
          </cell>
        </row>
        <row r="382">
          <cell r="G382">
            <v>4.4328703703703787E-3</v>
          </cell>
        </row>
        <row r="383">
          <cell r="G383">
            <v>1.1099537037037033E-2</v>
          </cell>
        </row>
        <row r="384">
          <cell r="G384">
            <v>4.351851851851829E-3</v>
          </cell>
        </row>
        <row r="385">
          <cell r="G385">
            <v>8.055555555555538E-3</v>
          </cell>
        </row>
        <row r="386">
          <cell r="G386">
            <v>1.5856481481481555E-3</v>
          </cell>
        </row>
        <row r="387">
          <cell r="G387">
            <v>8.2407407407407707E-3</v>
          </cell>
        </row>
        <row r="388">
          <cell r="G388">
            <v>7.222222222222241E-3</v>
          </cell>
        </row>
        <row r="389">
          <cell r="G389">
            <v>8.9583333333332904E-3</v>
          </cell>
        </row>
        <row r="390">
          <cell r="G390">
            <v>2.2106481481480866E-3</v>
          </cell>
        </row>
        <row r="391">
          <cell r="G391">
            <v>8.3680555555555314E-3</v>
          </cell>
        </row>
        <row r="392">
          <cell r="G392">
            <v>8.7962962962963576E-3</v>
          </cell>
        </row>
        <row r="393">
          <cell r="G393">
            <v>6.7476851851851483E-3</v>
          </cell>
        </row>
        <row r="394">
          <cell r="G394">
            <v>8.2523148148148096E-3</v>
          </cell>
        </row>
        <row r="395">
          <cell r="G395">
            <v>1.09375000000001E-2</v>
          </cell>
        </row>
        <row r="396">
          <cell r="G396">
            <v>4.5254629629629672E-3</v>
          </cell>
        </row>
        <row r="397">
          <cell r="G397">
            <v>1.979166666666754E-3</v>
          </cell>
        </row>
        <row r="398">
          <cell r="G398">
            <v>1.1030092592592577E-2</v>
          </cell>
        </row>
        <row r="399">
          <cell r="G399">
            <v>1.1307870370370399E-2</v>
          </cell>
        </row>
        <row r="400">
          <cell r="G400">
            <v>1.3865740740740762E-2</v>
          </cell>
        </row>
        <row r="401">
          <cell r="G401">
            <v>1.6481481481481541E-2</v>
          </cell>
        </row>
        <row r="402">
          <cell r="G402">
            <v>7.2569444444444686E-3</v>
          </cell>
        </row>
        <row r="403">
          <cell r="G403">
            <v>9.4791666666667052E-3</v>
          </cell>
        </row>
        <row r="404">
          <cell r="G404">
            <v>1.7129629629629717E-3</v>
          </cell>
        </row>
        <row r="405">
          <cell r="G405">
            <v>8.6689814814815414E-3</v>
          </cell>
        </row>
        <row r="406">
          <cell r="G406">
            <v>1.7476851851851993E-3</v>
          </cell>
        </row>
        <row r="407">
          <cell r="G407">
            <v>7.3726851851851904E-3</v>
          </cell>
        </row>
        <row r="408">
          <cell r="G408">
            <v>4.2476851851852571E-3</v>
          </cell>
        </row>
        <row r="409">
          <cell r="G409">
            <v>4.849537037037055E-3</v>
          </cell>
        </row>
        <row r="410">
          <cell r="G410">
            <v>1.1111111111111183E-2</v>
          </cell>
        </row>
        <row r="411">
          <cell r="G411">
            <v>1.7476851851851993E-3</v>
          </cell>
        </row>
        <row r="412">
          <cell r="G412">
            <v>5.3009259259260144E-3</v>
          </cell>
        </row>
        <row r="413">
          <cell r="G413">
            <v>1.7361111111111605E-3</v>
          </cell>
        </row>
        <row r="414">
          <cell r="G414">
            <v>6.8171296296296591E-3</v>
          </cell>
        </row>
        <row r="415">
          <cell r="G415">
            <v>4.0625000000000799E-3</v>
          </cell>
        </row>
        <row r="416">
          <cell r="G416">
            <v>1.8333333333333313E-2</v>
          </cell>
        </row>
        <row r="417">
          <cell r="G417">
            <v>2.6041666666666852E-3</v>
          </cell>
        </row>
        <row r="418">
          <cell r="G418">
            <v>1.1261574074074021E-2</v>
          </cell>
        </row>
        <row r="419">
          <cell r="G419">
            <v>1.0312500000000002E-2</v>
          </cell>
        </row>
        <row r="420">
          <cell r="G420">
            <v>7.766203703703678E-3</v>
          </cell>
        </row>
        <row r="421">
          <cell r="G421">
            <v>6.8518518518517757E-3</v>
          </cell>
        </row>
        <row r="422">
          <cell r="G422">
            <v>2.4999999999999467E-3</v>
          </cell>
        </row>
        <row r="423">
          <cell r="G423">
            <v>1.7361111111111049E-3</v>
          </cell>
        </row>
        <row r="424">
          <cell r="G424">
            <v>1.373842592592589E-2</v>
          </cell>
        </row>
        <row r="425">
          <cell r="G425">
            <v>5.3703703703703032E-3</v>
          </cell>
        </row>
        <row r="426">
          <cell r="G426">
            <v>5.0694444444444597E-3</v>
          </cell>
        </row>
        <row r="427">
          <cell r="G427">
            <v>2.3263888888889195E-3</v>
          </cell>
        </row>
        <row r="428">
          <cell r="G428">
            <v>4.6296296296296502E-3</v>
          </cell>
        </row>
        <row r="429">
          <cell r="G429">
            <v>3.2060185185185386E-3</v>
          </cell>
        </row>
        <row r="430">
          <cell r="G430">
            <v>1.3310185185185175E-2</v>
          </cell>
        </row>
        <row r="431">
          <cell r="G431">
            <v>1.4317129629629555E-2</v>
          </cell>
        </row>
        <row r="432">
          <cell r="G432">
            <v>2.0335648148148089E-2</v>
          </cell>
        </row>
        <row r="433">
          <cell r="G433">
            <v>2.3263888888889195E-3</v>
          </cell>
        </row>
        <row r="434">
          <cell r="G434">
            <v>2.7893518518518623E-3</v>
          </cell>
        </row>
        <row r="435">
          <cell r="G435">
            <v>3.4953703703702876E-3</v>
          </cell>
        </row>
        <row r="436">
          <cell r="G436">
            <v>6.2731481481480555E-3</v>
          </cell>
        </row>
        <row r="437">
          <cell r="G437">
            <v>1.4629629629629659E-2</v>
          </cell>
        </row>
        <row r="438">
          <cell r="G438">
            <v>1.9016203703703827E-2</v>
          </cell>
        </row>
        <row r="439">
          <cell r="G439">
            <v>1.3229166666666625E-2</v>
          </cell>
        </row>
        <row r="440">
          <cell r="G440">
            <v>3.8425925925925641E-3</v>
          </cell>
        </row>
        <row r="441">
          <cell r="G441">
            <v>1.432870370370376E-2</v>
          </cell>
        </row>
        <row r="442">
          <cell r="G442">
            <v>5.5902777777777635E-3</v>
          </cell>
        </row>
        <row r="443">
          <cell r="G443">
            <v>5.335648148148131E-3</v>
          </cell>
        </row>
        <row r="444">
          <cell r="G444">
            <v>1.2939814814814765E-2</v>
          </cell>
        </row>
        <row r="445">
          <cell r="G445">
            <v>1.3298611111111192E-2</v>
          </cell>
        </row>
        <row r="446">
          <cell r="G446">
            <v>7.1990740740741632E-3</v>
          </cell>
        </row>
        <row r="447">
          <cell r="G447">
            <v>1.0983796296296311E-2</v>
          </cell>
        </row>
        <row r="448">
          <cell r="G448">
            <v>4.6643518518518778E-3</v>
          </cell>
        </row>
        <row r="449">
          <cell r="G449">
            <v>2.0625000000000115E-2</v>
          </cell>
        </row>
        <row r="450">
          <cell r="G450">
            <v>1.8344907407407351E-2</v>
          </cell>
        </row>
        <row r="451">
          <cell r="G451">
            <v>1.7013888888888218E-3</v>
          </cell>
        </row>
        <row r="452">
          <cell r="G452">
            <v>1.6898148148148939E-3</v>
          </cell>
        </row>
        <row r="453">
          <cell r="G453">
            <v>1.7245370370370106E-3</v>
          </cell>
        </row>
        <row r="454">
          <cell r="G454">
            <v>1.4675925925925926E-2</v>
          </cell>
        </row>
        <row r="455">
          <cell r="G455">
            <v>2.9745370370370949E-3</v>
          </cell>
        </row>
        <row r="456">
          <cell r="G456">
            <v>8.8425925925925686E-3</v>
          </cell>
        </row>
        <row r="457">
          <cell r="G457">
            <v>1.0300925925925908E-2</v>
          </cell>
        </row>
        <row r="458">
          <cell r="G458">
            <v>1.7129629629630827E-3</v>
          </cell>
        </row>
        <row r="459">
          <cell r="G459">
            <v>8.0208333333332549E-3</v>
          </cell>
        </row>
        <row r="460">
          <cell r="G460">
            <v>1.7476851851851993E-3</v>
          </cell>
        </row>
        <row r="461">
          <cell r="G461">
            <v>2.0347222222222183E-2</v>
          </cell>
        </row>
        <row r="462">
          <cell r="G462">
            <v>7.1412037037036358E-3</v>
          </cell>
        </row>
        <row r="463">
          <cell r="G463">
            <v>2.285879629629628E-2</v>
          </cell>
        </row>
        <row r="464">
          <cell r="G464">
            <v>3.4374999999999822E-3</v>
          </cell>
        </row>
        <row r="465">
          <cell r="G465">
            <v>1.7361111111111049E-3</v>
          </cell>
        </row>
        <row r="466">
          <cell r="G466">
            <v>1.0312500000000002E-2</v>
          </cell>
        </row>
        <row r="467">
          <cell r="G467">
            <v>1.1597222222222203E-2</v>
          </cell>
        </row>
        <row r="468">
          <cell r="G468">
            <v>1.7476851851850883E-3</v>
          </cell>
        </row>
        <row r="469">
          <cell r="G469">
            <v>6.2499999999999778E-3</v>
          </cell>
        </row>
        <row r="470">
          <cell r="G470">
            <v>2.1527777777777257E-3</v>
          </cell>
        </row>
        <row r="471">
          <cell r="G471">
            <v>1.3483796296296313E-2</v>
          </cell>
        </row>
        <row r="472">
          <cell r="G472">
            <v>2.0601851851851927E-3</v>
          </cell>
        </row>
        <row r="473">
          <cell r="G473">
            <v>8.7615740740740744E-3</v>
          </cell>
        </row>
        <row r="474">
          <cell r="G474">
            <v>9.8495370370370594E-3</v>
          </cell>
        </row>
        <row r="475">
          <cell r="G475">
            <v>1.7245370370370661E-3</v>
          </cell>
        </row>
        <row r="476">
          <cell r="G476">
            <v>7.9629629629629495E-3</v>
          </cell>
        </row>
        <row r="477">
          <cell r="G477">
            <v>2.0601851851851927E-3</v>
          </cell>
        </row>
        <row r="478">
          <cell r="G478">
            <v>3.3449074074073937E-3</v>
          </cell>
        </row>
        <row r="479">
          <cell r="G479">
            <v>9.5370370370370661E-3</v>
          </cell>
        </row>
        <row r="480">
          <cell r="G480">
            <v>9.247685185185206E-3</v>
          </cell>
        </row>
        <row r="481">
          <cell r="G481">
            <v>6.0069444444444953E-3</v>
          </cell>
        </row>
        <row r="482">
          <cell r="G482">
            <v>5.0115740740740433E-3</v>
          </cell>
        </row>
        <row r="483">
          <cell r="G483">
            <v>6.4930555555555713E-3</v>
          </cell>
        </row>
        <row r="484">
          <cell r="G484">
            <v>6.3194444444444331E-3</v>
          </cell>
        </row>
        <row r="485">
          <cell r="G485">
            <v>8.6574074074075025E-3</v>
          </cell>
        </row>
        <row r="486">
          <cell r="G486">
            <v>1.0300925925925908E-2</v>
          </cell>
        </row>
        <row r="487">
          <cell r="G487">
            <v>8.0902777777777102E-3</v>
          </cell>
        </row>
        <row r="488">
          <cell r="G488">
            <v>8.1944444444445041E-3</v>
          </cell>
        </row>
        <row r="489">
          <cell r="G489">
            <v>1.9097222222221877E-3</v>
          </cell>
        </row>
        <row r="490">
          <cell r="G490">
            <v>3.7384259259259922E-3</v>
          </cell>
        </row>
        <row r="491">
          <cell r="G491">
            <v>1.1770833333333286E-2</v>
          </cell>
        </row>
        <row r="492">
          <cell r="G492">
            <v>1.5162037037036447E-3</v>
          </cell>
        </row>
        <row r="493">
          <cell r="G493">
            <v>1.2488425925925917E-2</v>
          </cell>
        </row>
        <row r="494">
          <cell r="G494">
            <v>8.4722222222222143E-3</v>
          </cell>
        </row>
        <row r="495">
          <cell r="G495">
            <v>3.5995370370369706E-3</v>
          </cell>
        </row>
        <row r="496">
          <cell r="G496">
            <v>1.7187500000000022E-2</v>
          </cell>
        </row>
        <row r="497">
          <cell r="G497">
            <v>1.9097222222222987E-3</v>
          </cell>
        </row>
        <row r="498">
          <cell r="G498">
            <v>9.3634259259258723E-3</v>
          </cell>
        </row>
        <row r="499">
          <cell r="G499">
            <v>3.0439814814814392E-3</v>
          </cell>
        </row>
        <row r="500">
          <cell r="G500">
            <v>8.009259259259327E-3</v>
          </cell>
        </row>
        <row r="501">
          <cell r="G501">
            <v>1.1261574074074132E-2</v>
          </cell>
        </row>
        <row r="502">
          <cell r="G502">
            <v>1.6898148148147829E-3</v>
          </cell>
        </row>
        <row r="503">
          <cell r="G503">
            <v>1.4733796296296342E-2</v>
          </cell>
        </row>
        <row r="504">
          <cell r="G504">
            <v>5.3703703703702477E-3</v>
          </cell>
        </row>
        <row r="505">
          <cell r="G505">
            <v>1.215277777777779E-2</v>
          </cell>
        </row>
        <row r="506">
          <cell r="G506">
            <v>1.7361111111111605E-3</v>
          </cell>
        </row>
        <row r="507">
          <cell r="G507">
            <v>1.3715277777777923E-2</v>
          </cell>
        </row>
        <row r="508">
          <cell r="G508">
            <v>1.0914351851851856E-2</v>
          </cell>
        </row>
        <row r="509">
          <cell r="G509">
            <v>1.6666666666665941E-3</v>
          </cell>
        </row>
        <row r="510">
          <cell r="G510">
            <v>1.6898148148148939E-3</v>
          </cell>
        </row>
        <row r="511">
          <cell r="G511">
            <v>1.6550925925926663E-3</v>
          </cell>
        </row>
        <row r="512">
          <cell r="G512">
            <v>1.678240740740744E-3</v>
          </cell>
        </row>
        <row r="513">
          <cell r="G513">
            <v>1.0405092592592535E-2</v>
          </cell>
        </row>
        <row r="514">
          <cell r="G514">
            <v>1.2187500000000018E-2</v>
          </cell>
        </row>
        <row r="515">
          <cell r="G515">
            <v>1.6435185185185164E-3</v>
          </cell>
        </row>
        <row r="516">
          <cell r="G516">
            <v>1.6898148148147829E-3</v>
          </cell>
        </row>
        <row r="517">
          <cell r="G517">
            <v>1.6435185185185719E-3</v>
          </cell>
        </row>
        <row r="518">
          <cell r="G518">
            <v>9.7222222222221877E-3</v>
          </cell>
        </row>
        <row r="519">
          <cell r="G519">
            <v>8.6226851851851638E-3</v>
          </cell>
        </row>
        <row r="520">
          <cell r="G520">
            <v>6.7013888888889372E-3</v>
          </cell>
        </row>
        <row r="521">
          <cell r="G521">
            <v>5.7870370370369795E-3</v>
          </cell>
        </row>
        <row r="522">
          <cell r="G522">
            <v>1.7013888888888773E-3</v>
          </cell>
        </row>
        <row r="523">
          <cell r="G523">
            <v>3.2870370370370328E-3</v>
          </cell>
        </row>
        <row r="524">
          <cell r="G524">
            <v>3.4837962962963043E-3</v>
          </cell>
        </row>
        <row r="525">
          <cell r="G525">
            <v>3.0787037037037224E-3</v>
          </cell>
        </row>
        <row r="526">
          <cell r="G526">
            <v>5.833333333333246E-3</v>
          </cell>
        </row>
        <row r="527">
          <cell r="G527">
            <v>9.0972222222222565E-3</v>
          </cell>
        </row>
        <row r="528">
          <cell r="G528">
            <v>9.5370370370370106E-3</v>
          </cell>
        </row>
        <row r="529">
          <cell r="G529">
            <v>2.3726851851852415E-3</v>
          </cell>
        </row>
        <row r="530">
          <cell r="G530">
            <v>1.7476851851851993E-3</v>
          </cell>
        </row>
        <row r="531">
          <cell r="G531">
            <v>1.0868055555555534E-2</v>
          </cell>
        </row>
        <row r="532">
          <cell r="G532">
            <v>6.5624999999999156E-3</v>
          </cell>
        </row>
        <row r="533">
          <cell r="G533">
            <v>1.1770833333333397E-2</v>
          </cell>
        </row>
        <row r="534">
          <cell r="G534">
            <v>8.3564814814814925E-3</v>
          </cell>
        </row>
        <row r="535">
          <cell r="G535">
            <v>1.0185185185185186E-2</v>
          </cell>
        </row>
        <row r="536">
          <cell r="G536">
            <v>4.942129629629588E-3</v>
          </cell>
        </row>
        <row r="537">
          <cell r="G537">
            <v>7.8125E-3</v>
          </cell>
        </row>
        <row r="538">
          <cell r="G538">
            <v>1.0972222222222217E-2</v>
          </cell>
        </row>
        <row r="539">
          <cell r="G539">
            <v>5.1851851851851816E-3</v>
          </cell>
        </row>
        <row r="540">
          <cell r="G540">
            <v>2.9282407407407174E-3</v>
          </cell>
        </row>
        <row r="541">
          <cell r="G541">
            <v>1.4386574074074066E-2</v>
          </cell>
        </row>
        <row r="542">
          <cell r="G542">
            <v>9.2245370370369617E-3</v>
          </cell>
        </row>
        <row r="543">
          <cell r="G543">
            <v>1.3032407407407409E-2</v>
          </cell>
        </row>
        <row r="544">
          <cell r="G544">
            <v>1.2280092592592551E-2</v>
          </cell>
        </row>
        <row r="545">
          <cell r="G545">
            <v>1.5625000000000222E-3</v>
          </cell>
        </row>
        <row r="546">
          <cell r="G546">
            <v>1.5983796296296315E-2</v>
          </cell>
        </row>
        <row r="547">
          <cell r="G547">
            <v>1.4791666666666647E-2</v>
          </cell>
        </row>
        <row r="548">
          <cell r="G548">
            <v>1.4293981481481532E-2</v>
          </cell>
        </row>
        <row r="549">
          <cell r="G549">
            <v>1.5347222222222179E-2</v>
          </cell>
        </row>
        <row r="550">
          <cell r="G550">
            <v>1.2361111111111045E-2</v>
          </cell>
        </row>
        <row r="551">
          <cell r="G551">
            <v>1.1840277777777741E-2</v>
          </cell>
        </row>
        <row r="552">
          <cell r="G552">
            <v>9.5370370370370106E-3</v>
          </cell>
        </row>
        <row r="553">
          <cell r="G553">
            <v>8.5416666666666696E-3</v>
          </cell>
        </row>
        <row r="554">
          <cell r="G554">
            <v>8.6111111111110139E-3</v>
          </cell>
        </row>
        <row r="555">
          <cell r="G555">
            <v>7.511574074074101E-3</v>
          </cell>
        </row>
        <row r="556">
          <cell r="G556">
            <v>6.1805555555555225E-3</v>
          </cell>
        </row>
        <row r="557">
          <cell r="G557">
            <v>5.8564814814814348E-3</v>
          </cell>
        </row>
        <row r="558">
          <cell r="G558">
            <v>5.5787037037037246E-3</v>
          </cell>
        </row>
        <row r="559">
          <cell r="G559">
            <v>5.3703703703704697E-3</v>
          </cell>
        </row>
        <row r="560">
          <cell r="G560">
            <v>3.5300925925926263E-3</v>
          </cell>
        </row>
        <row r="561">
          <cell r="G561">
            <v>1.6550925925926663E-3</v>
          </cell>
        </row>
        <row r="562">
          <cell r="G562">
            <v>7.5810185185184453E-3</v>
          </cell>
        </row>
        <row r="563">
          <cell r="G563">
            <v>1.6666666666667052E-3</v>
          </cell>
        </row>
        <row r="564">
          <cell r="G564">
            <v>8.6805555555555802E-3</v>
          </cell>
        </row>
        <row r="565">
          <cell r="G565">
            <v>2.2337962962961644E-3</v>
          </cell>
        </row>
        <row r="566">
          <cell r="G566">
            <v>1.0243055555555602E-2</v>
          </cell>
        </row>
        <row r="567">
          <cell r="G567">
            <v>1.2106481481481413E-2</v>
          </cell>
        </row>
        <row r="568">
          <cell r="G568">
            <v>2.4178240740740709E-2</v>
          </cell>
        </row>
        <row r="569">
          <cell r="G569">
            <v>5.2546296296296369E-3</v>
          </cell>
        </row>
        <row r="570">
          <cell r="G570">
            <v>1.0509259259259274E-2</v>
          </cell>
        </row>
        <row r="571">
          <cell r="G571">
            <v>1.6435185185186274E-3</v>
          </cell>
        </row>
        <row r="572">
          <cell r="G572">
            <v>1.7141203703703756E-2</v>
          </cell>
        </row>
        <row r="573">
          <cell r="G573">
            <v>1.5393518518518334E-3</v>
          </cell>
        </row>
        <row r="574">
          <cell r="G574">
            <v>3.2060185185185386E-3</v>
          </cell>
        </row>
        <row r="575">
          <cell r="G575">
            <v>2.5462962962963243E-3</v>
          </cell>
        </row>
        <row r="576">
          <cell r="G576">
            <v>1.8981481481481488E-3</v>
          </cell>
        </row>
        <row r="577">
          <cell r="G577">
            <v>1.4652777777777737E-2</v>
          </cell>
        </row>
        <row r="578">
          <cell r="G578">
            <v>1.1782407407407547E-2</v>
          </cell>
        </row>
        <row r="579">
          <cell r="G579">
            <v>2.7777777777778789E-3</v>
          </cell>
        </row>
        <row r="580">
          <cell r="G580">
            <v>1.9560185185185652E-3</v>
          </cell>
        </row>
        <row r="581">
          <cell r="G581">
            <v>1.6203703703703276E-3</v>
          </cell>
        </row>
        <row r="582">
          <cell r="G582">
            <v>9.4212962962963998E-3</v>
          </cell>
        </row>
        <row r="583">
          <cell r="G583">
            <v>1.5520833333333206E-2</v>
          </cell>
        </row>
        <row r="584">
          <cell r="G584">
            <v>2.3344907407407356E-2</v>
          </cell>
        </row>
        <row r="585">
          <cell r="G585">
            <v>1.4525462962962976E-2</v>
          </cell>
        </row>
        <row r="586">
          <cell r="G586">
            <v>5.9837962962963065E-3</v>
          </cell>
        </row>
        <row r="587">
          <cell r="G587">
            <v>6.3657407407406996E-3</v>
          </cell>
        </row>
        <row r="588">
          <cell r="G588">
            <v>1.0868055555555478E-2</v>
          </cell>
        </row>
        <row r="589">
          <cell r="G589">
            <v>1.9444444444444708E-3</v>
          </cell>
        </row>
        <row r="590">
          <cell r="G590">
            <v>7.8703703703703609E-3</v>
          </cell>
        </row>
        <row r="591">
          <cell r="G591">
            <v>1.87499999999996E-3</v>
          </cell>
        </row>
        <row r="592">
          <cell r="G592">
            <v>1.2881944444444404E-2</v>
          </cell>
        </row>
        <row r="593">
          <cell r="G593">
            <v>9.7685185185185097E-3</v>
          </cell>
        </row>
        <row r="594">
          <cell r="G594">
            <v>5.0578703703703098E-3</v>
          </cell>
        </row>
        <row r="595">
          <cell r="G595">
            <v>2.0023148148148873E-3</v>
          </cell>
        </row>
        <row r="596">
          <cell r="G596">
            <v>6.2962962962963553E-3</v>
          </cell>
        </row>
        <row r="597">
          <cell r="G597">
            <v>9.1782407407407507E-3</v>
          </cell>
        </row>
        <row r="598">
          <cell r="G598">
            <v>9.9189814814814037E-3</v>
          </cell>
        </row>
        <row r="599">
          <cell r="G599">
            <v>6.3541666666666607E-3</v>
          </cell>
        </row>
        <row r="600">
          <cell r="G600">
            <v>2.766203703703729E-3</v>
          </cell>
        </row>
        <row r="601">
          <cell r="G601">
            <v>1.9328703703703765E-3</v>
          </cell>
        </row>
        <row r="602">
          <cell r="G602">
            <v>3.1828703703703498E-3</v>
          </cell>
        </row>
        <row r="603">
          <cell r="G603">
            <v>7.2453703703703187E-3</v>
          </cell>
        </row>
        <row r="604">
          <cell r="G604">
            <v>1.7708333333332771E-3</v>
          </cell>
        </row>
        <row r="605">
          <cell r="G605">
            <v>4.4791666666667007E-3</v>
          </cell>
        </row>
        <row r="606">
          <cell r="G606">
            <v>2.5115740740740966E-3</v>
          </cell>
        </row>
        <row r="607">
          <cell r="G607">
            <v>1.481481481481528E-3</v>
          </cell>
        </row>
        <row r="608">
          <cell r="G608">
            <v>1.4212962962962927E-2</v>
          </cell>
        </row>
        <row r="609">
          <cell r="G609">
            <v>1.0972222222222161E-2</v>
          </cell>
        </row>
        <row r="610">
          <cell r="G610">
            <v>1.9444444444444153E-3</v>
          </cell>
        </row>
        <row r="611">
          <cell r="G611">
            <v>5.0694444444443487E-3</v>
          </cell>
        </row>
        <row r="612">
          <cell r="G612">
            <v>1.4270833333333233E-2</v>
          </cell>
        </row>
        <row r="613">
          <cell r="G613">
            <v>1.6203703703703276E-3</v>
          </cell>
        </row>
        <row r="614">
          <cell r="G614">
            <v>9.7569444444444153E-3</v>
          </cell>
        </row>
        <row r="615">
          <cell r="G615">
            <v>6.1921296296295614E-3</v>
          </cell>
        </row>
        <row r="616">
          <cell r="G616">
            <v>2.6273148148148184E-3</v>
          </cell>
        </row>
        <row r="617">
          <cell r="G617">
            <v>2.8124999999998845E-3</v>
          </cell>
        </row>
        <row r="618">
          <cell r="G618">
            <v>1.4398148148148215E-2</v>
          </cell>
        </row>
        <row r="619">
          <cell r="G619">
            <v>1.0069444444444353E-2</v>
          </cell>
        </row>
        <row r="620">
          <cell r="G620">
            <v>3.4953703703703987E-3</v>
          </cell>
        </row>
        <row r="621">
          <cell r="G621">
            <v>9.201388888888884E-3</v>
          </cell>
        </row>
        <row r="622">
          <cell r="G622">
            <v>4.5138888888888173E-3</v>
          </cell>
        </row>
        <row r="623">
          <cell r="G623">
            <v>2.6504629629630072E-3</v>
          </cell>
        </row>
        <row r="624">
          <cell r="G624">
            <v>1.6319444444444775E-3</v>
          </cell>
        </row>
        <row r="625">
          <cell r="G625">
            <v>2.5925925925925908E-3</v>
          </cell>
        </row>
        <row r="626">
          <cell r="G626">
            <v>2.1874999999998979E-3</v>
          </cell>
        </row>
        <row r="627">
          <cell r="G627">
            <v>2.0023148148148318E-3</v>
          </cell>
        </row>
        <row r="628">
          <cell r="G628">
            <v>1.72106481481481E-2</v>
          </cell>
        </row>
        <row r="629">
          <cell r="G629">
            <v>3.611111111111065E-3</v>
          </cell>
        </row>
        <row r="630">
          <cell r="G630">
            <v>1.9675925925926041E-3</v>
          </cell>
        </row>
        <row r="631">
          <cell r="G631">
            <v>8.1018518518518601E-3</v>
          </cell>
        </row>
        <row r="632">
          <cell r="G632">
            <v>2.8587962962963176E-3</v>
          </cell>
        </row>
        <row r="633">
          <cell r="G633">
            <v>6.3657407407407551E-3</v>
          </cell>
        </row>
        <row r="634">
          <cell r="G634">
            <v>6.3888888888888329E-3</v>
          </cell>
        </row>
        <row r="635">
          <cell r="G635">
            <v>3.310185185185166E-3</v>
          </cell>
        </row>
        <row r="636">
          <cell r="G636">
            <v>1.5972222222222499E-3</v>
          </cell>
        </row>
        <row r="637">
          <cell r="G637">
            <v>2.2800925925925419E-3</v>
          </cell>
        </row>
        <row r="638">
          <cell r="G638">
            <v>3.4606481481482265E-3</v>
          </cell>
        </row>
        <row r="639">
          <cell r="G639">
            <v>1.2905092592592593E-2</v>
          </cell>
        </row>
        <row r="640">
          <cell r="G640">
            <v>1.2395833333333328E-2</v>
          </cell>
        </row>
        <row r="641">
          <cell r="G641">
            <v>1.2592592592592544E-2</v>
          </cell>
        </row>
        <row r="642">
          <cell r="G642">
            <v>1.2685185185185188E-2</v>
          </cell>
        </row>
        <row r="643">
          <cell r="G643">
            <v>1.1597222222222259E-2</v>
          </cell>
        </row>
        <row r="644">
          <cell r="G644">
            <v>7.314814814814774E-3</v>
          </cell>
        </row>
        <row r="645">
          <cell r="G645">
            <v>4.0740740740741188E-3</v>
          </cell>
        </row>
        <row r="646">
          <cell r="G646">
            <v>1.0891203703703667E-2</v>
          </cell>
        </row>
        <row r="647">
          <cell r="G647">
            <v>2.4074074074074137E-3</v>
          </cell>
        </row>
        <row r="648">
          <cell r="G648">
            <v>7.8703703703703609E-3</v>
          </cell>
        </row>
        <row r="649">
          <cell r="G649">
            <v>2.6504629629629517E-3</v>
          </cell>
        </row>
        <row r="650">
          <cell r="G650">
            <v>4.1087962962963465E-3</v>
          </cell>
        </row>
        <row r="651">
          <cell r="G651">
            <v>4.6875000000000666E-3</v>
          </cell>
        </row>
        <row r="652">
          <cell r="G652">
            <v>1.1180555555555527E-2</v>
          </cell>
        </row>
        <row r="653">
          <cell r="G653">
            <v>7.222222222222241E-3</v>
          </cell>
        </row>
        <row r="654">
          <cell r="G654">
            <v>7.4074074074073071E-3</v>
          </cell>
        </row>
        <row r="655">
          <cell r="G655">
            <v>6.2152777777777501E-3</v>
          </cell>
        </row>
        <row r="656">
          <cell r="G656">
            <v>5.0578703703704209E-3</v>
          </cell>
        </row>
        <row r="657">
          <cell r="G657">
            <v>9.791666666666643E-3</v>
          </cell>
        </row>
        <row r="658">
          <cell r="G658">
            <v>1.7696759259259287E-2</v>
          </cell>
        </row>
        <row r="659">
          <cell r="G659">
            <v>5.8912037037036624E-3</v>
          </cell>
        </row>
        <row r="660">
          <cell r="G660">
            <v>2.1817129629629561E-2</v>
          </cell>
        </row>
        <row r="661">
          <cell r="G661">
            <v>2.0601851851852482E-3</v>
          </cell>
        </row>
        <row r="662">
          <cell r="G662">
            <v>3.1435185185185288E-2</v>
          </cell>
        </row>
        <row r="663">
          <cell r="G663">
            <v>2.9629629629629561E-2</v>
          </cell>
        </row>
        <row r="664">
          <cell r="G664">
            <v>2.9872685185185266E-2</v>
          </cell>
        </row>
        <row r="665">
          <cell r="G665">
            <v>2.4155092592592631E-2</v>
          </cell>
        </row>
        <row r="666">
          <cell r="G666">
            <v>2.9189814814814863E-2</v>
          </cell>
        </row>
        <row r="667">
          <cell r="G667">
            <v>2.7175925925925881E-2</v>
          </cell>
        </row>
        <row r="668">
          <cell r="G668">
            <v>2.4039351851851798E-2</v>
          </cell>
        </row>
        <row r="669">
          <cell r="G669">
            <v>1.8194444444444402E-2</v>
          </cell>
        </row>
        <row r="670">
          <cell r="G670">
            <v>2.0960648148148131E-2</v>
          </cell>
        </row>
        <row r="671">
          <cell r="G671">
            <v>2.9398148148148673E-3</v>
          </cell>
        </row>
        <row r="672">
          <cell r="G672">
            <v>4.4675925925925508E-3</v>
          </cell>
        </row>
        <row r="673">
          <cell r="G673">
            <v>1.4502314814814787E-2</v>
          </cell>
        </row>
        <row r="674">
          <cell r="G674">
            <v>2.9976851851851727E-3</v>
          </cell>
        </row>
        <row r="675">
          <cell r="G675">
            <v>2.2106481481481977E-3</v>
          </cell>
        </row>
        <row r="676">
          <cell r="G676">
            <v>2.3321759259259389E-2</v>
          </cell>
        </row>
        <row r="677">
          <cell r="G677">
            <v>1.5439814814814712E-2</v>
          </cell>
        </row>
        <row r="678">
          <cell r="G678">
            <v>4.0393518518518912E-3</v>
          </cell>
        </row>
        <row r="679">
          <cell r="G679">
            <v>9.8032407407406819E-3</v>
          </cell>
        </row>
        <row r="680">
          <cell r="G680">
            <v>3.958333333333286E-3</v>
          </cell>
        </row>
        <row r="681">
          <cell r="G681">
            <v>1.4421296296296404E-2</v>
          </cell>
        </row>
        <row r="682">
          <cell r="G682">
            <v>9.0509259259259345E-3</v>
          </cell>
        </row>
        <row r="683">
          <cell r="G683">
            <v>1.7476851851850883E-3</v>
          </cell>
        </row>
        <row r="684">
          <cell r="G684">
            <v>4.9305555555554381E-3</v>
          </cell>
        </row>
        <row r="685">
          <cell r="G685">
            <v>3.854166666666714E-3</v>
          </cell>
        </row>
        <row r="686">
          <cell r="G686">
            <v>4.0972222222221966E-3</v>
          </cell>
        </row>
        <row r="687">
          <cell r="G687">
            <v>2.6388888888889683E-3</v>
          </cell>
        </row>
        <row r="688">
          <cell r="G688">
            <v>1.5856481481481E-3</v>
          </cell>
        </row>
        <row r="689">
          <cell r="G689">
            <v>3.553240740740593E-3</v>
          </cell>
        </row>
        <row r="690">
          <cell r="G690">
            <v>2.9976851851851727E-3</v>
          </cell>
        </row>
        <row r="691">
          <cell r="G691">
            <v>2.2337962962962754E-3</v>
          </cell>
        </row>
        <row r="692">
          <cell r="G692">
            <v>1.585648148148211E-3</v>
          </cell>
        </row>
        <row r="693">
          <cell r="G693">
            <v>1.7708333333333881E-3</v>
          </cell>
        </row>
        <row r="694">
          <cell r="G694">
            <v>2.476851851851869E-3</v>
          </cell>
        </row>
        <row r="695">
          <cell r="G695">
            <v>2.0138888888888706E-3</v>
          </cell>
        </row>
        <row r="696">
          <cell r="G696">
            <v>1.5277777777777946E-3</v>
          </cell>
        </row>
        <row r="697">
          <cell r="G697">
            <v>1.5740740740740056E-3</v>
          </cell>
        </row>
        <row r="698">
          <cell r="G698">
            <v>1.4039351851851845E-2</v>
          </cell>
        </row>
        <row r="699">
          <cell r="G699">
            <v>1.5740740740741166E-3</v>
          </cell>
        </row>
        <row r="700">
          <cell r="G700">
            <v>4.3634259259258679E-3</v>
          </cell>
        </row>
        <row r="701">
          <cell r="G701">
            <v>1.1111111111111183E-2</v>
          </cell>
        </row>
        <row r="702">
          <cell r="G702">
            <v>1.585648148148211E-3</v>
          </cell>
        </row>
        <row r="703">
          <cell r="G703">
            <v>2.0127314814814834E-2</v>
          </cell>
        </row>
        <row r="704">
          <cell r="G704">
            <v>1.7592592592592937E-3</v>
          </cell>
        </row>
        <row r="705">
          <cell r="G705">
            <v>3.2986111111111271E-3</v>
          </cell>
        </row>
        <row r="706">
          <cell r="G706">
            <v>1.8055555555555047E-3</v>
          </cell>
        </row>
        <row r="707">
          <cell r="G707">
            <v>1.2893518518518499E-2</v>
          </cell>
        </row>
        <row r="708">
          <cell r="G708">
            <v>2.1527777777777812E-3</v>
          </cell>
        </row>
        <row r="709">
          <cell r="G709">
            <v>1.0567129629629579E-2</v>
          </cell>
        </row>
        <row r="710">
          <cell r="G710">
            <v>2.4305555555556024E-3</v>
          </cell>
        </row>
        <row r="711">
          <cell r="G711">
            <v>2.2962962962962963E-2</v>
          </cell>
        </row>
        <row r="712">
          <cell r="G712">
            <v>1.5509259259259833E-3</v>
          </cell>
        </row>
        <row r="713">
          <cell r="G713">
            <v>2.8356481481481843E-3</v>
          </cell>
        </row>
        <row r="714">
          <cell r="G714">
            <v>3.3217592592592604E-3</v>
          </cell>
        </row>
        <row r="715">
          <cell r="G715">
            <v>1.5266203703703685E-2</v>
          </cell>
        </row>
        <row r="716">
          <cell r="G716">
            <v>1.4178240740740811E-2</v>
          </cell>
        </row>
        <row r="717">
          <cell r="G717">
            <v>1.8263888888888857E-2</v>
          </cell>
        </row>
        <row r="718">
          <cell r="G718">
            <v>7.4421296296296457E-3</v>
          </cell>
        </row>
        <row r="719">
          <cell r="G719">
            <v>2.5219907407407427E-2</v>
          </cell>
        </row>
        <row r="720">
          <cell r="G720">
            <v>2.6319444444444451E-2</v>
          </cell>
        </row>
        <row r="721">
          <cell r="G721">
            <v>1.5625000000000222E-3</v>
          </cell>
        </row>
        <row r="722">
          <cell r="G722">
            <v>2.4421296296296413E-3</v>
          </cell>
        </row>
        <row r="723">
          <cell r="G723">
            <v>1.923611111111112E-2</v>
          </cell>
        </row>
        <row r="724">
          <cell r="G724">
            <v>1.5393518518518334E-3</v>
          </cell>
        </row>
        <row r="725">
          <cell r="G725">
            <v>4.7337962962962221E-3</v>
          </cell>
        </row>
        <row r="726">
          <cell r="G726">
            <v>3.6342592592592537E-3</v>
          </cell>
        </row>
        <row r="727">
          <cell r="G727">
            <v>4.2592592592592404E-3</v>
          </cell>
        </row>
        <row r="728">
          <cell r="G728">
            <v>1.5115740740740735E-2</v>
          </cell>
        </row>
        <row r="729">
          <cell r="G729">
            <v>8.4143518518518534E-3</v>
          </cell>
        </row>
        <row r="730">
          <cell r="G730">
            <v>7.8935185185184942E-3</v>
          </cell>
        </row>
        <row r="731">
          <cell r="G731">
            <v>1.6435185185185719E-3</v>
          </cell>
        </row>
        <row r="732">
          <cell r="G732">
            <v>6.4699074074073826E-3</v>
          </cell>
        </row>
        <row r="733">
          <cell r="G733">
            <v>6.7592592592591871E-3</v>
          </cell>
        </row>
        <row r="734">
          <cell r="G734">
            <v>6.030092592592573E-3</v>
          </cell>
        </row>
        <row r="735">
          <cell r="G735">
            <v>3.2754629629629939E-3</v>
          </cell>
        </row>
        <row r="736">
          <cell r="G736">
            <v>1.0381944444444402E-2</v>
          </cell>
        </row>
        <row r="737">
          <cell r="G737">
            <v>8.854166666666663E-3</v>
          </cell>
        </row>
        <row r="738">
          <cell r="G738">
            <v>2.1180555555555536E-3</v>
          </cell>
        </row>
        <row r="739">
          <cell r="G739">
            <v>5.3124999999999978E-3</v>
          </cell>
        </row>
        <row r="740">
          <cell r="G740">
            <v>4.8726851851851327E-3</v>
          </cell>
        </row>
        <row r="741">
          <cell r="G741">
            <v>1.0104166666666692E-2</v>
          </cell>
        </row>
        <row r="742">
          <cell r="G742">
            <v>3.1944444444444442E-2</v>
          </cell>
        </row>
        <row r="743">
          <cell r="G743">
            <v>3.854166666666603E-3</v>
          </cell>
        </row>
        <row r="744">
          <cell r="G744">
            <v>2.3263888888888085E-3</v>
          </cell>
        </row>
        <row r="745">
          <cell r="G745">
            <v>2.2337962962962976E-2</v>
          </cell>
        </row>
        <row r="746">
          <cell r="G746">
            <v>1.5150462962963018E-2</v>
          </cell>
        </row>
        <row r="747">
          <cell r="G747">
            <v>1.4155092592592622E-2</v>
          </cell>
        </row>
        <row r="748">
          <cell r="G748">
            <v>8.6921296296296191E-3</v>
          </cell>
        </row>
        <row r="749">
          <cell r="G749">
            <v>1.295138888888886E-2</v>
          </cell>
        </row>
        <row r="750">
          <cell r="G750">
            <v>8.7384259259259411E-3</v>
          </cell>
        </row>
        <row r="751">
          <cell r="G751">
            <v>8.3796296296296258E-3</v>
          </cell>
        </row>
        <row r="752">
          <cell r="G752">
            <v>4.155092592592613E-3</v>
          </cell>
        </row>
        <row r="753">
          <cell r="G753">
            <v>1.5046296296296058E-3</v>
          </cell>
        </row>
        <row r="754">
          <cell r="G754">
            <v>8.7037037037037135E-3</v>
          </cell>
        </row>
        <row r="755">
          <cell r="G755">
            <v>1.6087962962962887E-3</v>
          </cell>
        </row>
        <row r="756">
          <cell r="G756">
            <v>5.1504629629629539E-3</v>
          </cell>
        </row>
        <row r="757">
          <cell r="G757">
            <v>1.5277777777777946E-3</v>
          </cell>
        </row>
        <row r="758">
          <cell r="G758">
            <v>8.6342592592592582E-3</v>
          </cell>
        </row>
        <row r="759">
          <cell r="G759">
            <v>5.1504629629630094E-3</v>
          </cell>
        </row>
        <row r="760">
          <cell r="G760">
            <v>1.2256944444444362E-2</v>
          </cell>
        </row>
        <row r="761">
          <cell r="G761">
            <v>1.5393518518518889E-3</v>
          </cell>
        </row>
        <row r="762">
          <cell r="G762">
            <v>9.9537037037036868E-3</v>
          </cell>
        </row>
        <row r="763">
          <cell r="G763">
            <v>4.155092592592613E-3</v>
          </cell>
        </row>
        <row r="764">
          <cell r="G764">
            <v>6.4583333333332882E-3</v>
          </cell>
        </row>
        <row r="765">
          <cell r="G765">
            <v>2.6967592592592182E-3</v>
          </cell>
        </row>
        <row r="766">
          <cell r="G766">
            <v>5.4513888888888529E-3</v>
          </cell>
        </row>
        <row r="767">
          <cell r="G767">
            <v>1.4618055555555565E-2</v>
          </cell>
        </row>
        <row r="768">
          <cell r="G768">
            <v>1.2812500000000004E-2</v>
          </cell>
        </row>
        <row r="769">
          <cell r="G769">
            <v>2.0949074074073648E-3</v>
          </cell>
        </row>
        <row r="770">
          <cell r="G770">
            <v>1.1458333333333237E-2</v>
          </cell>
        </row>
        <row r="771">
          <cell r="G771">
            <v>9.5023148148148384E-3</v>
          </cell>
        </row>
        <row r="772">
          <cell r="G772">
            <v>9.444444444444422E-3</v>
          </cell>
        </row>
        <row r="773">
          <cell r="G773">
            <v>2.4780092592592562E-2</v>
          </cell>
        </row>
        <row r="774">
          <cell r="G774">
            <v>6.180555555555578E-3</v>
          </cell>
        </row>
        <row r="775">
          <cell r="G775">
            <v>1.3726851851851851E-2</v>
          </cell>
        </row>
        <row r="776">
          <cell r="G776">
            <v>8.8541666666666075E-3</v>
          </cell>
        </row>
        <row r="777">
          <cell r="G777">
            <v>2.7430555555554292E-3</v>
          </cell>
        </row>
        <row r="778">
          <cell r="G778">
            <v>1.5393518518518334E-3</v>
          </cell>
        </row>
        <row r="779">
          <cell r="G779">
            <v>1.375000000000004E-2</v>
          </cell>
        </row>
        <row r="780">
          <cell r="G780">
            <v>2.0150462962962967E-2</v>
          </cell>
        </row>
        <row r="781">
          <cell r="G781">
            <v>1.5509259259258723E-3</v>
          </cell>
        </row>
        <row r="782">
          <cell r="G782">
            <v>1.1412037037037082E-2</v>
          </cell>
        </row>
        <row r="783">
          <cell r="G783">
            <v>1.0474537037036935E-2</v>
          </cell>
        </row>
        <row r="784">
          <cell r="G784">
            <v>7.8240740740740389E-3</v>
          </cell>
        </row>
        <row r="785">
          <cell r="G785">
            <v>2.0648148148148193E-2</v>
          </cell>
        </row>
        <row r="786">
          <cell r="G786">
            <v>1.5972222222222499E-3</v>
          </cell>
        </row>
        <row r="787">
          <cell r="G787">
            <v>2.2453703703704253E-3</v>
          </cell>
        </row>
        <row r="788">
          <cell r="G788">
            <v>2.9282407407407174E-3</v>
          </cell>
        </row>
        <row r="789">
          <cell r="G789">
            <v>1.0636574074074034E-2</v>
          </cell>
        </row>
        <row r="790">
          <cell r="G790">
            <v>1.5046296296297168E-3</v>
          </cell>
        </row>
        <row r="791">
          <cell r="G791">
            <v>7.4074074074073071E-3</v>
          </cell>
        </row>
        <row r="792">
          <cell r="G792">
            <v>1.5740740740740611E-3</v>
          </cell>
        </row>
        <row r="793">
          <cell r="G793">
            <v>1.5277777777777946E-3</v>
          </cell>
        </row>
        <row r="794">
          <cell r="G794">
            <v>9.3865740740740611E-3</v>
          </cell>
        </row>
        <row r="795">
          <cell r="G795">
            <v>4.1435185185184631E-3</v>
          </cell>
        </row>
        <row r="796">
          <cell r="G796">
            <v>1.0752314814814756E-2</v>
          </cell>
        </row>
        <row r="797">
          <cell r="G797">
            <v>7.0833333333333304E-3</v>
          </cell>
        </row>
        <row r="798">
          <cell r="G798">
            <v>3.9236111111111693E-3</v>
          </cell>
        </row>
        <row r="799">
          <cell r="G799">
            <v>1.0289351851851869E-2</v>
          </cell>
        </row>
        <row r="800">
          <cell r="G800">
            <v>2.5000000000000577E-3</v>
          </cell>
        </row>
        <row r="801">
          <cell r="G801">
            <v>9.7685185185185652E-3</v>
          </cell>
        </row>
        <row r="802">
          <cell r="G802">
            <v>3.854166666666603E-3</v>
          </cell>
        </row>
        <row r="803">
          <cell r="G803">
            <v>7.5694444444445175E-3</v>
          </cell>
        </row>
        <row r="804">
          <cell r="G804">
            <v>5.0347222222222321E-3</v>
          </cell>
        </row>
        <row r="805">
          <cell r="G805">
            <v>4.4444444444445841E-3</v>
          </cell>
        </row>
        <row r="806">
          <cell r="G806">
            <v>1.8680555555555589E-2</v>
          </cell>
        </row>
        <row r="807">
          <cell r="G807">
            <v>2.0601851851851372E-3</v>
          </cell>
        </row>
        <row r="808">
          <cell r="G808">
            <v>1.9212962962962266E-3</v>
          </cell>
        </row>
        <row r="809">
          <cell r="G809">
            <v>7.1643518518518245E-3</v>
          </cell>
        </row>
        <row r="810">
          <cell r="G810">
            <v>1.6435185185185164E-3</v>
          </cell>
        </row>
        <row r="811">
          <cell r="G811">
            <v>1.4837962962963025E-2</v>
          </cell>
        </row>
        <row r="812">
          <cell r="G812">
            <v>1.7407407407407427E-2</v>
          </cell>
        </row>
        <row r="813">
          <cell r="G813">
            <v>8.9699074074074403E-3</v>
          </cell>
        </row>
        <row r="814">
          <cell r="G814">
            <v>1.0289351851851869E-2</v>
          </cell>
        </row>
        <row r="815">
          <cell r="G815">
            <v>7.8125E-3</v>
          </cell>
        </row>
        <row r="816">
          <cell r="G816">
            <v>8.9120370370370239E-3</v>
          </cell>
        </row>
        <row r="817">
          <cell r="G817">
            <v>2.2939814814814774E-2</v>
          </cell>
        </row>
        <row r="818">
          <cell r="G818">
            <v>1.5046296296297168E-3</v>
          </cell>
        </row>
        <row r="819">
          <cell r="G819">
            <v>1.1493055555555687E-2</v>
          </cell>
        </row>
        <row r="820">
          <cell r="G820">
            <v>9.1435185185184675E-3</v>
          </cell>
        </row>
        <row r="821">
          <cell r="G821">
            <v>1.2986111111111143E-2</v>
          </cell>
        </row>
        <row r="822">
          <cell r="G822">
            <v>1.2314814814814778E-2</v>
          </cell>
        </row>
        <row r="823">
          <cell r="G823">
            <v>4.8842592592593936E-3</v>
          </cell>
        </row>
        <row r="824">
          <cell r="G824">
            <v>1.9618055555555514E-2</v>
          </cell>
        </row>
        <row r="825">
          <cell r="G825">
            <v>1.1944444444444369E-2</v>
          </cell>
        </row>
        <row r="826">
          <cell r="G826">
            <v>7.9050925925925886E-3</v>
          </cell>
        </row>
        <row r="827">
          <cell r="G827">
            <v>4.0046296296296635E-3</v>
          </cell>
        </row>
        <row r="828">
          <cell r="G828">
            <v>5.3124999999999423E-3</v>
          </cell>
        </row>
        <row r="829">
          <cell r="G829">
            <v>1.2430555555555556E-2</v>
          </cell>
        </row>
        <row r="830">
          <cell r="G830">
            <v>1.0775462962963001E-2</v>
          </cell>
        </row>
        <row r="831">
          <cell r="G831">
            <v>9.9305555555555536E-3</v>
          </cell>
        </row>
        <row r="832">
          <cell r="G832">
            <v>1.0810185185185228E-2</v>
          </cell>
        </row>
        <row r="833">
          <cell r="G833">
            <v>2.6620370370371016E-3</v>
          </cell>
        </row>
        <row r="834">
          <cell r="G834">
            <v>1.1805555555555569E-2</v>
          </cell>
        </row>
        <row r="835">
          <cell r="G835">
            <v>1.2106481481481524E-2</v>
          </cell>
        </row>
        <row r="836">
          <cell r="G836">
            <v>1.1678240740740753E-2</v>
          </cell>
        </row>
        <row r="837">
          <cell r="G837">
            <v>1.4699074074074892E-3</v>
          </cell>
        </row>
        <row r="838">
          <cell r="G838">
            <v>1.4583333333333393E-3</v>
          </cell>
        </row>
        <row r="839">
          <cell r="G839">
            <v>8.9814814814814792E-3</v>
          </cell>
        </row>
        <row r="840">
          <cell r="G840">
            <v>8.0439814814814437E-3</v>
          </cell>
        </row>
        <row r="841">
          <cell r="G841">
            <v>1.1041666666666672E-2</v>
          </cell>
        </row>
        <row r="842">
          <cell r="G842">
            <v>1.4583333333333393E-3</v>
          </cell>
        </row>
        <row r="843">
          <cell r="G843">
            <v>1.5277777777777835E-2</v>
          </cell>
        </row>
        <row r="844">
          <cell r="G844">
            <v>1.7708333333333326E-2</v>
          </cell>
        </row>
        <row r="845">
          <cell r="G845">
            <v>1.3854166666666667E-2</v>
          </cell>
        </row>
        <row r="846">
          <cell r="G846">
            <v>1.1307870370370343E-2</v>
          </cell>
        </row>
        <row r="847">
          <cell r="G847">
            <v>5.4282407407407196E-3</v>
          </cell>
        </row>
        <row r="848">
          <cell r="G848">
            <v>7.8703703703704164E-3</v>
          </cell>
        </row>
        <row r="849">
          <cell r="G849">
            <v>2.3726851851852415E-3</v>
          </cell>
        </row>
        <row r="850">
          <cell r="G850">
            <v>2.5462962962963243E-3</v>
          </cell>
        </row>
        <row r="851">
          <cell r="G851">
            <v>1.4537037037037071E-2</v>
          </cell>
        </row>
        <row r="852">
          <cell r="G852">
            <v>8.8541666666666075E-3</v>
          </cell>
        </row>
        <row r="853">
          <cell r="G853">
            <v>7.1874999999999578E-3</v>
          </cell>
        </row>
        <row r="854">
          <cell r="G854">
            <v>4.1087962962962354E-3</v>
          </cell>
        </row>
        <row r="855">
          <cell r="G855">
            <v>2.8240740740740899E-3</v>
          </cell>
        </row>
        <row r="856">
          <cell r="G856">
            <v>1.5625000000000222E-3</v>
          </cell>
        </row>
        <row r="857">
          <cell r="G857">
            <v>4.1782407407408018E-3</v>
          </cell>
        </row>
        <row r="858">
          <cell r="G858">
            <v>1.1226851851851904E-2</v>
          </cell>
        </row>
        <row r="859">
          <cell r="G859">
            <v>9.8958333333333259E-3</v>
          </cell>
        </row>
        <row r="860">
          <cell r="G860">
            <v>1.5046296296296058E-3</v>
          </cell>
        </row>
        <row r="861">
          <cell r="G861">
            <v>1.3668981481481435E-2</v>
          </cell>
        </row>
        <row r="862">
          <cell r="G862">
            <v>1.4583333333333393E-3</v>
          </cell>
        </row>
        <row r="863">
          <cell r="G863">
            <v>3.3796296296295658E-3</v>
          </cell>
        </row>
        <row r="864">
          <cell r="G864">
            <v>1.6435185185185164E-3</v>
          </cell>
        </row>
        <row r="865">
          <cell r="G865">
            <v>1.2407407407407423E-2</v>
          </cell>
        </row>
        <row r="866">
          <cell r="G866">
            <v>1.1319444444444438E-2</v>
          </cell>
        </row>
        <row r="867">
          <cell r="G867">
            <v>7.2800925925925464E-3</v>
          </cell>
        </row>
        <row r="868">
          <cell r="G868">
            <v>1.5949074074074088E-2</v>
          </cell>
        </row>
        <row r="869">
          <cell r="G869">
            <v>5.4050925925925863E-3</v>
          </cell>
        </row>
        <row r="870">
          <cell r="G870">
            <v>3.8078703703703365E-3</v>
          </cell>
        </row>
        <row r="871">
          <cell r="G871">
            <v>1.481481481481417E-3</v>
          </cell>
        </row>
        <row r="872">
          <cell r="G872">
            <v>1.7592592592592382E-3</v>
          </cell>
        </row>
        <row r="873">
          <cell r="G873">
            <v>3.3101851851851882E-2</v>
          </cell>
        </row>
        <row r="874">
          <cell r="G874">
            <v>1.5046296296294948E-3</v>
          </cell>
        </row>
        <row r="875">
          <cell r="G875">
            <v>1.0902777777777817E-2</v>
          </cell>
        </row>
        <row r="876">
          <cell r="G876">
            <v>1.4583333333333393E-3</v>
          </cell>
        </row>
        <row r="877">
          <cell r="G877">
            <v>1.054398148148139E-2</v>
          </cell>
        </row>
        <row r="878">
          <cell r="G878">
            <v>1.3703703703703773E-2</v>
          </cell>
        </row>
        <row r="879">
          <cell r="G879">
            <v>6.9328703703703809E-3</v>
          </cell>
        </row>
        <row r="880">
          <cell r="G880">
            <v>1.0821759259259212E-2</v>
          </cell>
        </row>
        <row r="881">
          <cell r="G881">
            <v>8.6111111111111249E-3</v>
          </cell>
        </row>
        <row r="882">
          <cell r="G882">
            <v>3.6111111111110095E-3</v>
          </cell>
        </row>
        <row r="883">
          <cell r="G883">
            <v>1.3611111111111129E-2</v>
          </cell>
        </row>
        <row r="884">
          <cell r="G884">
            <v>9.1550925925925064E-3</v>
          </cell>
        </row>
        <row r="885">
          <cell r="G885">
            <v>2.6388888888888573E-3</v>
          </cell>
        </row>
        <row r="886">
          <cell r="G886">
            <v>1.6435185185185164E-3</v>
          </cell>
        </row>
        <row r="887">
          <cell r="G887">
            <v>8.4837962962963642E-3</v>
          </cell>
        </row>
        <row r="888">
          <cell r="G888">
            <v>1.4467592592591894E-3</v>
          </cell>
        </row>
        <row r="889">
          <cell r="G889">
            <v>4.3171296296296013E-3</v>
          </cell>
        </row>
        <row r="890">
          <cell r="G890">
            <v>2.3379629629629584E-3</v>
          </cell>
        </row>
        <row r="891">
          <cell r="G891">
            <v>1.5393518518518334E-3</v>
          </cell>
        </row>
        <row r="892">
          <cell r="G892">
            <v>2.1180555555555536E-3</v>
          </cell>
        </row>
        <row r="893">
          <cell r="G893">
            <v>2.1874999999998979E-3</v>
          </cell>
        </row>
        <row r="894">
          <cell r="G894">
            <v>6.3657407407408106E-3</v>
          </cell>
        </row>
        <row r="895">
          <cell r="G895">
            <v>7.465277777777779E-3</v>
          </cell>
        </row>
        <row r="896">
          <cell r="G896">
            <v>7.5231481481481399E-3</v>
          </cell>
        </row>
        <row r="897">
          <cell r="G897">
            <v>1.7129629629629162E-3</v>
          </cell>
        </row>
        <row r="898">
          <cell r="G898">
            <v>3.2986111111110716E-3</v>
          </cell>
        </row>
        <row r="899">
          <cell r="G899">
            <v>9.1087962962962954E-3</v>
          </cell>
        </row>
        <row r="900">
          <cell r="G900">
            <v>1.6898148148148384E-3</v>
          </cell>
        </row>
        <row r="901">
          <cell r="G901">
            <v>3.2175925925925775E-3</v>
          </cell>
        </row>
        <row r="902">
          <cell r="G902">
            <v>6.6203703703703876E-3</v>
          </cell>
        </row>
        <row r="903">
          <cell r="G903">
            <v>1.6087962962962887E-3</v>
          </cell>
        </row>
        <row r="904">
          <cell r="G904">
            <v>1.4814814814814725E-3</v>
          </cell>
        </row>
        <row r="905">
          <cell r="G905">
            <v>1.481481481481528E-3</v>
          </cell>
        </row>
        <row r="906">
          <cell r="G906">
            <v>8.8541666666667185E-3</v>
          </cell>
        </row>
        <row r="907">
          <cell r="G907">
            <v>1.5162037037037557E-3</v>
          </cell>
        </row>
        <row r="908">
          <cell r="G908">
            <v>1.1319444444444438E-2</v>
          </cell>
        </row>
        <row r="909">
          <cell r="G909">
            <v>2.8587962962963731E-3</v>
          </cell>
        </row>
        <row r="910">
          <cell r="G910">
            <v>8.2754629629629983E-3</v>
          </cell>
        </row>
        <row r="911">
          <cell r="G911">
            <v>2.2222222222222365E-3</v>
          </cell>
        </row>
        <row r="912">
          <cell r="G912">
            <v>9.5601851851851993E-3</v>
          </cell>
        </row>
        <row r="913">
          <cell r="G913">
            <v>7.9976851851851216E-3</v>
          </cell>
        </row>
        <row r="914">
          <cell r="G914">
            <v>6.7939814814814703E-3</v>
          </cell>
        </row>
        <row r="915">
          <cell r="G915">
            <v>1.4699074074074336E-3</v>
          </cell>
        </row>
        <row r="916">
          <cell r="G916">
            <v>6.4930555555555713E-3</v>
          </cell>
        </row>
        <row r="917">
          <cell r="G917">
            <v>8.3796296296296813E-3</v>
          </cell>
        </row>
        <row r="918">
          <cell r="G918">
            <v>5.4976851851851194E-3</v>
          </cell>
        </row>
        <row r="919">
          <cell r="G919">
            <v>8.0439814814814992E-3</v>
          </cell>
        </row>
        <row r="920">
          <cell r="G920">
            <v>1.4467592592592449E-3</v>
          </cell>
        </row>
        <row r="921">
          <cell r="G921">
            <v>1.6203703703703831E-3</v>
          </cell>
        </row>
        <row r="922">
          <cell r="G922">
            <v>2.7314814814814459E-3</v>
          </cell>
        </row>
        <row r="923">
          <cell r="G923">
            <v>1.9560185185185097E-3</v>
          </cell>
        </row>
        <row r="924">
          <cell r="G924">
            <v>1.6319444444444775E-3</v>
          </cell>
        </row>
        <row r="925">
          <cell r="G925">
            <v>4.0624999999999689E-3</v>
          </cell>
        </row>
        <row r="926">
          <cell r="G926">
            <v>5.7060185185185408E-3</v>
          </cell>
        </row>
        <row r="927">
          <cell r="G927">
            <v>7.6967592592592782E-3</v>
          </cell>
        </row>
        <row r="928">
          <cell r="G928">
            <v>9.9421296296295925E-3</v>
          </cell>
        </row>
        <row r="929">
          <cell r="G929">
            <v>6.7476851851853148E-3</v>
          </cell>
        </row>
        <row r="930">
          <cell r="G930">
            <v>1.0763888888888906E-2</v>
          </cell>
        </row>
        <row r="931">
          <cell r="G931">
            <v>2.2685185185185031E-3</v>
          </cell>
        </row>
        <row r="932">
          <cell r="G932">
            <v>1.7361111111111605E-3</v>
          </cell>
        </row>
        <row r="933">
          <cell r="G933">
            <v>9.2476851851852615E-3</v>
          </cell>
        </row>
        <row r="934">
          <cell r="G934">
            <v>9.4560185185184054E-3</v>
          </cell>
        </row>
        <row r="935">
          <cell r="G935">
            <v>8.703703703703658E-3</v>
          </cell>
        </row>
        <row r="936">
          <cell r="G936">
            <v>7.8472222222222276E-3</v>
          </cell>
        </row>
        <row r="937">
          <cell r="G937">
            <v>1.4699074074074892E-3</v>
          </cell>
        </row>
        <row r="938">
          <cell r="G938">
            <v>1.3726851851851851E-2</v>
          </cell>
        </row>
        <row r="939">
          <cell r="G939">
            <v>1.7025462962963034E-2</v>
          </cell>
        </row>
        <row r="940">
          <cell r="G940">
            <v>1.6412037037037086E-2</v>
          </cell>
        </row>
        <row r="941">
          <cell r="G941">
            <v>1.1018518518518539E-2</v>
          </cell>
        </row>
        <row r="942">
          <cell r="G942">
            <v>5.138888888888804E-3</v>
          </cell>
        </row>
        <row r="943">
          <cell r="G943">
            <v>2.7199074074074625E-3</v>
          </cell>
        </row>
        <row r="944">
          <cell r="G944">
            <v>1.7708333333332771E-3</v>
          </cell>
        </row>
        <row r="945">
          <cell r="G945">
            <v>7.7893518518518112E-3</v>
          </cell>
        </row>
        <row r="946">
          <cell r="G946">
            <v>1.5625000000000222E-3</v>
          </cell>
        </row>
        <row r="947">
          <cell r="G947">
            <v>6.2499999999999778E-3</v>
          </cell>
        </row>
        <row r="948">
          <cell r="G948">
            <v>1.5023148148148091E-2</v>
          </cell>
        </row>
        <row r="949">
          <cell r="G949">
            <v>1.664351851851853E-2</v>
          </cell>
        </row>
        <row r="950">
          <cell r="G950">
            <v>1.1238425925925943E-2</v>
          </cell>
        </row>
        <row r="951">
          <cell r="G951">
            <v>1.1504629629629615E-2</v>
          </cell>
        </row>
        <row r="952">
          <cell r="G952">
            <v>1.7106481481481528E-2</v>
          </cell>
        </row>
        <row r="953">
          <cell r="G953">
            <v>7.6388888888888618E-3</v>
          </cell>
        </row>
        <row r="954">
          <cell r="G954">
            <v>1.2557870370370372E-2</v>
          </cell>
        </row>
        <row r="955">
          <cell r="G955">
            <v>1.2835648148148082E-2</v>
          </cell>
        </row>
        <row r="956">
          <cell r="G956">
            <v>1.2465277777777839E-2</v>
          </cell>
        </row>
        <row r="957">
          <cell r="G957">
            <v>2.1296296296294814E-3</v>
          </cell>
        </row>
        <row r="958">
          <cell r="G958">
            <v>1.4004629629629783E-3</v>
          </cell>
        </row>
        <row r="959">
          <cell r="G959">
            <v>2.1226851851851858E-2</v>
          </cell>
        </row>
        <row r="960">
          <cell r="G960">
            <v>8.1712962962963154E-3</v>
          </cell>
        </row>
        <row r="961">
          <cell r="G961">
            <v>4.7222222222221832E-3</v>
          </cell>
        </row>
        <row r="962">
          <cell r="G962">
            <v>9.0046296296296124E-3</v>
          </cell>
        </row>
        <row r="963">
          <cell r="G963">
            <v>8.2291666666666763E-3</v>
          </cell>
        </row>
        <row r="964">
          <cell r="G964">
            <v>1.4583333333333393E-3</v>
          </cell>
        </row>
        <row r="965">
          <cell r="G965">
            <v>1.5277777777777946E-3</v>
          </cell>
        </row>
        <row r="966">
          <cell r="G966">
            <v>1.7187499999999967E-2</v>
          </cell>
        </row>
        <row r="967">
          <cell r="G967">
            <v>1.4004629629629228E-3</v>
          </cell>
        </row>
        <row r="968">
          <cell r="G968">
            <v>1.9120370370370343E-2</v>
          </cell>
        </row>
        <row r="969">
          <cell r="G969">
            <v>2.1747685185185217E-2</v>
          </cell>
        </row>
        <row r="970">
          <cell r="G970">
            <v>2.3125000000000007E-2</v>
          </cell>
        </row>
        <row r="971">
          <cell r="G971">
            <v>1.2766203703703738E-2</v>
          </cell>
        </row>
        <row r="972">
          <cell r="G972">
            <v>1.4236111111112226E-3</v>
          </cell>
        </row>
        <row r="973">
          <cell r="G973">
            <v>1.4583333333333393E-3</v>
          </cell>
        </row>
        <row r="974">
          <cell r="G974">
            <v>1.1666666666666714E-2</v>
          </cell>
        </row>
        <row r="975">
          <cell r="G975">
            <v>1.4467592592593004E-3</v>
          </cell>
        </row>
        <row r="976">
          <cell r="G976">
            <v>1.5486111111111089E-2</v>
          </cell>
        </row>
        <row r="977">
          <cell r="G977">
            <v>1.1574074074073959E-2</v>
          </cell>
        </row>
        <row r="978">
          <cell r="G978">
            <v>6.6898148148147873E-3</v>
          </cell>
        </row>
        <row r="979">
          <cell r="G979">
            <v>1.0891203703703667E-2</v>
          </cell>
        </row>
        <row r="980">
          <cell r="G980">
            <v>1.4120370370369617E-3</v>
          </cell>
        </row>
        <row r="981">
          <cell r="G981">
            <v>1.1574074074073959E-2</v>
          </cell>
        </row>
        <row r="982">
          <cell r="G982">
            <v>1.7592592592592382E-3</v>
          </cell>
        </row>
        <row r="983">
          <cell r="G983">
            <v>9.8495370370369484E-3</v>
          </cell>
        </row>
        <row r="984">
          <cell r="G984">
            <v>7.5231481481482509E-3</v>
          </cell>
        </row>
        <row r="985">
          <cell r="G985">
            <v>1.2465277777777728E-2</v>
          </cell>
        </row>
        <row r="986">
          <cell r="G986">
            <v>1.5752314814814761E-2</v>
          </cell>
        </row>
        <row r="987">
          <cell r="G987">
            <v>1.4699074074073781E-3</v>
          </cell>
        </row>
        <row r="988">
          <cell r="G988">
            <v>1.0335648148148135E-2</v>
          </cell>
        </row>
        <row r="989">
          <cell r="G989">
            <v>1.8749999999999933E-2</v>
          </cell>
        </row>
        <row r="990">
          <cell r="G990">
            <v>1.9502314814814792E-2</v>
          </cell>
        </row>
        <row r="991">
          <cell r="G991">
            <v>1.6805555555555629E-2</v>
          </cell>
        </row>
        <row r="992">
          <cell r="G992">
            <v>9.7337962962963376E-3</v>
          </cell>
        </row>
        <row r="993">
          <cell r="G993">
            <v>1.4699074074074892E-3</v>
          </cell>
        </row>
        <row r="994">
          <cell r="G994">
            <v>1.0474537037037157E-2</v>
          </cell>
        </row>
        <row r="995">
          <cell r="G995">
            <v>1.4351851851852615E-3</v>
          </cell>
        </row>
        <row r="996">
          <cell r="G996">
            <v>1.4467592592591894E-3</v>
          </cell>
        </row>
        <row r="997">
          <cell r="G997">
            <v>4.0509259259258745E-3</v>
          </cell>
        </row>
        <row r="998">
          <cell r="G998">
            <v>1.388888888888884E-3</v>
          </cell>
        </row>
        <row r="999">
          <cell r="G999">
            <v>1.4699074074073781E-3</v>
          </cell>
        </row>
        <row r="1000">
          <cell r="G1000">
            <v>7.6967592592592782E-3</v>
          </cell>
        </row>
        <row r="1001">
          <cell r="G1001">
            <v>1.435185185185206E-3</v>
          </cell>
        </row>
        <row r="1002">
          <cell r="G1002">
            <v>1.388888888888884E-3</v>
          </cell>
        </row>
        <row r="1003">
          <cell r="G1003">
            <v>6.3657407407406996E-3</v>
          </cell>
        </row>
        <row r="1004">
          <cell r="G1004">
            <v>2.9398148148148673E-3</v>
          </cell>
        </row>
        <row r="1005">
          <cell r="G1005">
            <v>9.2708333333333393E-3</v>
          </cell>
        </row>
        <row r="1006">
          <cell r="G1006">
            <v>6.9444444444444198E-3</v>
          </cell>
        </row>
        <row r="1007">
          <cell r="G1007">
            <v>6.4930555555555713E-3</v>
          </cell>
        </row>
        <row r="1008">
          <cell r="G1008">
            <v>4.6643518518518778E-3</v>
          </cell>
        </row>
        <row r="1009">
          <cell r="G1009">
            <v>5.833333333333246E-3</v>
          </cell>
        </row>
        <row r="1010">
          <cell r="G1010">
            <v>6.9791666666667029E-3</v>
          </cell>
        </row>
        <row r="1011">
          <cell r="G1011">
            <v>1.388888888888884E-3</v>
          </cell>
        </row>
        <row r="1012">
          <cell r="G1012">
            <v>1.3657407407407507E-3</v>
          </cell>
        </row>
        <row r="1013">
          <cell r="G1013">
            <v>1.388888888888884E-3</v>
          </cell>
        </row>
        <row r="1014">
          <cell r="G1014">
            <v>6.5162037037036491E-3</v>
          </cell>
        </row>
        <row r="1015">
          <cell r="G1015">
            <v>8.8078703703703964E-3</v>
          </cell>
        </row>
        <row r="1016">
          <cell r="G1016">
            <v>1.0543981481481557E-2</v>
          </cell>
        </row>
        <row r="1017">
          <cell r="G1017">
            <v>1.1122685185185166E-2</v>
          </cell>
        </row>
        <row r="1018">
          <cell r="G1018">
            <v>3.9467592592593026E-3</v>
          </cell>
        </row>
        <row r="1019">
          <cell r="G1019">
            <v>4.6064814814814614E-3</v>
          </cell>
        </row>
        <row r="1020">
          <cell r="G1020">
            <v>1.5081018518518507E-2</v>
          </cell>
        </row>
        <row r="1021">
          <cell r="G1021">
            <v>2.0601851851851372E-3</v>
          </cell>
        </row>
        <row r="1022">
          <cell r="G1022">
            <v>2.6388888888888573E-3</v>
          </cell>
        </row>
        <row r="1023">
          <cell r="G1023">
            <v>8.9351851851851016E-3</v>
          </cell>
        </row>
        <row r="1024">
          <cell r="G1024">
            <v>4.9652777777777768E-3</v>
          </cell>
        </row>
        <row r="1025">
          <cell r="G1025">
            <v>9.7337962962962266E-3</v>
          </cell>
        </row>
        <row r="1026">
          <cell r="G1026">
            <v>4.6759259259259167E-3</v>
          </cell>
        </row>
        <row r="1027">
          <cell r="G1027">
            <v>5.0347222222222321E-3</v>
          </cell>
        </row>
        <row r="1028">
          <cell r="G1028">
            <v>1.2766203703703738E-2</v>
          </cell>
        </row>
        <row r="1029">
          <cell r="G1029">
            <v>4.3981481481482065E-3</v>
          </cell>
        </row>
        <row r="1030">
          <cell r="G1030">
            <v>7.5694444444444065E-3</v>
          </cell>
        </row>
        <row r="1031">
          <cell r="G1031">
            <v>1.3657407407406952E-3</v>
          </cell>
        </row>
        <row r="1032">
          <cell r="G1032">
            <v>1.6331018518518481E-2</v>
          </cell>
        </row>
        <row r="1033">
          <cell r="G1033">
            <v>1.7777777777777781E-2</v>
          </cell>
        </row>
        <row r="1034">
          <cell r="G1034">
            <v>1.6273148148148064E-2</v>
          </cell>
        </row>
        <row r="1035">
          <cell r="G1035">
            <v>1.4120370370370727E-3</v>
          </cell>
        </row>
        <row r="1036">
          <cell r="G1036">
            <v>1.4004629629630339E-3</v>
          </cell>
        </row>
        <row r="1037">
          <cell r="G1037">
            <v>2.8819444444444509E-3</v>
          </cell>
        </row>
        <row r="1038">
          <cell r="G1038">
            <v>1.4120370370369617E-3</v>
          </cell>
        </row>
        <row r="1039">
          <cell r="G1039">
            <v>9.1782407407408062E-3</v>
          </cell>
        </row>
        <row r="1040">
          <cell r="G1040">
            <v>9.6064814814814659E-3</v>
          </cell>
        </row>
        <row r="1041">
          <cell r="G1041">
            <v>2.1898148148148167E-2</v>
          </cell>
        </row>
        <row r="1042">
          <cell r="G1042">
            <v>1.2604166666666639E-2</v>
          </cell>
        </row>
        <row r="1043">
          <cell r="G1043">
            <v>1.2557870370370372E-2</v>
          </cell>
        </row>
        <row r="1044">
          <cell r="G1044">
            <v>1.5486111111111089E-2</v>
          </cell>
        </row>
        <row r="1045">
          <cell r="G1045">
            <v>2.372685185185297E-3</v>
          </cell>
        </row>
        <row r="1046">
          <cell r="G1046">
            <v>1.3773148148148451E-3</v>
          </cell>
        </row>
        <row r="1047">
          <cell r="G1047">
            <v>1.7708333333333326E-3</v>
          </cell>
        </row>
        <row r="1048">
          <cell r="G1048">
            <v>5.3587962962963198E-3</v>
          </cell>
        </row>
        <row r="1049">
          <cell r="G1049">
            <v>1.5254629629629646E-2</v>
          </cell>
        </row>
        <row r="1050">
          <cell r="G1050">
            <v>1.331018518518523E-2</v>
          </cell>
        </row>
        <row r="1051">
          <cell r="G1051">
            <v>1.4120370370370172E-3</v>
          </cell>
        </row>
        <row r="1052">
          <cell r="G1052">
            <v>5.335648148148131E-3</v>
          </cell>
        </row>
        <row r="1053">
          <cell r="G1053">
            <v>1.901620370370366E-2</v>
          </cell>
        </row>
        <row r="1054">
          <cell r="G1054">
            <v>1.2453703703703745E-2</v>
          </cell>
        </row>
        <row r="1055">
          <cell r="G1055">
            <v>5.486111111111136E-3</v>
          </cell>
        </row>
        <row r="1056">
          <cell r="G1056">
            <v>5.7638888888889017E-3</v>
          </cell>
        </row>
        <row r="1057">
          <cell r="G1057">
            <v>4.5370370370370616E-3</v>
          </cell>
        </row>
        <row r="1058">
          <cell r="G1058">
            <v>3.5416666666666097E-3</v>
          </cell>
        </row>
        <row r="1059">
          <cell r="G1059">
            <v>1.4351851851851505E-3</v>
          </cell>
        </row>
        <row r="1060">
          <cell r="G1060">
            <v>2.9398148148148118E-3</v>
          </cell>
        </row>
        <row r="1061">
          <cell r="G1061">
            <v>5.4629629629630028E-3</v>
          </cell>
        </row>
        <row r="1062">
          <cell r="G1062">
            <v>4.2361111111111072E-3</v>
          </cell>
        </row>
        <row r="1063">
          <cell r="G1063">
            <v>2.1064814814815147E-3</v>
          </cell>
        </row>
        <row r="1064">
          <cell r="G1064">
            <v>1.0092592592592542E-2</v>
          </cell>
        </row>
        <row r="1065">
          <cell r="G1065">
            <v>1.194444444444448E-2</v>
          </cell>
        </row>
        <row r="1066">
          <cell r="G1066">
            <v>7.0486111111111027E-3</v>
          </cell>
        </row>
        <row r="1067">
          <cell r="G1067">
            <v>1.1724537037037075E-2</v>
          </cell>
        </row>
        <row r="1068">
          <cell r="G1068">
            <v>1.3541666666666563E-3</v>
          </cell>
        </row>
        <row r="1069">
          <cell r="G1069">
            <v>1.5972222222221943E-3</v>
          </cell>
        </row>
        <row r="1070">
          <cell r="G1070">
            <v>1.439814814814816E-2</v>
          </cell>
        </row>
        <row r="1071">
          <cell r="G1071">
            <v>1.3541666666666619E-2</v>
          </cell>
        </row>
        <row r="1072">
          <cell r="G1072">
            <v>4.4907407407407951E-3</v>
          </cell>
        </row>
        <row r="1073">
          <cell r="G1073">
            <v>1.4236111111111116E-3</v>
          </cell>
        </row>
        <row r="1074">
          <cell r="G1074">
            <v>1.1180555555555582E-2</v>
          </cell>
        </row>
        <row r="1075">
          <cell r="G1075">
            <v>8.009259259259216E-3</v>
          </cell>
        </row>
        <row r="1076">
          <cell r="G1076">
            <v>8.5763888888889528E-3</v>
          </cell>
        </row>
        <row r="1077">
          <cell r="G1077">
            <v>9.0277777777778012E-3</v>
          </cell>
        </row>
        <row r="1078">
          <cell r="G1078">
            <v>8.2291666666666763E-3</v>
          </cell>
        </row>
        <row r="1079">
          <cell r="G1079">
            <v>1.070601851851849E-2</v>
          </cell>
        </row>
        <row r="1080">
          <cell r="G1080">
            <v>1.0682870370370301E-2</v>
          </cell>
        </row>
        <row r="1081">
          <cell r="G1081">
            <v>6.817129629629548E-3</v>
          </cell>
        </row>
        <row r="1082">
          <cell r="G1082">
            <v>3.6805555555555758E-3</v>
          </cell>
        </row>
        <row r="1083">
          <cell r="G1083">
            <v>3.5879629629629317E-3</v>
          </cell>
        </row>
        <row r="1084">
          <cell r="G1084">
            <v>1.9317129629629615E-2</v>
          </cell>
        </row>
        <row r="1085">
          <cell r="G1085">
            <v>1.2847222222222232E-2</v>
          </cell>
        </row>
        <row r="1086">
          <cell r="G1086">
            <v>1.4849537037037064E-2</v>
          </cell>
        </row>
        <row r="1087">
          <cell r="G1087">
            <v>1.0949074074074083E-2</v>
          </cell>
        </row>
        <row r="1088">
          <cell r="G1088">
            <v>2.3402777777777772E-2</v>
          </cell>
        </row>
        <row r="1089">
          <cell r="G1089">
            <v>8.4953703703704031E-3</v>
          </cell>
        </row>
        <row r="1090">
          <cell r="G1090">
            <v>2.2453703703703698E-2</v>
          </cell>
        </row>
        <row r="1091">
          <cell r="G1091">
            <v>9.5254629629629717E-3</v>
          </cell>
        </row>
        <row r="1092">
          <cell r="G1092">
            <v>2.0937500000000053E-2</v>
          </cell>
        </row>
        <row r="1093">
          <cell r="G1093">
            <v>1.9768518518518574E-2</v>
          </cell>
        </row>
        <row r="1094">
          <cell r="G1094">
            <v>1.9247685185185159E-2</v>
          </cell>
        </row>
        <row r="1095">
          <cell r="G1095">
            <v>1.8333333333333313E-2</v>
          </cell>
        </row>
        <row r="1096">
          <cell r="G1096">
            <v>1.4282407407407383E-2</v>
          </cell>
        </row>
        <row r="1097">
          <cell r="G1097">
            <v>1.1469907407407387E-2</v>
          </cell>
        </row>
        <row r="1098">
          <cell r="G1098">
            <v>1.692129629629624E-2</v>
          </cell>
        </row>
        <row r="1099">
          <cell r="G1099">
            <v>1.4560185185185093E-2</v>
          </cell>
        </row>
        <row r="1100">
          <cell r="G1100">
            <v>2.2569444444444642E-3</v>
          </cell>
        </row>
        <row r="1101">
          <cell r="G1101">
            <v>1.5162037037036447E-3</v>
          </cell>
        </row>
        <row r="1102">
          <cell r="G1102">
            <v>7.6967592592591672E-3</v>
          </cell>
        </row>
        <row r="1103">
          <cell r="G1103">
            <v>8.6342592592593137E-3</v>
          </cell>
        </row>
        <row r="1104">
          <cell r="G1104">
            <v>6.4351851851851549E-3</v>
          </cell>
        </row>
        <row r="1105">
          <cell r="G1105">
            <v>9.68749999999996E-3</v>
          </cell>
        </row>
        <row r="1106">
          <cell r="G1106">
            <v>7.9976851851851771E-3</v>
          </cell>
        </row>
        <row r="1107">
          <cell r="G1107">
            <v>1.4930555555555669E-3</v>
          </cell>
        </row>
        <row r="1108">
          <cell r="G1108">
            <v>3.8773148148147918E-3</v>
          </cell>
        </row>
        <row r="1109">
          <cell r="G1109">
            <v>9.4791666666667052E-3</v>
          </cell>
        </row>
        <row r="1110">
          <cell r="G1110">
            <v>1.8518518518518823E-3</v>
          </cell>
        </row>
        <row r="1111">
          <cell r="G1111">
            <v>6.2152777777777501E-3</v>
          </cell>
        </row>
        <row r="1112">
          <cell r="G1112">
            <v>6.6550925925925597E-3</v>
          </cell>
        </row>
        <row r="1113">
          <cell r="G1113">
            <v>5.5439814814814969E-3</v>
          </cell>
        </row>
        <row r="1114">
          <cell r="G1114">
            <v>1.0972222222222161E-2</v>
          </cell>
        </row>
        <row r="1115">
          <cell r="G1115">
            <v>2.5231481481481355E-3</v>
          </cell>
        </row>
        <row r="1116">
          <cell r="G1116">
            <v>1.2523148148148144E-2</v>
          </cell>
        </row>
        <row r="1117">
          <cell r="G1117">
            <v>1.1423611111111009E-2</v>
          </cell>
        </row>
        <row r="1118">
          <cell r="G1118">
            <v>1.5625000000000222E-3</v>
          </cell>
        </row>
        <row r="1119">
          <cell r="G1119">
            <v>8.8657407407407574E-3</v>
          </cell>
        </row>
        <row r="1120">
          <cell r="G1120">
            <v>1.3773148148148451E-3</v>
          </cell>
        </row>
        <row r="1121">
          <cell r="G1121">
            <v>1.9328703703704875E-3</v>
          </cell>
        </row>
        <row r="1122">
          <cell r="G1122">
            <v>1.9606481481481475E-2</v>
          </cell>
        </row>
        <row r="1123">
          <cell r="G1123">
            <v>3.1331018518518494E-2</v>
          </cell>
        </row>
        <row r="1124">
          <cell r="G1124">
            <v>2.7395833333333286E-2</v>
          </cell>
        </row>
        <row r="1125">
          <cell r="G1125">
            <v>3.7037037037037646E-3</v>
          </cell>
        </row>
        <row r="1126">
          <cell r="G1126">
            <v>2.4305555555556024E-3</v>
          </cell>
        </row>
        <row r="1127">
          <cell r="G1127">
            <v>4.1782407407406907E-3</v>
          </cell>
        </row>
        <row r="1128">
          <cell r="G1128">
            <v>2.2465277777777792E-2</v>
          </cell>
        </row>
        <row r="1129">
          <cell r="G1129">
            <v>3.3449074074073937E-3</v>
          </cell>
        </row>
        <row r="1130">
          <cell r="G1130">
            <v>3.2060185185185386E-3</v>
          </cell>
        </row>
        <row r="1131">
          <cell r="G1131">
            <v>2.0775462962963009E-2</v>
          </cell>
        </row>
        <row r="1132">
          <cell r="G1132">
            <v>2.0914351851851809E-2</v>
          </cell>
        </row>
        <row r="1133">
          <cell r="G1133">
            <v>1.3194444444444287E-3</v>
          </cell>
        </row>
        <row r="1134">
          <cell r="G1134">
            <v>3.0324074074073448E-3</v>
          </cell>
        </row>
        <row r="1135">
          <cell r="G1135">
            <v>1.0983796296296255E-2</v>
          </cell>
        </row>
        <row r="1136">
          <cell r="G1136">
            <v>1.0648148148148129E-2</v>
          </cell>
        </row>
        <row r="1137">
          <cell r="G1137">
            <v>1.9791666666666985E-3</v>
          </cell>
        </row>
        <row r="1138">
          <cell r="G1138">
            <v>1.1446759259259309E-2</v>
          </cell>
        </row>
        <row r="1139">
          <cell r="G1139">
            <v>1.3194444444444287E-3</v>
          </cell>
        </row>
        <row r="1140">
          <cell r="G1140">
            <v>1.3078703703703898E-3</v>
          </cell>
        </row>
        <row r="1141">
          <cell r="G1141">
            <v>1.532407407407399E-2</v>
          </cell>
        </row>
        <row r="1142">
          <cell r="G1142">
            <v>1.3425925925925619E-3</v>
          </cell>
        </row>
        <row r="1143">
          <cell r="G1143">
            <v>1.6284722222222214E-2</v>
          </cell>
        </row>
        <row r="1144">
          <cell r="G1144">
            <v>1.7361111111111605E-3</v>
          </cell>
        </row>
        <row r="1145">
          <cell r="G1145">
            <v>2.2754629629629597E-2</v>
          </cell>
        </row>
        <row r="1146">
          <cell r="G1146">
            <v>3.5729166666666645E-2</v>
          </cell>
        </row>
        <row r="1147">
          <cell r="G1147">
            <v>1.3078703703703898E-3</v>
          </cell>
        </row>
        <row r="1148">
          <cell r="G1148">
            <v>2.4108796296296309E-2</v>
          </cell>
        </row>
        <row r="1149">
          <cell r="G1149">
            <v>9.3981481481481E-3</v>
          </cell>
        </row>
        <row r="1150">
          <cell r="G1150">
            <v>1.3773148148148451E-3</v>
          </cell>
        </row>
        <row r="1151">
          <cell r="G1151">
            <v>1.9525462962962981E-2</v>
          </cell>
        </row>
        <row r="1152">
          <cell r="G1152">
            <v>1.9502314814814792E-2</v>
          </cell>
        </row>
        <row r="1153">
          <cell r="G1153">
            <v>1.9791666666666652E-2</v>
          </cell>
        </row>
        <row r="1154">
          <cell r="G1154">
            <v>1.2384259259259345E-3</v>
          </cell>
        </row>
        <row r="1155">
          <cell r="G1155">
            <v>1.4571759259259243E-2</v>
          </cell>
        </row>
        <row r="1156">
          <cell r="G1156">
            <v>5.2662037037036757E-3</v>
          </cell>
        </row>
        <row r="1157">
          <cell r="G1157">
            <v>1.3078703703703898E-3</v>
          </cell>
        </row>
        <row r="1158">
          <cell r="G1158">
            <v>1.3194444444444287E-3</v>
          </cell>
        </row>
        <row r="1159">
          <cell r="G1159">
            <v>1.606481481481481E-2</v>
          </cell>
        </row>
        <row r="1160">
          <cell r="G1160">
            <v>1.3773148148148451E-3</v>
          </cell>
        </row>
        <row r="1161">
          <cell r="G1161">
            <v>2.0023148148148318E-3</v>
          </cell>
        </row>
        <row r="1162">
          <cell r="G1162">
            <v>1.5046296296296058E-3</v>
          </cell>
        </row>
        <row r="1163">
          <cell r="G1163">
            <v>1.7615740740740793E-2</v>
          </cell>
        </row>
        <row r="1164">
          <cell r="G1164">
            <v>1.6412037037036975E-2</v>
          </cell>
        </row>
        <row r="1165">
          <cell r="G1165">
            <v>1.3078703703703898E-3</v>
          </cell>
        </row>
        <row r="1166">
          <cell r="G1166">
            <v>1.1793981481481586E-2</v>
          </cell>
        </row>
        <row r="1167">
          <cell r="G1167">
            <v>1.215277777777779E-2</v>
          </cell>
        </row>
        <row r="1168">
          <cell r="G1168">
            <v>1.6319444444444442E-2</v>
          </cell>
        </row>
        <row r="1169">
          <cell r="G1169">
            <v>1.3310185185184675E-3</v>
          </cell>
        </row>
        <row r="1170">
          <cell r="G1170">
            <v>1.4224537037037077E-2</v>
          </cell>
        </row>
        <row r="1171">
          <cell r="G1171">
            <v>1.3078703703703898E-3</v>
          </cell>
        </row>
        <row r="1172">
          <cell r="G1172">
            <v>8.2175925925925819E-3</v>
          </cell>
        </row>
        <row r="1173">
          <cell r="G1173">
            <v>1.7789351851851931E-2</v>
          </cell>
        </row>
        <row r="1174">
          <cell r="G1174">
            <v>1.284722222222312E-3</v>
          </cell>
        </row>
        <row r="1175">
          <cell r="G1175">
            <v>1.4930555555555614E-2</v>
          </cell>
        </row>
        <row r="1176">
          <cell r="G1176">
            <v>4.8148148148147163E-3</v>
          </cell>
        </row>
        <row r="1177">
          <cell r="G1177">
            <v>2.81249999999994E-3</v>
          </cell>
        </row>
        <row r="1178">
          <cell r="G1178">
            <v>2.2685185185185031E-3</v>
          </cell>
        </row>
        <row r="1179">
          <cell r="G1179">
            <v>1.4236111111111671E-3</v>
          </cell>
        </row>
        <row r="1180">
          <cell r="G1180">
            <v>9.340277777777739E-3</v>
          </cell>
        </row>
        <row r="1181">
          <cell r="G1181">
            <v>9.2361111111111671E-3</v>
          </cell>
        </row>
        <row r="1182">
          <cell r="G1182">
            <v>1.6435185185184609E-3</v>
          </cell>
        </row>
        <row r="1183">
          <cell r="G1183">
            <v>9.1666666666666563E-3</v>
          </cell>
        </row>
        <row r="1184">
          <cell r="G1184">
            <v>2.1527777777777812E-3</v>
          </cell>
        </row>
        <row r="1185">
          <cell r="G1185">
            <v>1.3078703703703898E-3</v>
          </cell>
        </row>
        <row r="1186">
          <cell r="G1186">
            <v>1.8981481481481488E-3</v>
          </cell>
        </row>
        <row r="1187">
          <cell r="G1187">
            <v>5.4745370370370416E-3</v>
          </cell>
        </row>
        <row r="1188">
          <cell r="G1188">
            <v>1.0138888888888919E-2</v>
          </cell>
        </row>
        <row r="1189">
          <cell r="G1189">
            <v>7.9745370370370439E-3</v>
          </cell>
        </row>
        <row r="1190">
          <cell r="G1190">
            <v>2.8472222222222232E-3</v>
          </cell>
        </row>
        <row r="1191">
          <cell r="G1191">
            <v>4.2361111111111072E-3</v>
          </cell>
        </row>
        <row r="1192">
          <cell r="G1192">
            <v>1.3194444444444287E-3</v>
          </cell>
        </row>
        <row r="1193">
          <cell r="G1193">
            <v>1.3194444444445397E-3</v>
          </cell>
        </row>
        <row r="1194">
          <cell r="G1194">
            <v>1.7476851851851438E-3</v>
          </cell>
        </row>
        <row r="1195">
          <cell r="G1195">
            <v>1.2731481481481066E-3</v>
          </cell>
        </row>
        <row r="1196">
          <cell r="G1196">
            <v>8.5185185185185364E-3</v>
          </cell>
        </row>
        <row r="1197">
          <cell r="G1197">
            <v>3.3333333333333548E-3</v>
          </cell>
        </row>
        <row r="1198">
          <cell r="G1198">
            <v>1.8449074074074034E-2</v>
          </cell>
        </row>
        <row r="1199">
          <cell r="G1199">
            <v>1.6678240740740813E-2</v>
          </cell>
        </row>
        <row r="1200">
          <cell r="G1200">
            <v>8.1828703703703543E-3</v>
          </cell>
        </row>
        <row r="1201">
          <cell r="G1201">
            <v>1.9039351851851849E-2</v>
          </cell>
        </row>
        <row r="1202">
          <cell r="G1202">
            <v>1.0451388888888802E-2</v>
          </cell>
        </row>
        <row r="1203">
          <cell r="G1203">
            <v>1.5590277777777717E-2</v>
          </cell>
        </row>
        <row r="1204">
          <cell r="G1204">
            <v>2.2222222222222365E-3</v>
          </cell>
        </row>
        <row r="1205">
          <cell r="G1205">
            <v>1.177083333333323E-2</v>
          </cell>
        </row>
        <row r="1206">
          <cell r="G1206">
            <v>1.1388888888888893E-2</v>
          </cell>
        </row>
        <row r="1207">
          <cell r="G1207">
            <v>1.3668981481481435E-2</v>
          </cell>
        </row>
        <row r="1208">
          <cell r="G1208">
            <v>1.0300925925925908E-2</v>
          </cell>
        </row>
        <row r="1209">
          <cell r="G1209">
            <v>1.0057870370370314E-2</v>
          </cell>
        </row>
        <row r="1210">
          <cell r="G1210">
            <v>7.2106481481480911E-3</v>
          </cell>
        </row>
        <row r="1211">
          <cell r="G1211">
            <v>7.418981481481457E-3</v>
          </cell>
        </row>
        <row r="1212">
          <cell r="G1212">
            <v>6.921296296296342E-3</v>
          </cell>
        </row>
        <row r="1213">
          <cell r="G1213">
            <v>6.331018518518472E-3</v>
          </cell>
        </row>
        <row r="1214">
          <cell r="G1214">
            <v>3.2870370370370328E-3</v>
          </cell>
        </row>
        <row r="1215">
          <cell r="G1215">
            <v>1.4930555555555669E-3</v>
          </cell>
        </row>
        <row r="1216">
          <cell r="G1216">
            <v>1.3773148148147341E-3</v>
          </cell>
        </row>
        <row r="1217">
          <cell r="G1217">
            <v>1.3310185185185786E-3</v>
          </cell>
        </row>
        <row r="1218">
          <cell r="G1218">
            <v>8.8425925925926796E-3</v>
          </cell>
        </row>
        <row r="1219">
          <cell r="G1219">
            <v>1.3657407407408062E-3</v>
          </cell>
        </row>
        <row r="1220">
          <cell r="G1220">
            <v>1.2037037037037068E-3</v>
          </cell>
        </row>
        <row r="1221">
          <cell r="G1221">
            <v>7.2106481481480911E-3</v>
          </cell>
        </row>
        <row r="1222">
          <cell r="G1222">
            <v>7.3842592592592293E-3</v>
          </cell>
        </row>
        <row r="1223">
          <cell r="G1223">
            <v>1.2337962962962967E-2</v>
          </cell>
        </row>
        <row r="1224">
          <cell r="G1224">
            <v>1.2986111111111143E-2</v>
          </cell>
        </row>
        <row r="1225">
          <cell r="G1225">
            <v>1.2962962962962399E-3</v>
          </cell>
        </row>
        <row r="1226">
          <cell r="G1226">
            <v>1.284722222222201E-3</v>
          </cell>
        </row>
        <row r="1227">
          <cell r="G1227">
            <v>9.4097222222222499E-3</v>
          </cell>
        </row>
        <row r="1228">
          <cell r="G1228">
            <v>1.1180555555555527E-2</v>
          </cell>
        </row>
        <row r="1229">
          <cell r="G1229">
            <v>1.3773148148148451E-3</v>
          </cell>
        </row>
        <row r="1230">
          <cell r="G1230">
            <v>7.6504629629630116E-3</v>
          </cell>
        </row>
        <row r="1231">
          <cell r="G1231">
            <v>6.9675925925924975E-3</v>
          </cell>
        </row>
        <row r="1232">
          <cell r="G1232">
            <v>1.5740740740740611E-3</v>
          </cell>
        </row>
        <row r="1233">
          <cell r="G1233">
            <v>1.1516203703703765E-2</v>
          </cell>
        </row>
        <row r="1234">
          <cell r="G1234">
            <v>1.1770833333333286E-2</v>
          </cell>
        </row>
        <row r="1235">
          <cell r="G1235">
            <v>1.0081018518518503E-2</v>
          </cell>
        </row>
        <row r="1236">
          <cell r="G1236">
            <v>5.3819444444445086E-3</v>
          </cell>
        </row>
        <row r="1237">
          <cell r="G1237">
            <v>1.1689814814814792E-2</v>
          </cell>
        </row>
        <row r="1238">
          <cell r="G1238">
            <v>9.4675925925925553E-3</v>
          </cell>
        </row>
        <row r="1239">
          <cell r="G1239">
            <v>1.1192129629629566E-2</v>
          </cell>
        </row>
        <row r="1240">
          <cell r="G1240">
            <v>7.6736111111110894E-3</v>
          </cell>
        </row>
        <row r="1241">
          <cell r="G1241">
            <v>3.0902777777777057E-3</v>
          </cell>
        </row>
        <row r="1242">
          <cell r="G1242">
            <v>8.3564814814814925E-3</v>
          </cell>
        </row>
        <row r="1243">
          <cell r="G1243">
            <v>1.4236111111111116E-3</v>
          </cell>
        </row>
        <row r="1244">
          <cell r="G1244">
            <v>1.1331018518518587E-2</v>
          </cell>
        </row>
        <row r="1245">
          <cell r="G1245">
            <v>3.5069444444444375E-3</v>
          </cell>
        </row>
        <row r="1246">
          <cell r="G1246">
            <v>2.0601851851853592E-3</v>
          </cell>
        </row>
        <row r="1247">
          <cell r="G1247">
            <v>1.3275462962962892E-2</v>
          </cell>
        </row>
        <row r="1248">
          <cell r="G1248">
            <v>1.0891203703703667E-2</v>
          </cell>
        </row>
        <row r="1249">
          <cell r="G1249">
            <v>1.3194444444444287E-3</v>
          </cell>
        </row>
        <row r="1250">
          <cell r="G1250">
            <v>1.9444444444444153E-3</v>
          </cell>
        </row>
        <row r="1251">
          <cell r="G1251">
            <v>2.1990740740741588E-3</v>
          </cell>
        </row>
        <row r="1252">
          <cell r="G1252">
            <v>6.0300925925926285E-3</v>
          </cell>
        </row>
        <row r="1253">
          <cell r="G1253">
            <v>1.631944444444422E-3</v>
          </cell>
        </row>
        <row r="1254">
          <cell r="G1254">
            <v>3.6226851851851594E-3</v>
          </cell>
        </row>
        <row r="1255">
          <cell r="G1255">
            <v>2.6620370370371016E-3</v>
          </cell>
        </row>
        <row r="1256">
          <cell r="G1256">
            <v>5.6712962962963132E-3</v>
          </cell>
        </row>
        <row r="1257">
          <cell r="G1257">
            <v>5.9259259259258901E-3</v>
          </cell>
        </row>
        <row r="1258">
          <cell r="G1258">
            <v>5.3703703703703587E-3</v>
          </cell>
        </row>
        <row r="1259">
          <cell r="G1259">
            <v>3.7847222222222587E-3</v>
          </cell>
        </row>
        <row r="1260">
          <cell r="G1260">
            <v>5.439814814814814E-3</v>
          </cell>
        </row>
        <row r="1261">
          <cell r="G1261">
            <v>2.8356481481481843E-3</v>
          </cell>
        </row>
        <row r="1262">
          <cell r="G1262">
            <v>3.1597222222222165E-3</v>
          </cell>
        </row>
        <row r="1263">
          <cell r="G1263">
            <v>2.673611111111085E-3</v>
          </cell>
        </row>
        <row r="1264">
          <cell r="G1264">
            <v>1.2847222222222565E-3</v>
          </cell>
        </row>
        <row r="1265">
          <cell r="G1265">
            <v>7.3379629629629628E-3</v>
          </cell>
        </row>
        <row r="1266">
          <cell r="G1266">
            <v>6.1805555555555225E-3</v>
          </cell>
        </row>
        <row r="1267">
          <cell r="G1267">
            <v>5.0231481481481377E-3</v>
          </cell>
        </row>
        <row r="1268">
          <cell r="G1268">
            <v>3.3912037037036602E-3</v>
          </cell>
        </row>
        <row r="1269">
          <cell r="G1269">
            <v>2.0081018518518512E-2</v>
          </cell>
        </row>
        <row r="1270">
          <cell r="G1270">
            <v>1.2789351851851816E-2</v>
          </cell>
        </row>
        <row r="1271">
          <cell r="G1271">
            <v>8.7037037037037135E-3</v>
          </cell>
        </row>
        <row r="1272">
          <cell r="G1272">
            <v>5.7754629629629406E-3</v>
          </cell>
        </row>
        <row r="1273">
          <cell r="G1273">
            <v>5.5671296296295747E-3</v>
          </cell>
        </row>
        <row r="1274">
          <cell r="G1274">
            <v>5.5092592592592693E-3</v>
          </cell>
        </row>
        <row r="1275">
          <cell r="G1275">
            <v>1.5509259259259278E-3</v>
          </cell>
        </row>
        <row r="1276">
          <cell r="G1276">
            <v>1.2916666666666687E-2</v>
          </cell>
        </row>
        <row r="1277">
          <cell r="G1277">
            <v>2.9861111111111338E-3</v>
          </cell>
        </row>
        <row r="1278">
          <cell r="G1278">
            <v>7.9282407407407773E-3</v>
          </cell>
        </row>
        <row r="1279">
          <cell r="G1279">
            <v>7.2916666666666408E-3</v>
          </cell>
        </row>
        <row r="1280">
          <cell r="G1280">
            <v>7.4537037037036846E-3</v>
          </cell>
        </row>
        <row r="1281">
          <cell r="G1281">
            <v>2.9398148148148118E-3</v>
          </cell>
        </row>
        <row r="1282">
          <cell r="G1282">
            <v>1.0613425925925901E-2</v>
          </cell>
        </row>
        <row r="1283">
          <cell r="G1283">
            <v>1.3715277777777812E-2</v>
          </cell>
        </row>
        <row r="1284">
          <cell r="G1284">
            <v>1.2754629629629588E-2</v>
          </cell>
        </row>
        <row r="1285">
          <cell r="G1285">
            <v>1.0416666666666741E-2</v>
          </cell>
        </row>
        <row r="1286">
          <cell r="G1286">
            <v>8.11342592592601E-3</v>
          </cell>
        </row>
        <row r="1287">
          <cell r="G1287">
            <v>6.724537037037126E-3</v>
          </cell>
        </row>
        <row r="1288">
          <cell r="G1288">
            <v>5.3009259259259034E-3</v>
          </cell>
        </row>
        <row r="1289">
          <cell r="G1289">
            <v>4.8148148148148273E-3</v>
          </cell>
        </row>
        <row r="1290">
          <cell r="G1290">
            <v>2.6504629629630072E-3</v>
          </cell>
        </row>
        <row r="1291">
          <cell r="G1291">
            <v>3.2986111111110716E-3</v>
          </cell>
        </row>
        <row r="1292">
          <cell r="G1292">
            <v>1.2731481481481621E-3</v>
          </cell>
        </row>
        <row r="1293">
          <cell r="G1293">
            <v>1.0682870370370412E-2</v>
          </cell>
        </row>
        <row r="1294">
          <cell r="G1294">
            <v>1.0324074074074097E-2</v>
          </cell>
        </row>
        <row r="1295">
          <cell r="G1295">
            <v>1.0578703703703729E-2</v>
          </cell>
        </row>
        <row r="1296">
          <cell r="G1296">
            <v>7.3958333333333792E-3</v>
          </cell>
        </row>
        <row r="1297">
          <cell r="G1297">
            <v>5.4282407407407751E-3</v>
          </cell>
        </row>
        <row r="1298">
          <cell r="G1298">
            <v>1.3310185185185786E-3</v>
          </cell>
        </row>
        <row r="1299">
          <cell r="G1299">
            <v>1.2962962962962399E-3</v>
          </cell>
        </row>
        <row r="1300">
          <cell r="G1300">
            <v>2.6273148148148184E-3</v>
          </cell>
        </row>
        <row r="1301">
          <cell r="G1301">
            <v>2.4884259259259078E-3</v>
          </cell>
        </row>
        <row r="1302">
          <cell r="G1302">
            <v>6.4930555555555713E-3</v>
          </cell>
        </row>
        <row r="1303">
          <cell r="G1303">
            <v>6.9097222222221921E-3</v>
          </cell>
        </row>
        <row r="1304">
          <cell r="G1304">
            <v>7.2106481481482021E-3</v>
          </cell>
        </row>
        <row r="1305">
          <cell r="G1305">
            <v>3.5300925925926263E-3</v>
          </cell>
        </row>
        <row r="1306">
          <cell r="G1306">
            <v>2.5578703703703631E-3</v>
          </cell>
        </row>
        <row r="1307">
          <cell r="G1307">
            <v>1.2962962962963509E-3</v>
          </cell>
        </row>
        <row r="1308">
          <cell r="G1308">
            <v>1.7708333333333881E-3</v>
          </cell>
        </row>
        <row r="1309">
          <cell r="G1309">
            <v>1.0763888888889461E-3</v>
          </cell>
        </row>
        <row r="1310">
          <cell r="G1310">
            <v>2.4155092592592631E-2</v>
          </cell>
        </row>
        <row r="1311">
          <cell r="G1311">
            <v>2.7523148148148158E-2</v>
          </cell>
        </row>
        <row r="1312">
          <cell r="G1312">
            <v>2.1793981481481484E-2</v>
          </cell>
        </row>
        <row r="1313">
          <cell r="G1313">
            <v>6.3657407407406996E-3</v>
          </cell>
        </row>
        <row r="1314">
          <cell r="G1314">
            <v>1.0127314814814881E-2</v>
          </cell>
        </row>
        <row r="1315">
          <cell r="G1315">
            <v>5.7638888888889017E-3</v>
          </cell>
        </row>
        <row r="1316">
          <cell r="G1316">
            <v>3.1481481481480111E-3</v>
          </cell>
        </row>
        <row r="1317">
          <cell r="G1317">
            <v>3.3333333333332993E-3</v>
          </cell>
        </row>
        <row r="1318">
          <cell r="G1318">
            <v>2.7314814814816124E-3</v>
          </cell>
        </row>
        <row r="1319">
          <cell r="G1319">
            <v>7.465277777777779E-3</v>
          </cell>
        </row>
        <row r="1320">
          <cell r="G1320">
            <v>9.0046296296296124E-3</v>
          </cell>
        </row>
        <row r="1321">
          <cell r="G1321">
            <v>8.5763888888889528E-3</v>
          </cell>
        </row>
        <row r="1322">
          <cell r="G1322">
            <v>8.0439814814814992E-3</v>
          </cell>
        </row>
        <row r="1323">
          <cell r="G1323">
            <v>6.0416666666666674E-3</v>
          </cell>
        </row>
        <row r="1324">
          <cell r="G1324">
            <v>4.7800925925926552E-3</v>
          </cell>
        </row>
        <row r="1325">
          <cell r="G1325">
            <v>1.9675925925925486E-3</v>
          </cell>
        </row>
        <row r="1326">
          <cell r="G1326">
            <v>1.9444444444444153E-3</v>
          </cell>
        </row>
        <row r="1327">
          <cell r="G1327">
            <v>2.1875000000000089E-3</v>
          </cell>
        </row>
        <row r="1328">
          <cell r="G1328">
            <v>1.9560185185185652E-3</v>
          </cell>
        </row>
        <row r="1329">
          <cell r="G1329">
            <v>1.9907407407407929E-3</v>
          </cell>
        </row>
        <row r="1330">
          <cell r="G1330">
            <v>2.0254629629629095E-3</v>
          </cell>
        </row>
        <row r="1331">
          <cell r="G1331">
            <v>1.979166666666643E-3</v>
          </cell>
        </row>
        <row r="1332">
          <cell r="G1332">
            <v>2.0486111111110983E-3</v>
          </cell>
        </row>
        <row r="1333">
          <cell r="G1333">
            <v>1.9560185185185097E-3</v>
          </cell>
        </row>
        <row r="1334">
          <cell r="G1334">
            <v>3.5879629629630427E-3</v>
          </cell>
        </row>
        <row r="1335">
          <cell r="G1335">
            <v>2.0254629629629095E-3</v>
          </cell>
        </row>
        <row r="1336">
          <cell r="G1336">
            <v>1.9328703703703765E-3</v>
          </cell>
        </row>
        <row r="1337">
          <cell r="G1337">
            <v>1.9560185185184542E-3</v>
          </cell>
        </row>
        <row r="1338">
          <cell r="G1338">
            <v>1.9444444444444153E-3</v>
          </cell>
        </row>
        <row r="1339">
          <cell r="G1339">
            <v>5.7523148148148073E-2</v>
          </cell>
        </row>
        <row r="1340">
          <cell r="G1340">
            <v>2.8159722222222294E-2</v>
          </cell>
        </row>
        <row r="1341">
          <cell r="G1341">
            <v>3.2407407407406552E-3</v>
          </cell>
        </row>
        <row r="1342">
          <cell r="G1342">
            <v>2.0023148148148318E-3</v>
          </cell>
        </row>
        <row r="1343">
          <cell r="G1343">
            <v>1.9328703703702654E-3</v>
          </cell>
        </row>
        <row r="1344">
          <cell r="G1344">
            <v>1.9444444444444153E-3</v>
          </cell>
        </row>
        <row r="1345">
          <cell r="G1345">
            <v>1.9560185185183432E-3</v>
          </cell>
        </row>
        <row r="1346">
          <cell r="G1346">
            <v>2.0138888888888706E-3</v>
          </cell>
        </row>
        <row r="1347">
          <cell r="G1347">
            <v>2.6388888888889128E-3</v>
          </cell>
        </row>
        <row r="1348">
          <cell r="G1348">
            <v>2.5462962962963243E-3</v>
          </cell>
        </row>
        <row r="1349">
          <cell r="G1349">
            <v>2.0833333333333259E-3</v>
          </cell>
        </row>
        <row r="1350">
          <cell r="G1350">
            <v>1.2465277777777783E-2</v>
          </cell>
        </row>
        <row r="1351">
          <cell r="G1351">
            <v>1.7824074074074825E-3</v>
          </cell>
        </row>
        <row r="1352">
          <cell r="G1352">
            <v>4.2847222222222203E-2</v>
          </cell>
        </row>
        <row r="1353">
          <cell r="G1353">
            <v>2.222222222222181E-3</v>
          </cell>
        </row>
        <row r="1354">
          <cell r="G1354">
            <v>2.1180555555555536E-3</v>
          </cell>
        </row>
        <row r="1355">
          <cell r="G1355">
            <v>1.9328703703703765E-3</v>
          </cell>
        </row>
        <row r="1356">
          <cell r="G1356">
            <v>3.4259259259259434E-3</v>
          </cell>
        </row>
        <row r="1357">
          <cell r="G1357">
            <v>2.3611111111111471E-3</v>
          </cell>
        </row>
        <row r="1358">
          <cell r="G1358">
            <v>7.3148148148148295E-3</v>
          </cell>
        </row>
        <row r="1359">
          <cell r="G1359">
            <v>4.7685185185185053E-3</v>
          </cell>
        </row>
        <row r="1360">
          <cell r="G1360">
            <v>3.0439814814814392E-3</v>
          </cell>
        </row>
        <row r="1361">
          <cell r="G1361">
            <v>2.0601851851852482E-3</v>
          </cell>
        </row>
        <row r="1362">
          <cell r="G1362">
            <v>2.605324074074078E-2</v>
          </cell>
        </row>
        <row r="1363">
          <cell r="G1363">
            <v>2.6504629629629628E-2</v>
          </cell>
        </row>
        <row r="1364">
          <cell r="G1364">
            <v>1.2546296296296222E-2</v>
          </cell>
        </row>
        <row r="1365">
          <cell r="G1365">
            <v>4.2824074074074292E-3</v>
          </cell>
        </row>
        <row r="1366">
          <cell r="G1366">
            <v>1.0810185185185173E-2</v>
          </cell>
        </row>
        <row r="1367">
          <cell r="G1367">
            <v>2.9976851851852282E-3</v>
          </cell>
        </row>
        <row r="1368">
          <cell r="G1368">
            <v>6.1574074074073892E-3</v>
          </cell>
        </row>
        <row r="1369">
          <cell r="G1369">
            <v>5.9490740740740233E-3</v>
          </cell>
        </row>
        <row r="1370">
          <cell r="G1370">
            <v>2.7430555555555958E-3</v>
          </cell>
        </row>
        <row r="1371">
          <cell r="G1371">
            <v>2.8587962962962621E-3</v>
          </cell>
        </row>
        <row r="1372">
          <cell r="G1372">
            <v>5.7754629629629406E-3</v>
          </cell>
        </row>
        <row r="1373">
          <cell r="G1373">
            <v>6.2268518518519E-3</v>
          </cell>
        </row>
        <row r="1374">
          <cell r="G1374">
            <v>2.4305555555554914E-3</v>
          </cell>
        </row>
        <row r="1375">
          <cell r="G1375">
            <v>1.8981481481481488E-3</v>
          </cell>
        </row>
        <row r="1376">
          <cell r="G1376">
            <v>1.7939814814814659E-3</v>
          </cell>
        </row>
        <row r="1377">
          <cell r="G1377">
            <v>1.8865740740741099E-3</v>
          </cell>
        </row>
        <row r="1378">
          <cell r="G1378">
            <v>1.8750000000000711E-3</v>
          </cell>
        </row>
        <row r="1379">
          <cell r="G1379">
            <v>1.8981481481481488E-3</v>
          </cell>
        </row>
        <row r="1380">
          <cell r="G1380">
            <v>2.0949074074074758E-3</v>
          </cell>
        </row>
        <row r="1381">
          <cell r="G1381">
            <v>1.9444444444444153E-3</v>
          </cell>
        </row>
        <row r="1382">
          <cell r="G1382">
            <v>8.8657407407407574E-3</v>
          </cell>
        </row>
        <row r="1383">
          <cell r="G1383">
            <v>2.0486111111110983E-3</v>
          </cell>
        </row>
        <row r="1384">
          <cell r="G1384">
            <v>2.7372685185185208E-2</v>
          </cell>
        </row>
        <row r="1385">
          <cell r="G1385">
            <v>1.4421296296296404E-2</v>
          </cell>
        </row>
        <row r="1386">
          <cell r="G1386">
            <v>1.9675925925924931E-3</v>
          </cell>
        </row>
        <row r="1387">
          <cell r="G1387">
            <v>1.9097222222222987E-3</v>
          </cell>
        </row>
        <row r="1388">
          <cell r="G1388">
            <v>1.9212962962963376E-3</v>
          </cell>
        </row>
        <row r="1389">
          <cell r="G1389">
            <v>3.5879629629629317E-3</v>
          </cell>
        </row>
        <row r="1390">
          <cell r="G1390">
            <v>8.8425925925926241E-3</v>
          </cell>
        </row>
        <row r="1391">
          <cell r="G1391">
            <v>6.87500000000002E-3</v>
          </cell>
        </row>
        <row r="1392">
          <cell r="G1392">
            <v>6.7939814814814703E-3</v>
          </cell>
        </row>
        <row r="1393">
          <cell r="G1393">
            <v>3.6226851851851039E-3</v>
          </cell>
        </row>
        <row r="1394">
          <cell r="G1394">
            <v>1.6087962962962943E-2</v>
          </cell>
        </row>
        <row r="1395">
          <cell r="G1395">
            <v>1.9212962962962821E-3</v>
          </cell>
        </row>
        <row r="1396">
          <cell r="G1396">
            <v>1.7708333333333881E-3</v>
          </cell>
        </row>
        <row r="1397">
          <cell r="G1397">
            <v>1.9097222222222432E-3</v>
          </cell>
        </row>
        <row r="1398">
          <cell r="G1398">
            <v>1.8402777777777879E-3</v>
          </cell>
        </row>
        <row r="1399">
          <cell r="G1399">
            <v>2.8611111111111087E-2</v>
          </cell>
        </row>
        <row r="1400">
          <cell r="G1400">
            <v>4.4444444444444731E-3</v>
          </cell>
        </row>
        <row r="1401">
          <cell r="G1401">
            <v>3.807870370370392E-3</v>
          </cell>
        </row>
        <row r="1402">
          <cell r="G1402">
            <v>3.5995370370370816E-3</v>
          </cell>
        </row>
        <row r="1403">
          <cell r="G1403">
            <v>2.2453703703703698E-3</v>
          </cell>
        </row>
        <row r="1404">
          <cell r="G1404">
            <v>9.5254629629630827E-3</v>
          </cell>
        </row>
        <row r="1405">
          <cell r="G1405">
            <v>5.3935185185185475E-3</v>
          </cell>
        </row>
        <row r="1406">
          <cell r="G1406">
            <v>6.0648148148148007E-3</v>
          </cell>
        </row>
        <row r="1407">
          <cell r="G1407">
            <v>5.046296296296382E-3</v>
          </cell>
        </row>
        <row r="1408">
          <cell r="G1408">
            <v>2.1990740740741588E-3</v>
          </cell>
        </row>
        <row r="1409">
          <cell r="G1409">
            <v>4.849537037037055E-3</v>
          </cell>
        </row>
        <row r="1410">
          <cell r="G1410">
            <v>3.4837962962963598E-3</v>
          </cell>
        </row>
        <row r="1411">
          <cell r="G1411">
            <v>1.9675925925926041E-3</v>
          </cell>
        </row>
        <row r="1412">
          <cell r="G1412">
            <v>3.2175925925925775E-3</v>
          </cell>
        </row>
        <row r="1413">
          <cell r="G1413">
            <v>2.0972222222222281E-2</v>
          </cell>
        </row>
        <row r="1414">
          <cell r="G1414">
            <v>3.4849537037037082E-2</v>
          </cell>
        </row>
        <row r="1415">
          <cell r="G1415">
            <v>2.870370370370412E-3</v>
          </cell>
        </row>
        <row r="1416">
          <cell r="G1416">
            <v>2.9861111111111338E-3</v>
          </cell>
        </row>
        <row r="1417">
          <cell r="G1417">
            <v>1.7129629629629717E-3</v>
          </cell>
        </row>
        <row r="1418">
          <cell r="G1418">
            <v>4.7615740740740709E-2</v>
          </cell>
        </row>
        <row r="1419">
          <cell r="G1419">
            <v>4.7083333333333255E-2</v>
          </cell>
        </row>
        <row r="1420">
          <cell r="G1420">
            <v>4.6331018518518396E-2</v>
          </cell>
        </row>
        <row r="1421">
          <cell r="G1421">
            <v>2.9050925925925952E-2</v>
          </cell>
        </row>
        <row r="1422">
          <cell r="G1422">
            <v>2.4583333333333401E-2</v>
          </cell>
        </row>
        <row r="1423">
          <cell r="G1423">
            <v>1.8287037037038045E-3</v>
          </cell>
        </row>
        <row r="1424">
          <cell r="G1424">
            <v>1.8865740740741099E-3</v>
          </cell>
        </row>
        <row r="1425">
          <cell r="G1425">
            <v>3.263888888888955E-3</v>
          </cell>
        </row>
        <row r="1426">
          <cell r="G1426">
            <v>1.9097222222220767E-3</v>
          </cell>
        </row>
        <row r="1427">
          <cell r="G1427">
            <v>2.2222222222221255E-3</v>
          </cell>
        </row>
        <row r="1428">
          <cell r="G1428">
            <v>3.4027777777777546E-3</v>
          </cell>
        </row>
        <row r="1429">
          <cell r="G1429">
            <v>3.1215277777777772E-2</v>
          </cell>
        </row>
        <row r="1430">
          <cell r="G1430">
            <v>3.3680555555555269E-3</v>
          </cell>
        </row>
        <row r="1431">
          <cell r="G1431">
            <v>2.4293981481481486E-2</v>
          </cell>
        </row>
        <row r="1432">
          <cell r="G1432">
            <v>2.2754629629629652E-2</v>
          </cell>
        </row>
        <row r="1433">
          <cell r="G1433">
            <v>1.8981481481481488E-3</v>
          </cell>
        </row>
        <row r="1434">
          <cell r="G1434">
            <v>4.0625000000000244E-3</v>
          </cell>
        </row>
        <row r="1435">
          <cell r="G1435">
            <v>3.7152777777778034E-3</v>
          </cell>
        </row>
        <row r="1436">
          <cell r="G1436">
            <v>7.2337962962962798E-3</v>
          </cell>
        </row>
        <row r="1437">
          <cell r="G1437">
            <v>1.9097222222221877E-3</v>
          </cell>
        </row>
        <row r="1438">
          <cell r="G1438">
            <v>1.8171296296296546E-3</v>
          </cell>
        </row>
        <row r="1439">
          <cell r="G1439">
            <v>1.8750000000000155E-3</v>
          </cell>
        </row>
        <row r="1440">
          <cell r="G1440">
            <v>1.8402777777778434E-3</v>
          </cell>
        </row>
        <row r="1441">
          <cell r="G1441">
            <v>1.2291666666666645E-2</v>
          </cell>
        </row>
        <row r="1442">
          <cell r="G1442">
            <v>8.4722222222222143E-3</v>
          </cell>
        </row>
        <row r="1443">
          <cell r="G1443">
            <v>7.1643518518518245E-3</v>
          </cell>
        </row>
        <row r="1444">
          <cell r="G1444">
            <v>6.4814814814815325E-3</v>
          </cell>
        </row>
        <row r="1445">
          <cell r="G1445">
            <v>5.5439814814814414E-3</v>
          </cell>
        </row>
        <row r="1446">
          <cell r="G1446">
            <v>5.5324074074074026E-3</v>
          </cell>
        </row>
        <row r="1447">
          <cell r="G1447">
            <v>1.6689814814814796E-2</v>
          </cell>
        </row>
        <row r="1448">
          <cell r="G1448">
            <v>1.3715277777777701E-2</v>
          </cell>
        </row>
        <row r="1449">
          <cell r="G1449">
            <v>7.3263888888888684E-3</v>
          </cell>
        </row>
        <row r="1450">
          <cell r="G1450">
            <v>2.9050925925925286E-3</v>
          </cell>
        </row>
        <row r="1451">
          <cell r="G1451">
            <v>5.5555555555555358E-3</v>
          </cell>
        </row>
        <row r="1452">
          <cell r="G1452">
            <v>1.8981481481481488E-3</v>
          </cell>
        </row>
        <row r="1453">
          <cell r="G1453">
            <v>1.8287037037038045E-3</v>
          </cell>
        </row>
        <row r="1454">
          <cell r="G1454">
            <v>2.8472222222222232E-3</v>
          </cell>
        </row>
        <row r="1455">
          <cell r="G1455">
            <v>7.314814814814774E-3</v>
          </cell>
        </row>
        <row r="1456">
          <cell r="G1456">
            <v>7.1064814814815191E-3</v>
          </cell>
        </row>
        <row r="1457">
          <cell r="G1457">
            <v>1.1030092592592577E-2</v>
          </cell>
        </row>
        <row r="1458">
          <cell r="G1458">
            <v>1.4375000000000027E-2</v>
          </cell>
        </row>
        <row r="1459">
          <cell r="G1459">
            <v>4.942129629629588E-3</v>
          </cell>
        </row>
        <row r="1460">
          <cell r="G1460">
            <v>4.444444444444362E-3</v>
          </cell>
        </row>
        <row r="1461">
          <cell r="G1461">
            <v>1.7326388888888933E-2</v>
          </cell>
        </row>
        <row r="1462">
          <cell r="G1462">
            <v>5.3472222222222809E-3</v>
          </cell>
        </row>
        <row r="1463">
          <cell r="G1463">
            <v>5.4976851851851194E-3</v>
          </cell>
        </row>
        <row r="1464">
          <cell r="G1464">
            <v>7.118055555555558E-3</v>
          </cell>
        </row>
        <row r="1465">
          <cell r="G1465">
            <v>2.4884259259259078E-3</v>
          </cell>
        </row>
        <row r="1466">
          <cell r="G1466">
            <v>1.9444444444445264E-3</v>
          </cell>
        </row>
        <row r="1467">
          <cell r="G1467">
            <v>1.8981481481481488E-3</v>
          </cell>
        </row>
        <row r="1468">
          <cell r="G1468">
            <v>3.5416666666666652E-3</v>
          </cell>
        </row>
        <row r="1469">
          <cell r="G1469">
            <v>3.8194444444444864E-3</v>
          </cell>
        </row>
        <row r="1470">
          <cell r="G1470">
            <v>1.0787037037037095E-2</v>
          </cell>
        </row>
        <row r="1471">
          <cell r="G1471">
            <v>4.1319444444445352E-3</v>
          </cell>
        </row>
        <row r="1472">
          <cell r="G1472">
            <v>1.8287037037036935E-3</v>
          </cell>
        </row>
        <row r="1473">
          <cell r="G1473">
            <v>3.5416666666666097E-3</v>
          </cell>
        </row>
        <row r="1474">
          <cell r="G1474">
            <v>1.1863425925925875E-2</v>
          </cell>
        </row>
        <row r="1475">
          <cell r="G1475">
            <v>1.2407407407407423E-2</v>
          </cell>
        </row>
        <row r="1476">
          <cell r="G1476">
            <v>1.0868055555555589E-2</v>
          </cell>
        </row>
        <row r="1477">
          <cell r="G1477">
            <v>5.8449074074075069E-3</v>
          </cell>
        </row>
        <row r="1478">
          <cell r="G1478">
            <v>4.4560185185185119E-3</v>
          </cell>
        </row>
        <row r="1479">
          <cell r="G1479">
            <v>4.502314814814834E-3</v>
          </cell>
        </row>
        <row r="1480">
          <cell r="G1480">
            <v>1.8518518518518268E-3</v>
          </cell>
        </row>
        <row r="1481">
          <cell r="G1481">
            <v>1.8634259259259212E-3</v>
          </cell>
        </row>
        <row r="1482">
          <cell r="G1482">
            <v>1.2303240740740684E-2</v>
          </cell>
        </row>
        <row r="1483">
          <cell r="G1483">
            <v>1.9525462962963036E-2</v>
          </cell>
        </row>
        <row r="1484">
          <cell r="G1484">
            <v>8.9351851851851571E-3</v>
          </cell>
        </row>
        <row r="1485">
          <cell r="G1485">
            <v>1.5775462962962949E-2</v>
          </cell>
        </row>
        <row r="1486">
          <cell r="G1486">
            <v>1.5671296296296322E-2</v>
          </cell>
        </row>
        <row r="1487">
          <cell r="G1487">
            <v>1.5104166666666585E-2</v>
          </cell>
        </row>
        <row r="1488">
          <cell r="G1488">
            <v>1.3958333333333239E-2</v>
          </cell>
        </row>
        <row r="1489">
          <cell r="G1489">
            <v>1.2511574074074161E-2</v>
          </cell>
        </row>
        <row r="1490">
          <cell r="G1490">
            <v>2.3842592592592249E-3</v>
          </cell>
        </row>
        <row r="1491">
          <cell r="G1491">
            <v>2.0486111111110983E-3</v>
          </cell>
        </row>
        <row r="1492">
          <cell r="G1492">
            <v>6.1805555555556335E-3</v>
          </cell>
        </row>
        <row r="1493">
          <cell r="G1493">
            <v>5.4050925925925863E-3</v>
          </cell>
        </row>
        <row r="1494">
          <cell r="G1494">
            <v>2.4421296296295303E-3</v>
          </cell>
        </row>
        <row r="1495">
          <cell r="G1495">
            <v>2.7430555555555403E-3</v>
          </cell>
        </row>
        <row r="1496">
          <cell r="G1496">
            <v>2.0717592592592871E-3</v>
          </cell>
        </row>
        <row r="1497">
          <cell r="G1497">
            <v>2.4537037037036802E-3</v>
          </cell>
        </row>
        <row r="1498">
          <cell r="G1498">
            <v>1.8171296296295436E-3</v>
          </cell>
        </row>
        <row r="1499">
          <cell r="G1499">
            <v>1.8055555555556158E-3</v>
          </cell>
        </row>
        <row r="1500">
          <cell r="G1500">
            <v>1.782407407407427E-3</v>
          </cell>
        </row>
        <row r="1501">
          <cell r="G1501">
            <v>1.8518518518517713E-3</v>
          </cell>
        </row>
        <row r="1502">
          <cell r="G1502">
            <v>1.8171296296296546E-3</v>
          </cell>
        </row>
        <row r="1503">
          <cell r="G1503">
            <v>1.8287037037038045E-3</v>
          </cell>
        </row>
        <row r="1504">
          <cell r="G1504">
            <v>1.782407407407427E-3</v>
          </cell>
        </row>
        <row r="1505">
          <cell r="G1505">
            <v>2.0486111111110983E-3</v>
          </cell>
        </row>
        <row r="1506">
          <cell r="G1506">
            <v>1.7708333333332771E-3</v>
          </cell>
        </row>
        <row r="1507">
          <cell r="G1507">
            <v>1.7708333333333326E-3</v>
          </cell>
        </row>
        <row r="1508">
          <cell r="G1508">
            <v>2.0949074074073648E-3</v>
          </cell>
        </row>
        <row r="1509">
          <cell r="G1509">
            <v>9.0740740740740677E-3</v>
          </cell>
        </row>
        <row r="1510">
          <cell r="G1510">
            <v>1.0034722222222181E-2</v>
          </cell>
        </row>
        <row r="1511">
          <cell r="G1511">
            <v>8.9699074074074403E-3</v>
          </cell>
        </row>
        <row r="1512">
          <cell r="G1512">
            <v>7.4537037037037401E-3</v>
          </cell>
        </row>
        <row r="1513">
          <cell r="G1513">
            <v>7.2337962962963909E-3</v>
          </cell>
        </row>
        <row r="1514">
          <cell r="G1514">
            <v>7.222222222222241E-3</v>
          </cell>
        </row>
        <row r="1515">
          <cell r="G1515">
            <v>6.1689814814814281E-3</v>
          </cell>
        </row>
        <row r="1516">
          <cell r="G1516">
            <v>2.0254629629630205E-3</v>
          </cell>
        </row>
        <row r="1517">
          <cell r="G1517">
            <v>3.5300925925925708E-3</v>
          </cell>
        </row>
        <row r="1518">
          <cell r="G1518">
            <v>2.8703703703703565E-3</v>
          </cell>
        </row>
        <row r="1519">
          <cell r="G1519">
            <v>5.3935185185185475E-3</v>
          </cell>
        </row>
        <row r="1520">
          <cell r="G1520">
            <v>6.0879629629629339E-3</v>
          </cell>
        </row>
        <row r="1521">
          <cell r="G1521">
            <v>3.3217592592592604E-3</v>
          </cell>
        </row>
        <row r="1522">
          <cell r="G1522">
            <v>1.782407407407316E-3</v>
          </cell>
        </row>
        <row r="1523">
          <cell r="G1523">
            <v>9.98842592592597E-3</v>
          </cell>
        </row>
        <row r="1524">
          <cell r="G1524">
            <v>9.4097222222222499E-3</v>
          </cell>
        </row>
        <row r="1525">
          <cell r="G1525">
            <v>9.5138888888889328E-3</v>
          </cell>
        </row>
        <row r="1526">
          <cell r="G1526">
            <v>9.7337962962962266E-3</v>
          </cell>
        </row>
        <row r="1527">
          <cell r="G1527">
            <v>9.0393518518518956E-3</v>
          </cell>
        </row>
        <row r="1528">
          <cell r="G1528">
            <v>9.4675925925925553E-3</v>
          </cell>
        </row>
        <row r="1529">
          <cell r="G1529">
            <v>7.5578703703703676E-3</v>
          </cell>
        </row>
        <row r="1530">
          <cell r="G1530">
            <v>1.1469907407407498E-2</v>
          </cell>
        </row>
        <row r="1531">
          <cell r="G1531">
            <v>8.9583333333334014E-3</v>
          </cell>
        </row>
        <row r="1532">
          <cell r="G1532">
            <v>8.599537037036975E-3</v>
          </cell>
        </row>
        <row r="1533">
          <cell r="G1533">
            <v>3.6342592592593093E-3</v>
          </cell>
        </row>
        <row r="1534">
          <cell r="G1534">
            <v>2.7893518518518068E-3</v>
          </cell>
        </row>
        <row r="1535">
          <cell r="G1535">
            <v>2.2337962962962754E-3</v>
          </cell>
        </row>
        <row r="1536">
          <cell r="G1536">
            <v>2.870370370370412E-3</v>
          </cell>
        </row>
        <row r="1537">
          <cell r="G1537">
            <v>6.4583333333333437E-3</v>
          </cell>
        </row>
        <row r="1538">
          <cell r="G1538">
            <v>5.335648148148131E-3</v>
          </cell>
        </row>
        <row r="1539">
          <cell r="G1539">
            <v>1.9189814814814854E-2</v>
          </cell>
        </row>
        <row r="1540">
          <cell r="G1540">
            <v>1.8958333333333299E-2</v>
          </cell>
        </row>
        <row r="1541">
          <cell r="G1541">
            <v>1.7337962962963083E-2</v>
          </cell>
        </row>
        <row r="1542">
          <cell r="G1542">
            <v>1.315972222222217E-2</v>
          </cell>
        </row>
        <row r="1543">
          <cell r="G1543">
            <v>1.0891203703703778E-2</v>
          </cell>
        </row>
        <row r="1544">
          <cell r="G1544">
            <v>7.8009259259259611E-3</v>
          </cell>
        </row>
        <row r="1545">
          <cell r="G1545">
            <v>6.2962962962963553E-3</v>
          </cell>
        </row>
        <row r="1546">
          <cell r="G1546">
            <v>5.6134259259259522E-3</v>
          </cell>
        </row>
        <row r="1547">
          <cell r="G1547">
            <v>4.1435185185185741E-3</v>
          </cell>
        </row>
        <row r="1548">
          <cell r="G1548">
            <v>4.8958333333334325E-3</v>
          </cell>
        </row>
        <row r="1549">
          <cell r="G1549">
            <v>5.5092592592593803E-3</v>
          </cell>
        </row>
        <row r="1550">
          <cell r="G1550">
            <v>4.2708333333334458E-3</v>
          </cell>
        </row>
        <row r="1551">
          <cell r="G1551">
            <v>2.9398148148147563E-3</v>
          </cell>
        </row>
        <row r="1552">
          <cell r="G1552">
            <v>1.7361111111110494E-3</v>
          </cell>
        </row>
        <row r="1553">
          <cell r="G1553">
            <v>3.1597222222222721E-3</v>
          </cell>
        </row>
        <row r="1554">
          <cell r="G1554">
            <v>1.782407407407427E-3</v>
          </cell>
        </row>
        <row r="1555">
          <cell r="G1555">
            <v>1.9560185185185652E-3</v>
          </cell>
        </row>
        <row r="1556">
          <cell r="G1556">
            <v>1.8518518518518823E-3</v>
          </cell>
        </row>
        <row r="1557">
          <cell r="G1557">
            <v>3.263888888888955E-3</v>
          </cell>
        </row>
        <row r="1558">
          <cell r="G1558">
            <v>1.9444444444444153E-3</v>
          </cell>
        </row>
        <row r="1559">
          <cell r="G1559">
            <v>1.9212962962962266E-3</v>
          </cell>
        </row>
        <row r="1560">
          <cell r="G1560">
            <v>7.511574074074101E-3</v>
          </cell>
        </row>
        <row r="1561">
          <cell r="G1561">
            <v>3.6458333333333481E-3</v>
          </cell>
        </row>
        <row r="1562">
          <cell r="G1562">
            <v>2.5231481481482465E-3</v>
          </cell>
        </row>
        <row r="1563">
          <cell r="G1563">
            <v>2.4652777777778301E-3</v>
          </cell>
        </row>
        <row r="1564">
          <cell r="G1564">
            <v>1.7476851851851993E-3</v>
          </cell>
        </row>
        <row r="1565">
          <cell r="G1565">
            <v>1.8634259259260322E-3</v>
          </cell>
        </row>
        <row r="1566">
          <cell r="G1566">
            <v>6.1111111111110672E-3</v>
          </cell>
        </row>
        <row r="1567">
          <cell r="G1567">
            <v>5.1736111111110317E-3</v>
          </cell>
        </row>
        <row r="1568">
          <cell r="G1568">
            <v>5.5671296296295747E-3</v>
          </cell>
        </row>
        <row r="1569">
          <cell r="G1569">
            <v>3.9930555555555136E-3</v>
          </cell>
        </row>
        <row r="1570">
          <cell r="G1570">
            <v>2.6967592592592737E-3</v>
          </cell>
        </row>
        <row r="1571">
          <cell r="G1571">
            <v>2.5462962962962132E-3</v>
          </cell>
        </row>
        <row r="1572">
          <cell r="G1572">
            <v>1.7939814814815769E-3</v>
          </cell>
        </row>
        <row r="1573">
          <cell r="G1573">
            <v>8.3009259259259172E-2</v>
          </cell>
        </row>
        <row r="1574">
          <cell r="G1574">
            <v>1.7129629629630272E-3</v>
          </cell>
        </row>
        <row r="1575">
          <cell r="G1575">
            <v>4.4803240740740713E-2</v>
          </cell>
        </row>
        <row r="1576">
          <cell r="G1576">
            <v>3.6828703703703669E-2</v>
          </cell>
        </row>
        <row r="1577">
          <cell r="G1577">
            <v>3.6053240740740733E-2</v>
          </cell>
        </row>
        <row r="1578">
          <cell r="G1578">
            <v>2.0949074074074203E-3</v>
          </cell>
        </row>
        <row r="1579">
          <cell r="G1579">
            <v>8.1365740740740322E-3</v>
          </cell>
        </row>
        <row r="1580">
          <cell r="G1580">
            <v>5.3935185185185475E-3</v>
          </cell>
        </row>
        <row r="1581">
          <cell r="G1581">
            <v>1.7708333333333326E-3</v>
          </cell>
        </row>
        <row r="1582">
          <cell r="G1582">
            <v>3.9004629629629806E-3</v>
          </cell>
        </row>
        <row r="1583">
          <cell r="G1583">
            <v>5.3240740740739811E-3</v>
          </cell>
        </row>
        <row r="1584">
          <cell r="G1584">
            <v>1.7129629629629717E-3</v>
          </cell>
        </row>
        <row r="1585">
          <cell r="G1585">
            <v>3.8425925925926752E-3</v>
          </cell>
        </row>
        <row r="1586">
          <cell r="G1586">
            <v>2.8009259259259567E-3</v>
          </cell>
        </row>
        <row r="1587">
          <cell r="G1587">
            <v>6.1111111111110672E-3</v>
          </cell>
        </row>
        <row r="1588">
          <cell r="G1588">
            <v>1.7592592592592382E-3</v>
          </cell>
        </row>
        <row r="1589">
          <cell r="G1589">
            <v>3.3622685185185186E-2</v>
          </cell>
        </row>
        <row r="1590">
          <cell r="G1590">
            <v>2.7199074074073515E-3</v>
          </cell>
        </row>
        <row r="1591">
          <cell r="G1591">
            <v>1.8865740740739989E-3</v>
          </cell>
        </row>
        <row r="1592">
          <cell r="G1592">
            <v>1.3553240740740602E-2</v>
          </cell>
        </row>
        <row r="1593">
          <cell r="G1593">
            <v>1.7245370370368995E-3</v>
          </cell>
        </row>
        <row r="1594">
          <cell r="G1594">
            <v>1.7708333333333881E-3</v>
          </cell>
        </row>
        <row r="1595">
          <cell r="G1595">
            <v>1.8055555555556158E-3</v>
          </cell>
        </row>
        <row r="1596">
          <cell r="G1596">
            <v>1.7476851851853104E-3</v>
          </cell>
        </row>
        <row r="1597">
          <cell r="G1597">
            <v>1.7939814814814659E-3</v>
          </cell>
        </row>
        <row r="1598">
          <cell r="G1598">
            <v>1.7824074074073715E-3</v>
          </cell>
        </row>
        <row r="1599">
          <cell r="G1599">
            <v>1.9560185185185097E-3</v>
          </cell>
        </row>
        <row r="1600">
          <cell r="G1600">
            <v>2.662037037037035E-2</v>
          </cell>
        </row>
        <row r="1601">
          <cell r="G1601">
            <v>1.7245370370370661E-3</v>
          </cell>
        </row>
        <row r="1602">
          <cell r="G1602">
            <v>1.7245370370370106E-3</v>
          </cell>
        </row>
        <row r="1603">
          <cell r="G1603">
            <v>3.5763888888888928E-3</v>
          </cell>
        </row>
        <row r="1604">
          <cell r="G1604">
            <v>1.7129629629630272E-3</v>
          </cell>
        </row>
        <row r="1605">
          <cell r="G1605">
            <v>1.7013888888888773E-3</v>
          </cell>
        </row>
        <row r="1606">
          <cell r="G1606">
            <v>2.4421296296296413E-3</v>
          </cell>
        </row>
        <row r="1607">
          <cell r="G1607">
            <v>1.7939814814815214E-3</v>
          </cell>
        </row>
        <row r="1608">
          <cell r="G1608">
            <v>3.5879629629629317E-3</v>
          </cell>
        </row>
        <row r="1609">
          <cell r="G1609">
            <v>3.2986111111110716E-3</v>
          </cell>
        </row>
        <row r="1610">
          <cell r="G1610">
            <v>8.946759259259307E-3</v>
          </cell>
        </row>
        <row r="1611">
          <cell r="G1611">
            <v>2.0138888888889261E-3</v>
          </cell>
        </row>
        <row r="1612">
          <cell r="G1612">
            <v>1.7129629629630272E-3</v>
          </cell>
        </row>
        <row r="1613">
          <cell r="G1613">
            <v>3.368055555555638E-3</v>
          </cell>
        </row>
        <row r="1614">
          <cell r="G1614">
            <v>3.3333333333333548E-3</v>
          </cell>
        </row>
        <row r="1615">
          <cell r="G1615">
            <v>4.8842592592592826E-3</v>
          </cell>
        </row>
        <row r="1616">
          <cell r="G1616">
            <v>8.9930555555555736E-3</v>
          </cell>
        </row>
        <row r="1617">
          <cell r="G1617">
            <v>1.5381944444444517E-2</v>
          </cell>
        </row>
        <row r="1618">
          <cell r="G1618">
            <v>1.2847222222222177E-2</v>
          </cell>
        </row>
        <row r="1619">
          <cell r="G1619">
            <v>1.7152777777777795E-2</v>
          </cell>
        </row>
        <row r="1620">
          <cell r="G1620">
            <v>7.465277777777779E-3</v>
          </cell>
        </row>
        <row r="1621">
          <cell r="G1621">
            <v>8.7152777777777524E-3</v>
          </cell>
        </row>
        <row r="1622">
          <cell r="G1622">
            <v>3.7962962962962976E-3</v>
          </cell>
        </row>
        <row r="1623">
          <cell r="G1623">
            <v>1.1886574074074008E-2</v>
          </cell>
        </row>
        <row r="1624">
          <cell r="G1624">
            <v>6.2731481481481666E-3</v>
          </cell>
        </row>
        <row r="1625">
          <cell r="G1625">
            <v>7.7546296296296946E-3</v>
          </cell>
        </row>
        <row r="1626">
          <cell r="G1626">
            <v>6.2152777777777501E-3</v>
          </cell>
        </row>
        <row r="1627">
          <cell r="G1627">
            <v>3.6805555555555758E-3</v>
          </cell>
        </row>
        <row r="1628">
          <cell r="G1628">
            <v>2.8240740740740344E-3</v>
          </cell>
        </row>
        <row r="1629">
          <cell r="G1629">
            <v>6.2962962962962443E-3</v>
          </cell>
        </row>
        <row r="1630">
          <cell r="G1630">
            <v>9.7569444444444153E-3</v>
          </cell>
        </row>
        <row r="1631">
          <cell r="G1631">
            <v>2.083333333333437E-3</v>
          </cell>
        </row>
        <row r="1632">
          <cell r="G1632">
            <v>1.2071759259259296E-2</v>
          </cell>
        </row>
        <row r="1633">
          <cell r="G1633">
            <v>9.2245370370369617E-3</v>
          </cell>
        </row>
        <row r="1634">
          <cell r="G1634">
            <v>1.2199074074074168E-2</v>
          </cell>
        </row>
        <row r="1635">
          <cell r="G1635">
            <v>8.2754629629629983E-3</v>
          </cell>
        </row>
        <row r="1636">
          <cell r="G1636">
            <v>2.2916666666668029E-3</v>
          </cell>
        </row>
        <row r="1637">
          <cell r="G1637">
            <v>3.6921296296296147E-3</v>
          </cell>
        </row>
        <row r="1638">
          <cell r="G1638">
            <v>2.2685185185185031E-3</v>
          </cell>
        </row>
        <row r="1639">
          <cell r="G1639">
            <v>1.7245370370371216E-3</v>
          </cell>
        </row>
        <row r="1640">
          <cell r="G1640">
            <v>2.025462962962965E-2</v>
          </cell>
        </row>
        <row r="1641">
          <cell r="G1641">
            <v>5.2083333333332593E-3</v>
          </cell>
        </row>
        <row r="1642">
          <cell r="G1642">
            <v>8.0787037037036713E-3</v>
          </cell>
        </row>
        <row r="1643">
          <cell r="G1643">
            <v>1.5543981481481506E-2</v>
          </cell>
        </row>
        <row r="1644">
          <cell r="G1644">
            <v>1.5543981481481395E-2</v>
          </cell>
        </row>
        <row r="1645">
          <cell r="G1645">
            <v>4.2013888888888795E-3</v>
          </cell>
        </row>
        <row r="1646">
          <cell r="G1646">
            <v>1.0104166666666692E-2</v>
          </cell>
        </row>
        <row r="1647">
          <cell r="G1647">
            <v>9.8495370370370594E-3</v>
          </cell>
        </row>
        <row r="1648">
          <cell r="G1648">
            <v>9.2245370370370727E-3</v>
          </cell>
        </row>
        <row r="1649">
          <cell r="G1649">
            <v>9.884259259259176E-3</v>
          </cell>
        </row>
        <row r="1650">
          <cell r="G1650">
            <v>1.8831018518518539E-2</v>
          </cell>
        </row>
        <row r="1651">
          <cell r="G1651">
            <v>7.7662037037037335E-3</v>
          </cell>
        </row>
        <row r="1652">
          <cell r="G1652">
            <v>1.3402777777777763E-2</v>
          </cell>
        </row>
        <row r="1653">
          <cell r="G1653">
            <v>8.9699074074074403E-3</v>
          </cell>
        </row>
        <row r="1654">
          <cell r="G1654">
            <v>1.1122685185185222E-2</v>
          </cell>
        </row>
        <row r="1655">
          <cell r="G1655">
            <v>4.4560185185185119E-3</v>
          </cell>
        </row>
        <row r="1656">
          <cell r="G1656">
            <v>1.0833333333333361E-2</v>
          </cell>
        </row>
        <row r="1657">
          <cell r="G1657">
            <v>7.6967592592591672E-3</v>
          </cell>
        </row>
        <row r="1658">
          <cell r="G1658">
            <v>4.8032407407407884E-3</v>
          </cell>
        </row>
        <row r="1659">
          <cell r="G1659">
            <v>4.2939814814814126E-3</v>
          </cell>
        </row>
        <row r="1660">
          <cell r="G1660">
            <v>2.3958333333332638E-3</v>
          </cell>
        </row>
        <row r="1661">
          <cell r="G1661">
            <v>1.7013888888888218E-3</v>
          </cell>
        </row>
        <row r="1662">
          <cell r="G1662">
            <v>2.3611111111110361E-3</v>
          </cell>
        </row>
        <row r="1663">
          <cell r="G1663">
            <v>2.7893518518518068E-3</v>
          </cell>
        </row>
        <row r="1664">
          <cell r="G1664">
            <v>4.8958333333333215E-3</v>
          </cell>
        </row>
        <row r="1665">
          <cell r="G1665">
            <v>3.5879629629629317E-3</v>
          </cell>
        </row>
        <row r="1666">
          <cell r="G1666">
            <v>4.0277777777777413E-3</v>
          </cell>
        </row>
        <row r="1667">
          <cell r="G1667">
            <v>6.9675925925924975E-3</v>
          </cell>
        </row>
        <row r="1668">
          <cell r="G1668">
            <v>5.740740740740824E-3</v>
          </cell>
        </row>
        <row r="1669">
          <cell r="G1669">
            <v>5.5092592592592693E-3</v>
          </cell>
        </row>
        <row r="1670">
          <cell r="G1670">
            <v>8.5300925925925197E-3</v>
          </cell>
        </row>
        <row r="1671">
          <cell r="G1671">
            <v>3.9930555555556246E-3</v>
          </cell>
        </row>
        <row r="1672">
          <cell r="G1672">
            <v>4.1666666666667629E-3</v>
          </cell>
        </row>
        <row r="1673">
          <cell r="G1673">
            <v>4.2824074074073737E-3</v>
          </cell>
        </row>
        <row r="1674">
          <cell r="G1674">
            <v>3.1944444444443887E-3</v>
          </cell>
        </row>
        <row r="1675">
          <cell r="G1675">
            <v>3.7037037037036535E-3</v>
          </cell>
        </row>
        <row r="1676">
          <cell r="G1676">
            <v>1.3611111111111018E-2</v>
          </cell>
        </row>
        <row r="1677">
          <cell r="G1677">
            <v>2.0266203703703689E-2</v>
          </cell>
        </row>
        <row r="1678">
          <cell r="G1678">
            <v>3.0787037037037779E-3</v>
          </cell>
        </row>
        <row r="1679">
          <cell r="G1679">
            <v>6.3888888888887774E-3</v>
          </cell>
        </row>
        <row r="1680">
          <cell r="G1680">
            <v>4.8611111111112049E-3</v>
          </cell>
        </row>
        <row r="1681">
          <cell r="G1681">
            <v>4.4097222222222454E-3</v>
          </cell>
        </row>
        <row r="1682">
          <cell r="G1682">
            <v>1.7013888888888218E-3</v>
          </cell>
        </row>
        <row r="1683">
          <cell r="G1683">
            <v>9.3865740740739501E-3</v>
          </cell>
        </row>
        <row r="1684">
          <cell r="G1684">
            <v>3.4027777777777546E-3</v>
          </cell>
        </row>
        <row r="1685">
          <cell r="G1685">
            <v>2.8819444444443953E-3</v>
          </cell>
        </row>
        <row r="1686">
          <cell r="G1686">
            <v>8.0902777777777102E-3</v>
          </cell>
        </row>
        <row r="1687">
          <cell r="G1687">
            <v>2.4074074074074137E-3</v>
          </cell>
        </row>
        <row r="1688">
          <cell r="G1688">
            <v>1.6666666666666496E-3</v>
          </cell>
        </row>
        <row r="1689">
          <cell r="G1689">
            <v>3.1712962962963109E-3</v>
          </cell>
        </row>
        <row r="1690">
          <cell r="G1690">
            <v>1.4409722222222254E-2</v>
          </cell>
        </row>
        <row r="1691">
          <cell r="G1691">
            <v>1.1817129629629608E-2</v>
          </cell>
        </row>
        <row r="1692">
          <cell r="G1692">
            <v>9.0509259259259345E-3</v>
          </cell>
        </row>
        <row r="1693">
          <cell r="G1693">
            <v>1.1585648148148109E-2</v>
          </cell>
        </row>
        <row r="1694">
          <cell r="G1694">
            <v>1.388888888888884E-2</v>
          </cell>
        </row>
        <row r="1695">
          <cell r="G1695">
            <v>1.3020833333333315E-2</v>
          </cell>
        </row>
        <row r="1696">
          <cell r="G1696">
            <v>3.2638888888888995E-3</v>
          </cell>
        </row>
        <row r="1697">
          <cell r="G1697">
            <v>3.8425925925926196E-3</v>
          </cell>
        </row>
        <row r="1698">
          <cell r="G1698">
            <v>3.0497685185185197E-2</v>
          </cell>
        </row>
        <row r="1699">
          <cell r="G1699">
            <v>1.7476851851851993E-3</v>
          </cell>
        </row>
        <row r="1700">
          <cell r="G1700">
            <v>3.0787037037036669E-3</v>
          </cell>
        </row>
        <row r="1701">
          <cell r="G1701">
            <v>8.1018518518518601E-3</v>
          </cell>
        </row>
        <row r="1702">
          <cell r="G1702">
            <v>2.7893518518519178E-3</v>
          </cell>
        </row>
        <row r="1703">
          <cell r="G1703">
            <v>1.4722222222222192E-2</v>
          </cell>
        </row>
        <row r="1704">
          <cell r="G1704">
            <v>5.9953703703703454E-3</v>
          </cell>
        </row>
        <row r="1705">
          <cell r="G1705">
            <v>1.1053240740740711E-2</v>
          </cell>
        </row>
        <row r="1706">
          <cell r="G1706">
            <v>3.1481481481481222E-3</v>
          </cell>
        </row>
        <row r="1707">
          <cell r="G1707">
            <v>1.6064814814814865E-2</v>
          </cell>
        </row>
        <row r="1708">
          <cell r="G1708">
            <v>5.0925925925926485E-3</v>
          </cell>
        </row>
        <row r="1709">
          <cell r="G1709">
            <v>1.2789351851851927E-2</v>
          </cell>
        </row>
        <row r="1710">
          <cell r="G1710">
            <v>8.1712962962963709E-3</v>
          </cell>
        </row>
        <row r="1711">
          <cell r="G1711">
            <v>1.2129629629629657E-2</v>
          </cell>
        </row>
        <row r="1712">
          <cell r="G1712">
            <v>7.071759259259347E-3</v>
          </cell>
        </row>
        <row r="1713">
          <cell r="G1713">
            <v>1.1076388888888899E-2</v>
          </cell>
        </row>
        <row r="1714">
          <cell r="G1714">
            <v>4.8032407407407884E-3</v>
          </cell>
        </row>
        <row r="1715">
          <cell r="G1715">
            <v>1.1712962962962981E-2</v>
          </cell>
        </row>
        <row r="1716">
          <cell r="G1716">
            <v>1.026620370370368E-2</v>
          </cell>
        </row>
        <row r="1717">
          <cell r="G1717">
            <v>1.9328703703703765E-3</v>
          </cell>
        </row>
        <row r="1718">
          <cell r="G1718">
            <v>6.9791666666666474E-3</v>
          </cell>
        </row>
        <row r="1719">
          <cell r="G1719">
            <v>1.2476851851851878E-2</v>
          </cell>
        </row>
        <row r="1720">
          <cell r="G1720">
            <v>6.3425925925926219E-3</v>
          </cell>
        </row>
        <row r="1721">
          <cell r="G1721">
            <v>1.2789351851851927E-2</v>
          </cell>
        </row>
        <row r="1722">
          <cell r="G1722">
            <v>8.7152777777776969E-3</v>
          </cell>
        </row>
        <row r="1723">
          <cell r="G1723">
            <v>6.9444444444444198E-3</v>
          </cell>
        </row>
        <row r="1724">
          <cell r="G1724">
            <v>9.7222222222221877E-3</v>
          </cell>
        </row>
        <row r="1725">
          <cell r="G1725">
            <v>9.1203703703703898E-3</v>
          </cell>
        </row>
        <row r="1726">
          <cell r="G1726">
            <v>8.8888888888888351E-3</v>
          </cell>
        </row>
        <row r="1727">
          <cell r="G1727">
            <v>5.93750000000004E-3</v>
          </cell>
        </row>
        <row r="1728">
          <cell r="G1728">
            <v>1.4189814814814738E-2</v>
          </cell>
        </row>
        <row r="1729">
          <cell r="G1729">
            <v>7.4884259259260233E-3</v>
          </cell>
        </row>
        <row r="1730">
          <cell r="G1730">
            <v>1.8287037037036935E-3</v>
          </cell>
        </row>
        <row r="1731">
          <cell r="G1731">
            <v>2.8356481481480733E-3</v>
          </cell>
        </row>
        <row r="1732">
          <cell r="G1732">
            <v>1.1921296296296346E-2</v>
          </cell>
        </row>
        <row r="1733">
          <cell r="G1733">
            <v>8.3333333333333037E-3</v>
          </cell>
        </row>
        <row r="1734">
          <cell r="G1734">
            <v>9.8842592592592871E-3</v>
          </cell>
        </row>
        <row r="1735">
          <cell r="G1735">
            <v>1.1400462962963043E-2</v>
          </cell>
        </row>
        <row r="1736">
          <cell r="G1736">
            <v>1.1736111111111058E-2</v>
          </cell>
        </row>
        <row r="1737">
          <cell r="G1737">
            <v>1.0347222222222285E-2</v>
          </cell>
        </row>
        <row r="1738">
          <cell r="G1738">
            <v>2.2916666666665808E-3</v>
          </cell>
        </row>
        <row r="1739">
          <cell r="G1739">
            <v>8.5879629629630472E-3</v>
          </cell>
        </row>
        <row r="1740">
          <cell r="G1740">
            <v>9.6064814814815769E-3</v>
          </cell>
        </row>
        <row r="1741">
          <cell r="G1741">
            <v>6.0069444444444953E-3</v>
          </cell>
        </row>
        <row r="1742">
          <cell r="G1742">
            <v>7.5000000000000622E-3</v>
          </cell>
        </row>
        <row r="1743">
          <cell r="G1743">
            <v>7.8356481481480778E-3</v>
          </cell>
        </row>
        <row r="1744">
          <cell r="G1744">
            <v>7.2569444444444686E-3</v>
          </cell>
        </row>
        <row r="1745">
          <cell r="G1745">
            <v>6.4699074074073826E-3</v>
          </cell>
        </row>
        <row r="1746">
          <cell r="G1746">
            <v>7.7777777777777724E-3</v>
          </cell>
        </row>
        <row r="1747">
          <cell r="G1747">
            <v>7.1643518518518245E-3</v>
          </cell>
        </row>
        <row r="1748">
          <cell r="G1748">
            <v>8.4606481481481755E-3</v>
          </cell>
        </row>
        <row r="1749">
          <cell r="G1749">
            <v>1.0520833333333313E-2</v>
          </cell>
        </row>
        <row r="1750">
          <cell r="G1750">
            <v>4.8726851851852437E-3</v>
          </cell>
        </row>
        <row r="1751">
          <cell r="G1751">
            <v>2.6851851851852349E-3</v>
          </cell>
        </row>
        <row r="1752">
          <cell r="G1752">
            <v>1.3321759259259269E-2</v>
          </cell>
        </row>
        <row r="1753">
          <cell r="G1753">
            <v>1.6319444444444775E-3</v>
          </cell>
        </row>
        <row r="1754">
          <cell r="G1754">
            <v>2.569444444444513E-3</v>
          </cell>
        </row>
        <row r="1755">
          <cell r="G1755">
            <v>1.6435185185185164E-3</v>
          </cell>
        </row>
        <row r="1756">
          <cell r="G1756">
            <v>1.7476851851851993E-3</v>
          </cell>
        </row>
        <row r="1757">
          <cell r="G1757">
            <v>1.6319444444444775E-3</v>
          </cell>
        </row>
        <row r="1758">
          <cell r="G1758">
            <v>1.6898148148147829E-3</v>
          </cell>
        </row>
        <row r="1759">
          <cell r="G1759">
            <v>1.1469907407407387E-2</v>
          </cell>
        </row>
        <row r="1760">
          <cell r="G1760">
            <v>1.6666666666667052E-3</v>
          </cell>
        </row>
        <row r="1761">
          <cell r="G1761">
            <v>3.9004629629628695E-3</v>
          </cell>
        </row>
        <row r="1762">
          <cell r="G1762">
            <v>6.8518518518517757E-3</v>
          </cell>
        </row>
        <row r="1763">
          <cell r="G1763">
            <v>1.6666666666667052E-3</v>
          </cell>
        </row>
        <row r="1764">
          <cell r="G1764">
            <v>1.678240740740744E-3</v>
          </cell>
        </row>
        <row r="1765">
          <cell r="G1765">
            <v>1.6435185185186274E-3</v>
          </cell>
        </row>
        <row r="1766">
          <cell r="G1766">
            <v>9.7569444444444153E-3</v>
          </cell>
        </row>
        <row r="1767">
          <cell r="G1767">
            <v>2.6041666666667407E-3</v>
          </cell>
        </row>
        <row r="1768">
          <cell r="G1768">
            <v>2.1064814814814037E-3</v>
          </cell>
        </row>
        <row r="1769">
          <cell r="G1769">
            <v>1.678240740740744E-3</v>
          </cell>
        </row>
        <row r="1770">
          <cell r="G1770">
            <v>3.3796296296297879E-3</v>
          </cell>
        </row>
        <row r="1771">
          <cell r="G1771">
            <v>8.009259259259216E-3</v>
          </cell>
        </row>
        <row r="1772">
          <cell r="G1772">
            <v>1.6550925925925553E-3</v>
          </cell>
        </row>
        <row r="1773">
          <cell r="G1773">
            <v>1.8055555555556158E-3</v>
          </cell>
        </row>
        <row r="1774">
          <cell r="G1774">
            <v>1.678240740740744E-3</v>
          </cell>
        </row>
        <row r="1775">
          <cell r="G1775">
            <v>1.9212962962962266E-3</v>
          </cell>
        </row>
      </sheetData>
      <sheetData sheetId="7">
        <row r="3">
          <cell r="G3">
            <v>1.7523148148148149E-2</v>
          </cell>
        </row>
        <row r="4">
          <cell r="G4">
            <v>1.5439814814814823E-2</v>
          </cell>
        </row>
        <row r="5">
          <cell r="G5">
            <v>4.4525462962963003E-2</v>
          </cell>
        </row>
        <row r="6">
          <cell r="G6">
            <v>4.4328703703703731E-2</v>
          </cell>
        </row>
        <row r="7">
          <cell r="G7">
            <v>8.4953703703704031E-3</v>
          </cell>
        </row>
        <row r="8">
          <cell r="G8">
            <v>1.1666666666666714E-2</v>
          </cell>
        </row>
        <row r="9">
          <cell r="G9">
            <v>1.0682870370370412E-2</v>
          </cell>
        </row>
        <row r="10">
          <cell r="G10">
            <v>5.2662037037036757E-3</v>
          </cell>
        </row>
        <row r="11">
          <cell r="G11">
            <v>1.6666666666665941E-3</v>
          </cell>
        </row>
        <row r="12">
          <cell r="G12">
            <v>7.1412037037036358E-3</v>
          </cell>
        </row>
        <row r="13">
          <cell r="G13">
            <v>3.0092592592592671E-3</v>
          </cell>
        </row>
        <row r="14">
          <cell r="G14">
            <v>1.822916666666663E-2</v>
          </cell>
        </row>
        <row r="15">
          <cell r="G15">
            <v>1.844907407407409E-2</v>
          </cell>
        </row>
        <row r="16">
          <cell r="G16">
            <v>1.959490740740738E-2</v>
          </cell>
        </row>
        <row r="17">
          <cell r="G17">
            <v>2.5798611111111203E-2</v>
          </cell>
        </row>
        <row r="18">
          <cell r="G18">
            <v>4.4560185185185119E-3</v>
          </cell>
        </row>
        <row r="19">
          <cell r="G19">
            <v>2.8472222222222232E-3</v>
          </cell>
        </row>
        <row r="20">
          <cell r="G20">
            <v>1.8402777777777324E-3</v>
          </cell>
        </row>
        <row r="21">
          <cell r="G21">
            <v>1.3391203703703725E-2</v>
          </cell>
        </row>
        <row r="22">
          <cell r="G22">
            <v>1.2812500000000004E-2</v>
          </cell>
        </row>
        <row r="23">
          <cell r="G23">
            <v>3.8310185185185253E-3</v>
          </cell>
        </row>
        <row r="24">
          <cell r="G24">
            <v>3.4722222222222654E-3</v>
          </cell>
        </row>
        <row r="25">
          <cell r="G25">
            <v>1.8310185185185235E-2</v>
          </cell>
        </row>
        <row r="26">
          <cell r="G26">
            <v>1.8946759259259316E-2</v>
          </cell>
        </row>
        <row r="27">
          <cell r="G27">
            <v>9.247685185185206E-3</v>
          </cell>
        </row>
        <row r="28">
          <cell r="G28">
            <v>1.8692129629629628E-2</v>
          </cell>
        </row>
        <row r="29">
          <cell r="G29">
            <v>1.9675925925925986E-2</v>
          </cell>
        </row>
        <row r="30">
          <cell r="G30">
            <v>1.8912037037037033E-2</v>
          </cell>
        </row>
        <row r="31">
          <cell r="G31">
            <v>4.8958333333333215E-3</v>
          </cell>
        </row>
        <row r="32">
          <cell r="G32">
            <v>1.8136574074074152E-2</v>
          </cell>
        </row>
        <row r="33">
          <cell r="G33">
            <v>4.5138888888889284E-3</v>
          </cell>
        </row>
        <row r="34">
          <cell r="G34">
            <v>1.5821759259259327E-2</v>
          </cell>
        </row>
        <row r="35">
          <cell r="G35">
            <v>2.0486111111110983E-3</v>
          </cell>
        </row>
        <row r="36">
          <cell r="G36">
            <v>1.2870370370370421E-2</v>
          </cell>
        </row>
        <row r="37">
          <cell r="G37">
            <v>1.679398148148159E-2</v>
          </cell>
        </row>
        <row r="38">
          <cell r="G38">
            <v>1.9942129629629601E-2</v>
          </cell>
        </row>
        <row r="39">
          <cell r="G39">
            <v>1.9050925925925943E-2</v>
          </cell>
        </row>
        <row r="40">
          <cell r="G40">
            <v>1.4236111111111116E-2</v>
          </cell>
        </row>
        <row r="41">
          <cell r="G41">
            <v>1.1747685185185208E-2</v>
          </cell>
        </row>
        <row r="42">
          <cell r="G42">
            <v>8.2638888888888484E-3</v>
          </cell>
        </row>
        <row r="43">
          <cell r="G43">
            <v>1.6898148148147829E-3</v>
          </cell>
        </row>
        <row r="44">
          <cell r="G44">
            <v>3.1828703703704053E-3</v>
          </cell>
        </row>
        <row r="45">
          <cell r="G45">
            <v>4.8379629629630161E-3</v>
          </cell>
        </row>
        <row r="46">
          <cell r="G46">
            <v>3.4837962962962488E-3</v>
          </cell>
        </row>
        <row r="47">
          <cell r="G47">
            <v>1.6435185185185719E-3</v>
          </cell>
        </row>
        <row r="48">
          <cell r="G48">
            <v>1.8865740740739989E-3</v>
          </cell>
        </row>
        <row r="49">
          <cell r="G49">
            <v>2.4768518518517579E-3</v>
          </cell>
        </row>
        <row r="50">
          <cell r="G50">
            <v>1.7939814814814659E-3</v>
          </cell>
        </row>
        <row r="51">
          <cell r="G51">
            <v>2.6620370370369906E-3</v>
          </cell>
        </row>
        <row r="52">
          <cell r="G52">
            <v>2.0486111111110983E-3</v>
          </cell>
        </row>
        <row r="53">
          <cell r="G53">
            <v>2.2916666666666918E-3</v>
          </cell>
        </row>
        <row r="54">
          <cell r="G54">
            <v>1.6435185185184609E-3</v>
          </cell>
        </row>
        <row r="55">
          <cell r="G55">
            <v>4.4212962962962843E-3</v>
          </cell>
        </row>
        <row r="56">
          <cell r="G56">
            <v>2.6851851851851793E-3</v>
          </cell>
        </row>
        <row r="57">
          <cell r="G57">
            <v>2.2916666666666363E-3</v>
          </cell>
        </row>
        <row r="58">
          <cell r="G58">
            <v>1.6550925925925553E-3</v>
          </cell>
        </row>
        <row r="59">
          <cell r="G59">
            <v>2.8356481481480733E-3</v>
          </cell>
        </row>
        <row r="60">
          <cell r="G60">
            <v>2.2569444444444642E-3</v>
          </cell>
        </row>
        <row r="61">
          <cell r="G61">
            <v>2.1875000000000089E-3</v>
          </cell>
        </row>
        <row r="62">
          <cell r="G62">
            <v>2.9861111111111338E-3</v>
          </cell>
        </row>
        <row r="63">
          <cell r="G63">
            <v>2.1296296296297035E-3</v>
          </cell>
        </row>
        <row r="64">
          <cell r="G64">
            <v>1.1388888888888893E-2</v>
          </cell>
        </row>
        <row r="65">
          <cell r="G65">
            <v>1.2256944444444473E-2</v>
          </cell>
        </row>
        <row r="66">
          <cell r="G66">
            <v>1.2164351851851829E-2</v>
          </cell>
        </row>
        <row r="67">
          <cell r="G67">
            <v>1.2314814814814778E-2</v>
          </cell>
        </row>
        <row r="68">
          <cell r="G68">
            <v>8.6574074074073915E-3</v>
          </cell>
        </row>
        <row r="69">
          <cell r="G69">
            <v>6.9328703703703809E-3</v>
          </cell>
        </row>
        <row r="70">
          <cell r="G70">
            <v>5.6944444444444464E-3</v>
          </cell>
        </row>
        <row r="71">
          <cell r="G71">
            <v>4.6643518518518778E-3</v>
          </cell>
        </row>
        <row r="72">
          <cell r="G72">
            <v>3.8310185185185253E-3</v>
          </cell>
        </row>
        <row r="73">
          <cell r="G73">
            <v>4.0046296296296635E-3</v>
          </cell>
        </row>
        <row r="74">
          <cell r="G74">
            <v>2.1412037037037424E-3</v>
          </cell>
        </row>
        <row r="75">
          <cell r="G75">
            <v>8.8310185185185297E-3</v>
          </cell>
        </row>
        <row r="76">
          <cell r="G76">
            <v>4.351851851851718E-3</v>
          </cell>
        </row>
        <row r="77">
          <cell r="G77">
            <v>3.9467592592592471E-3</v>
          </cell>
        </row>
        <row r="78">
          <cell r="G78">
            <v>1.0046296296296275E-2</v>
          </cell>
        </row>
        <row r="79">
          <cell r="G79">
            <v>8.6226851851851638E-3</v>
          </cell>
        </row>
        <row r="80">
          <cell r="G80">
            <v>8.3680555555554204E-3</v>
          </cell>
        </row>
        <row r="81">
          <cell r="G81">
            <v>6.4699074074072715E-3</v>
          </cell>
        </row>
        <row r="82">
          <cell r="G82">
            <v>7.1759259259259744E-3</v>
          </cell>
        </row>
        <row r="83">
          <cell r="G83">
            <v>7.1064814814815191E-3</v>
          </cell>
        </row>
        <row r="84">
          <cell r="G84">
            <v>5.8912037037036624E-3</v>
          </cell>
        </row>
        <row r="85">
          <cell r="G85">
            <v>6.3078703703703942E-3</v>
          </cell>
        </row>
        <row r="86">
          <cell r="G86">
            <v>6.4004629629629273E-3</v>
          </cell>
        </row>
        <row r="87">
          <cell r="G87">
            <v>4.7222222222222943E-3</v>
          </cell>
        </row>
        <row r="88">
          <cell r="G88">
            <v>5.335648148148131E-3</v>
          </cell>
        </row>
        <row r="89">
          <cell r="G89">
            <v>3.6921296296296147E-3</v>
          </cell>
        </row>
        <row r="90">
          <cell r="G90">
            <v>2.9513888888889062E-3</v>
          </cell>
        </row>
        <row r="91">
          <cell r="G91">
            <v>8.6574074074073915E-3</v>
          </cell>
        </row>
        <row r="92">
          <cell r="G92">
            <v>8.0902777777777102E-3</v>
          </cell>
        </row>
        <row r="93">
          <cell r="G93">
            <v>5.9722222222221566E-3</v>
          </cell>
        </row>
        <row r="94">
          <cell r="G94">
            <v>5.1851851851851816E-3</v>
          </cell>
        </row>
        <row r="95">
          <cell r="G95">
            <v>4.3287037037037512E-3</v>
          </cell>
        </row>
        <row r="96">
          <cell r="G96">
            <v>1.8402777777777324E-3</v>
          </cell>
        </row>
        <row r="97">
          <cell r="G97">
            <v>4.3865740740740566E-3</v>
          </cell>
        </row>
        <row r="98">
          <cell r="G98">
            <v>4.0972222222223076E-3</v>
          </cell>
        </row>
        <row r="99">
          <cell r="G99">
            <v>3.5648148148147429E-3</v>
          </cell>
        </row>
        <row r="100">
          <cell r="G100">
            <v>3.7731481481479978E-3</v>
          </cell>
        </row>
        <row r="101">
          <cell r="G101">
            <v>2.3495370370371083E-3</v>
          </cell>
        </row>
        <row r="102">
          <cell r="G102">
            <v>1.6435185185184054E-3</v>
          </cell>
        </row>
        <row r="103">
          <cell r="G103">
            <v>2.7083333333333126E-3</v>
          </cell>
        </row>
        <row r="104">
          <cell r="G104">
            <v>1.7939814814814659E-3</v>
          </cell>
        </row>
        <row r="105">
          <cell r="G105">
            <v>4.05092592592593E-3</v>
          </cell>
        </row>
        <row r="106">
          <cell r="G106">
            <v>2.3726851851852415E-3</v>
          </cell>
        </row>
        <row r="107">
          <cell r="G107">
            <v>3.1365740740739723E-3</v>
          </cell>
        </row>
        <row r="108">
          <cell r="G108">
            <v>4.7685185185185053E-3</v>
          </cell>
        </row>
        <row r="109">
          <cell r="G109">
            <v>2.4537037037036802E-3</v>
          </cell>
        </row>
        <row r="110">
          <cell r="G110">
            <v>2.569444444444513E-3</v>
          </cell>
        </row>
        <row r="111">
          <cell r="G111">
            <v>7.8935185185184942E-3</v>
          </cell>
        </row>
        <row r="112">
          <cell r="G112">
            <v>3.5532407407407596E-3</v>
          </cell>
        </row>
        <row r="113">
          <cell r="G113">
            <v>3.8425925925925641E-3</v>
          </cell>
        </row>
        <row r="114">
          <cell r="G114">
            <v>3.8541666666666585E-3</v>
          </cell>
        </row>
        <row r="115">
          <cell r="G115">
            <v>2.2337962962962199E-3</v>
          </cell>
        </row>
        <row r="116">
          <cell r="G116">
            <v>1.6319444444444775E-3</v>
          </cell>
        </row>
        <row r="117">
          <cell r="G117">
            <v>2.5115740740741521E-3</v>
          </cell>
        </row>
        <row r="118">
          <cell r="G118">
            <v>7.8356481481481888E-3</v>
          </cell>
        </row>
        <row r="119">
          <cell r="G119">
            <v>5.138888888888915E-3</v>
          </cell>
        </row>
        <row r="120">
          <cell r="G120">
            <v>6.5509259259259878E-3</v>
          </cell>
        </row>
        <row r="121">
          <cell r="G121">
            <v>2.5115740740740966E-3</v>
          </cell>
        </row>
        <row r="122">
          <cell r="G122">
            <v>5.1388888888888595E-3</v>
          </cell>
        </row>
        <row r="123">
          <cell r="G123">
            <v>4.1666666666667629E-3</v>
          </cell>
        </row>
        <row r="124">
          <cell r="G124">
            <v>1.6087962962962887E-3</v>
          </cell>
        </row>
        <row r="125">
          <cell r="G125">
            <v>4.2245370370370683E-3</v>
          </cell>
        </row>
        <row r="126">
          <cell r="G126">
            <v>4.502314814814834E-3</v>
          </cell>
        </row>
        <row r="127">
          <cell r="G127">
            <v>3.4374999999999822E-3</v>
          </cell>
        </row>
        <row r="128">
          <cell r="G128">
            <v>6.9097222222221921E-3</v>
          </cell>
        </row>
        <row r="129">
          <cell r="G129">
            <v>7.1064814814814636E-3</v>
          </cell>
        </row>
        <row r="130">
          <cell r="G130">
            <v>7.8356481481481888E-3</v>
          </cell>
        </row>
        <row r="131">
          <cell r="G131">
            <v>5.1388888888888595E-3</v>
          </cell>
        </row>
        <row r="132">
          <cell r="G132">
            <v>5.6481481481481244E-3</v>
          </cell>
        </row>
        <row r="133">
          <cell r="G133">
            <v>5.8217592592592626E-3</v>
          </cell>
        </row>
        <row r="134">
          <cell r="G134">
            <v>5.7638888888889017E-3</v>
          </cell>
        </row>
        <row r="135">
          <cell r="G135">
            <v>4.108796296296291E-3</v>
          </cell>
        </row>
        <row r="136">
          <cell r="G136">
            <v>1.5740740740740611E-3</v>
          </cell>
        </row>
        <row r="137">
          <cell r="G137">
            <v>3.1481481481481777E-3</v>
          </cell>
        </row>
        <row r="138">
          <cell r="G138">
            <v>3.7847222222222032E-3</v>
          </cell>
        </row>
        <row r="139">
          <cell r="G139">
            <v>1.9675925925926041E-3</v>
          </cell>
        </row>
        <row r="140">
          <cell r="G140">
            <v>2.8009259259259012E-3</v>
          </cell>
        </row>
        <row r="141">
          <cell r="G141">
            <v>3.4606481481481155E-3</v>
          </cell>
        </row>
        <row r="142">
          <cell r="G142">
            <v>3.4722222222222099E-3</v>
          </cell>
        </row>
        <row r="143">
          <cell r="G143">
            <v>2.6620370370369906E-3</v>
          </cell>
        </row>
        <row r="144">
          <cell r="G144">
            <v>1.6550925925925553E-3</v>
          </cell>
        </row>
        <row r="145">
          <cell r="G145">
            <v>6.9907407407407973E-3</v>
          </cell>
        </row>
        <row r="146">
          <cell r="G146">
            <v>4.849537037037055E-3</v>
          </cell>
        </row>
        <row r="147">
          <cell r="G147">
            <v>4.6064814814814614E-3</v>
          </cell>
        </row>
        <row r="148">
          <cell r="G148">
            <v>3.5763888888888928E-3</v>
          </cell>
        </row>
        <row r="149">
          <cell r="G149">
            <v>3.0092592592592671E-3</v>
          </cell>
        </row>
        <row r="150">
          <cell r="G150">
            <v>2.7893518518518623E-3</v>
          </cell>
        </row>
        <row r="151">
          <cell r="G151">
            <v>2.9166666666666785E-3</v>
          </cell>
        </row>
        <row r="152">
          <cell r="G152">
            <v>3.564814814814854E-3</v>
          </cell>
        </row>
        <row r="153">
          <cell r="G153">
            <v>6.030092592592573E-3</v>
          </cell>
        </row>
        <row r="154">
          <cell r="G154">
            <v>9.1550925925926174E-3</v>
          </cell>
        </row>
        <row r="155">
          <cell r="G155">
            <v>9.293981481481528E-3</v>
          </cell>
        </row>
        <row r="156">
          <cell r="G156">
            <v>1.0590277777777823E-2</v>
          </cell>
        </row>
        <row r="157">
          <cell r="G157">
            <v>9.5023148148147829E-3</v>
          </cell>
        </row>
        <row r="158">
          <cell r="G158">
            <v>9.7800925925926596E-3</v>
          </cell>
        </row>
        <row r="159">
          <cell r="G159">
            <v>1.4456018518518465E-2</v>
          </cell>
        </row>
        <row r="160">
          <cell r="G160">
            <v>4.2708333333333348E-3</v>
          </cell>
        </row>
        <row r="161">
          <cell r="G161">
            <v>1.3784722222222323E-2</v>
          </cell>
        </row>
        <row r="162">
          <cell r="G162">
            <v>3.1828703703703498E-3</v>
          </cell>
        </row>
        <row r="163">
          <cell r="G163">
            <v>2.3310185185185184E-2</v>
          </cell>
        </row>
        <row r="164">
          <cell r="G164">
            <v>1.3553240740740768E-2</v>
          </cell>
        </row>
        <row r="165">
          <cell r="G165">
            <v>1.4537037037037071E-2</v>
          </cell>
        </row>
        <row r="166">
          <cell r="G166">
            <v>1.2268518518518512E-2</v>
          </cell>
        </row>
        <row r="167">
          <cell r="G167">
            <v>1.3460648148148069E-2</v>
          </cell>
        </row>
        <row r="168">
          <cell r="G168">
            <v>2.4108796296296253E-2</v>
          </cell>
        </row>
        <row r="169">
          <cell r="G169">
            <v>1.9479166666666714E-2</v>
          </cell>
        </row>
        <row r="170">
          <cell r="G170">
            <v>2.0069444444444473E-2</v>
          </cell>
        </row>
        <row r="171">
          <cell r="G171">
            <v>1.7731481481481515E-2</v>
          </cell>
        </row>
        <row r="172">
          <cell r="G172">
            <v>9.9421296296297035E-3</v>
          </cell>
        </row>
        <row r="173">
          <cell r="G173">
            <v>1.1122685185185111E-2</v>
          </cell>
        </row>
        <row r="174">
          <cell r="G174">
            <v>6.7361111111110539E-3</v>
          </cell>
        </row>
        <row r="175">
          <cell r="G175">
            <v>3.1134259259258945E-3</v>
          </cell>
        </row>
        <row r="176">
          <cell r="G176">
            <v>1.9444444444444153E-3</v>
          </cell>
        </row>
        <row r="177">
          <cell r="G177">
            <v>4.0972222222221966E-3</v>
          </cell>
        </row>
        <row r="178">
          <cell r="G178">
            <v>2.2685185185185031E-3</v>
          </cell>
        </row>
        <row r="179">
          <cell r="G179">
            <v>2.1643518518518201E-3</v>
          </cell>
        </row>
        <row r="180">
          <cell r="G180">
            <v>2.3148148148148806E-3</v>
          </cell>
        </row>
        <row r="181">
          <cell r="G181">
            <v>5.0694444444444597E-3</v>
          </cell>
        </row>
        <row r="182">
          <cell r="G182">
            <v>3.8657407407407529E-3</v>
          </cell>
        </row>
        <row r="183">
          <cell r="G183">
            <v>2.1643518518518534E-2</v>
          </cell>
        </row>
        <row r="184">
          <cell r="G184">
            <v>2.8009259259259567E-3</v>
          </cell>
        </row>
        <row r="185">
          <cell r="G185">
            <v>1.6087962962962887E-3</v>
          </cell>
        </row>
        <row r="186">
          <cell r="G186">
            <v>1.6550925925925553E-3</v>
          </cell>
        </row>
        <row r="187">
          <cell r="G187">
            <v>2.1064814814815147E-3</v>
          </cell>
        </row>
        <row r="188">
          <cell r="G188">
            <v>2.6041666666666297E-3</v>
          </cell>
        </row>
        <row r="189">
          <cell r="G189">
            <v>1.6319444444444775E-3</v>
          </cell>
        </row>
        <row r="190">
          <cell r="G190">
            <v>1.5972222222222499E-3</v>
          </cell>
        </row>
        <row r="191">
          <cell r="G191">
            <v>1.6203703703703276E-3</v>
          </cell>
        </row>
        <row r="192">
          <cell r="G192">
            <v>1.7361111111111605E-3</v>
          </cell>
        </row>
        <row r="193">
          <cell r="G193">
            <v>1.6319444444444775E-3</v>
          </cell>
        </row>
        <row r="194">
          <cell r="G194">
            <v>1.6550925925925553E-3</v>
          </cell>
        </row>
        <row r="195">
          <cell r="G195">
            <v>3.5532407407408151E-3</v>
          </cell>
        </row>
        <row r="196">
          <cell r="G196">
            <v>1.9675925925924931E-3</v>
          </cell>
        </row>
        <row r="197">
          <cell r="G197">
            <v>1.5162037037037557E-3</v>
          </cell>
        </row>
        <row r="198">
          <cell r="G198">
            <v>2.2916666666666918E-3</v>
          </cell>
        </row>
        <row r="199">
          <cell r="G199">
            <v>1.87499999999996E-3</v>
          </cell>
        </row>
        <row r="200">
          <cell r="G200">
            <v>2.5347222222222854E-3</v>
          </cell>
        </row>
        <row r="201">
          <cell r="G201">
            <v>4.652777777777839E-3</v>
          </cell>
        </row>
        <row r="202">
          <cell r="G202">
            <v>1.5370370370370368E-2</v>
          </cell>
        </row>
        <row r="203">
          <cell r="G203">
            <v>1.5868055555555594E-2</v>
          </cell>
        </row>
        <row r="204">
          <cell r="G204">
            <v>3.9236111111110583E-3</v>
          </cell>
        </row>
        <row r="205">
          <cell r="G205">
            <v>1.1354166666666554E-2</v>
          </cell>
        </row>
        <row r="206">
          <cell r="G206">
            <v>5.7986111111111294E-3</v>
          </cell>
        </row>
        <row r="207">
          <cell r="G207">
            <v>1.585648148148211E-3</v>
          </cell>
        </row>
        <row r="208">
          <cell r="G208">
            <v>2.1296296296295925E-3</v>
          </cell>
        </row>
        <row r="209">
          <cell r="G209">
            <v>1.7245370370370661E-3</v>
          </cell>
        </row>
        <row r="210">
          <cell r="G210">
            <v>1.5856481481481555E-3</v>
          </cell>
        </row>
        <row r="211">
          <cell r="G211">
            <v>1.5393518518518334E-3</v>
          </cell>
        </row>
        <row r="212">
          <cell r="G212">
            <v>1.5856481481481555E-3</v>
          </cell>
        </row>
        <row r="213">
          <cell r="G213">
            <v>1.6435185185184609E-3</v>
          </cell>
        </row>
        <row r="214">
          <cell r="G214">
            <v>2.0486111111111538E-3</v>
          </cell>
        </row>
        <row r="215">
          <cell r="G215">
            <v>1.5856481481481555E-3</v>
          </cell>
        </row>
        <row r="216">
          <cell r="G216">
            <v>1.5972222222222499E-3</v>
          </cell>
        </row>
        <row r="217">
          <cell r="G217">
            <v>2.0717592592592315E-3</v>
          </cell>
        </row>
        <row r="218">
          <cell r="G218">
            <v>1.6087962962962887E-3</v>
          </cell>
        </row>
        <row r="219">
          <cell r="G219">
            <v>2.3599537037036988E-2</v>
          </cell>
        </row>
        <row r="220">
          <cell r="G220">
            <v>9.2129629629630339E-3</v>
          </cell>
        </row>
        <row r="221">
          <cell r="G221">
            <v>7.3611111111110406E-3</v>
          </cell>
        </row>
        <row r="222">
          <cell r="G222">
            <v>3.3680555555555269E-3</v>
          </cell>
        </row>
        <row r="223">
          <cell r="G223">
            <v>2.0370370370370594E-3</v>
          </cell>
        </row>
        <row r="224">
          <cell r="G224">
            <v>2.1527777777778923E-3</v>
          </cell>
        </row>
        <row r="225">
          <cell r="G225">
            <v>3.9699074074073248E-3</v>
          </cell>
        </row>
        <row r="226">
          <cell r="G226">
            <v>1.6087962962962887E-3</v>
          </cell>
        </row>
        <row r="227">
          <cell r="G227">
            <v>1.5740740740739501E-3</v>
          </cell>
        </row>
        <row r="228">
          <cell r="G228">
            <v>1.6087962962962887E-3</v>
          </cell>
        </row>
        <row r="229">
          <cell r="G229">
            <v>1.5856481481481E-3</v>
          </cell>
        </row>
        <row r="230">
          <cell r="G230">
            <v>1.5972222222222499E-3</v>
          </cell>
        </row>
        <row r="231">
          <cell r="G231">
            <v>5.7175925925925242E-3</v>
          </cell>
        </row>
        <row r="232">
          <cell r="G232">
            <v>1.5740740740739501E-3</v>
          </cell>
        </row>
        <row r="233">
          <cell r="G233">
            <v>1.5625000000000222E-3</v>
          </cell>
        </row>
        <row r="234">
          <cell r="G234">
            <v>2.1898148148148167E-2</v>
          </cell>
        </row>
        <row r="235">
          <cell r="G235">
            <v>9.9421296296295925E-3</v>
          </cell>
        </row>
        <row r="236">
          <cell r="G236">
            <v>6.4351851851852104E-3</v>
          </cell>
        </row>
        <row r="237">
          <cell r="G237">
            <v>1.5509259259259278E-3</v>
          </cell>
        </row>
        <row r="238">
          <cell r="G238">
            <v>1.527777777777739E-3</v>
          </cell>
        </row>
        <row r="239">
          <cell r="G239">
            <v>1.5393518518518334E-3</v>
          </cell>
        </row>
        <row r="240">
          <cell r="G240">
            <v>4.6296296296296502E-3</v>
          </cell>
        </row>
        <row r="241">
          <cell r="G241">
            <v>2.962962962962945E-3</v>
          </cell>
        </row>
        <row r="242">
          <cell r="G242">
            <v>5.3587962962962643E-3</v>
          </cell>
        </row>
        <row r="243">
          <cell r="G243">
            <v>4.3750000000000178E-3</v>
          </cell>
        </row>
        <row r="244">
          <cell r="G244">
            <v>3.0555555555555891E-3</v>
          </cell>
        </row>
        <row r="245">
          <cell r="G245">
            <v>2.1990740740740478E-3</v>
          </cell>
        </row>
        <row r="246">
          <cell r="G246">
            <v>2.8819444444445064E-3</v>
          </cell>
        </row>
        <row r="247">
          <cell r="G247">
            <v>8.657407407407447E-3</v>
          </cell>
        </row>
        <row r="248">
          <cell r="G248">
            <v>7.4189814814815125E-3</v>
          </cell>
        </row>
        <row r="249">
          <cell r="G249">
            <v>7.5462962962963287E-3</v>
          </cell>
        </row>
        <row r="250">
          <cell r="G250">
            <v>7.6851851851851838E-3</v>
          </cell>
        </row>
        <row r="251">
          <cell r="G251">
            <v>8.5300925925926308E-3</v>
          </cell>
        </row>
        <row r="252">
          <cell r="G252">
            <v>7.6504629629630116E-3</v>
          </cell>
        </row>
        <row r="253">
          <cell r="G253">
            <v>1.6250000000000042E-2</v>
          </cell>
        </row>
        <row r="254">
          <cell r="G254">
            <v>1.1331018518518476E-2</v>
          </cell>
        </row>
        <row r="255">
          <cell r="G255">
            <v>4.5717592592592893E-3</v>
          </cell>
        </row>
        <row r="256">
          <cell r="G256">
            <v>3.6805555555556313E-3</v>
          </cell>
        </row>
        <row r="257">
          <cell r="G257">
            <v>7.8935185185184942E-3</v>
          </cell>
        </row>
        <row r="258">
          <cell r="G258">
            <v>7.9861111111111382E-3</v>
          </cell>
        </row>
        <row r="259">
          <cell r="G259">
            <v>8.4143518518517979E-3</v>
          </cell>
        </row>
        <row r="260">
          <cell r="G260">
            <v>7.4768518518518734E-3</v>
          </cell>
        </row>
        <row r="261">
          <cell r="G261">
            <v>1.2060185185185257E-2</v>
          </cell>
        </row>
        <row r="262">
          <cell r="G262">
            <v>1.7546296296296282E-2</v>
          </cell>
        </row>
        <row r="263">
          <cell r="G263">
            <v>2.5543981481481459E-2</v>
          </cell>
        </row>
        <row r="264">
          <cell r="G264">
            <v>5.1157407407407263E-3</v>
          </cell>
        </row>
        <row r="265">
          <cell r="G265">
            <v>3.1145833333333317E-2</v>
          </cell>
        </row>
        <row r="266">
          <cell r="G266">
            <v>2.3240740740740728E-2</v>
          </cell>
        </row>
        <row r="267">
          <cell r="G267">
            <v>2.5868055555555547E-2</v>
          </cell>
        </row>
        <row r="268">
          <cell r="G268">
            <v>2.2488425925925926E-2</v>
          </cell>
        </row>
        <row r="269">
          <cell r="G269">
            <v>2.2314814814814787E-2</v>
          </cell>
        </row>
        <row r="270">
          <cell r="G270">
            <v>1.8564814814814756E-2</v>
          </cell>
        </row>
        <row r="271">
          <cell r="G271">
            <v>1.8287037037037102E-2</v>
          </cell>
        </row>
        <row r="272">
          <cell r="G272">
            <v>8.7384259259259967E-3</v>
          </cell>
        </row>
        <row r="273">
          <cell r="G273">
            <v>1.7997685185185186E-2</v>
          </cell>
        </row>
        <row r="274">
          <cell r="G274">
            <v>7.3263888888889794E-3</v>
          </cell>
        </row>
        <row r="275">
          <cell r="G275">
            <v>1.8321759259259274E-2</v>
          </cell>
        </row>
        <row r="276">
          <cell r="G276">
            <v>9.2824074074074336E-3</v>
          </cell>
        </row>
        <row r="277">
          <cell r="G277">
            <v>1.631944444444422E-3</v>
          </cell>
        </row>
        <row r="278">
          <cell r="G278">
            <v>8.6689814814814858E-3</v>
          </cell>
        </row>
        <row r="279">
          <cell r="G279">
            <v>1.9351851851851842E-2</v>
          </cell>
        </row>
        <row r="280">
          <cell r="G280">
            <v>2.0798611111111143E-2</v>
          </cell>
        </row>
        <row r="281">
          <cell r="G281">
            <v>6.5509259259259323E-3</v>
          </cell>
        </row>
        <row r="282">
          <cell r="G282">
            <v>2.8969907407407458E-2</v>
          </cell>
        </row>
        <row r="283">
          <cell r="G283">
            <v>2.5555555555555554E-2</v>
          </cell>
        </row>
        <row r="284">
          <cell r="G284">
            <v>2.2233796296296293E-2</v>
          </cell>
        </row>
        <row r="285">
          <cell r="G285">
            <v>2.2696759259259347E-2</v>
          </cell>
        </row>
        <row r="286">
          <cell r="G286">
            <v>2.0555555555555605E-2</v>
          </cell>
        </row>
        <row r="287">
          <cell r="G287">
            <v>1.9768518518518463E-2</v>
          </cell>
        </row>
        <row r="288">
          <cell r="G288">
            <v>2.0590277777777832E-2</v>
          </cell>
        </row>
        <row r="289">
          <cell r="G289">
            <v>1.9421296296296242E-2</v>
          </cell>
        </row>
        <row r="290">
          <cell r="G290">
            <v>1.8460648148148184E-2</v>
          </cell>
        </row>
        <row r="291">
          <cell r="G291">
            <v>1.7164351851851778E-2</v>
          </cell>
        </row>
        <row r="292">
          <cell r="G292">
            <v>1.4375000000000027E-2</v>
          </cell>
        </row>
        <row r="293">
          <cell r="G293">
            <v>1.3206018518518547E-2</v>
          </cell>
        </row>
        <row r="294">
          <cell r="G294">
            <v>1.4050925925925939E-2</v>
          </cell>
        </row>
        <row r="295">
          <cell r="G295">
            <v>1.6516203703703769E-2</v>
          </cell>
        </row>
        <row r="296">
          <cell r="G296">
            <v>1.3078703703703676E-2</v>
          </cell>
        </row>
        <row r="297">
          <cell r="G297">
            <v>1.6747685185185102E-2</v>
          </cell>
        </row>
        <row r="298">
          <cell r="G298">
            <v>1.4965277777777786E-2</v>
          </cell>
        </row>
        <row r="299">
          <cell r="G299">
            <v>1.0231481481481453E-2</v>
          </cell>
        </row>
        <row r="300">
          <cell r="G300">
            <v>7.314814814814885E-3</v>
          </cell>
        </row>
        <row r="301">
          <cell r="G301">
            <v>6.8518518518518867E-3</v>
          </cell>
        </row>
        <row r="302">
          <cell r="G302">
            <v>5.243055555555598E-3</v>
          </cell>
        </row>
        <row r="303">
          <cell r="G303">
            <v>2.1527777777776702E-3</v>
          </cell>
        </row>
        <row r="304">
          <cell r="G304">
            <v>3.9803240740740709E-2</v>
          </cell>
        </row>
        <row r="305">
          <cell r="G305">
            <v>2.6041666666666297E-3</v>
          </cell>
        </row>
        <row r="306">
          <cell r="G306">
            <v>1.7361111111110494E-3</v>
          </cell>
        </row>
        <row r="307">
          <cell r="G307">
            <v>4.1597222222222174E-2</v>
          </cell>
        </row>
        <row r="308">
          <cell r="G308">
            <v>6.1539351851851887E-2</v>
          </cell>
        </row>
        <row r="309">
          <cell r="G309">
            <v>6.0162037037037042E-2</v>
          </cell>
        </row>
        <row r="310">
          <cell r="G310">
            <v>6.3194444444444331E-2</v>
          </cell>
        </row>
        <row r="311">
          <cell r="G311">
            <v>6.1180555555555571E-2</v>
          </cell>
        </row>
        <row r="312">
          <cell r="G312">
            <v>6.3136574074074137E-2</v>
          </cell>
        </row>
        <row r="313">
          <cell r="G313">
            <v>6.2800925925925899E-2</v>
          </cell>
        </row>
        <row r="314">
          <cell r="G314">
            <v>6.3032407407407454E-2</v>
          </cell>
        </row>
        <row r="315">
          <cell r="G315">
            <v>5.8692129629629664E-2</v>
          </cell>
        </row>
        <row r="316">
          <cell r="G316">
            <v>2.6423611111111134E-2</v>
          </cell>
        </row>
        <row r="317">
          <cell r="G317">
            <v>5.8194444444444549E-2</v>
          </cell>
        </row>
        <row r="318">
          <cell r="G318">
            <v>5.7465277777777768E-2</v>
          </cell>
        </row>
        <row r="319">
          <cell r="G319">
            <v>5.743055555555554E-2</v>
          </cell>
        </row>
        <row r="320">
          <cell r="G320">
            <v>5.5810185185185213E-2</v>
          </cell>
        </row>
        <row r="321">
          <cell r="G321">
            <v>5.3506944444444371E-2</v>
          </cell>
        </row>
        <row r="322">
          <cell r="G322">
            <v>4.9594907407407463E-2</v>
          </cell>
        </row>
        <row r="323">
          <cell r="G323">
            <v>1.664351851851853E-2</v>
          </cell>
        </row>
        <row r="324">
          <cell r="G324">
            <v>4.9861111111111134E-2</v>
          </cell>
        </row>
        <row r="325">
          <cell r="G325">
            <v>5.0208333333333299E-2</v>
          </cell>
        </row>
        <row r="326">
          <cell r="G326">
            <v>4.731481481481481E-2</v>
          </cell>
        </row>
        <row r="327">
          <cell r="G327">
            <v>4.5486111111111116E-2</v>
          </cell>
        </row>
        <row r="328">
          <cell r="G328">
            <v>4.4768518518518485E-2</v>
          </cell>
        </row>
        <row r="329">
          <cell r="G329">
            <v>1.10069444444445E-2</v>
          </cell>
        </row>
        <row r="330">
          <cell r="G330">
            <v>1.1736111111111058E-2</v>
          </cell>
        </row>
        <row r="331">
          <cell r="G331">
            <v>4.5370370370371171E-3</v>
          </cell>
        </row>
        <row r="332">
          <cell r="G332">
            <v>9.5138888888888218E-3</v>
          </cell>
        </row>
        <row r="333">
          <cell r="G333">
            <v>5.0694444444444597E-3</v>
          </cell>
        </row>
        <row r="334">
          <cell r="G334">
            <v>2.4537037037036802E-3</v>
          </cell>
        </row>
        <row r="335">
          <cell r="G335">
            <v>2.4305555555554914E-3</v>
          </cell>
        </row>
        <row r="336">
          <cell r="G336">
            <v>1.6666666666667052E-3</v>
          </cell>
        </row>
        <row r="337">
          <cell r="G337">
            <v>1.5162037037036447E-3</v>
          </cell>
        </row>
        <row r="338">
          <cell r="G338">
            <v>2.2453703703703143E-3</v>
          </cell>
        </row>
        <row r="339">
          <cell r="G339">
            <v>3.0092592592593226E-3</v>
          </cell>
        </row>
        <row r="340">
          <cell r="G340">
            <v>6.8981481481481532E-3</v>
          </cell>
        </row>
        <row r="341">
          <cell r="G341">
            <v>3.9699074074073248E-3</v>
          </cell>
        </row>
        <row r="342">
          <cell r="G342">
            <v>4.7800925925925997E-3</v>
          </cell>
        </row>
        <row r="343">
          <cell r="G343">
            <v>3.460648148148171E-3</v>
          </cell>
        </row>
        <row r="344">
          <cell r="G344">
            <v>6.5046296296296102E-3</v>
          </cell>
        </row>
        <row r="345">
          <cell r="G345">
            <v>7.4537037037036846E-3</v>
          </cell>
        </row>
        <row r="346">
          <cell r="G346">
            <v>1.2986111111111143E-2</v>
          </cell>
        </row>
        <row r="347">
          <cell r="G347">
            <v>4.4791666666667007E-3</v>
          </cell>
        </row>
        <row r="348">
          <cell r="G348">
            <v>3.4374999999999822E-3</v>
          </cell>
        </row>
        <row r="349">
          <cell r="G349">
            <v>6.9097222222223031E-3</v>
          </cell>
        </row>
        <row r="350">
          <cell r="G350">
            <v>1.3217592592592697E-2</v>
          </cell>
        </row>
        <row r="351">
          <cell r="G351">
            <v>9.2476851851851505E-3</v>
          </cell>
        </row>
        <row r="352">
          <cell r="G352">
            <v>4.5370370370370061E-3</v>
          </cell>
        </row>
        <row r="353">
          <cell r="G353">
            <v>1.5393518518518334E-3</v>
          </cell>
        </row>
        <row r="354">
          <cell r="G354">
            <v>8.0555555555555935E-3</v>
          </cell>
        </row>
        <row r="355">
          <cell r="G355">
            <v>8.2986111111110761E-3</v>
          </cell>
        </row>
        <row r="356">
          <cell r="G356">
            <v>8.7847222222222632E-3</v>
          </cell>
        </row>
        <row r="357">
          <cell r="G357">
            <v>8.3564814814814925E-3</v>
          </cell>
        </row>
        <row r="358">
          <cell r="G358">
            <v>7.1527777777777857E-3</v>
          </cell>
        </row>
        <row r="359">
          <cell r="G359">
            <v>2.6504629629630072E-3</v>
          </cell>
        </row>
        <row r="360">
          <cell r="G360">
            <v>3.8078703703703365E-3</v>
          </cell>
        </row>
        <row r="361">
          <cell r="G361">
            <v>7.0254629629629139E-3</v>
          </cell>
        </row>
        <row r="362">
          <cell r="G362">
            <v>5.5902777777778745E-3</v>
          </cell>
        </row>
        <row r="363">
          <cell r="G363">
            <v>7.7314814814815058E-3</v>
          </cell>
        </row>
        <row r="364">
          <cell r="G364">
            <v>5.6712962962963687E-3</v>
          </cell>
        </row>
        <row r="365">
          <cell r="G365">
            <v>1.4062500000000033E-2</v>
          </cell>
        </row>
        <row r="366">
          <cell r="G366">
            <v>3.8773148148147918E-3</v>
          </cell>
        </row>
        <row r="367">
          <cell r="G367">
            <v>2.9513888888888506E-3</v>
          </cell>
        </row>
        <row r="368">
          <cell r="G368">
            <v>2.5810185185184964E-3</v>
          </cell>
        </row>
        <row r="369">
          <cell r="G369">
            <v>3.6921296296296702E-3</v>
          </cell>
        </row>
        <row r="370">
          <cell r="G370">
            <v>1.3541666666667118E-3</v>
          </cell>
        </row>
        <row r="371">
          <cell r="G371">
            <v>3.2175925925925775E-3</v>
          </cell>
        </row>
        <row r="372">
          <cell r="G372">
            <v>3.1250000000000444E-3</v>
          </cell>
        </row>
        <row r="373">
          <cell r="G373">
            <v>5.9606481481480622E-3</v>
          </cell>
        </row>
        <row r="374">
          <cell r="G374">
            <v>5.3240740740740922E-3</v>
          </cell>
        </row>
        <row r="375">
          <cell r="G375">
            <v>4.8148148148148273E-3</v>
          </cell>
        </row>
        <row r="376">
          <cell r="G376">
            <v>1.6666666666667052E-3</v>
          </cell>
        </row>
        <row r="377">
          <cell r="G377">
            <v>1.527777777777739E-3</v>
          </cell>
        </row>
        <row r="378">
          <cell r="G378">
            <v>4.8032407407407329E-3</v>
          </cell>
        </row>
        <row r="379">
          <cell r="G379">
            <v>2.1180555555555536E-3</v>
          </cell>
        </row>
        <row r="380">
          <cell r="G380">
            <v>1.5162037037037557E-3</v>
          </cell>
        </row>
        <row r="381">
          <cell r="G381">
            <v>4.3171296296296013E-3</v>
          </cell>
        </row>
        <row r="382">
          <cell r="G382">
            <v>1.5162037037036447E-3</v>
          </cell>
        </row>
        <row r="383">
          <cell r="G383">
            <v>1.5856481481481555E-3</v>
          </cell>
        </row>
        <row r="384">
          <cell r="G384">
            <v>1.5509259259258723E-3</v>
          </cell>
        </row>
        <row r="385">
          <cell r="G385">
            <v>1.3553240740740713E-2</v>
          </cell>
        </row>
        <row r="386">
          <cell r="G386">
            <v>2.0648148148148138E-2</v>
          </cell>
        </row>
        <row r="387">
          <cell r="G387">
            <v>1.3483796296296258E-2</v>
          </cell>
        </row>
        <row r="388">
          <cell r="G388">
            <v>1.3611111111111074E-2</v>
          </cell>
        </row>
        <row r="389">
          <cell r="G389">
            <v>7.9050925925925886E-3</v>
          </cell>
        </row>
        <row r="390">
          <cell r="G390">
            <v>1.3136574074074092E-2</v>
          </cell>
        </row>
        <row r="391">
          <cell r="G391">
            <v>1.0567129629629579E-2</v>
          </cell>
        </row>
        <row r="392">
          <cell r="G392">
            <v>3.9699074074074359E-3</v>
          </cell>
        </row>
        <row r="393">
          <cell r="G393">
            <v>4.5717592592592338E-3</v>
          </cell>
        </row>
        <row r="394">
          <cell r="G394">
            <v>3.8425925925925641E-3</v>
          </cell>
        </row>
        <row r="395">
          <cell r="G395">
            <v>1.5625000000000222E-3</v>
          </cell>
        </row>
        <row r="396">
          <cell r="G396">
            <v>1.7361111111110494E-3</v>
          </cell>
        </row>
        <row r="397">
          <cell r="G397">
            <v>4.745370370370372E-3</v>
          </cell>
        </row>
        <row r="398">
          <cell r="G398">
            <v>3.5185185185184764E-3</v>
          </cell>
        </row>
        <row r="399">
          <cell r="G399">
            <v>2.0601851851851372E-3</v>
          </cell>
        </row>
        <row r="400">
          <cell r="G400">
            <v>2.2569444444443532E-3</v>
          </cell>
        </row>
        <row r="401">
          <cell r="G401">
            <v>3.6458333333333481E-3</v>
          </cell>
        </row>
        <row r="402">
          <cell r="G402">
            <v>4.8611111111110938E-3</v>
          </cell>
        </row>
        <row r="403">
          <cell r="G403">
            <v>6.9675925925926085E-3</v>
          </cell>
        </row>
        <row r="404">
          <cell r="G404">
            <v>1.4930555555554559E-3</v>
          </cell>
        </row>
        <row r="405">
          <cell r="G405">
            <v>4.0277777777778523E-3</v>
          </cell>
        </row>
        <row r="406">
          <cell r="G406">
            <v>4.6412037037036891E-3</v>
          </cell>
        </row>
        <row r="407">
          <cell r="G407">
            <v>5.6944444444444464E-3</v>
          </cell>
        </row>
        <row r="408">
          <cell r="G408">
            <v>3.1828703703703498E-3</v>
          </cell>
        </row>
        <row r="409">
          <cell r="G409">
            <v>1.5162037037037557E-3</v>
          </cell>
        </row>
        <row r="410">
          <cell r="G410">
            <v>2.4652777777777191E-3</v>
          </cell>
        </row>
        <row r="411">
          <cell r="G411">
            <v>2.2453703703703143E-3</v>
          </cell>
        </row>
        <row r="412">
          <cell r="G412">
            <v>2.1296296296295925E-3</v>
          </cell>
        </row>
        <row r="413">
          <cell r="G413">
            <v>2.1643518518518201E-3</v>
          </cell>
        </row>
        <row r="414">
          <cell r="G414">
            <v>1.5162037037036447E-3</v>
          </cell>
        </row>
        <row r="415">
          <cell r="G415">
            <v>7.7777777777777724E-3</v>
          </cell>
        </row>
        <row r="416">
          <cell r="G416">
            <v>6.9560185185185697E-3</v>
          </cell>
        </row>
        <row r="417">
          <cell r="G417">
            <v>5.2083333333333703E-3</v>
          </cell>
        </row>
        <row r="418">
          <cell r="G418">
            <v>1.5277777777777946E-3</v>
          </cell>
        </row>
        <row r="419">
          <cell r="G419">
            <v>2.4652777777778301E-3</v>
          </cell>
        </row>
        <row r="420">
          <cell r="G420">
            <v>1.8287037037036935E-3</v>
          </cell>
        </row>
        <row r="421">
          <cell r="G421">
            <v>1.5624999999999112E-3</v>
          </cell>
        </row>
        <row r="422">
          <cell r="G422">
            <v>4.7106481481482554E-3</v>
          </cell>
        </row>
        <row r="423">
          <cell r="G423">
            <v>2.8009259259260677E-3</v>
          </cell>
        </row>
        <row r="424">
          <cell r="G424">
            <v>3.5763888888888928E-3</v>
          </cell>
        </row>
        <row r="425">
          <cell r="G425">
            <v>1.5393518518518334E-3</v>
          </cell>
        </row>
        <row r="426">
          <cell r="G426">
            <v>1.4930555555555669E-3</v>
          </cell>
        </row>
        <row r="427">
          <cell r="G427">
            <v>1.481481481481417E-3</v>
          </cell>
        </row>
        <row r="428">
          <cell r="G428">
            <v>1.4930555555556779E-3</v>
          </cell>
        </row>
        <row r="429">
          <cell r="G429">
            <v>4.6875000000000666E-3</v>
          </cell>
        </row>
        <row r="430">
          <cell r="G430">
            <v>6.4004629629629273E-3</v>
          </cell>
        </row>
        <row r="431">
          <cell r="G431">
            <v>3.0902777777778168E-3</v>
          </cell>
        </row>
        <row r="432">
          <cell r="G432">
            <v>0.15759259259259256</v>
          </cell>
        </row>
        <row r="433">
          <cell r="G433">
            <v>0.15651620370370373</v>
          </cell>
        </row>
        <row r="434">
          <cell r="G434">
            <v>0.19226851851851851</v>
          </cell>
        </row>
        <row r="435">
          <cell r="G435">
            <v>0.1911458333333334</v>
          </cell>
        </row>
        <row r="436">
          <cell r="G436">
            <v>0.19357638888888895</v>
          </cell>
        </row>
        <row r="437">
          <cell r="G437">
            <v>0.19226851851851851</v>
          </cell>
        </row>
        <row r="438">
          <cell r="G438">
            <v>2.2326388888888826E-2</v>
          </cell>
        </row>
        <row r="439">
          <cell r="G439">
            <v>0.19011574074074072</v>
          </cell>
        </row>
        <row r="440">
          <cell r="G440">
            <v>0.1961689814814816</v>
          </cell>
        </row>
        <row r="441">
          <cell r="G441">
            <v>0.18906250000000002</v>
          </cell>
        </row>
        <row r="442">
          <cell r="G442">
            <v>0.25035879629629626</v>
          </cell>
        </row>
        <row r="443">
          <cell r="G443">
            <v>0.10484953703703703</v>
          </cell>
        </row>
        <row r="444">
          <cell r="G444">
            <v>0.25302083333333331</v>
          </cell>
        </row>
        <row r="445">
          <cell r="G445">
            <v>0.18787037037037041</v>
          </cell>
        </row>
        <row r="446">
          <cell r="G446">
            <v>0.18628472222222225</v>
          </cell>
        </row>
        <row r="447">
          <cell r="G447">
            <v>0.18587962962962962</v>
          </cell>
        </row>
        <row r="448">
          <cell r="G448">
            <v>1.8657407407407345E-2</v>
          </cell>
        </row>
        <row r="449">
          <cell r="G449">
            <v>0.25262731481481482</v>
          </cell>
        </row>
        <row r="450">
          <cell r="G450">
            <v>0.18447916666666664</v>
          </cell>
        </row>
        <row r="451">
          <cell r="G451">
            <v>0.18358796296296298</v>
          </cell>
        </row>
        <row r="452">
          <cell r="G452">
            <v>9.9201388888888908E-2</v>
          </cell>
        </row>
        <row r="453">
          <cell r="G453">
            <v>0.18247685185185186</v>
          </cell>
        </row>
        <row r="454">
          <cell r="G454">
            <v>0.24951388888888887</v>
          </cell>
        </row>
        <row r="455">
          <cell r="G455">
            <v>0.24731481481481482</v>
          </cell>
        </row>
        <row r="456">
          <cell r="G456">
            <v>1.3356481481481497E-2</v>
          </cell>
        </row>
        <row r="457">
          <cell r="G457">
            <v>0.18074074074074076</v>
          </cell>
        </row>
        <row r="458">
          <cell r="G458">
            <v>0.24591435185185184</v>
          </cell>
        </row>
        <row r="459">
          <cell r="G459">
            <v>0.17922453703703706</v>
          </cell>
        </row>
        <row r="460">
          <cell r="G460">
            <v>0.24486111111111114</v>
          </cell>
        </row>
        <row r="461">
          <cell r="G461">
            <v>0.24504629629629632</v>
          </cell>
        </row>
        <row r="462">
          <cell r="G462">
            <v>9.3321759259259229E-2</v>
          </cell>
        </row>
        <row r="463">
          <cell r="G463">
            <v>0.23951388888888886</v>
          </cell>
        </row>
        <row r="464">
          <cell r="G464">
            <v>0.24247685185185186</v>
          </cell>
        </row>
        <row r="465">
          <cell r="G465">
            <v>0.24267361111111113</v>
          </cell>
        </row>
        <row r="466">
          <cell r="G466">
            <v>0.24106481481481484</v>
          </cell>
        </row>
        <row r="467">
          <cell r="G467">
            <v>0.17171296296296296</v>
          </cell>
        </row>
        <row r="468">
          <cell r="G468">
            <v>3.4027777777777546E-3</v>
          </cell>
        </row>
        <row r="469">
          <cell r="G469">
            <v>0.23688657407407404</v>
          </cell>
        </row>
        <row r="470">
          <cell r="G470">
            <v>0.23753472222222227</v>
          </cell>
        </row>
        <row r="471">
          <cell r="G471">
            <v>1.5717592592592589E-2</v>
          </cell>
        </row>
        <row r="472">
          <cell r="G472">
            <v>0.23688657407407404</v>
          </cell>
        </row>
        <row r="473">
          <cell r="G473">
            <v>0.23633101851851851</v>
          </cell>
        </row>
        <row r="474">
          <cell r="G474">
            <v>0.23452546296296295</v>
          </cell>
        </row>
        <row r="475">
          <cell r="G475">
            <v>1.1956018518518574E-2</v>
          </cell>
        </row>
        <row r="476">
          <cell r="G476">
            <v>0.15715277777777775</v>
          </cell>
        </row>
        <row r="477">
          <cell r="G477">
            <v>7.8553240740740715E-2</v>
          </cell>
        </row>
        <row r="478">
          <cell r="G478">
            <v>6.7939814814814703E-3</v>
          </cell>
        </row>
        <row r="479">
          <cell r="G479">
            <v>0.23310185185185178</v>
          </cell>
        </row>
        <row r="480">
          <cell r="G480">
            <v>1.0972222222222217E-2</v>
          </cell>
        </row>
        <row r="481">
          <cell r="G481">
            <v>0.23258101851851848</v>
          </cell>
        </row>
        <row r="482">
          <cell r="G482">
            <v>0.22895833333333332</v>
          </cell>
        </row>
        <row r="483">
          <cell r="G483">
            <v>0.15597222222222218</v>
          </cell>
        </row>
        <row r="484">
          <cell r="G484">
            <v>0.23231481481481492</v>
          </cell>
        </row>
        <row r="485">
          <cell r="G485">
            <v>0.23152777777777783</v>
          </cell>
        </row>
        <row r="486">
          <cell r="G486">
            <v>0.23159722222222223</v>
          </cell>
        </row>
        <row r="487">
          <cell r="G487">
            <v>0.23166666666666674</v>
          </cell>
        </row>
        <row r="488">
          <cell r="G488">
            <v>8.9583333333333459E-3</v>
          </cell>
        </row>
        <row r="489">
          <cell r="G489">
            <v>0.23042824074074075</v>
          </cell>
        </row>
        <row r="490">
          <cell r="G490">
            <v>7.7314814814815058E-3</v>
          </cell>
        </row>
        <row r="491">
          <cell r="G491">
            <v>3.2870370370370328E-3</v>
          </cell>
        </row>
        <row r="492">
          <cell r="G492">
            <v>0.15282407407407406</v>
          </cell>
        </row>
        <row r="493">
          <cell r="G493">
            <v>0.22540509259259256</v>
          </cell>
        </row>
        <row r="494">
          <cell r="G494">
            <v>6.6319444444444819E-3</v>
          </cell>
        </row>
        <row r="495">
          <cell r="G495">
            <v>0.22876157407407405</v>
          </cell>
        </row>
        <row r="496">
          <cell r="G496">
            <v>0.22900462962962959</v>
          </cell>
        </row>
        <row r="497">
          <cell r="G497">
            <v>0.23645833333333333</v>
          </cell>
        </row>
        <row r="498">
          <cell r="G498">
            <v>0.2305902777777778</v>
          </cell>
        </row>
        <row r="499">
          <cell r="G499">
            <v>0.22753472222222221</v>
          </cell>
        </row>
        <row r="500">
          <cell r="G500">
            <v>4.0509259259259855E-3</v>
          </cell>
        </row>
        <row r="501">
          <cell r="G501">
            <v>2.3611111111110916E-3</v>
          </cell>
        </row>
        <row r="502">
          <cell r="G502">
            <v>0.22194444444444444</v>
          </cell>
        </row>
        <row r="503">
          <cell r="G503">
            <v>0.21879629629629632</v>
          </cell>
        </row>
        <row r="504">
          <cell r="G504">
            <v>0.14627314814814824</v>
          </cell>
        </row>
        <row r="505">
          <cell r="G505">
            <v>0.2362731481481482</v>
          </cell>
        </row>
        <row r="506">
          <cell r="G506">
            <v>0.14649305555555553</v>
          </cell>
        </row>
        <row r="507">
          <cell r="G507">
            <v>0.22966435185185186</v>
          </cell>
        </row>
        <row r="508">
          <cell r="G508">
            <v>3.0011574074074066E-2</v>
          </cell>
        </row>
        <row r="509">
          <cell r="G509">
            <v>2.9629629629629672E-2</v>
          </cell>
        </row>
        <row r="510">
          <cell r="G510">
            <v>2.9270833333333357E-2</v>
          </cell>
        </row>
        <row r="511">
          <cell r="G511">
            <v>0.143587962962963</v>
          </cell>
        </row>
        <row r="512">
          <cell r="G512">
            <v>6.351851851851853E-2</v>
          </cell>
        </row>
        <row r="513">
          <cell r="G513">
            <v>2.799768518518525E-2</v>
          </cell>
        </row>
        <row r="514">
          <cell r="G514">
            <v>2.756944444444448E-2</v>
          </cell>
        </row>
        <row r="515">
          <cell r="G515">
            <v>2.7199074074074125E-2</v>
          </cell>
        </row>
        <row r="516">
          <cell r="G516">
            <v>2.6631944444444444E-2</v>
          </cell>
        </row>
        <row r="517">
          <cell r="G517">
            <v>2.605324074074078E-2</v>
          </cell>
        </row>
        <row r="518">
          <cell r="G518">
            <v>2.568287037037037E-2</v>
          </cell>
        </row>
        <row r="519">
          <cell r="G519">
            <v>2.5370370370370432E-2</v>
          </cell>
        </row>
        <row r="520">
          <cell r="G520">
            <v>0.21466435185185184</v>
          </cell>
        </row>
        <row r="521">
          <cell r="G521">
            <v>2.5046296296296289E-2</v>
          </cell>
        </row>
        <row r="522">
          <cell r="G522">
            <v>0.21754629629629624</v>
          </cell>
        </row>
        <row r="523">
          <cell r="G523">
            <v>0.22400462962962953</v>
          </cell>
        </row>
        <row r="524">
          <cell r="G524">
            <v>2.4363425925925941E-2</v>
          </cell>
        </row>
        <row r="525">
          <cell r="G525">
            <v>0.22895833333333332</v>
          </cell>
        </row>
        <row r="526">
          <cell r="G526">
            <v>2.3958333333333415E-2</v>
          </cell>
        </row>
        <row r="527">
          <cell r="G527">
            <v>0.22475694444444444</v>
          </cell>
        </row>
        <row r="528">
          <cell r="G528">
            <v>2.3587962962962949E-2</v>
          </cell>
        </row>
        <row r="529">
          <cell r="G529">
            <v>2.3252314814814878E-2</v>
          </cell>
        </row>
        <row r="530">
          <cell r="G530">
            <v>2.2893518518518563E-2</v>
          </cell>
        </row>
        <row r="531">
          <cell r="G531">
            <v>2.256944444444442E-2</v>
          </cell>
        </row>
        <row r="532">
          <cell r="G532">
            <v>2.1469907407407396E-2</v>
          </cell>
        </row>
        <row r="533">
          <cell r="G533">
            <v>0.22435185185185186</v>
          </cell>
        </row>
        <row r="534">
          <cell r="G534">
            <v>0.21780092592592598</v>
          </cell>
        </row>
        <row r="535">
          <cell r="G535">
            <v>6.2083333333333324E-2</v>
          </cell>
        </row>
        <row r="536">
          <cell r="G536">
            <v>0.22218749999999993</v>
          </cell>
        </row>
        <row r="537">
          <cell r="G537">
            <v>2.0474537037037055E-2</v>
          </cell>
        </row>
        <row r="538">
          <cell r="G538">
            <v>0.22340277777777778</v>
          </cell>
        </row>
        <row r="539">
          <cell r="G539">
            <v>0.22405092592592596</v>
          </cell>
        </row>
        <row r="540">
          <cell r="G540">
            <v>2.0092592592592662E-2</v>
          </cell>
        </row>
        <row r="541">
          <cell r="G541">
            <v>1.9733796296296346E-2</v>
          </cell>
        </row>
        <row r="542">
          <cell r="G542">
            <v>5.9884259259259276E-2</v>
          </cell>
        </row>
        <row r="543">
          <cell r="G543">
            <v>0.22506944444444443</v>
          </cell>
        </row>
        <row r="544">
          <cell r="G544">
            <v>0.13497685185185182</v>
          </cell>
        </row>
        <row r="545">
          <cell r="G545">
            <v>0.22435185185185186</v>
          </cell>
        </row>
        <row r="546">
          <cell r="G546">
            <v>0.22437499999999999</v>
          </cell>
        </row>
        <row r="547">
          <cell r="G547">
            <v>5.4513888888888529E-3</v>
          </cell>
        </row>
        <row r="548">
          <cell r="G548">
            <v>5.7118055555555547E-2</v>
          </cell>
        </row>
        <row r="549">
          <cell r="G549">
            <v>1.6226851851851909E-2</v>
          </cell>
        </row>
        <row r="550">
          <cell r="G550">
            <v>1.5567129629629695E-2</v>
          </cell>
        </row>
        <row r="551">
          <cell r="G551">
            <v>1.518518518518519E-2</v>
          </cell>
        </row>
        <row r="552">
          <cell r="G552">
            <v>3.9699074074073804E-3</v>
          </cell>
        </row>
        <row r="553">
          <cell r="G553">
            <v>5.5601851851851847E-2</v>
          </cell>
        </row>
        <row r="554">
          <cell r="G554">
            <v>0.21991898148148142</v>
          </cell>
        </row>
        <row r="555">
          <cell r="G555">
            <v>1.3703703703703718E-2</v>
          </cell>
        </row>
        <row r="556">
          <cell r="G556">
            <v>5.4340277777777779E-2</v>
          </cell>
        </row>
        <row r="557">
          <cell r="G557">
            <v>5.3483796296296293E-2</v>
          </cell>
        </row>
        <row r="558">
          <cell r="G558">
            <v>1.5740740740740611E-3</v>
          </cell>
        </row>
        <row r="559">
          <cell r="G559">
            <v>0.21634259259259264</v>
          </cell>
        </row>
        <row r="560">
          <cell r="G560">
            <v>0.21613425925925922</v>
          </cell>
        </row>
        <row r="561">
          <cell r="G561">
            <v>0.2165509259259259</v>
          </cell>
        </row>
        <row r="562">
          <cell r="G562">
            <v>0.21675925925925921</v>
          </cell>
        </row>
        <row r="563">
          <cell r="G563">
            <v>0.21706018518518522</v>
          </cell>
        </row>
        <row r="564">
          <cell r="G564">
            <v>4.8888888888888871E-2</v>
          </cell>
        </row>
        <row r="565">
          <cell r="G565">
            <v>7.1527777777777857E-3</v>
          </cell>
        </row>
        <row r="566">
          <cell r="G566">
            <v>6.7476851851852038E-3</v>
          </cell>
        </row>
        <row r="567">
          <cell r="G567">
            <v>0.21527777777777779</v>
          </cell>
        </row>
        <row r="568">
          <cell r="G568">
            <v>6.1226851851852171E-3</v>
          </cell>
        </row>
        <row r="569">
          <cell r="G569">
            <v>0.21506944444444442</v>
          </cell>
        </row>
        <row r="570">
          <cell r="G570">
            <v>0.19503472222222223</v>
          </cell>
        </row>
        <row r="571">
          <cell r="G571">
            <v>4.0011574074074074E-2</v>
          </cell>
        </row>
        <row r="572">
          <cell r="G572">
            <v>3.6689814814815369E-3</v>
          </cell>
        </row>
        <row r="573">
          <cell r="G573">
            <v>3.8391203703703636E-2</v>
          </cell>
        </row>
        <row r="574">
          <cell r="G574">
            <v>0.21120370370370373</v>
          </cell>
        </row>
        <row r="575">
          <cell r="G575">
            <v>0.21225694444444437</v>
          </cell>
        </row>
        <row r="576">
          <cell r="G576">
            <v>0.21495370370370376</v>
          </cell>
        </row>
        <row r="577">
          <cell r="G577">
            <v>0.11788194444444444</v>
          </cell>
        </row>
        <row r="578">
          <cell r="G578">
            <v>3.8055555555555565E-2</v>
          </cell>
        </row>
        <row r="579">
          <cell r="G579">
            <v>0.11973379629629621</v>
          </cell>
        </row>
        <row r="580">
          <cell r="G580">
            <v>0.11839120370370365</v>
          </cell>
        </row>
        <row r="581">
          <cell r="G581">
            <v>8.413194444444444E-2</v>
          </cell>
        </row>
        <row r="582">
          <cell r="G582">
            <v>1.6331018518518481E-2</v>
          </cell>
        </row>
        <row r="583">
          <cell r="G583">
            <v>2.3854166666666676E-2</v>
          </cell>
        </row>
        <row r="584">
          <cell r="G584">
            <v>8.2604166666666645E-2</v>
          </cell>
        </row>
        <row r="585">
          <cell r="G585">
            <v>1.4351851851851838E-2</v>
          </cell>
        </row>
        <row r="586">
          <cell r="G586">
            <v>2.604166666666663E-2</v>
          </cell>
        </row>
        <row r="587">
          <cell r="G587">
            <v>1.2430555555555556E-2</v>
          </cell>
        </row>
        <row r="588">
          <cell r="G588">
            <v>1.9641203703703702E-2</v>
          </cell>
        </row>
        <row r="589">
          <cell r="G589">
            <v>0.11050925925925925</v>
          </cell>
        </row>
        <row r="590">
          <cell r="G590">
            <v>1.0879629629629628E-2</v>
          </cell>
        </row>
        <row r="591">
          <cell r="G591">
            <v>1.7743055555555554E-2</v>
          </cell>
        </row>
        <row r="592">
          <cell r="G592">
            <v>1.7731481481481515E-2</v>
          </cell>
        </row>
        <row r="593">
          <cell r="G593">
            <v>2.1608796296296306E-2</v>
          </cell>
        </row>
        <row r="594">
          <cell r="G594">
            <v>8.4606481481481755E-3</v>
          </cell>
        </row>
        <row r="595">
          <cell r="G595">
            <v>1.1585648148148164E-2</v>
          </cell>
        </row>
        <row r="596">
          <cell r="G596">
            <v>1.0694444444444395E-2</v>
          </cell>
        </row>
        <row r="597">
          <cell r="G597">
            <v>9.5833333333333326E-3</v>
          </cell>
        </row>
        <row r="598">
          <cell r="G598">
            <v>1.3460648148148124E-2</v>
          </cell>
        </row>
        <row r="599">
          <cell r="G599">
            <v>2.3495370370369972E-3</v>
          </cell>
        </row>
        <row r="600">
          <cell r="G600">
            <v>0.2144212962962963</v>
          </cell>
        </row>
        <row r="601">
          <cell r="G601">
            <v>0.15337962962962964</v>
          </cell>
        </row>
        <row r="602">
          <cell r="G602">
            <v>4.9537037037036269E-3</v>
          </cell>
        </row>
        <row r="603">
          <cell r="G603">
            <v>5.8356481481481481E-2</v>
          </cell>
        </row>
        <row r="604">
          <cell r="G604">
            <v>3.1944444444444442E-2</v>
          </cell>
        </row>
        <row r="605">
          <cell r="G605">
            <v>0.1991782407407407</v>
          </cell>
        </row>
        <row r="606">
          <cell r="G606">
            <v>0.11150462962962965</v>
          </cell>
        </row>
        <row r="607">
          <cell r="G607">
            <v>0.19399305555555557</v>
          </cell>
        </row>
        <row r="608">
          <cell r="G608">
            <v>0.19335648148148155</v>
          </cell>
        </row>
        <row r="609">
          <cell r="G609">
            <v>3.1944444444444442E-3</v>
          </cell>
        </row>
        <row r="610">
          <cell r="G610">
            <v>3.8657407407407529E-3</v>
          </cell>
        </row>
        <row r="611">
          <cell r="G611">
            <v>0.12766203703703699</v>
          </cell>
        </row>
        <row r="612">
          <cell r="G612">
            <v>0.12609953703703702</v>
          </cell>
        </row>
        <row r="613">
          <cell r="G613">
            <v>2.1874999999999534E-3</v>
          </cell>
        </row>
        <row r="614">
          <cell r="G614">
            <v>0.12989583333333332</v>
          </cell>
        </row>
        <row r="615">
          <cell r="G615">
            <v>0.12843749999999998</v>
          </cell>
        </row>
        <row r="616">
          <cell r="G616">
            <v>0.10635416666666669</v>
          </cell>
        </row>
        <row r="617">
          <cell r="G617">
            <v>0.18564814814814828</v>
          </cell>
        </row>
        <row r="618">
          <cell r="G618">
            <v>1.0254629629629641E-2</v>
          </cell>
        </row>
        <row r="619">
          <cell r="G619">
            <v>0.12636574074074075</v>
          </cell>
        </row>
        <row r="620">
          <cell r="G620">
            <v>0.18413194444444436</v>
          </cell>
        </row>
        <row r="621">
          <cell r="G621">
            <v>0.11207175925925927</v>
          </cell>
        </row>
        <row r="622">
          <cell r="G622">
            <v>5.7523148148148628E-3</v>
          </cell>
        </row>
        <row r="623">
          <cell r="G623">
            <v>0.10968749999999994</v>
          </cell>
        </row>
        <row r="624">
          <cell r="G624">
            <v>0.1774189814814815</v>
          </cell>
        </row>
        <row r="625">
          <cell r="G625">
            <v>0.17662037037037048</v>
          </cell>
        </row>
        <row r="626">
          <cell r="G626">
            <v>0.17079861111111105</v>
          </cell>
        </row>
        <row r="627">
          <cell r="G627">
            <v>0.17065972222222225</v>
          </cell>
        </row>
        <row r="628">
          <cell r="G628">
            <v>0.17020833333333341</v>
          </cell>
        </row>
        <row r="629">
          <cell r="G629">
            <v>0.16979166666666667</v>
          </cell>
        </row>
        <row r="630">
          <cell r="G630">
            <v>2.0196759259259234E-2</v>
          </cell>
        </row>
        <row r="631">
          <cell r="G631">
            <v>8.476851851851841E-2</v>
          </cell>
        </row>
        <row r="632">
          <cell r="G632">
            <v>0.16185185185185191</v>
          </cell>
        </row>
        <row r="633">
          <cell r="G633">
            <v>0.15192129629629625</v>
          </cell>
        </row>
        <row r="634">
          <cell r="G634">
            <v>6.620370370370332E-3</v>
          </cell>
        </row>
        <row r="635">
          <cell r="G635">
            <v>6.336805555555558E-2</v>
          </cell>
        </row>
        <row r="636">
          <cell r="G636">
            <v>2.3148148148147696E-3</v>
          </cell>
        </row>
        <row r="637">
          <cell r="G637">
            <v>2.3657407407407405E-2</v>
          </cell>
        </row>
        <row r="638">
          <cell r="G638">
            <v>0.13847222222222222</v>
          </cell>
        </row>
        <row r="639">
          <cell r="G639">
            <v>4.9849537037036984E-2</v>
          </cell>
        </row>
        <row r="640">
          <cell r="G640">
            <v>1.8784722222222272E-2</v>
          </cell>
        </row>
        <row r="641">
          <cell r="G641">
            <v>0.13268518518518524</v>
          </cell>
        </row>
        <row r="642">
          <cell r="G642">
            <v>0.13188657407407411</v>
          </cell>
        </row>
        <row r="643">
          <cell r="G643">
            <v>0.13020833333333326</v>
          </cell>
        </row>
        <row r="644">
          <cell r="G644">
            <v>4.6168981481481519E-2</v>
          </cell>
        </row>
        <row r="645">
          <cell r="G645">
            <v>3.819444444444442E-2</v>
          </cell>
        </row>
        <row r="646">
          <cell r="G646">
            <v>4.6180555555555003E-3</v>
          </cell>
        </row>
        <row r="647">
          <cell r="G647">
            <v>0.11015046296296294</v>
          </cell>
        </row>
        <row r="648">
          <cell r="G648">
            <v>4.8981481481481515E-2</v>
          </cell>
        </row>
        <row r="649">
          <cell r="G649">
            <v>4.0277777777777413E-3</v>
          </cell>
        </row>
        <row r="650">
          <cell r="G650">
            <v>0.11046296296296299</v>
          </cell>
        </row>
        <row r="651">
          <cell r="G651">
            <v>0.11601851851851852</v>
          </cell>
        </row>
        <row r="652">
          <cell r="G652">
            <v>3.5613425925925868E-2</v>
          </cell>
        </row>
        <row r="653">
          <cell r="G653">
            <v>2.476851851851869E-3</v>
          </cell>
        </row>
        <row r="654">
          <cell r="G654">
            <v>0.10641203703703694</v>
          </cell>
        </row>
        <row r="655">
          <cell r="G655">
            <v>2.0231481481481461E-2</v>
          </cell>
        </row>
        <row r="656">
          <cell r="G656">
            <v>1.7395833333333277E-2</v>
          </cell>
        </row>
        <row r="657">
          <cell r="G657">
            <v>2.8472222222222232E-3</v>
          </cell>
        </row>
        <row r="658">
          <cell r="G658">
            <v>1.6423611111111014E-2</v>
          </cell>
        </row>
        <row r="659">
          <cell r="G659">
            <v>2.3055555555555496E-2</v>
          </cell>
        </row>
        <row r="660">
          <cell r="G660">
            <v>3.2604166666666656E-2</v>
          </cell>
        </row>
        <row r="661">
          <cell r="G661">
            <v>2.6215277777777768E-2</v>
          </cell>
        </row>
        <row r="662">
          <cell r="G662">
            <v>1.2083333333333335E-2</v>
          </cell>
        </row>
        <row r="663">
          <cell r="G663">
            <v>1.5416666666666634E-2</v>
          </cell>
        </row>
        <row r="664">
          <cell r="G664">
            <v>6.527777777777799E-3</v>
          </cell>
        </row>
        <row r="665">
          <cell r="G665">
            <v>2.2453703703704253E-3</v>
          </cell>
        </row>
        <row r="666">
          <cell r="G666">
            <v>6.2731481481481666E-3</v>
          </cell>
        </row>
        <row r="667">
          <cell r="G667">
            <v>6.5740740740740655E-3</v>
          </cell>
        </row>
        <row r="668">
          <cell r="G668">
            <v>6.3078703703703942E-3</v>
          </cell>
        </row>
        <row r="669">
          <cell r="G669">
            <v>2.0486111111110983E-3</v>
          </cell>
        </row>
        <row r="670">
          <cell r="G670">
            <v>2.5115740740740966E-3</v>
          </cell>
        </row>
        <row r="671">
          <cell r="G671">
            <v>5.8796296296296235E-3</v>
          </cell>
        </row>
        <row r="672">
          <cell r="G672">
            <v>4.6064814814815724E-3</v>
          </cell>
        </row>
        <row r="673">
          <cell r="G673">
            <v>3.8657407407406419E-3</v>
          </cell>
        </row>
        <row r="674">
          <cell r="G674">
            <v>2.6967592592592737E-3</v>
          </cell>
        </row>
        <row r="675">
          <cell r="G675">
            <v>1.4120370370369617E-3</v>
          </cell>
        </row>
        <row r="676">
          <cell r="G676">
            <v>2.6620370370371571E-3</v>
          </cell>
        </row>
        <row r="677">
          <cell r="G677">
            <v>2.5810185185184409E-3</v>
          </cell>
        </row>
        <row r="678">
          <cell r="G678">
            <v>3.0902777777777057E-3</v>
          </cell>
        </row>
        <row r="679">
          <cell r="G679">
            <v>1.0740740740740717E-2</v>
          </cell>
        </row>
        <row r="680">
          <cell r="G680">
            <v>1.7256944444444422E-2</v>
          </cell>
        </row>
        <row r="681">
          <cell r="G681">
            <v>2.0289351851851878E-2</v>
          </cell>
        </row>
        <row r="682">
          <cell r="G682">
            <v>9.5023148148147829E-3</v>
          </cell>
        </row>
        <row r="683">
          <cell r="G683">
            <v>1.5995370370370354E-2</v>
          </cell>
        </row>
        <row r="684">
          <cell r="G684">
            <v>2.1909722222222205E-2</v>
          </cell>
        </row>
        <row r="685">
          <cell r="G685">
            <v>7.7083333333332615E-3</v>
          </cell>
        </row>
        <row r="686">
          <cell r="G686">
            <v>1.439814814814816E-2</v>
          </cell>
        </row>
        <row r="687">
          <cell r="G687">
            <v>2.1608796296296251E-2</v>
          </cell>
        </row>
        <row r="688">
          <cell r="G688">
            <v>5.2314814814814481E-3</v>
          </cell>
        </row>
        <row r="689">
          <cell r="G689">
            <v>1.1840277777777741E-2</v>
          </cell>
        </row>
        <row r="690">
          <cell r="G690">
            <v>1.9456018518518525E-2</v>
          </cell>
        </row>
        <row r="691">
          <cell r="G691">
            <v>8.3449074074073981E-3</v>
          </cell>
        </row>
        <row r="692">
          <cell r="G692">
            <v>1.2129629629629712E-2</v>
          </cell>
        </row>
        <row r="693">
          <cell r="G693">
            <v>1.1527777777777803E-2</v>
          </cell>
        </row>
        <row r="694">
          <cell r="G694">
            <v>1.1122685185185222E-2</v>
          </cell>
        </row>
        <row r="695">
          <cell r="G695">
            <v>1.0405092592592646E-2</v>
          </cell>
        </row>
        <row r="696">
          <cell r="G696">
            <v>8.2986111111111316E-3</v>
          </cell>
        </row>
        <row r="697">
          <cell r="G697">
            <v>2.9861111111111338E-3</v>
          </cell>
        </row>
        <row r="698">
          <cell r="G698">
            <v>2.6967592592592737E-3</v>
          </cell>
        </row>
        <row r="699">
          <cell r="G699">
            <v>2.5810185185184964E-3</v>
          </cell>
        </row>
        <row r="700">
          <cell r="G700">
            <v>9.6759259259259767E-3</v>
          </cell>
        </row>
        <row r="701">
          <cell r="G701">
            <v>8.4143518518518534E-3</v>
          </cell>
        </row>
        <row r="702">
          <cell r="G702">
            <v>7.51157407407399E-3</v>
          </cell>
        </row>
        <row r="703">
          <cell r="G703">
            <v>8.2175925925925819E-3</v>
          </cell>
        </row>
        <row r="704">
          <cell r="G704">
            <v>2.1527777777777257E-3</v>
          </cell>
        </row>
        <row r="705">
          <cell r="G705">
            <v>3.4143518518517935E-3</v>
          </cell>
        </row>
        <row r="706">
          <cell r="G706">
            <v>1.5208333333333324E-2</v>
          </cell>
        </row>
        <row r="707">
          <cell r="G707">
            <v>5.5787037037036691E-3</v>
          </cell>
        </row>
        <row r="708">
          <cell r="G708">
            <v>8.2291666666666763E-3</v>
          </cell>
        </row>
        <row r="709">
          <cell r="G709">
            <v>6.7592592592591871E-3</v>
          </cell>
        </row>
        <row r="710">
          <cell r="G710">
            <v>2.9398148148148118E-3</v>
          </cell>
        </row>
        <row r="711">
          <cell r="G711">
            <v>3.9699074074073804E-3</v>
          </cell>
        </row>
        <row r="712">
          <cell r="G712">
            <v>6.724537037037015E-3</v>
          </cell>
        </row>
        <row r="713">
          <cell r="G713">
            <v>7.2337962962962798E-3</v>
          </cell>
        </row>
        <row r="714">
          <cell r="G714">
            <v>8.9004629629629295E-3</v>
          </cell>
        </row>
        <row r="715">
          <cell r="G715">
            <v>9.4560185185185164E-3</v>
          </cell>
        </row>
        <row r="716">
          <cell r="G716">
            <v>5.590277777777819E-3</v>
          </cell>
        </row>
        <row r="717">
          <cell r="G717">
            <v>1.8263888888888857E-2</v>
          </cell>
        </row>
        <row r="718">
          <cell r="G718">
            <v>1.8900462962962994E-2</v>
          </cell>
        </row>
        <row r="719">
          <cell r="G719">
            <v>4.3865740740740566E-3</v>
          </cell>
        </row>
        <row r="720">
          <cell r="G720">
            <v>1.5833333333333366E-2</v>
          </cell>
        </row>
        <row r="721">
          <cell r="G721">
            <v>1.5625E-2</v>
          </cell>
        </row>
        <row r="722">
          <cell r="G722">
            <v>1.6539351851851902E-2</v>
          </cell>
        </row>
        <row r="723">
          <cell r="G723">
            <v>4.849537037037055E-3</v>
          </cell>
        </row>
        <row r="724">
          <cell r="G724">
            <v>3.0208333333333615E-3</v>
          </cell>
        </row>
        <row r="725">
          <cell r="G725">
            <v>1.0798611111111134E-2</v>
          </cell>
        </row>
        <row r="726">
          <cell r="G726">
            <v>8.6342592592593137E-3</v>
          </cell>
        </row>
        <row r="727">
          <cell r="G727">
            <v>1.295138888888886E-2</v>
          </cell>
        </row>
        <row r="728">
          <cell r="G728">
            <v>1.2800925925925966E-2</v>
          </cell>
        </row>
        <row r="729">
          <cell r="G729">
            <v>1.0972222222222217E-2</v>
          </cell>
        </row>
        <row r="730">
          <cell r="G730">
            <v>1.2002314814814785E-2</v>
          </cell>
        </row>
        <row r="731">
          <cell r="G731">
            <v>1.0821759259259267E-2</v>
          </cell>
        </row>
        <row r="732">
          <cell r="G732">
            <v>8.6921296296296191E-3</v>
          </cell>
        </row>
        <row r="733">
          <cell r="G733">
            <v>2.3148148148147696E-3</v>
          </cell>
        </row>
        <row r="734">
          <cell r="G734">
            <v>2.6504629629630072E-3</v>
          </cell>
        </row>
        <row r="735">
          <cell r="G735">
            <v>4.0277777777778523E-3</v>
          </cell>
        </row>
        <row r="736">
          <cell r="G736">
            <v>2.9398148148148118E-3</v>
          </cell>
        </row>
        <row r="737">
          <cell r="G737">
            <v>4.9537037037037379E-3</v>
          </cell>
        </row>
        <row r="738">
          <cell r="G738">
            <v>3.6921296296296147E-3</v>
          </cell>
        </row>
        <row r="739">
          <cell r="G739">
            <v>2.9976851851851727E-3</v>
          </cell>
        </row>
        <row r="740">
          <cell r="G740">
            <v>2.9629629629630005E-3</v>
          </cell>
        </row>
        <row r="741">
          <cell r="G741">
            <v>4.1203703703704408E-3</v>
          </cell>
        </row>
        <row r="742">
          <cell r="G742">
            <v>4.4097222222222454E-3</v>
          </cell>
        </row>
        <row r="743">
          <cell r="G743">
            <v>3.8310185185185253E-3</v>
          </cell>
        </row>
        <row r="744">
          <cell r="G744">
            <v>7.2337962962963354E-3</v>
          </cell>
        </row>
        <row r="745">
          <cell r="G745">
            <v>6.6203703703703876E-3</v>
          </cell>
        </row>
        <row r="746">
          <cell r="G746">
            <v>5.2777777777778256E-3</v>
          </cell>
        </row>
        <row r="747">
          <cell r="G747">
            <v>2.6157407407407796E-3</v>
          </cell>
        </row>
        <row r="748">
          <cell r="G748">
            <v>2.3379629629629584E-3</v>
          </cell>
        </row>
        <row r="749">
          <cell r="G749">
            <v>2.5000000000000022E-3</v>
          </cell>
        </row>
        <row r="750">
          <cell r="G750">
            <v>3.9930555555555691E-3</v>
          </cell>
        </row>
        <row r="751">
          <cell r="G751">
            <v>4.0856481481481577E-3</v>
          </cell>
        </row>
        <row r="752">
          <cell r="G752">
            <v>4.3865740740740566E-3</v>
          </cell>
        </row>
        <row r="753">
          <cell r="G753">
            <v>7.1527777777777302E-3</v>
          </cell>
        </row>
        <row r="754">
          <cell r="G754">
            <v>7.5810185185185563E-3</v>
          </cell>
        </row>
        <row r="755">
          <cell r="G755">
            <v>7.9976851851851771E-3</v>
          </cell>
        </row>
        <row r="756">
          <cell r="G756">
            <v>5.7523148148148073E-3</v>
          </cell>
        </row>
        <row r="757">
          <cell r="G757">
            <v>6.4699074074074381E-3</v>
          </cell>
        </row>
        <row r="758">
          <cell r="G758">
            <v>8.6805555555555247E-3</v>
          </cell>
        </row>
        <row r="759">
          <cell r="G759">
            <v>1.0219907407407469E-2</v>
          </cell>
        </row>
        <row r="760">
          <cell r="G760">
            <v>1.0393518518518552E-2</v>
          </cell>
        </row>
        <row r="761">
          <cell r="G761">
            <v>8.1249999999999933E-3</v>
          </cell>
        </row>
        <row r="762">
          <cell r="G762">
            <v>3.8657407407407529E-3</v>
          </cell>
        </row>
        <row r="763">
          <cell r="G763">
            <v>4.2361111111111072E-3</v>
          </cell>
        </row>
        <row r="764">
          <cell r="G764">
            <v>2.1875000000000089E-3</v>
          </cell>
        </row>
        <row r="765">
          <cell r="G765">
            <v>1.6840277777777857E-2</v>
          </cell>
        </row>
        <row r="766">
          <cell r="G766">
            <v>1.5416666666666634E-2</v>
          </cell>
        </row>
        <row r="767">
          <cell r="G767">
            <v>1.2835648148148193E-2</v>
          </cell>
        </row>
        <row r="768">
          <cell r="G768">
            <v>1.054398148148139E-2</v>
          </cell>
        </row>
        <row r="769">
          <cell r="G769">
            <v>3.9351851851852082E-3</v>
          </cell>
        </row>
        <row r="770">
          <cell r="G770">
            <v>1.5821759259259216E-2</v>
          </cell>
        </row>
        <row r="771">
          <cell r="G771">
            <v>1.4571759259259243E-2</v>
          </cell>
        </row>
        <row r="772">
          <cell r="G772">
            <v>4.2129629629629184E-3</v>
          </cell>
        </row>
        <row r="773">
          <cell r="G773">
            <v>1.2256944444444362E-2</v>
          </cell>
        </row>
        <row r="774">
          <cell r="G774">
            <v>1.258101851851845E-2</v>
          </cell>
        </row>
        <row r="775">
          <cell r="G775">
            <v>1.1770833333333286E-2</v>
          </cell>
        </row>
        <row r="776">
          <cell r="G776">
            <v>4.8240740740740806E-2</v>
          </cell>
        </row>
        <row r="777">
          <cell r="G777">
            <v>1.0636574074074034E-2</v>
          </cell>
        </row>
        <row r="778">
          <cell r="G778">
            <v>4.7233796296296315E-2</v>
          </cell>
        </row>
        <row r="779">
          <cell r="G779">
            <v>1.0046296296296275E-2</v>
          </cell>
        </row>
        <row r="780">
          <cell r="G780">
            <v>4.9652777777777768E-2</v>
          </cell>
        </row>
        <row r="781">
          <cell r="G781">
            <v>4.6134259259259291E-2</v>
          </cell>
        </row>
        <row r="782">
          <cell r="G782">
            <v>4.716435185185186E-2</v>
          </cell>
        </row>
        <row r="783">
          <cell r="G783">
            <v>4.614583333333333E-2</v>
          </cell>
        </row>
        <row r="784">
          <cell r="G784">
            <v>5.2754629629629624E-2</v>
          </cell>
        </row>
        <row r="785">
          <cell r="G785">
            <v>5.1608796296296333E-2</v>
          </cell>
        </row>
        <row r="786">
          <cell r="G786">
            <v>5.1898148148148193E-2</v>
          </cell>
        </row>
        <row r="787">
          <cell r="G787">
            <v>5.0312499999999982E-2</v>
          </cell>
        </row>
        <row r="788">
          <cell r="G788">
            <v>3.8854166666666745E-2</v>
          </cell>
        </row>
        <row r="789">
          <cell r="G789">
            <v>3.834490740740748E-2</v>
          </cell>
        </row>
        <row r="790">
          <cell r="G790">
            <v>4.8078703703703707E-2</v>
          </cell>
        </row>
        <row r="791">
          <cell r="G791">
            <v>4.847222222222225E-2</v>
          </cell>
        </row>
        <row r="792">
          <cell r="G792">
            <v>4.789351851851853E-2</v>
          </cell>
        </row>
        <row r="793">
          <cell r="G793">
            <v>4.6550925925925912E-2</v>
          </cell>
        </row>
        <row r="794">
          <cell r="G794">
            <v>4.3796296296296333E-2</v>
          </cell>
        </row>
        <row r="795">
          <cell r="G795">
            <v>4.4618055555555536E-2</v>
          </cell>
        </row>
        <row r="796">
          <cell r="G796">
            <v>4.5208333333333406E-2</v>
          </cell>
        </row>
        <row r="797">
          <cell r="G797">
            <v>4.5752314814814787E-2</v>
          </cell>
        </row>
        <row r="798">
          <cell r="G798">
            <v>4.1550925925925908E-2</v>
          </cell>
        </row>
        <row r="799">
          <cell r="G799">
            <v>6.331018518518472E-3</v>
          </cell>
        </row>
        <row r="800">
          <cell r="G800">
            <v>3.8125000000000075E-2</v>
          </cell>
        </row>
        <row r="801">
          <cell r="G801">
            <v>4.9074074074073604E-3</v>
          </cell>
        </row>
        <row r="802">
          <cell r="G802">
            <v>3.6921296296296369E-2</v>
          </cell>
        </row>
        <row r="803">
          <cell r="G803">
            <v>2.3414351851851811E-2</v>
          </cell>
        </row>
        <row r="804">
          <cell r="G804">
            <v>3.4826388888888893E-2</v>
          </cell>
        </row>
        <row r="805">
          <cell r="G805">
            <v>1.4120370370370394E-2</v>
          </cell>
        </row>
        <row r="806">
          <cell r="G806">
            <v>2.0266203703703689E-2</v>
          </cell>
        </row>
        <row r="807">
          <cell r="G807">
            <v>3.2245370370370452E-2</v>
          </cell>
        </row>
        <row r="808">
          <cell r="G808">
            <v>3.2337962962962985E-2</v>
          </cell>
        </row>
        <row r="809">
          <cell r="G809">
            <v>3.2581018518518468E-2</v>
          </cell>
        </row>
        <row r="810">
          <cell r="G810">
            <v>2.863425925925922E-2</v>
          </cell>
        </row>
        <row r="811">
          <cell r="G811">
            <v>1.1203703703703716E-2</v>
          </cell>
        </row>
        <row r="812">
          <cell r="G812">
            <v>3.2071759259259203E-2</v>
          </cell>
        </row>
        <row r="813">
          <cell r="G813">
            <v>3.0752314814814885E-2</v>
          </cell>
        </row>
        <row r="814">
          <cell r="G814">
            <v>3.226851851851853E-2</v>
          </cell>
        </row>
        <row r="815">
          <cell r="G815">
            <v>3.038194444444442E-2</v>
          </cell>
        </row>
        <row r="816">
          <cell r="G816">
            <v>2.8518518518518499E-2</v>
          </cell>
        </row>
        <row r="817">
          <cell r="G817">
            <v>2.9849537037037077E-2</v>
          </cell>
        </row>
        <row r="818">
          <cell r="G818">
            <v>2.6805555555555638E-2</v>
          </cell>
        </row>
        <row r="819">
          <cell r="G819">
            <v>2.9745370370370394E-2</v>
          </cell>
        </row>
        <row r="820">
          <cell r="G820">
            <v>1.4456018518518521E-2</v>
          </cell>
        </row>
        <row r="821">
          <cell r="G821">
            <v>2.7881944444444362E-2</v>
          </cell>
        </row>
        <row r="822">
          <cell r="G822">
            <v>2.8865740740740775E-2</v>
          </cell>
        </row>
        <row r="823">
          <cell r="G823">
            <v>2.2928240740740735E-2</v>
          </cell>
        </row>
        <row r="824">
          <cell r="G824">
            <v>3.2986111111111827E-3</v>
          </cell>
        </row>
        <row r="825">
          <cell r="G825">
            <v>2.2928240740740846E-2</v>
          </cell>
        </row>
        <row r="826">
          <cell r="G826">
            <v>3.4143518518519045E-3</v>
          </cell>
        </row>
        <row r="827">
          <cell r="G827">
            <v>1.9907407407407485E-2</v>
          </cell>
        </row>
        <row r="828">
          <cell r="G828">
            <v>2.8124999999999956E-3</v>
          </cell>
        </row>
        <row r="829">
          <cell r="G829">
            <v>1.2627314814814827E-2</v>
          </cell>
        </row>
        <row r="830">
          <cell r="G830">
            <v>1.3761574074074079E-2</v>
          </cell>
        </row>
        <row r="831">
          <cell r="G831">
            <v>1.0289351851851869E-2</v>
          </cell>
        </row>
        <row r="832">
          <cell r="G832">
            <v>1.215277777777779E-2</v>
          </cell>
        </row>
        <row r="833">
          <cell r="G833">
            <v>2.6388888888888573E-3</v>
          </cell>
        </row>
        <row r="834">
          <cell r="G834">
            <v>4.5023148148147785E-3</v>
          </cell>
        </row>
        <row r="835">
          <cell r="G835">
            <v>4.2939814814815236E-3</v>
          </cell>
        </row>
        <row r="836">
          <cell r="G836">
            <v>3.4490740740741321E-3</v>
          </cell>
        </row>
        <row r="837">
          <cell r="G837">
            <v>3.2175925925925775E-3</v>
          </cell>
        </row>
        <row r="838">
          <cell r="G838">
            <v>3.564814814814854E-3</v>
          </cell>
        </row>
        <row r="839">
          <cell r="G839">
            <v>3.1365740740740833E-3</v>
          </cell>
        </row>
        <row r="840">
          <cell r="G840">
            <v>2.5462962962963243E-3</v>
          </cell>
        </row>
        <row r="841">
          <cell r="G841">
            <v>4.0162037037037024E-3</v>
          </cell>
        </row>
        <row r="842">
          <cell r="G842">
            <v>4.35185185185194E-3</v>
          </cell>
        </row>
        <row r="843">
          <cell r="G843">
            <v>4.0162037037037024E-3</v>
          </cell>
        </row>
        <row r="844">
          <cell r="G844">
            <v>2.1527777777778923E-3</v>
          </cell>
        </row>
        <row r="845">
          <cell r="G845">
            <v>4.3402777777779011E-3</v>
          </cell>
        </row>
        <row r="846">
          <cell r="G846">
            <v>4.3055555555554514E-3</v>
          </cell>
        </row>
        <row r="847">
          <cell r="G847">
            <v>9.6759259259259212E-3</v>
          </cell>
        </row>
        <row r="848">
          <cell r="G848">
            <v>2.9166666666666785E-3</v>
          </cell>
        </row>
        <row r="849">
          <cell r="G849">
            <v>1.6655092592592569E-2</v>
          </cell>
        </row>
        <row r="850">
          <cell r="G850">
            <v>6.1111111111111782E-3</v>
          </cell>
        </row>
        <row r="851">
          <cell r="G851">
            <v>6.6319444444444264E-3</v>
          </cell>
        </row>
        <row r="852">
          <cell r="G852">
            <v>8.1365740740740322E-3</v>
          </cell>
        </row>
        <row r="853">
          <cell r="G853">
            <v>3.414351851851849E-3</v>
          </cell>
        </row>
        <row r="854">
          <cell r="G854">
            <v>4.8495370370371105E-3</v>
          </cell>
        </row>
        <row r="855">
          <cell r="G855">
            <v>8.0092592592592715E-3</v>
          </cell>
        </row>
        <row r="856">
          <cell r="G856">
            <v>3.5995370370370261E-3</v>
          </cell>
        </row>
        <row r="857">
          <cell r="G857">
            <v>2.9629629629628895E-3</v>
          </cell>
        </row>
        <row r="858">
          <cell r="G858">
            <v>4.8842592592592826E-3</v>
          </cell>
        </row>
        <row r="859">
          <cell r="G859">
            <v>2.0717592592592871E-3</v>
          </cell>
        </row>
        <row r="860">
          <cell r="G860">
            <v>2.2337962962962199E-3</v>
          </cell>
        </row>
        <row r="861">
          <cell r="G861">
            <v>5.0000000000000044E-3</v>
          </cell>
        </row>
        <row r="862">
          <cell r="G862">
            <v>5.4745370370370416E-3</v>
          </cell>
        </row>
        <row r="863">
          <cell r="G863">
            <v>9.6643518518518268E-3</v>
          </cell>
        </row>
        <row r="864">
          <cell r="G864">
            <v>0.14650462962962962</v>
          </cell>
        </row>
        <row r="865">
          <cell r="G865">
            <v>2.0601851851851372E-3</v>
          </cell>
        </row>
        <row r="866">
          <cell r="G866">
            <v>4.9189814814815103E-3</v>
          </cell>
        </row>
        <row r="867">
          <cell r="G867">
            <v>5.3009259259259034E-3</v>
          </cell>
        </row>
        <row r="868">
          <cell r="G868">
            <v>2.5578703703703631E-3</v>
          </cell>
        </row>
        <row r="869">
          <cell r="G869">
            <v>2.1296296296295925E-3</v>
          </cell>
        </row>
        <row r="870">
          <cell r="G870">
            <v>2.2106481481481977E-3</v>
          </cell>
        </row>
        <row r="871">
          <cell r="G871">
            <v>2.0949074074073648E-3</v>
          </cell>
        </row>
        <row r="872">
          <cell r="G872">
            <v>2.6504629629630072E-3</v>
          </cell>
        </row>
        <row r="873">
          <cell r="G873">
            <v>2.0601851851851372E-3</v>
          </cell>
        </row>
        <row r="874">
          <cell r="G874">
            <v>2.766203703703729E-3</v>
          </cell>
        </row>
        <row r="875">
          <cell r="G875">
            <v>2.8634259259259331E-2</v>
          </cell>
        </row>
        <row r="876">
          <cell r="G876">
            <v>2.7280092592592564E-2</v>
          </cell>
        </row>
        <row r="877">
          <cell r="G877">
            <v>2.741898148148153E-2</v>
          </cell>
        </row>
        <row r="878">
          <cell r="G878">
            <v>2.2245370370370388E-2</v>
          </cell>
        </row>
        <row r="879">
          <cell r="G879">
            <v>4.3634259259259234E-3</v>
          </cell>
        </row>
        <row r="880">
          <cell r="G880">
            <v>1.5509259259259223E-2</v>
          </cell>
        </row>
        <row r="881">
          <cell r="G881">
            <v>1.5601851851851867E-2</v>
          </cell>
        </row>
        <row r="882">
          <cell r="G882">
            <v>3.2754629629629939E-3</v>
          </cell>
        </row>
        <row r="883">
          <cell r="G883">
            <v>1.4421296296296238E-2</v>
          </cell>
        </row>
        <row r="884">
          <cell r="G884">
            <v>1.5023148148148091E-2</v>
          </cell>
        </row>
        <row r="885">
          <cell r="G885">
            <v>1.3310185185185175E-2</v>
          </cell>
        </row>
        <row r="886">
          <cell r="G886">
            <v>1.1909722222222252E-2</v>
          </cell>
        </row>
        <row r="887">
          <cell r="G887">
            <v>6.8865740740740589E-3</v>
          </cell>
        </row>
        <row r="888">
          <cell r="G888">
            <v>3.4722222222222654E-3</v>
          </cell>
        </row>
        <row r="889">
          <cell r="G889">
            <v>3.0324074074073448E-3</v>
          </cell>
        </row>
        <row r="890">
          <cell r="G890">
            <v>3.2337962962962985E-2</v>
          </cell>
        </row>
        <row r="891">
          <cell r="G891">
            <v>2.2569444444444642E-3</v>
          </cell>
        </row>
        <row r="892">
          <cell r="G892">
            <v>2.0717592592592315E-3</v>
          </cell>
        </row>
        <row r="893">
          <cell r="G893">
            <v>2.0601851851851927E-3</v>
          </cell>
        </row>
        <row r="894">
          <cell r="G894">
            <v>4.2361111111111072E-3</v>
          </cell>
        </row>
        <row r="895">
          <cell r="G895">
            <v>3.8773148148147918E-3</v>
          </cell>
        </row>
        <row r="896">
          <cell r="G896">
            <v>2.0717592592592871E-3</v>
          </cell>
        </row>
        <row r="897">
          <cell r="G897">
            <v>4.1967592592592584E-2</v>
          </cell>
        </row>
        <row r="898">
          <cell r="G898">
            <v>2.4305555555556024E-3</v>
          </cell>
        </row>
        <row r="899">
          <cell r="G899">
            <v>2.17592592592597E-3</v>
          </cell>
        </row>
        <row r="900">
          <cell r="G900">
            <v>2.5347222222222854E-3</v>
          </cell>
        </row>
        <row r="901">
          <cell r="G901">
            <v>2.0486111111112093E-3</v>
          </cell>
        </row>
        <row r="902">
          <cell r="G902">
            <v>5.046296296296271E-3</v>
          </cell>
        </row>
        <row r="903">
          <cell r="G903">
            <v>1.979166666666643E-3</v>
          </cell>
        </row>
        <row r="904">
          <cell r="G904">
            <v>2.1064814814815147E-3</v>
          </cell>
        </row>
        <row r="905">
          <cell r="G905">
            <v>2.071759259259176E-3</v>
          </cell>
        </row>
        <row r="906">
          <cell r="G906">
            <v>7.7662037037037335E-3</v>
          </cell>
        </row>
        <row r="907">
          <cell r="G907">
            <v>2.1875000000000089E-3</v>
          </cell>
        </row>
        <row r="908">
          <cell r="G908">
            <v>2.0833333333333814E-3</v>
          </cell>
        </row>
        <row r="909">
          <cell r="G909">
            <v>2.0717592592592871E-3</v>
          </cell>
        </row>
        <row r="910">
          <cell r="G910">
            <v>2.0486111111110983E-3</v>
          </cell>
        </row>
        <row r="911">
          <cell r="G911">
            <v>2.1875000000000089E-3</v>
          </cell>
        </row>
        <row r="912">
          <cell r="G912">
            <v>2.0370370370370594E-3</v>
          </cell>
        </row>
        <row r="913">
          <cell r="G913">
            <v>2.025462962962965E-3</v>
          </cell>
        </row>
        <row r="914">
          <cell r="G914">
            <v>2.0601851851851927E-3</v>
          </cell>
        </row>
        <row r="915">
          <cell r="G915">
            <v>1.979166666666754E-3</v>
          </cell>
        </row>
        <row r="916">
          <cell r="G916">
            <v>7.0833333333333304E-3</v>
          </cell>
        </row>
        <row r="917">
          <cell r="G917">
            <v>3.3333333333332993E-3</v>
          </cell>
        </row>
        <row r="918">
          <cell r="G918">
            <v>3.4375000000000377E-3</v>
          </cell>
        </row>
        <row r="919">
          <cell r="G919">
            <v>2.2337962962962754E-3</v>
          </cell>
        </row>
        <row r="920">
          <cell r="G920">
            <v>5.5324074074074581E-3</v>
          </cell>
        </row>
        <row r="921">
          <cell r="G921">
            <v>2.0601851851851372E-3</v>
          </cell>
        </row>
        <row r="922">
          <cell r="G922">
            <v>2.0138888888889817E-3</v>
          </cell>
        </row>
        <row r="923">
          <cell r="G923">
            <v>2.0370370370370594E-3</v>
          </cell>
        </row>
        <row r="924">
          <cell r="G924">
            <v>2.5127314814814783E-2</v>
          </cell>
        </row>
        <row r="925">
          <cell r="G925">
            <v>2.2534722222222303E-2</v>
          </cell>
        </row>
        <row r="926">
          <cell r="G926">
            <v>2.0138888888887596E-3</v>
          </cell>
        </row>
        <row r="927">
          <cell r="G927">
            <v>8.9699074074073293E-3</v>
          </cell>
        </row>
        <row r="928">
          <cell r="G928">
            <v>5.0115740740740433E-3</v>
          </cell>
        </row>
        <row r="929">
          <cell r="G929">
            <v>2.0601851851852482E-3</v>
          </cell>
        </row>
        <row r="930">
          <cell r="G930">
            <v>2.1527777777777812E-2</v>
          </cell>
        </row>
        <row r="931">
          <cell r="G931">
            <v>3.5648148148147429E-3</v>
          </cell>
        </row>
        <row r="932">
          <cell r="G932">
            <v>6.8750000000000755E-3</v>
          </cell>
        </row>
        <row r="933">
          <cell r="G933">
            <v>2.2569444444444642E-3</v>
          </cell>
        </row>
        <row r="934">
          <cell r="G934">
            <v>2.8229166666666694E-2</v>
          </cell>
        </row>
        <row r="935">
          <cell r="G935">
            <v>2.1990740740741033E-3</v>
          </cell>
        </row>
        <row r="936">
          <cell r="G936">
            <v>5.6597222222222743E-3</v>
          </cell>
        </row>
        <row r="937">
          <cell r="G937">
            <v>2.8356481481480733E-3</v>
          </cell>
        </row>
        <row r="938">
          <cell r="G938">
            <v>2.5462962962963243E-3</v>
          </cell>
        </row>
        <row r="939">
          <cell r="G939">
            <v>7.3263888888888684E-3</v>
          </cell>
        </row>
        <row r="940">
          <cell r="G940">
            <v>2.81249999999994E-3</v>
          </cell>
        </row>
        <row r="941">
          <cell r="G941">
            <v>2.0486111111110983E-3</v>
          </cell>
        </row>
        <row r="942">
          <cell r="G942">
            <v>2.0254629629630205E-3</v>
          </cell>
        </row>
        <row r="943">
          <cell r="G943">
            <v>2.0486111111110983E-3</v>
          </cell>
        </row>
        <row r="944">
          <cell r="G944">
            <v>1.9907407407406819E-3</v>
          </cell>
        </row>
        <row r="945">
          <cell r="G945">
            <v>1.9675925925926041E-3</v>
          </cell>
        </row>
        <row r="946">
          <cell r="G946">
            <v>2.0833333333333259E-3</v>
          </cell>
        </row>
        <row r="947">
          <cell r="G947">
            <v>2.0023148148148318E-3</v>
          </cell>
        </row>
        <row r="948">
          <cell r="G948">
            <v>8.1365740740741987E-3</v>
          </cell>
        </row>
        <row r="949">
          <cell r="G949">
            <v>4.0162037037037024E-3</v>
          </cell>
        </row>
        <row r="950">
          <cell r="G950">
            <v>2.7546296296295791E-3</v>
          </cell>
        </row>
        <row r="951">
          <cell r="G951">
            <v>1.8981481481481488E-3</v>
          </cell>
        </row>
        <row r="952">
          <cell r="G952">
            <v>2.0138888888888706E-3</v>
          </cell>
        </row>
        <row r="953">
          <cell r="G953">
            <v>2.0138888888889817E-3</v>
          </cell>
        </row>
        <row r="954">
          <cell r="G954">
            <v>2.0370370370369484E-3</v>
          </cell>
        </row>
        <row r="955">
          <cell r="G955">
            <v>2.17592592592597E-3</v>
          </cell>
        </row>
        <row r="956">
          <cell r="G956">
            <v>4.2708333333332793E-3</v>
          </cell>
        </row>
        <row r="957">
          <cell r="G957">
            <v>5.5787037037037801E-3</v>
          </cell>
        </row>
        <row r="958">
          <cell r="G958">
            <v>3.310185185185166E-3</v>
          </cell>
        </row>
        <row r="959">
          <cell r="G959">
            <v>2.2222222222222365E-3</v>
          </cell>
        </row>
        <row r="960">
          <cell r="G960">
            <v>4.502314814814834E-3</v>
          </cell>
        </row>
        <row r="961">
          <cell r="G961">
            <v>5.7523148148148628E-3</v>
          </cell>
        </row>
        <row r="962">
          <cell r="G962">
            <v>3.414351851851849E-3</v>
          </cell>
        </row>
        <row r="963">
          <cell r="G963">
            <v>2.7546296296296346E-3</v>
          </cell>
        </row>
        <row r="964">
          <cell r="G964">
            <v>1.8865740740740544E-3</v>
          </cell>
        </row>
        <row r="965">
          <cell r="G965">
            <v>2.326388888888864E-3</v>
          </cell>
        </row>
        <row r="966">
          <cell r="G966">
            <v>1.9444444444444708E-3</v>
          </cell>
        </row>
        <row r="967">
          <cell r="G967">
            <v>1.9791666666666985E-3</v>
          </cell>
        </row>
        <row r="968">
          <cell r="G968">
            <v>1.9907407407407374E-3</v>
          </cell>
        </row>
        <row r="969">
          <cell r="G969">
            <v>3.6689814814814259E-3</v>
          </cell>
        </row>
        <row r="970">
          <cell r="G970">
            <v>1.9328703703702654E-3</v>
          </cell>
        </row>
        <row r="971">
          <cell r="G971">
            <v>2.4652777777778301E-3</v>
          </cell>
        </row>
        <row r="972">
          <cell r="G972">
            <v>2.4074074074074137E-3</v>
          </cell>
        </row>
        <row r="973">
          <cell r="G973">
            <v>1.1979166666666652E-2</v>
          </cell>
        </row>
        <row r="974">
          <cell r="G974">
            <v>1.8865740740741099E-3</v>
          </cell>
        </row>
        <row r="975">
          <cell r="G975">
            <v>2.1296296296297035E-3</v>
          </cell>
        </row>
        <row r="976">
          <cell r="G976">
            <v>1.782407407407427E-3</v>
          </cell>
        </row>
        <row r="977">
          <cell r="G977">
            <v>1.8402777777777324E-3</v>
          </cell>
        </row>
        <row r="978">
          <cell r="G978">
            <v>1.8865740740739989E-3</v>
          </cell>
        </row>
        <row r="979">
          <cell r="G979">
            <v>6.0185185185185341E-3</v>
          </cell>
        </row>
        <row r="980">
          <cell r="G980">
            <v>1.1921296296296235E-2</v>
          </cell>
        </row>
        <row r="981">
          <cell r="G981">
            <v>1.1469907407407387E-2</v>
          </cell>
        </row>
        <row r="982">
          <cell r="G982">
            <v>5.8564814814814903E-3</v>
          </cell>
        </row>
        <row r="983">
          <cell r="G983">
            <v>4.6296296296297057E-3</v>
          </cell>
        </row>
        <row r="984">
          <cell r="G984">
            <v>5.0694444444444042E-3</v>
          </cell>
        </row>
        <row r="985">
          <cell r="G985">
            <v>3.8888888888888862E-3</v>
          </cell>
        </row>
        <row r="986">
          <cell r="G986">
            <v>2.4189814814814525E-3</v>
          </cell>
        </row>
        <row r="987">
          <cell r="G987">
            <v>1.8055555555555602E-3</v>
          </cell>
        </row>
        <row r="988">
          <cell r="G988">
            <v>2.326388888888864E-3</v>
          </cell>
        </row>
        <row r="989">
          <cell r="G989">
            <v>2.3263888888889195E-3</v>
          </cell>
        </row>
        <row r="990">
          <cell r="G990">
            <v>2.9699074074074017E-2</v>
          </cell>
        </row>
        <row r="991">
          <cell r="G991">
            <v>2.7650462962962974E-2</v>
          </cell>
        </row>
        <row r="992">
          <cell r="G992">
            <v>2.418981481481508E-3</v>
          </cell>
        </row>
        <row r="993">
          <cell r="G993">
            <v>1.8402777777778434E-3</v>
          </cell>
        </row>
        <row r="994">
          <cell r="G994">
            <v>1.9212962962962266E-3</v>
          </cell>
        </row>
        <row r="995">
          <cell r="G995">
            <v>1.8055555555555047E-3</v>
          </cell>
        </row>
        <row r="996">
          <cell r="G996">
            <v>1.8287037037036935E-3</v>
          </cell>
        </row>
        <row r="997">
          <cell r="G997">
            <v>2.3958333333333748E-3</v>
          </cell>
        </row>
        <row r="998">
          <cell r="G998">
            <v>3.9849537037037086E-2</v>
          </cell>
        </row>
        <row r="999">
          <cell r="G999">
            <v>1.9097222222221877E-3</v>
          </cell>
        </row>
        <row r="1000">
          <cell r="G1000">
            <v>3.3564814814814881E-3</v>
          </cell>
        </row>
        <row r="1001">
          <cell r="G1001">
            <v>1.8981481481481488E-3</v>
          </cell>
        </row>
        <row r="1002">
          <cell r="G1002">
            <v>1.8055555555555602E-3</v>
          </cell>
        </row>
        <row r="1003">
          <cell r="G1003">
            <v>2.6736111111111405E-3</v>
          </cell>
        </row>
        <row r="1004">
          <cell r="G1004">
            <v>2.2800925925925974E-3</v>
          </cell>
        </row>
        <row r="1005">
          <cell r="G1005">
            <v>1.9097222222221877E-3</v>
          </cell>
        </row>
        <row r="1006">
          <cell r="G1006">
            <v>2.766203703703729E-3</v>
          </cell>
        </row>
        <row r="1007">
          <cell r="G1007">
            <v>1.8055555555555047E-3</v>
          </cell>
        </row>
        <row r="1008">
          <cell r="G1008">
            <v>2.3611111111111471E-3</v>
          </cell>
        </row>
        <row r="1009">
          <cell r="G1009">
            <v>2.3611111111111471E-3</v>
          </cell>
        </row>
        <row r="1010">
          <cell r="G1010">
            <v>4.6180555555555558E-3</v>
          </cell>
        </row>
        <row r="1011">
          <cell r="G1011">
            <v>3.1018518518518556E-3</v>
          </cell>
        </row>
        <row r="1012">
          <cell r="G1012">
            <v>2.7592592592592557E-2</v>
          </cell>
        </row>
        <row r="1013">
          <cell r="G1013">
            <v>2.6967592592592571E-2</v>
          </cell>
        </row>
        <row r="1014">
          <cell r="G1014">
            <v>2.5775462962963014E-2</v>
          </cell>
        </row>
        <row r="1015">
          <cell r="G1015">
            <v>2.3993055555555587E-2</v>
          </cell>
        </row>
        <row r="1016">
          <cell r="G1016">
            <v>3.7071759259259263E-2</v>
          </cell>
        </row>
        <row r="1017">
          <cell r="G1017">
            <v>3.27662037037037E-2</v>
          </cell>
        </row>
        <row r="1018">
          <cell r="G1018">
            <v>2.7060185185185159E-2</v>
          </cell>
        </row>
        <row r="1019">
          <cell r="G1019">
            <v>2.437499999999998E-2</v>
          </cell>
        </row>
        <row r="1020">
          <cell r="G1020">
            <v>2.5520833333333326E-2</v>
          </cell>
        </row>
        <row r="1021">
          <cell r="G1021">
            <v>2.5069444444444422E-2</v>
          </cell>
        </row>
        <row r="1022">
          <cell r="G1022">
            <v>2.5474537037037115E-2</v>
          </cell>
        </row>
        <row r="1023">
          <cell r="G1023">
            <v>2.1956018518518527E-2</v>
          </cell>
        </row>
        <row r="1024">
          <cell r="G1024">
            <v>2.5752314814814881E-2</v>
          </cell>
        </row>
        <row r="1025">
          <cell r="G1025">
            <v>2.6319444444444451E-2</v>
          </cell>
        </row>
        <row r="1026">
          <cell r="G1026">
            <v>2.0266203703703689E-2</v>
          </cell>
        </row>
        <row r="1027">
          <cell r="G1027">
            <v>2.1018518518518547E-2</v>
          </cell>
        </row>
        <row r="1028">
          <cell r="G1028">
            <v>2.0659722222222232E-2</v>
          </cell>
        </row>
        <row r="1029">
          <cell r="G1029">
            <v>1.6180555555555531E-2</v>
          </cell>
        </row>
        <row r="1030">
          <cell r="G1030">
            <v>1.4560185185185093E-2</v>
          </cell>
        </row>
        <row r="1031">
          <cell r="G1031">
            <v>9.4212962962962887E-3</v>
          </cell>
        </row>
        <row r="1032">
          <cell r="G1032">
            <v>4.5949074074074225E-3</v>
          </cell>
        </row>
        <row r="1033">
          <cell r="G1033">
            <v>1.9560185185184542E-3</v>
          </cell>
        </row>
        <row r="1034">
          <cell r="G1034">
            <v>1.7939814814814659E-3</v>
          </cell>
        </row>
        <row r="1035">
          <cell r="G1035">
            <v>2.7199074074074625E-3</v>
          </cell>
        </row>
        <row r="1036">
          <cell r="G1036">
            <v>1.8402777777777324E-3</v>
          </cell>
        </row>
        <row r="1037">
          <cell r="G1037">
            <v>3.0324074074074003E-3</v>
          </cell>
        </row>
        <row r="1038">
          <cell r="G1038">
            <v>2.3495370370369972E-3</v>
          </cell>
        </row>
        <row r="1039">
          <cell r="G1039">
            <v>1.782407407407538E-3</v>
          </cell>
        </row>
        <row r="1040">
          <cell r="G1040">
            <v>4.9236111111111147E-2</v>
          </cell>
        </row>
        <row r="1041">
          <cell r="G1041">
            <v>1.782407407407427E-3</v>
          </cell>
        </row>
        <row r="1042">
          <cell r="G1042">
            <v>1.979166666666643E-3</v>
          </cell>
        </row>
        <row r="1043">
          <cell r="G1043">
            <v>1.6550925925926108E-3</v>
          </cell>
        </row>
        <row r="1044">
          <cell r="G1044">
            <v>3.067129629629628E-3</v>
          </cell>
        </row>
        <row r="1045">
          <cell r="G1045">
            <v>4.2511574074074077E-2</v>
          </cell>
        </row>
        <row r="1046">
          <cell r="G1046">
            <v>2.8368055555555549E-2</v>
          </cell>
        </row>
        <row r="1047">
          <cell r="G1047">
            <v>3.4722222222222654E-3</v>
          </cell>
        </row>
        <row r="1048">
          <cell r="G1048">
            <v>2.7430555555555403E-3</v>
          </cell>
        </row>
        <row r="1049">
          <cell r="G1049">
            <v>2.9398148148148673E-3</v>
          </cell>
        </row>
        <row r="1050">
          <cell r="G1050">
            <v>5.6018518518519134E-3</v>
          </cell>
        </row>
        <row r="1051">
          <cell r="G1051">
            <v>7.9629629629629495E-3</v>
          </cell>
        </row>
        <row r="1052">
          <cell r="G1052">
            <v>1.1597222222222203E-2</v>
          </cell>
        </row>
        <row r="1053">
          <cell r="G1053">
            <v>6.4120370370370772E-3</v>
          </cell>
        </row>
        <row r="1054">
          <cell r="G1054">
            <v>9.6990740740740544E-3</v>
          </cell>
        </row>
        <row r="1055">
          <cell r="G1055">
            <v>5.7638888888888462E-3</v>
          </cell>
        </row>
        <row r="1056">
          <cell r="G1056">
            <v>5.1157407407407263E-3</v>
          </cell>
        </row>
        <row r="1057">
          <cell r="G1057">
            <v>8.3101851851851705E-3</v>
          </cell>
        </row>
        <row r="1058">
          <cell r="G1058">
            <v>7.3611111111110961E-3</v>
          </cell>
        </row>
        <row r="1059">
          <cell r="G1059">
            <v>2.8819444444445064E-3</v>
          </cell>
        </row>
        <row r="1060">
          <cell r="G1060">
            <v>6.5162037037037601E-3</v>
          </cell>
        </row>
        <row r="1061">
          <cell r="G1061">
            <v>5.2314814814814481E-3</v>
          </cell>
        </row>
        <row r="1062">
          <cell r="G1062">
            <v>5.243055555555487E-3</v>
          </cell>
        </row>
        <row r="1063">
          <cell r="G1063">
            <v>4.0624999999999689E-3</v>
          </cell>
        </row>
        <row r="1064">
          <cell r="G1064">
            <v>4.2592592592592959E-3</v>
          </cell>
        </row>
        <row r="1065">
          <cell r="G1065">
            <v>1.8055555555556158E-3</v>
          </cell>
        </row>
        <row r="1066">
          <cell r="G1066">
            <v>1.7129629629628607E-3</v>
          </cell>
        </row>
        <row r="1067">
          <cell r="G1067">
            <v>6.0069444444443842E-3</v>
          </cell>
        </row>
        <row r="1068">
          <cell r="G1068">
            <v>9.8611111111112093E-3</v>
          </cell>
        </row>
        <row r="1069">
          <cell r="G1069">
            <v>6.226851851851789E-3</v>
          </cell>
        </row>
        <row r="1070">
          <cell r="G1070">
            <v>8.0439814814814437E-3</v>
          </cell>
        </row>
        <row r="1071">
          <cell r="G1071">
            <v>1.0023148148148198E-2</v>
          </cell>
        </row>
        <row r="1072">
          <cell r="G1072">
            <v>9.2824074074073781E-3</v>
          </cell>
        </row>
        <row r="1073">
          <cell r="G1073">
            <v>5.9606481481481177E-3</v>
          </cell>
        </row>
        <row r="1074">
          <cell r="G1074">
            <v>2.0370370370369484E-3</v>
          </cell>
        </row>
        <row r="1075">
          <cell r="G1075">
            <v>1.8865740740741099E-3</v>
          </cell>
        </row>
        <row r="1076">
          <cell r="G1076">
            <v>3.564814814814854E-3</v>
          </cell>
        </row>
        <row r="1077">
          <cell r="G1077">
            <v>4.8263888888888662E-3</v>
          </cell>
        </row>
        <row r="1078">
          <cell r="G1078">
            <v>1.8055555555556158E-3</v>
          </cell>
        </row>
        <row r="1079">
          <cell r="G1079">
            <v>2.3263888888889195E-3</v>
          </cell>
        </row>
        <row r="1080">
          <cell r="G1080">
            <v>1.7708333333333881E-3</v>
          </cell>
        </row>
        <row r="1081">
          <cell r="G1081">
            <v>1.7245370370370106E-3</v>
          </cell>
        </row>
        <row r="1082">
          <cell r="G1082">
            <v>1.7476851851851993E-3</v>
          </cell>
        </row>
        <row r="1083">
          <cell r="G1083">
            <v>1.7013888888888218E-3</v>
          </cell>
        </row>
        <row r="1084">
          <cell r="G1084">
            <v>1.8634259259260322E-3</v>
          </cell>
        </row>
        <row r="1085">
          <cell r="G1085">
            <v>2.6967592592592737E-3</v>
          </cell>
        </row>
        <row r="1086">
          <cell r="G1086">
            <v>1.8402777777777324E-3</v>
          </cell>
        </row>
        <row r="1087">
          <cell r="G1087">
            <v>1.979166666666643E-3</v>
          </cell>
        </row>
        <row r="1088">
          <cell r="G1088">
            <v>2.3611111111111471E-3</v>
          </cell>
        </row>
        <row r="1089">
          <cell r="G1089">
            <v>1.7592592592592382E-3</v>
          </cell>
        </row>
        <row r="1090">
          <cell r="G1090">
            <v>6.134259259259256E-3</v>
          </cell>
        </row>
        <row r="1091">
          <cell r="G1091">
            <v>6.8750000000001865E-3</v>
          </cell>
        </row>
        <row r="1092">
          <cell r="G1092">
            <v>6.5856481481481044E-3</v>
          </cell>
        </row>
        <row r="1093">
          <cell r="G1093">
            <v>1.7939814814814103E-3</v>
          </cell>
        </row>
        <row r="1094">
          <cell r="G1094">
            <v>2.5462962962963243E-3</v>
          </cell>
        </row>
        <row r="1095">
          <cell r="G1095">
            <v>6.2847222222222054E-3</v>
          </cell>
        </row>
        <row r="1096">
          <cell r="G1096">
            <v>2.1296296296295925E-3</v>
          </cell>
        </row>
        <row r="1097">
          <cell r="G1097">
            <v>3.310185185185166E-3</v>
          </cell>
        </row>
        <row r="1098">
          <cell r="G1098">
            <v>1.7708333333333326E-3</v>
          </cell>
        </row>
        <row r="1099">
          <cell r="G1099">
            <v>3.7847222222222032E-3</v>
          </cell>
        </row>
        <row r="1100">
          <cell r="G1100">
            <v>5.7523148148148073E-3</v>
          </cell>
        </row>
        <row r="1101">
          <cell r="G1101">
            <v>4.8495370370369995E-3</v>
          </cell>
        </row>
        <row r="1102">
          <cell r="G1102">
            <v>1.7708333333332771E-3</v>
          </cell>
        </row>
        <row r="1103">
          <cell r="G1103">
            <v>4.5023148148147785E-3</v>
          </cell>
        </row>
        <row r="1104">
          <cell r="G1104">
            <v>1.7939814814815214E-3</v>
          </cell>
        </row>
        <row r="1105">
          <cell r="G1105">
            <v>1.5972222222222499E-3</v>
          </cell>
        </row>
        <row r="1106">
          <cell r="G1106">
            <v>3.6226851851851594E-3</v>
          </cell>
        </row>
        <row r="1107">
          <cell r="G1107">
            <v>2.0949074074073648E-3</v>
          </cell>
        </row>
        <row r="1108">
          <cell r="G1108">
            <v>2.3032407407406752E-3</v>
          </cell>
        </row>
        <row r="1109">
          <cell r="G1109">
            <v>2.0370370370370594E-3</v>
          </cell>
        </row>
        <row r="1110">
          <cell r="G1110">
            <v>1.6666666666667052E-3</v>
          </cell>
        </row>
        <row r="1111">
          <cell r="G1111">
            <v>9.2592592592592449E-3</v>
          </cell>
        </row>
        <row r="1112">
          <cell r="G1112">
            <v>8.5069444444443865E-3</v>
          </cell>
        </row>
        <row r="1113">
          <cell r="G1113">
            <v>7.8819444444444553E-3</v>
          </cell>
        </row>
        <row r="1114">
          <cell r="G1114">
            <v>6.8518518518518867E-3</v>
          </cell>
        </row>
        <row r="1115">
          <cell r="G1115">
            <v>5.2893518518518645E-3</v>
          </cell>
        </row>
        <row r="1116">
          <cell r="G1116">
            <v>1.5208333333333379E-2</v>
          </cell>
        </row>
        <row r="1117">
          <cell r="G1117">
            <v>1.7627314814814776E-2</v>
          </cell>
        </row>
        <row r="1118">
          <cell r="G1118">
            <v>1.7905092592592653E-2</v>
          </cell>
        </row>
        <row r="1119">
          <cell r="G1119">
            <v>1.7835648148148142E-2</v>
          </cell>
        </row>
        <row r="1120">
          <cell r="G1120">
            <v>1.0428240740740835E-2</v>
          </cell>
        </row>
        <row r="1121">
          <cell r="G1121">
            <v>1.0057870370370314E-2</v>
          </cell>
        </row>
        <row r="1122">
          <cell r="G1122">
            <v>2.5578703703703631E-3</v>
          </cell>
        </row>
        <row r="1123">
          <cell r="G1123">
            <v>2.9166666666666785E-3</v>
          </cell>
        </row>
        <row r="1124">
          <cell r="G1124">
            <v>1.6898148148148939E-3</v>
          </cell>
        </row>
        <row r="1125">
          <cell r="G1125">
            <v>1.7939814814815769E-3</v>
          </cell>
        </row>
        <row r="1126">
          <cell r="G1126">
            <v>1.6631944444444491E-2</v>
          </cell>
        </row>
        <row r="1127">
          <cell r="G1127">
            <v>8.5532407407407085E-3</v>
          </cell>
        </row>
        <row r="1128">
          <cell r="G1128">
            <v>1.1053240740740766E-2</v>
          </cell>
        </row>
        <row r="1129">
          <cell r="G1129">
            <v>9.7685185185185652E-3</v>
          </cell>
        </row>
        <row r="1130">
          <cell r="G1130">
            <v>1.7013888888889328E-3</v>
          </cell>
        </row>
        <row r="1131">
          <cell r="G1131">
            <v>4.3750000000000178E-3</v>
          </cell>
        </row>
        <row r="1132">
          <cell r="G1132">
            <v>1.6319444444444442E-2</v>
          </cell>
        </row>
        <row r="1133">
          <cell r="G1133">
            <v>1.7939814814814659E-3</v>
          </cell>
        </row>
        <row r="1134">
          <cell r="G1134">
            <v>1.7013888888889328E-3</v>
          </cell>
        </row>
        <row r="1135">
          <cell r="G1135">
            <v>2.7905092592592662E-2</v>
          </cell>
        </row>
        <row r="1136">
          <cell r="G1136">
            <v>3.9004629629628695E-3</v>
          </cell>
        </row>
        <row r="1137">
          <cell r="G1137">
            <v>1.7708333333332771E-3</v>
          </cell>
        </row>
        <row r="1138">
          <cell r="G1138">
            <v>2.9976851851851727E-3</v>
          </cell>
        </row>
        <row r="1139">
          <cell r="G1139">
            <v>2.2453703703704253E-3</v>
          </cell>
        </row>
        <row r="1140">
          <cell r="G1140">
            <v>2.2106481481481977E-3</v>
          </cell>
        </row>
        <row r="1141">
          <cell r="G1141">
            <v>1.8402777777777324E-3</v>
          </cell>
        </row>
        <row r="1142">
          <cell r="G1142">
            <v>4.4444444444444731E-3</v>
          </cell>
        </row>
        <row r="1143">
          <cell r="G1143">
            <v>4.3518518518518845E-3</v>
          </cell>
        </row>
        <row r="1144">
          <cell r="G1144">
            <v>3.0324074074074558E-3</v>
          </cell>
        </row>
        <row r="1145">
          <cell r="G1145">
            <v>2.3148148148148251E-3</v>
          </cell>
        </row>
        <row r="1146">
          <cell r="G1146">
            <v>4.0046296296296635E-3</v>
          </cell>
        </row>
        <row r="1147">
          <cell r="G1147">
            <v>6.8287037037036979E-3</v>
          </cell>
        </row>
        <row r="1148">
          <cell r="G1148">
            <v>2.5810185185184964E-3</v>
          </cell>
        </row>
        <row r="1149">
          <cell r="G1149">
            <v>1.6898148148147829E-3</v>
          </cell>
        </row>
        <row r="1150">
          <cell r="G1150">
            <v>3.1226851851851867E-2</v>
          </cell>
        </row>
        <row r="1151">
          <cell r="G1151">
            <v>1.7361111111110494E-3</v>
          </cell>
        </row>
        <row r="1152">
          <cell r="G1152">
            <v>1.7939814814815214E-3</v>
          </cell>
        </row>
        <row r="1153">
          <cell r="G1153">
            <v>2.7662037037036735E-3</v>
          </cell>
        </row>
        <row r="1154">
          <cell r="G1154">
            <v>1.7592592592592382E-3</v>
          </cell>
        </row>
        <row r="1155">
          <cell r="G1155">
            <v>1.782407407407427E-3</v>
          </cell>
        </row>
        <row r="1156">
          <cell r="G1156">
            <v>5.2291666666666736E-2</v>
          </cell>
        </row>
        <row r="1157">
          <cell r="G1157">
            <v>1.5995370370370354E-2</v>
          </cell>
        </row>
        <row r="1158">
          <cell r="G1158">
            <v>2.2916666666665808E-3</v>
          </cell>
        </row>
        <row r="1159">
          <cell r="G1159">
            <v>1.782407407407427E-3</v>
          </cell>
        </row>
        <row r="1160">
          <cell r="G1160">
            <v>1.7245370370371216E-3</v>
          </cell>
        </row>
        <row r="1161">
          <cell r="G1161">
            <v>1.678240740740744E-3</v>
          </cell>
        </row>
        <row r="1162">
          <cell r="G1162">
            <v>1.475694444444442E-2</v>
          </cell>
        </row>
        <row r="1163">
          <cell r="G1163">
            <v>1.7013888888888218E-3</v>
          </cell>
        </row>
        <row r="1164">
          <cell r="G1164">
            <v>1.8460648148148184E-2</v>
          </cell>
        </row>
        <row r="1165">
          <cell r="G1165">
            <v>1.8981481481481488E-3</v>
          </cell>
        </row>
        <row r="1166">
          <cell r="G1166">
            <v>2.6273148148147074E-3</v>
          </cell>
        </row>
        <row r="1167">
          <cell r="G1167">
            <v>2.1990740740740478E-3</v>
          </cell>
        </row>
        <row r="1168">
          <cell r="G1168">
            <v>8.5995370370370305E-3</v>
          </cell>
        </row>
        <row r="1169">
          <cell r="G1169">
            <v>1.6550925925926108E-3</v>
          </cell>
        </row>
        <row r="1170">
          <cell r="G1170">
            <v>1.0821759259259267E-2</v>
          </cell>
        </row>
        <row r="1171">
          <cell r="G1171">
            <v>2.7430555555554847E-3</v>
          </cell>
        </row>
        <row r="1172">
          <cell r="G1172">
            <v>1.6666666666667052E-3</v>
          </cell>
        </row>
        <row r="1173">
          <cell r="G1173">
            <v>1.7476851851851438E-3</v>
          </cell>
        </row>
        <row r="1174">
          <cell r="G1174">
            <v>1.631944444444422E-3</v>
          </cell>
        </row>
        <row r="1175">
          <cell r="G1175">
            <v>3.6805555555555203E-3</v>
          </cell>
        </row>
        <row r="1176">
          <cell r="G1176">
            <v>1.678240740740744E-3</v>
          </cell>
        </row>
        <row r="1177">
          <cell r="G1177">
            <v>1.0497685185185235E-2</v>
          </cell>
        </row>
        <row r="1178">
          <cell r="G1178">
            <v>3.6111111111111205E-3</v>
          </cell>
        </row>
        <row r="1179">
          <cell r="G1179">
            <v>5.0578703703703654E-3</v>
          </cell>
        </row>
        <row r="1180">
          <cell r="G1180">
            <v>2.5347222222223409E-3</v>
          </cell>
        </row>
        <row r="1181">
          <cell r="G1181">
            <v>2.5497685185185137E-2</v>
          </cell>
        </row>
        <row r="1182">
          <cell r="G1182">
            <v>1.215277777777779E-2</v>
          </cell>
        </row>
        <row r="1183">
          <cell r="G1183">
            <v>1.7129629629629717E-3</v>
          </cell>
        </row>
        <row r="1184">
          <cell r="G1184">
            <v>1.3020833333333259E-2</v>
          </cell>
        </row>
        <row r="1185">
          <cell r="G1185">
            <v>2.5960648148148135E-2</v>
          </cell>
        </row>
        <row r="1186">
          <cell r="G1186">
            <v>1.7013888888889328E-3</v>
          </cell>
        </row>
        <row r="1187">
          <cell r="G1187">
            <v>1.678240740740744E-3</v>
          </cell>
        </row>
        <row r="1188">
          <cell r="G1188">
            <v>3.4259259259258323E-3</v>
          </cell>
        </row>
        <row r="1189">
          <cell r="G1189">
            <v>1.071759259259264E-2</v>
          </cell>
        </row>
        <row r="1190">
          <cell r="G1190">
            <v>2.0486111111110983E-3</v>
          </cell>
        </row>
        <row r="1191">
          <cell r="G1191">
            <v>3.5555555555555562E-2</v>
          </cell>
        </row>
        <row r="1192">
          <cell r="G1192">
            <v>1.7361111111111605E-3</v>
          </cell>
        </row>
        <row r="1193">
          <cell r="G1193">
            <v>3.067129629629628E-3</v>
          </cell>
        </row>
        <row r="1194">
          <cell r="G1194">
            <v>2.9745370370370949E-3</v>
          </cell>
        </row>
        <row r="1195">
          <cell r="G1195">
            <v>1.6319444444444775E-3</v>
          </cell>
        </row>
        <row r="1196">
          <cell r="G1196">
            <v>1.7592592592592382E-3</v>
          </cell>
        </row>
        <row r="1197">
          <cell r="G1197">
            <v>3.8078703703704475E-3</v>
          </cell>
        </row>
        <row r="1198">
          <cell r="G1198">
            <v>1.7013888888889328E-3</v>
          </cell>
        </row>
        <row r="1199">
          <cell r="G1199">
            <v>1.7013888888889328E-3</v>
          </cell>
        </row>
        <row r="1200">
          <cell r="G1200">
            <v>2.5347222222222854E-3</v>
          </cell>
        </row>
        <row r="1201">
          <cell r="G1201">
            <v>1.7245370370370106E-3</v>
          </cell>
        </row>
        <row r="1202">
          <cell r="G1202">
            <v>2.0949074074074758E-3</v>
          </cell>
        </row>
        <row r="1203">
          <cell r="G1203">
            <v>1.6666666666667052E-3</v>
          </cell>
        </row>
        <row r="1204">
          <cell r="G1204">
            <v>1.7245370370370661E-3</v>
          </cell>
        </row>
        <row r="1205">
          <cell r="G1205">
            <v>1.7129629629629162E-3</v>
          </cell>
        </row>
        <row r="1206">
          <cell r="G1206">
            <v>1.7013888888888773E-3</v>
          </cell>
        </row>
        <row r="1207">
          <cell r="G1207">
            <v>2.1064814814814037E-3</v>
          </cell>
        </row>
        <row r="1208">
          <cell r="G1208">
            <v>1.6435185185184054E-3</v>
          </cell>
        </row>
        <row r="1209">
          <cell r="G1209">
            <v>1.6550925925925553E-3</v>
          </cell>
        </row>
        <row r="1210">
          <cell r="G1210">
            <v>4.942129629629588E-3</v>
          </cell>
        </row>
        <row r="1211">
          <cell r="G1211">
            <v>3.8657407407407529E-3</v>
          </cell>
        </row>
        <row r="1212">
          <cell r="G1212">
            <v>7.2569444444443576E-3</v>
          </cell>
        </row>
        <row r="1213">
          <cell r="G1213">
            <v>5.7638888888889017E-3</v>
          </cell>
        </row>
        <row r="1214">
          <cell r="G1214">
            <v>2.9513888888887951E-3</v>
          </cell>
        </row>
        <row r="1215">
          <cell r="G1215">
            <v>2.9513888888889062E-3</v>
          </cell>
        </row>
        <row r="1216">
          <cell r="G1216">
            <v>1.6898148148147829E-3</v>
          </cell>
        </row>
        <row r="1217">
          <cell r="G1217">
            <v>1.7939814814814659E-3</v>
          </cell>
        </row>
        <row r="1218">
          <cell r="G1218">
            <v>1.6435185185185164E-3</v>
          </cell>
        </row>
        <row r="1219">
          <cell r="G1219">
            <v>1.8287037037036935E-3</v>
          </cell>
        </row>
        <row r="1220">
          <cell r="G1220">
            <v>1.7245370370370106E-3</v>
          </cell>
        </row>
        <row r="1221">
          <cell r="G1221">
            <v>1.6087962962961777E-3</v>
          </cell>
        </row>
        <row r="1222">
          <cell r="G1222">
            <v>1.5370370370370423E-2</v>
          </cell>
        </row>
        <row r="1223">
          <cell r="G1223">
            <v>1.0914351851851856E-2</v>
          </cell>
        </row>
        <row r="1224">
          <cell r="G1224">
            <v>5.4745370370370416E-3</v>
          </cell>
        </row>
        <row r="1225">
          <cell r="G1225">
            <v>4.5138888888888729E-3</v>
          </cell>
        </row>
        <row r="1226">
          <cell r="G1226">
            <v>2.3263888888888085E-3</v>
          </cell>
        </row>
        <row r="1227">
          <cell r="G1227">
            <v>2.3611111111110916E-3</v>
          </cell>
        </row>
        <row r="1228">
          <cell r="G1228">
            <v>3.5995370370370261E-3</v>
          </cell>
        </row>
        <row r="1229">
          <cell r="G1229">
            <v>2.3495370370370527E-3</v>
          </cell>
        </row>
        <row r="1230">
          <cell r="G1230">
            <v>3.4710648148148115E-2</v>
          </cell>
        </row>
        <row r="1231">
          <cell r="G1231">
            <v>3.0324074074074003E-3</v>
          </cell>
        </row>
        <row r="1232">
          <cell r="G1232">
            <v>2.6504629629629517E-3</v>
          </cell>
        </row>
        <row r="1233">
          <cell r="G1233">
            <v>2.8240740740740899E-3</v>
          </cell>
        </row>
        <row r="1234">
          <cell r="G1234">
            <v>2.4305555555555469E-3</v>
          </cell>
        </row>
        <row r="1235">
          <cell r="G1235">
            <v>4.0046296296296635E-3</v>
          </cell>
        </row>
        <row r="1236">
          <cell r="G1236">
            <v>2.326388888888864E-3</v>
          </cell>
        </row>
        <row r="1237">
          <cell r="G1237">
            <v>8.009259259259216E-3</v>
          </cell>
        </row>
        <row r="1238">
          <cell r="G1238">
            <v>2.5115740740740966E-3</v>
          </cell>
        </row>
        <row r="1239">
          <cell r="G1239">
            <v>1.0358796296296213E-2</v>
          </cell>
        </row>
        <row r="1240">
          <cell r="G1240">
            <v>3.0324074074072893E-3</v>
          </cell>
        </row>
        <row r="1241">
          <cell r="G1241">
            <v>2.3148148148148806E-3</v>
          </cell>
        </row>
        <row r="1242">
          <cell r="G1242">
            <v>5.4629629629630028E-3</v>
          </cell>
        </row>
        <row r="1243">
          <cell r="G1243">
            <v>5.63657407407403E-3</v>
          </cell>
        </row>
        <row r="1244">
          <cell r="G1244">
            <v>4.3981481481482065E-3</v>
          </cell>
        </row>
        <row r="1245">
          <cell r="G1245">
            <v>2.4305555555556024E-3</v>
          </cell>
        </row>
        <row r="1246">
          <cell r="G1246">
            <v>2.569444444444402E-3</v>
          </cell>
        </row>
        <row r="1247">
          <cell r="G1247">
            <v>2.3032407407408417E-3</v>
          </cell>
        </row>
        <row r="1248">
          <cell r="G1248">
            <v>4.123842592592597E-2</v>
          </cell>
        </row>
        <row r="1249">
          <cell r="G1249">
            <v>3.5601851851851829E-2</v>
          </cell>
        </row>
        <row r="1250">
          <cell r="G1250">
            <v>2.3148148148148806E-3</v>
          </cell>
        </row>
        <row r="1251">
          <cell r="G1251">
            <v>2.8356481481481843E-3</v>
          </cell>
        </row>
        <row r="1252">
          <cell r="G1252">
            <v>2.7893518518518068E-3</v>
          </cell>
        </row>
        <row r="1253">
          <cell r="G1253">
            <v>2.3148148148148806E-3</v>
          </cell>
        </row>
        <row r="1254">
          <cell r="G1254">
            <v>2.3495370370369972E-3</v>
          </cell>
        </row>
        <row r="1255">
          <cell r="G1255">
            <v>5.8101851851852238E-3</v>
          </cell>
        </row>
        <row r="1256">
          <cell r="G1256">
            <v>3.3217592592592604E-3</v>
          </cell>
        </row>
        <row r="1257">
          <cell r="G1257">
            <v>5.9259259259258901E-3</v>
          </cell>
        </row>
        <row r="1258">
          <cell r="G1258">
            <v>3.0324074074074558E-3</v>
          </cell>
        </row>
        <row r="1259">
          <cell r="G1259">
            <v>6.4583333333333992E-3</v>
          </cell>
        </row>
        <row r="1260">
          <cell r="G1260">
            <v>6.620370370370332E-3</v>
          </cell>
        </row>
        <row r="1261">
          <cell r="G1261">
            <v>5.9027777777777013E-3</v>
          </cell>
        </row>
        <row r="1262">
          <cell r="G1262">
            <v>2.2453703703703143E-3</v>
          </cell>
        </row>
        <row r="1263">
          <cell r="G1263">
            <v>3.4722222222222654E-3</v>
          </cell>
        </row>
        <row r="1264">
          <cell r="G1264">
            <v>2.3032407407406752E-3</v>
          </cell>
        </row>
        <row r="1265">
          <cell r="G1265">
            <v>2.3379629629629584E-3</v>
          </cell>
        </row>
        <row r="1266">
          <cell r="G1266">
            <v>2.3379629629629584E-3</v>
          </cell>
        </row>
        <row r="1267">
          <cell r="G1267">
            <v>9.5138888888888773E-3</v>
          </cell>
        </row>
        <row r="1268">
          <cell r="G1268">
            <v>8.2407407407407152E-3</v>
          </cell>
        </row>
        <row r="1269">
          <cell r="G1269">
            <v>8.9236111111111183E-3</v>
          </cell>
        </row>
        <row r="1270">
          <cell r="G1270">
            <v>1.0879629629629628E-2</v>
          </cell>
        </row>
        <row r="1271">
          <cell r="G1271">
            <v>1.106481481481475E-2</v>
          </cell>
        </row>
        <row r="1272">
          <cell r="G1272">
            <v>1.2326388888888873E-2</v>
          </cell>
        </row>
        <row r="1273">
          <cell r="G1273">
            <v>9.0856481481481066E-3</v>
          </cell>
        </row>
        <row r="1274">
          <cell r="G1274">
            <v>2.2685185185185031E-3</v>
          </cell>
        </row>
        <row r="1275">
          <cell r="G1275">
            <v>1.4201388888888888E-2</v>
          </cell>
        </row>
        <row r="1276">
          <cell r="G1276">
            <v>2.3611111111110361E-3</v>
          </cell>
        </row>
        <row r="1277">
          <cell r="G1277">
            <v>2.3148148148148806E-3</v>
          </cell>
        </row>
        <row r="1278">
          <cell r="G1278">
            <v>2.3032407407407307E-3</v>
          </cell>
        </row>
        <row r="1279">
          <cell r="G1279">
            <v>2.3032407407407307E-3</v>
          </cell>
        </row>
        <row r="1280">
          <cell r="G1280">
            <v>5.2314814814814481E-3</v>
          </cell>
        </row>
        <row r="1281">
          <cell r="G1281">
            <v>5.2662037037036757E-3</v>
          </cell>
        </row>
        <row r="1282">
          <cell r="G1282">
            <v>5.9490740740740788E-3</v>
          </cell>
        </row>
        <row r="1283">
          <cell r="G1283">
            <v>5.6018518518518023E-3</v>
          </cell>
        </row>
        <row r="1284">
          <cell r="G1284">
            <v>5.7175925925925242E-3</v>
          </cell>
        </row>
        <row r="1285">
          <cell r="G1285">
            <v>3.3495370370370425E-2</v>
          </cell>
        </row>
        <row r="1286">
          <cell r="G1286">
            <v>2.2916666666666918E-3</v>
          </cell>
        </row>
        <row r="1287">
          <cell r="G1287">
            <v>2.3263888888889195E-3</v>
          </cell>
        </row>
        <row r="1288">
          <cell r="G1288">
            <v>3.1134259259258945E-3</v>
          </cell>
        </row>
        <row r="1289">
          <cell r="G1289">
            <v>2.2916666666666918E-3</v>
          </cell>
        </row>
        <row r="1290">
          <cell r="G1290">
            <v>2.3148148148147696E-3</v>
          </cell>
        </row>
        <row r="1291">
          <cell r="G1291">
            <v>2.2800925925925419E-3</v>
          </cell>
        </row>
        <row r="1292">
          <cell r="G1292">
            <v>4.0972222222221966E-3</v>
          </cell>
        </row>
        <row r="1293">
          <cell r="G1293">
            <v>2.3148148148147696E-3</v>
          </cell>
        </row>
        <row r="1294">
          <cell r="G1294">
            <v>3.0092592592592116E-3</v>
          </cell>
        </row>
        <row r="1295">
          <cell r="G1295">
            <v>3.5185185185186985E-3</v>
          </cell>
        </row>
        <row r="1296">
          <cell r="G1296">
            <v>2.8587962962962621E-3</v>
          </cell>
        </row>
        <row r="1297">
          <cell r="G1297">
            <v>2.4652777777777191E-3</v>
          </cell>
        </row>
        <row r="1298">
          <cell r="G1298">
            <v>3.7499999999999201E-3</v>
          </cell>
        </row>
        <row r="1299">
          <cell r="G1299">
            <v>3.2060185185185386E-3</v>
          </cell>
        </row>
        <row r="1300">
          <cell r="G1300">
            <v>2.280092592592653E-3</v>
          </cell>
        </row>
        <row r="1301">
          <cell r="G1301">
            <v>2.0381944444444411E-2</v>
          </cell>
        </row>
        <row r="1302">
          <cell r="G1302">
            <v>2.3726851851851305E-3</v>
          </cell>
        </row>
        <row r="1303">
          <cell r="G1303">
            <v>1.2766203703703627E-2</v>
          </cell>
        </row>
        <row r="1304">
          <cell r="G1304">
            <v>2.6157407407406685E-3</v>
          </cell>
        </row>
        <row r="1305">
          <cell r="G1305">
            <v>2.2569444444444642E-3</v>
          </cell>
        </row>
        <row r="1306">
          <cell r="G1306">
            <v>3.3333333333333548E-3</v>
          </cell>
        </row>
        <row r="1307">
          <cell r="G1307">
            <v>2.3611111111110916E-3</v>
          </cell>
        </row>
        <row r="1308">
          <cell r="G1308">
            <v>6.9791666666666474E-3</v>
          </cell>
        </row>
        <row r="1309">
          <cell r="G1309">
            <v>2.7314814814814459E-3</v>
          </cell>
        </row>
        <row r="1310">
          <cell r="G1310">
            <v>2.3495370370370361E-2</v>
          </cell>
        </row>
        <row r="1311">
          <cell r="G1311">
            <v>5.2083333333333148E-3</v>
          </cell>
        </row>
        <row r="1312">
          <cell r="G1312">
            <v>1.9618055555555569E-2</v>
          </cell>
        </row>
        <row r="1313">
          <cell r="G1313">
            <v>1.729166666666665E-2</v>
          </cell>
        </row>
        <row r="1314">
          <cell r="G1314">
            <v>1.4131944444444433E-2</v>
          </cell>
        </row>
        <row r="1315">
          <cell r="G1315">
            <v>2.2800925925925419E-3</v>
          </cell>
        </row>
        <row r="1316">
          <cell r="G1316">
            <v>0.21972222222222226</v>
          </cell>
        </row>
        <row r="1317">
          <cell r="G1317">
            <v>3.657407407407387E-3</v>
          </cell>
        </row>
        <row r="1318">
          <cell r="G1318">
            <v>2.9282407407407174E-3</v>
          </cell>
        </row>
        <row r="1319">
          <cell r="G1319">
            <v>4.6064814814814614E-3</v>
          </cell>
        </row>
        <row r="1320">
          <cell r="G1320">
            <v>4.6874999999999556E-3</v>
          </cell>
        </row>
        <row r="1321">
          <cell r="G1321">
            <v>3.4722222222222099E-3</v>
          </cell>
        </row>
        <row r="1322">
          <cell r="G1322">
            <v>2.2337962962962754E-3</v>
          </cell>
        </row>
        <row r="1323">
          <cell r="G1323">
            <v>2.2337962962962754E-3</v>
          </cell>
        </row>
        <row r="1324">
          <cell r="G1324">
            <v>2.2106481481480866E-3</v>
          </cell>
        </row>
        <row r="1325">
          <cell r="G1325">
            <v>2.2337962962963864E-3</v>
          </cell>
        </row>
        <row r="1326">
          <cell r="G1326">
            <v>2.2569444444444642E-3</v>
          </cell>
        </row>
        <row r="1327">
          <cell r="G1327">
            <v>2.3263888888889195E-3</v>
          </cell>
        </row>
        <row r="1328">
          <cell r="G1328">
            <v>4.9652777777777768E-3</v>
          </cell>
        </row>
        <row r="1329">
          <cell r="G1329">
            <v>2.1064814814815147E-3</v>
          </cell>
        </row>
        <row r="1330">
          <cell r="G1330">
            <v>2.9166666666666785E-3</v>
          </cell>
        </row>
        <row r="1331">
          <cell r="G1331">
            <v>2.2916666666668029E-3</v>
          </cell>
        </row>
        <row r="1332">
          <cell r="G1332">
            <v>2.2453703703703143E-3</v>
          </cell>
        </row>
        <row r="1333">
          <cell r="G1333">
            <v>2.3263888888888085E-3</v>
          </cell>
        </row>
        <row r="1334">
          <cell r="G1334">
            <v>4.3287037037037512E-3</v>
          </cell>
        </row>
        <row r="1335">
          <cell r="G1335">
            <v>2.476851851851869E-3</v>
          </cell>
        </row>
        <row r="1336">
          <cell r="G1336">
            <v>4.9189814814815103E-3</v>
          </cell>
        </row>
        <row r="1337">
          <cell r="G1337">
            <v>4.1782407407406907E-3</v>
          </cell>
        </row>
        <row r="1338">
          <cell r="G1338">
            <v>3.958333333333286E-3</v>
          </cell>
        </row>
        <row r="1339">
          <cell r="G1339">
            <v>3.7384259259259922E-3</v>
          </cell>
        </row>
        <row r="1340">
          <cell r="G1340">
            <v>2.1875000000000089E-3</v>
          </cell>
        </row>
        <row r="1341">
          <cell r="G1341">
            <v>2.2106481481481421E-3</v>
          </cell>
        </row>
        <row r="1342">
          <cell r="G1342">
            <v>1.9143518518518532E-2</v>
          </cell>
        </row>
        <row r="1343">
          <cell r="G1343">
            <v>3.0902777777777612E-3</v>
          </cell>
        </row>
        <row r="1344">
          <cell r="G1344">
            <v>4.0624999999999689E-3</v>
          </cell>
        </row>
        <row r="1345">
          <cell r="G1345">
            <v>3.6226851851852149E-3</v>
          </cell>
        </row>
        <row r="1346">
          <cell r="G1346">
            <v>4.745370370370372E-3</v>
          </cell>
        </row>
        <row r="1347">
          <cell r="G1347">
            <v>5.0000000000000044E-3</v>
          </cell>
        </row>
        <row r="1348">
          <cell r="G1348">
            <v>8.3680555555555314E-3</v>
          </cell>
        </row>
        <row r="1349">
          <cell r="G1349">
            <v>1.2025462962962974E-2</v>
          </cell>
        </row>
        <row r="1350">
          <cell r="G1350">
            <v>4.2361111111111072E-3</v>
          </cell>
        </row>
        <row r="1351">
          <cell r="G1351">
            <v>3.9351851851851527E-3</v>
          </cell>
        </row>
        <row r="1352">
          <cell r="G1352">
            <v>3.0902777777777612E-3</v>
          </cell>
        </row>
        <row r="1353">
          <cell r="G1353">
            <v>4.7453703703704275E-3</v>
          </cell>
        </row>
        <row r="1354">
          <cell r="G1354">
            <v>2.2453703703703143E-3</v>
          </cell>
        </row>
        <row r="1355">
          <cell r="G1355">
            <v>2.2569444444444642E-3</v>
          </cell>
        </row>
        <row r="1356">
          <cell r="G1356">
            <v>3.3912037037037157E-3</v>
          </cell>
        </row>
        <row r="1357">
          <cell r="G1357">
            <v>2.2222222222222365E-3</v>
          </cell>
        </row>
        <row r="1358">
          <cell r="G1358">
            <v>3.9930555555556246E-3</v>
          </cell>
        </row>
        <row r="1359">
          <cell r="G1359">
            <v>2.8356481481481843E-3</v>
          </cell>
        </row>
        <row r="1360">
          <cell r="G1360">
            <v>2.2337962962962754E-3</v>
          </cell>
        </row>
        <row r="1361">
          <cell r="G1361">
            <v>2.2453703703704253E-3</v>
          </cell>
        </row>
        <row r="1362">
          <cell r="G1362">
            <v>2.2453703703703143E-3</v>
          </cell>
        </row>
        <row r="1363">
          <cell r="G1363">
            <v>1.2083333333333335E-2</v>
          </cell>
        </row>
        <row r="1364">
          <cell r="G1364">
            <v>2.1990740740741588E-3</v>
          </cell>
        </row>
        <row r="1365">
          <cell r="G1365">
            <v>2.1875000000000089E-3</v>
          </cell>
        </row>
        <row r="1366">
          <cell r="G1366">
            <v>2.2569444444444642E-3</v>
          </cell>
        </row>
        <row r="1367">
          <cell r="G1367">
            <v>2.2222222222223476E-3</v>
          </cell>
        </row>
        <row r="1368">
          <cell r="G1368">
            <v>2.0717592592592871E-3</v>
          </cell>
        </row>
        <row r="1369">
          <cell r="G1369">
            <v>2.1331018518518485E-2</v>
          </cell>
        </row>
        <row r="1370">
          <cell r="G1370">
            <v>3.8912037037037051E-2</v>
          </cell>
        </row>
        <row r="1371">
          <cell r="G1371">
            <v>2.4884259259260189E-3</v>
          </cell>
        </row>
        <row r="1372">
          <cell r="G1372">
            <v>3.368055555555638E-3</v>
          </cell>
        </row>
        <row r="1373">
          <cell r="G1373">
            <v>2.3379629629629584E-3</v>
          </cell>
        </row>
        <row r="1374">
          <cell r="G1374">
            <v>2.8472222222222232E-3</v>
          </cell>
        </row>
        <row r="1375">
          <cell r="G1375">
            <v>3.5763888888888928E-3</v>
          </cell>
        </row>
        <row r="1376">
          <cell r="G1376">
            <v>2.6620370370370461E-3</v>
          </cell>
        </row>
        <row r="1377">
          <cell r="G1377">
            <v>2.8819444444443953E-3</v>
          </cell>
        </row>
        <row r="1378">
          <cell r="G1378">
            <v>2.326388888888864E-3</v>
          </cell>
        </row>
        <row r="1379">
          <cell r="G1379">
            <v>2.4074074074074137E-3</v>
          </cell>
        </row>
        <row r="1380">
          <cell r="G1380">
            <v>2.8356481481480733E-3</v>
          </cell>
        </row>
        <row r="1381">
          <cell r="G1381">
            <v>3.2754629629629939E-3</v>
          </cell>
        </row>
        <row r="1382">
          <cell r="G1382">
            <v>2.6388888888889683E-3</v>
          </cell>
        </row>
        <row r="1383">
          <cell r="G1383">
            <v>2.2685185185185031E-3</v>
          </cell>
        </row>
        <row r="1384">
          <cell r="G1384">
            <v>2.17592592592597E-3</v>
          </cell>
        </row>
        <row r="1385">
          <cell r="G1385">
            <v>4.1666666666666519E-3</v>
          </cell>
        </row>
        <row r="1386">
          <cell r="G1386">
            <v>9.1319444444444287E-3</v>
          </cell>
        </row>
        <row r="1387">
          <cell r="G1387">
            <v>8.2523148148148096E-3</v>
          </cell>
        </row>
        <row r="1388">
          <cell r="G1388">
            <v>2.2106481481481977E-3</v>
          </cell>
        </row>
        <row r="1389">
          <cell r="G1389">
            <v>4.788194444444438E-2</v>
          </cell>
        </row>
        <row r="1390">
          <cell r="G1390">
            <v>2.7546296296295791E-3</v>
          </cell>
        </row>
        <row r="1391">
          <cell r="G1391">
            <v>2.2337962962962754E-3</v>
          </cell>
        </row>
        <row r="1392">
          <cell r="G1392">
            <v>2.2337962962962754E-3</v>
          </cell>
        </row>
        <row r="1393">
          <cell r="G1393">
            <v>5.8796296296297346E-3</v>
          </cell>
        </row>
        <row r="1394">
          <cell r="G1394">
            <v>3.6111111111111205E-3</v>
          </cell>
        </row>
        <row r="1395">
          <cell r="G1395">
            <v>2.4537037037036802E-3</v>
          </cell>
        </row>
        <row r="1396">
          <cell r="G1396">
            <v>5.5902777777777635E-3</v>
          </cell>
        </row>
        <row r="1397">
          <cell r="G1397">
            <v>2.766203703703729E-3</v>
          </cell>
        </row>
        <row r="1398">
          <cell r="G1398">
            <v>5.1041666666666874E-3</v>
          </cell>
        </row>
        <row r="1399">
          <cell r="G1399">
            <v>3.0787037037036669E-3</v>
          </cell>
        </row>
        <row r="1400">
          <cell r="G1400">
            <v>2.1527777777777812E-3</v>
          </cell>
        </row>
        <row r="1401">
          <cell r="G1401">
            <v>5.5902777777776524E-3</v>
          </cell>
        </row>
        <row r="1402">
          <cell r="G1402">
            <v>2.2453703703704253E-3</v>
          </cell>
        </row>
        <row r="1403">
          <cell r="G1403">
            <v>1.5104166666666585E-2</v>
          </cell>
        </row>
        <row r="1404">
          <cell r="G1404">
            <v>3.4722222222222099E-3</v>
          </cell>
        </row>
        <row r="1405">
          <cell r="G1405">
            <v>1.128472222222221E-2</v>
          </cell>
        </row>
        <row r="1406">
          <cell r="G1406">
            <v>1.1261574074074132E-2</v>
          </cell>
        </row>
        <row r="1407">
          <cell r="G1407">
            <v>3.8888888888888307E-3</v>
          </cell>
        </row>
        <row r="1408">
          <cell r="G1408">
            <v>2.5532407407407476E-2</v>
          </cell>
        </row>
        <row r="1409">
          <cell r="G1409">
            <v>2.4803240740740806E-2</v>
          </cell>
        </row>
        <row r="1410">
          <cell r="G1410">
            <v>2.2222222222222365E-3</v>
          </cell>
        </row>
        <row r="1411">
          <cell r="G1411">
            <v>1.6527777777777697E-2</v>
          </cell>
        </row>
        <row r="1412">
          <cell r="G1412">
            <v>3.368055555555638E-3</v>
          </cell>
        </row>
        <row r="1413">
          <cell r="G1413">
            <v>2.2337962962963864E-3</v>
          </cell>
        </row>
        <row r="1414">
          <cell r="G1414">
            <v>2.175925925925859E-3</v>
          </cell>
        </row>
        <row r="1415">
          <cell r="G1415">
            <v>2.3842592592593359E-3</v>
          </cell>
        </row>
        <row r="1416">
          <cell r="G1416">
            <v>2.2106481481480866E-3</v>
          </cell>
        </row>
        <row r="1417">
          <cell r="G1417">
            <v>2.268518518518392E-3</v>
          </cell>
        </row>
        <row r="1418">
          <cell r="G1418">
            <v>5.6597222222222188E-3</v>
          </cell>
        </row>
        <row r="1419">
          <cell r="G1419">
            <v>2.17592592592597E-3</v>
          </cell>
        </row>
        <row r="1420">
          <cell r="G1420">
            <v>2.8935185185186008E-3</v>
          </cell>
        </row>
        <row r="1421">
          <cell r="G1421">
            <v>2.2337962962961644E-3</v>
          </cell>
        </row>
        <row r="1422">
          <cell r="G1422">
            <v>1.2037037037037179E-2</v>
          </cell>
        </row>
        <row r="1423">
          <cell r="G1423">
            <v>1.113425925925926E-2</v>
          </cell>
        </row>
        <row r="1424">
          <cell r="G1424">
            <v>5.833333333333357E-3</v>
          </cell>
        </row>
        <row r="1425">
          <cell r="G1425">
            <v>5.2314814814813371E-3</v>
          </cell>
        </row>
        <row r="1426">
          <cell r="G1426">
            <v>2.3148148148148251E-3</v>
          </cell>
        </row>
        <row r="1427">
          <cell r="G1427">
            <v>3.2060185185185386E-3</v>
          </cell>
        </row>
        <row r="1428">
          <cell r="G1428">
            <v>2.1643518518518201E-3</v>
          </cell>
        </row>
        <row r="1429">
          <cell r="G1429">
            <v>2.2106481481481421E-3</v>
          </cell>
        </row>
        <row r="1430">
          <cell r="G1430">
            <v>2.0370370370370594E-3</v>
          </cell>
        </row>
        <row r="1431">
          <cell r="G1431">
            <v>1.87268518518518E-2</v>
          </cell>
        </row>
        <row r="1432">
          <cell r="G1432">
            <v>3.159722222222161E-3</v>
          </cell>
        </row>
        <row r="1433">
          <cell r="G1433">
            <v>6.7986111111111136E-2</v>
          </cell>
        </row>
        <row r="1434">
          <cell r="G1434">
            <v>2.17592592592597E-3</v>
          </cell>
        </row>
        <row r="1435">
          <cell r="G1435">
            <v>1.1192129629629566E-2</v>
          </cell>
        </row>
        <row r="1436">
          <cell r="G1436">
            <v>6.9097222222221921E-3</v>
          </cell>
        </row>
        <row r="1437">
          <cell r="G1437">
            <v>7.3263888888888129E-3</v>
          </cell>
        </row>
        <row r="1438">
          <cell r="G1438">
            <v>1.9259259259259309E-2</v>
          </cell>
        </row>
        <row r="1439">
          <cell r="G1439">
            <v>1.6689814814814796E-2</v>
          </cell>
        </row>
        <row r="1440">
          <cell r="G1440">
            <v>1.2175925925925979E-2</v>
          </cell>
        </row>
        <row r="1441">
          <cell r="G1441">
            <v>5.3240740740740922E-3</v>
          </cell>
        </row>
        <row r="1442">
          <cell r="G1442">
            <v>2.1643518518519311E-3</v>
          </cell>
        </row>
        <row r="1443">
          <cell r="G1443">
            <v>2.1990740740740478E-3</v>
          </cell>
        </row>
        <row r="1444">
          <cell r="G1444">
            <v>2.1527777777777812E-3</v>
          </cell>
        </row>
        <row r="1445">
          <cell r="G1445">
            <v>2.1527777777777812E-3</v>
          </cell>
        </row>
        <row r="1446">
          <cell r="G1446">
            <v>2.1064814814815147E-3</v>
          </cell>
        </row>
        <row r="1447">
          <cell r="G1447">
            <v>2.372685185185075E-3</v>
          </cell>
        </row>
        <row r="1448">
          <cell r="G1448">
            <v>2.1875000000000089E-3</v>
          </cell>
        </row>
        <row r="1449">
          <cell r="G1449">
            <v>2.0601851851851816E-2</v>
          </cell>
        </row>
        <row r="1450">
          <cell r="G1450">
            <v>6.2847222222223165E-3</v>
          </cell>
        </row>
        <row r="1451">
          <cell r="G1451">
            <v>4.5717592592592338E-3</v>
          </cell>
        </row>
        <row r="1452">
          <cell r="G1452">
            <v>7.5925925925925952E-3</v>
          </cell>
        </row>
        <row r="1453">
          <cell r="G1453">
            <v>2.4537037037037912E-3</v>
          </cell>
        </row>
        <row r="1454">
          <cell r="G1454">
            <v>3.7962962962962976E-3</v>
          </cell>
        </row>
        <row r="1455">
          <cell r="G1455">
            <v>2.175925925925859E-3</v>
          </cell>
        </row>
        <row r="1456">
          <cell r="G1456">
            <v>2.4189814814815636E-3</v>
          </cell>
        </row>
        <row r="1457">
          <cell r="G1457">
            <v>2.4305555555554914E-3</v>
          </cell>
        </row>
        <row r="1458">
          <cell r="G1458">
            <v>2.476851851851869E-3</v>
          </cell>
        </row>
        <row r="1459">
          <cell r="G1459">
            <v>3.4837962962962488E-3</v>
          </cell>
        </row>
        <row r="1460">
          <cell r="G1460">
            <v>3.6458333333333481E-3</v>
          </cell>
        </row>
        <row r="1461">
          <cell r="G1461">
            <v>3.9004629629629806E-3</v>
          </cell>
        </row>
        <row r="1462">
          <cell r="G1462">
            <v>6.5856481481481599E-3</v>
          </cell>
        </row>
        <row r="1463">
          <cell r="G1463">
            <v>4.2129629629629739E-3</v>
          </cell>
        </row>
        <row r="1464">
          <cell r="G1464">
            <v>6.7013888888888262E-3</v>
          </cell>
        </row>
        <row r="1465">
          <cell r="G1465">
            <v>3.4953703703703987E-3</v>
          </cell>
        </row>
        <row r="1466">
          <cell r="G1466">
            <v>7.0601851851851971E-3</v>
          </cell>
        </row>
        <row r="1467">
          <cell r="G1467">
            <v>3.7037037037037646E-3</v>
          </cell>
        </row>
        <row r="1468">
          <cell r="G1468">
            <v>2.1412037037037424E-3</v>
          </cell>
        </row>
        <row r="1469">
          <cell r="G1469">
            <v>1.0173611111111147E-2</v>
          </cell>
        </row>
        <row r="1470">
          <cell r="G1470">
            <v>4.6643518518518778E-3</v>
          </cell>
        </row>
        <row r="1471">
          <cell r="G1471">
            <v>6.5162037037037046E-3</v>
          </cell>
        </row>
        <row r="1472">
          <cell r="G1472">
            <v>9.5254629629629162E-3</v>
          </cell>
        </row>
        <row r="1473">
          <cell r="G1473">
            <v>9.2361111111111671E-3</v>
          </cell>
        </row>
        <row r="1474">
          <cell r="G1474">
            <v>8.2407407407407707E-3</v>
          </cell>
        </row>
        <row r="1475">
          <cell r="G1475">
            <v>7.0023148148148362E-3</v>
          </cell>
        </row>
        <row r="1476">
          <cell r="G1476">
            <v>7.1527777777777857E-3</v>
          </cell>
        </row>
        <row r="1477">
          <cell r="G1477">
            <v>5.6134259259259522E-3</v>
          </cell>
        </row>
        <row r="1478">
          <cell r="G1478">
            <v>1.2974537037036993E-2</v>
          </cell>
        </row>
        <row r="1479">
          <cell r="G1479">
            <v>1.6365740740740709E-2</v>
          </cell>
        </row>
        <row r="1480">
          <cell r="G1480">
            <v>1.186342592592593E-2</v>
          </cell>
        </row>
        <row r="1481">
          <cell r="G1481">
            <v>6.2152777777777501E-3</v>
          </cell>
        </row>
        <row r="1482">
          <cell r="G1482">
            <v>8.0208333333333659E-3</v>
          </cell>
        </row>
        <row r="1483">
          <cell r="G1483">
            <v>7.0370370370369528E-3</v>
          </cell>
        </row>
        <row r="1484">
          <cell r="G1484">
            <v>4.5949074074074225E-3</v>
          </cell>
        </row>
        <row r="1485">
          <cell r="G1485">
            <v>6.8055555555556202E-3</v>
          </cell>
        </row>
        <row r="1486">
          <cell r="G1486">
            <v>5.3935185185185475E-3</v>
          </cell>
        </row>
        <row r="1487">
          <cell r="G1487">
            <v>9.0162037037037068E-3</v>
          </cell>
        </row>
        <row r="1488">
          <cell r="G1488">
            <v>8.1018518518518601E-3</v>
          </cell>
        </row>
        <row r="1489">
          <cell r="G1489">
            <v>9.7337962962963376E-3</v>
          </cell>
        </row>
        <row r="1490">
          <cell r="G1490">
            <v>8.6805555555555802E-3</v>
          </cell>
        </row>
        <row r="1491">
          <cell r="G1491">
            <v>5.6481481481481799E-3</v>
          </cell>
        </row>
        <row r="1492">
          <cell r="G1492">
            <v>4.3055555555555625E-3</v>
          </cell>
        </row>
        <row r="1493">
          <cell r="G1493">
            <v>2.6620370370369351E-3</v>
          </cell>
        </row>
        <row r="1494">
          <cell r="G1494">
            <v>1.3125000000000053E-2</v>
          </cell>
        </row>
        <row r="1495">
          <cell r="G1495">
            <v>3.6226851851851594E-3</v>
          </cell>
        </row>
        <row r="1496">
          <cell r="G1496">
            <v>4.9074074074073604E-3</v>
          </cell>
        </row>
        <row r="1497">
          <cell r="G1497">
            <v>2.569444444444402E-3</v>
          </cell>
        </row>
        <row r="1498">
          <cell r="G1498">
            <v>2.7546296296296902E-3</v>
          </cell>
        </row>
        <row r="1499">
          <cell r="G1499">
            <v>4.0162037037037024E-3</v>
          </cell>
        </row>
        <row r="1500">
          <cell r="G1500">
            <v>3.3796296296295658E-3</v>
          </cell>
        </row>
        <row r="1501">
          <cell r="G1501">
            <v>1.3275462962963003E-2</v>
          </cell>
        </row>
        <row r="1502">
          <cell r="G1502">
            <v>2.1875000000000089E-3</v>
          </cell>
        </row>
        <row r="1503">
          <cell r="G1503">
            <v>2.280092592592764E-3</v>
          </cell>
        </row>
        <row r="1504">
          <cell r="G1504">
            <v>5.1620370370369928E-3</v>
          </cell>
        </row>
        <row r="1505">
          <cell r="G1505">
            <v>3.2754629629628829E-3</v>
          </cell>
        </row>
      </sheetData>
      <sheetData sheetId="8">
        <row r="3">
          <cell r="G3">
            <v>1.5995370370370465E-2</v>
          </cell>
        </row>
        <row r="4">
          <cell r="G4">
            <v>8.8773148148148517E-3</v>
          </cell>
        </row>
        <row r="5">
          <cell r="G5">
            <v>3.1701388888888904E-2</v>
          </cell>
        </row>
        <row r="6">
          <cell r="G6">
            <v>1.5682870370370361E-2</v>
          </cell>
        </row>
        <row r="7">
          <cell r="G7">
            <v>3.2175925925925775E-3</v>
          </cell>
        </row>
        <row r="8">
          <cell r="G8">
            <v>1.2766203703703682E-2</v>
          </cell>
        </row>
        <row r="9">
          <cell r="G9">
            <v>2.6851851851851849E-2</v>
          </cell>
        </row>
        <row r="10">
          <cell r="G10">
            <v>1.0763888888888906E-2</v>
          </cell>
        </row>
        <row r="11">
          <cell r="G11">
            <v>2.6365740740740717E-2</v>
          </cell>
        </row>
        <row r="12">
          <cell r="G12">
            <v>8.6458333333333526E-3</v>
          </cell>
        </row>
        <row r="13">
          <cell r="G13">
            <v>7.5000000000000067E-3</v>
          </cell>
        </row>
        <row r="14">
          <cell r="G14">
            <v>1.5243055555555551E-2</v>
          </cell>
        </row>
        <row r="15">
          <cell r="G15">
            <v>1.6956018518518468E-2</v>
          </cell>
        </row>
        <row r="16">
          <cell r="G16">
            <v>1.0393518518518552E-2</v>
          </cell>
        </row>
        <row r="17">
          <cell r="G17">
            <v>2.3888888888888959E-2</v>
          </cell>
        </row>
        <row r="18">
          <cell r="G18">
            <v>7.4189814814815125E-3</v>
          </cell>
        </row>
        <row r="19">
          <cell r="G19">
            <v>6.8287037037036979E-3</v>
          </cell>
        </row>
        <row r="20">
          <cell r="G20">
            <v>5.5555555555555358E-3</v>
          </cell>
        </row>
        <row r="21">
          <cell r="G21">
            <v>3.4027777777776991E-3</v>
          </cell>
        </row>
        <row r="22">
          <cell r="G22">
            <v>2.1412037037036868E-3</v>
          </cell>
        </row>
        <row r="23">
          <cell r="G23">
            <v>2.7199074074074625E-3</v>
          </cell>
        </row>
        <row r="24">
          <cell r="G24">
            <v>2.6273148148148184E-3</v>
          </cell>
        </row>
        <row r="25">
          <cell r="G25">
            <v>2.8240740740740899E-3</v>
          </cell>
        </row>
        <row r="26">
          <cell r="G26">
            <v>2.1296296296295925E-3</v>
          </cell>
        </row>
        <row r="27">
          <cell r="G27">
            <v>3.9467592592592471E-3</v>
          </cell>
        </row>
        <row r="28">
          <cell r="G28">
            <v>2.4398148148148113E-2</v>
          </cell>
        </row>
        <row r="29">
          <cell r="G29">
            <v>9.1550925925926174E-3</v>
          </cell>
        </row>
        <row r="30">
          <cell r="G30">
            <v>1.2025462962962918E-2</v>
          </cell>
        </row>
        <row r="31">
          <cell r="G31">
            <v>1.0497685185185235E-2</v>
          </cell>
        </row>
        <row r="32">
          <cell r="G32">
            <v>7.3611111111111516E-3</v>
          </cell>
        </row>
        <row r="33">
          <cell r="G33">
            <v>4.7222222222222388E-3</v>
          </cell>
        </row>
        <row r="34">
          <cell r="G34">
            <v>2.870370370370412E-3</v>
          </cell>
        </row>
        <row r="35">
          <cell r="G35">
            <v>4.9537037037036824E-3</v>
          </cell>
        </row>
        <row r="36">
          <cell r="G36">
            <v>8.599537037036975E-3</v>
          </cell>
        </row>
        <row r="37">
          <cell r="G37">
            <v>2.1527777777777812E-3</v>
          </cell>
        </row>
        <row r="38">
          <cell r="G38">
            <v>2.1412037037036313E-3</v>
          </cell>
        </row>
        <row r="39">
          <cell r="G39">
            <v>2.1296296296297035E-3</v>
          </cell>
        </row>
        <row r="40">
          <cell r="G40">
            <v>8.1712962962963154E-3</v>
          </cell>
        </row>
        <row r="41">
          <cell r="G41">
            <v>4.6759259259259167E-3</v>
          </cell>
        </row>
        <row r="42">
          <cell r="G42">
            <v>3.9467592592592471E-3</v>
          </cell>
        </row>
        <row r="43">
          <cell r="G43">
            <v>2.1064814814814037E-3</v>
          </cell>
        </row>
        <row r="44">
          <cell r="G44">
            <v>2.2916666666666918E-3</v>
          </cell>
        </row>
        <row r="45">
          <cell r="G45">
            <v>5.6006944444444429E-2</v>
          </cell>
        </row>
        <row r="46">
          <cell r="G46">
            <v>2.8356481481481843E-3</v>
          </cell>
        </row>
        <row r="47">
          <cell r="G47">
            <v>4.1874999999999996E-2</v>
          </cell>
        </row>
        <row r="48">
          <cell r="G48">
            <v>1.9675925925926041E-3</v>
          </cell>
        </row>
        <row r="49">
          <cell r="G49">
            <v>3.067129629629628E-3</v>
          </cell>
        </row>
        <row r="50">
          <cell r="G50">
            <v>2.7199074074075735E-3</v>
          </cell>
        </row>
        <row r="51">
          <cell r="G51">
            <v>6.8865740740741144E-3</v>
          </cell>
        </row>
        <row r="52">
          <cell r="G52">
            <v>3.4259259259259434E-3</v>
          </cell>
        </row>
        <row r="53">
          <cell r="G53">
            <v>5.787037037037035E-3</v>
          </cell>
        </row>
        <row r="54">
          <cell r="G54">
            <v>5.787037037037035E-3</v>
          </cell>
        </row>
        <row r="55">
          <cell r="G55">
            <v>9.5486111111111049E-3</v>
          </cell>
        </row>
        <row r="56">
          <cell r="G56">
            <v>2.8587962962962621E-3</v>
          </cell>
        </row>
        <row r="57">
          <cell r="G57">
            <v>2.9513888888888506E-3</v>
          </cell>
        </row>
        <row r="58">
          <cell r="G58">
            <v>2.2569444444444087E-3</v>
          </cell>
        </row>
        <row r="59">
          <cell r="G59">
            <v>6.3078703703703387E-3</v>
          </cell>
        </row>
        <row r="60">
          <cell r="G60">
            <v>5.0925925925925375E-3</v>
          </cell>
        </row>
        <row r="61">
          <cell r="G61">
            <v>8.7500000000000355E-3</v>
          </cell>
        </row>
        <row r="62">
          <cell r="G62">
            <v>6.5162037037036491E-3</v>
          </cell>
        </row>
        <row r="63">
          <cell r="G63">
            <v>1.9097222222222432E-3</v>
          </cell>
        </row>
        <row r="64">
          <cell r="G64">
            <v>2.9189814814814752E-2</v>
          </cell>
        </row>
        <row r="65">
          <cell r="G65">
            <v>2.1527777777777812E-3</v>
          </cell>
        </row>
        <row r="66">
          <cell r="G66">
            <v>2.1412037037036868E-3</v>
          </cell>
        </row>
        <row r="67">
          <cell r="G67">
            <v>2.8819444444444509E-2</v>
          </cell>
        </row>
        <row r="68">
          <cell r="G68">
            <v>4.2013888888888795E-3</v>
          </cell>
        </row>
        <row r="69">
          <cell r="G69">
            <v>7.4652777777778345E-3</v>
          </cell>
        </row>
        <row r="70">
          <cell r="G70">
            <v>2.3032407407407307E-3</v>
          </cell>
        </row>
        <row r="71">
          <cell r="G71">
            <v>2.1875000000000089E-3</v>
          </cell>
        </row>
        <row r="72">
          <cell r="G72">
            <v>3.2974537037037011E-2</v>
          </cell>
        </row>
        <row r="73">
          <cell r="G73">
            <v>3.4143518518517935E-3</v>
          </cell>
        </row>
        <row r="74">
          <cell r="G74">
            <v>2.2337962962963864E-3</v>
          </cell>
        </row>
        <row r="75">
          <cell r="G75">
            <v>2.1886574074074017E-2</v>
          </cell>
        </row>
        <row r="76">
          <cell r="G76">
            <v>2.1180555555555536E-3</v>
          </cell>
        </row>
        <row r="77">
          <cell r="G77">
            <v>2.1296296296297035E-3</v>
          </cell>
        </row>
        <row r="78">
          <cell r="G78">
            <v>1.7256944444444422E-2</v>
          </cell>
        </row>
        <row r="79">
          <cell r="G79">
            <v>6.4467592592591938E-3</v>
          </cell>
        </row>
        <row r="80">
          <cell r="G80">
            <v>4.0046296296296635E-3</v>
          </cell>
        </row>
        <row r="81">
          <cell r="G81">
            <v>4.6875000000000666E-3</v>
          </cell>
        </row>
        <row r="82">
          <cell r="G82">
            <v>4.4328703703704342E-3</v>
          </cell>
        </row>
        <row r="83">
          <cell r="G83">
            <v>3.1944444444444997E-3</v>
          </cell>
        </row>
        <row r="84">
          <cell r="G84">
            <v>2.0717592592592315E-3</v>
          </cell>
        </row>
        <row r="85">
          <cell r="G85">
            <v>9.8611111111110983E-3</v>
          </cell>
        </row>
        <row r="86">
          <cell r="G86">
            <v>8.3217592592592649E-3</v>
          </cell>
        </row>
        <row r="87">
          <cell r="G87">
            <v>8.6805555555555247E-3</v>
          </cell>
        </row>
        <row r="88">
          <cell r="G88">
            <v>5.3124999999999978E-3</v>
          </cell>
        </row>
        <row r="89">
          <cell r="G89">
            <v>3.1250000000000444E-3</v>
          </cell>
        </row>
        <row r="90">
          <cell r="G90">
            <v>5.335648148148131E-3</v>
          </cell>
        </row>
        <row r="91">
          <cell r="G91">
            <v>4.4791666666666452E-3</v>
          </cell>
        </row>
        <row r="92">
          <cell r="G92">
            <v>5.2777777777778256E-3</v>
          </cell>
        </row>
        <row r="93">
          <cell r="G93">
            <v>8.9120370370370239E-3</v>
          </cell>
        </row>
        <row r="94">
          <cell r="G94">
            <v>2.9166666666666785E-3</v>
          </cell>
        </row>
        <row r="95">
          <cell r="G95">
            <v>3.0324074074074003E-3</v>
          </cell>
        </row>
        <row r="96">
          <cell r="G96">
            <v>5.7754629629629961E-3</v>
          </cell>
        </row>
        <row r="97">
          <cell r="G97">
            <v>2.1180555555555536E-3</v>
          </cell>
        </row>
        <row r="98">
          <cell r="G98">
            <v>2.4074074074074137E-3</v>
          </cell>
        </row>
        <row r="99">
          <cell r="G99">
            <v>7.0949074074073692E-3</v>
          </cell>
        </row>
        <row r="100">
          <cell r="G100">
            <v>8.7152777777778079E-3</v>
          </cell>
        </row>
        <row r="101">
          <cell r="G101">
            <v>3.3333333333334103E-3</v>
          </cell>
        </row>
        <row r="102">
          <cell r="G102">
            <v>8.5300925925926308E-3</v>
          </cell>
        </row>
        <row r="103">
          <cell r="G103">
            <v>6.6550925925926707E-3</v>
          </cell>
        </row>
        <row r="104">
          <cell r="G104">
            <v>7.3842592592593403E-3</v>
          </cell>
        </row>
        <row r="105">
          <cell r="G105">
            <v>6.2037037037037113E-3</v>
          </cell>
        </row>
        <row r="106">
          <cell r="G106">
            <v>3.3796296296296768E-3</v>
          </cell>
        </row>
        <row r="107">
          <cell r="G107">
            <v>1.3495370370370408E-2</v>
          </cell>
        </row>
        <row r="108">
          <cell r="G108">
            <v>1.1643518518518525E-2</v>
          </cell>
        </row>
        <row r="109">
          <cell r="G109">
            <v>1.2187500000000018E-2</v>
          </cell>
        </row>
        <row r="110">
          <cell r="G110">
            <v>8.3217592592592649E-3</v>
          </cell>
        </row>
        <row r="111">
          <cell r="G111">
            <v>6.134259259259256E-3</v>
          </cell>
        </row>
        <row r="112">
          <cell r="G112">
            <v>6.134259259259256E-3</v>
          </cell>
        </row>
        <row r="113">
          <cell r="G113">
            <v>4.6990740740741055E-3</v>
          </cell>
        </row>
        <row r="114">
          <cell r="G114">
            <v>5.4050925925925863E-3</v>
          </cell>
        </row>
        <row r="115">
          <cell r="G115">
            <v>1.3275462962963003E-2</v>
          </cell>
        </row>
        <row r="116">
          <cell r="G116">
            <v>3.7731481481481088E-3</v>
          </cell>
        </row>
        <row r="117">
          <cell r="G117">
            <v>3.8078703703704475E-3</v>
          </cell>
        </row>
        <row r="118">
          <cell r="G118">
            <v>8.6226851851851638E-3</v>
          </cell>
        </row>
        <row r="119">
          <cell r="G119">
            <v>7.9976851851851771E-3</v>
          </cell>
        </row>
        <row r="120">
          <cell r="G120">
            <v>5.2314814814814481E-3</v>
          </cell>
        </row>
        <row r="121">
          <cell r="G121">
            <v>5.4861111111111915E-3</v>
          </cell>
        </row>
        <row r="122">
          <cell r="G122">
            <v>1.0543981481481612E-2</v>
          </cell>
        </row>
        <row r="123">
          <cell r="G123">
            <v>2.7430555555556513E-3</v>
          </cell>
        </row>
        <row r="124">
          <cell r="G124">
            <v>9.4791666666667052E-3</v>
          </cell>
        </row>
        <row r="125">
          <cell r="G125">
            <v>8.9120370370370239E-3</v>
          </cell>
        </row>
        <row r="126">
          <cell r="G126">
            <v>7.4537037037036846E-3</v>
          </cell>
        </row>
        <row r="127">
          <cell r="G127">
            <v>7.5694444444445175E-3</v>
          </cell>
        </row>
        <row r="128">
          <cell r="G128">
            <v>7.3842592592592293E-3</v>
          </cell>
        </row>
        <row r="129">
          <cell r="G129">
            <v>7.3726851851851904E-3</v>
          </cell>
        </row>
        <row r="130">
          <cell r="G130">
            <v>7.2337962962962798E-3</v>
          </cell>
        </row>
        <row r="131">
          <cell r="G131">
            <v>6.7824074074074314E-3</v>
          </cell>
        </row>
        <row r="132">
          <cell r="G132">
            <v>3.6111111111111205E-3</v>
          </cell>
        </row>
        <row r="133">
          <cell r="G133">
            <v>4.7916666666666385E-3</v>
          </cell>
        </row>
        <row r="134">
          <cell r="G134">
            <v>3.4259259259259434E-3</v>
          </cell>
        </row>
        <row r="135">
          <cell r="G135">
            <v>2.0254629629629095E-3</v>
          </cell>
        </row>
        <row r="136">
          <cell r="G136">
            <v>7.0023148148147252E-3</v>
          </cell>
        </row>
        <row r="137">
          <cell r="G137">
            <v>9.4097222222222499E-3</v>
          </cell>
        </row>
        <row r="138">
          <cell r="G138">
            <v>8.9583333333332904E-3</v>
          </cell>
        </row>
        <row r="139">
          <cell r="G139">
            <v>5.6134259259259522E-3</v>
          </cell>
        </row>
        <row r="140">
          <cell r="G140">
            <v>4.5601851851853059E-3</v>
          </cell>
        </row>
        <row r="141">
          <cell r="G141">
            <v>4.942129629629588E-3</v>
          </cell>
        </row>
        <row r="142">
          <cell r="G142">
            <v>5.3935185185185475E-3</v>
          </cell>
        </row>
        <row r="143">
          <cell r="G143">
            <v>3.4490740740741321E-3</v>
          </cell>
        </row>
        <row r="144">
          <cell r="G144">
            <v>1.7812500000000009E-2</v>
          </cell>
        </row>
        <row r="145">
          <cell r="G145">
            <v>1.8553240740740717E-2</v>
          </cell>
        </row>
        <row r="146">
          <cell r="G146">
            <v>1.7233796296296289E-2</v>
          </cell>
        </row>
        <row r="147">
          <cell r="G147">
            <v>8.9699074074074403E-3</v>
          </cell>
        </row>
        <row r="148">
          <cell r="G148">
            <v>1.3807870370370345E-2</v>
          </cell>
        </row>
        <row r="149">
          <cell r="G149">
            <v>7.6041666666666341E-3</v>
          </cell>
        </row>
        <row r="150">
          <cell r="G150">
            <v>1.0462962962962896E-2</v>
          </cell>
        </row>
        <row r="151">
          <cell r="G151">
            <v>9.5138888888888773E-3</v>
          </cell>
        </row>
        <row r="152">
          <cell r="G152">
            <v>2.5000000000000577E-3</v>
          </cell>
        </row>
        <row r="153">
          <cell r="G153">
            <v>2.2581018518518459E-2</v>
          </cell>
        </row>
        <row r="154">
          <cell r="G154">
            <v>1.6863425925925934E-2</v>
          </cell>
        </row>
        <row r="155">
          <cell r="G155">
            <v>1.4618055555555565E-2</v>
          </cell>
        </row>
        <row r="156">
          <cell r="G156">
            <v>2.6134259259259274E-2</v>
          </cell>
        </row>
        <row r="157">
          <cell r="G157">
            <v>4.3715277777777839E-2</v>
          </cell>
        </row>
        <row r="158">
          <cell r="G158">
            <v>1.3101851851851809E-2</v>
          </cell>
        </row>
        <row r="159">
          <cell r="G159">
            <v>1.128472222222221E-2</v>
          </cell>
        </row>
        <row r="160">
          <cell r="G160">
            <v>8.5532407407407085E-3</v>
          </cell>
        </row>
        <row r="161">
          <cell r="G161">
            <v>8.2060185185184875E-3</v>
          </cell>
        </row>
        <row r="162">
          <cell r="G162">
            <v>7.2569444444444131E-3</v>
          </cell>
        </row>
        <row r="163">
          <cell r="G163">
            <v>3.6851851851851858E-2</v>
          </cell>
        </row>
        <row r="164">
          <cell r="G164">
            <v>5.8101851851851682E-3</v>
          </cell>
        </row>
        <row r="165">
          <cell r="G165">
            <v>4.0277777777777968E-3</v>
          </cell>
        </row>
        <row r="166">
          <cell r="G166">
            <v>3.5520833333333279E-2</v>
          </cell>
        </row>
        <row r="167">
          <cell r="G167">
            <v>2.0833333333333814E-3</v>
          </cell>
        </row>
        <row r="168">
          <cell r="G168">
            <v>2.0717592592592315E-3</v>
          </cell>
        </row>
        <row r="169">
          <cell r="G169">
            <v>2.7847222222222301E-2</v>
          </cell>
        </row>
        <row r="170">
          <cell r="G170">
            <v>2.712962962962967E-2</v>
          </cell>
        </row>
        <row r="171">
          <cell r="G171">
            <v>1.9594907407407436E-2</v>
          </cell>
        </row>
        <row r="172">
          <cell r="G172">
            <v>1.4282407407407438E-2</v>
          </cell>
        </row>
        <row r="173">
          <cell r="G173">
            <v>1.7638888888888871E-2</v>
          </cell>
        </row>
        <row r="174">
          <cell r="G174">
            <v>1.1539351851851898E-2</v>
          </cell>
        </row>
        <row r="175">
          <cell r="G175">
            <v>1.0509259259259274E-2</v>
          </cell>
        </row>
        <row r="176">
          <cell r="G176">
            <v>3.6689814814814814E-3</v>
          </cell>
        </row>
        <row r="177">
          <cell r="G177">
            <v>2.4421296296296413E-3</v>
          </cell>
        </row>
        <row r="178">
          <cell r="G178">
            <v>3.9814814814814747E-3</v>
          </cell>
        </row>
        <row r="179">
          <cell r="G179">
            <v>2.0023148148148318E-3</v>
          </cell>
        </row>
        <row r="180">
          <cell r="G180">
            <v>7.5347222222222898E-3</v>
          </cell>
        </row>
        <row r="181">
          <cell r="G181">
            <v>3.9120370370370194E-3</v>
          </cell>
        </row>
        <row r="182">
          <cell r="G182">
            <v>2.0023148148147762E-3</v>
          </cell>
        </row>
        <row r="183">
          <cell r="G183">
            <v>1.9675925925926041E-3</v>
          </cell>
        </row>
        <row r="184">
          <cell r="G184">
            <v>3.8773148148147918E-3</v>
          </cell>
        </row>
        <row r="185">
          <cell r="G185">
            <v>3.3333333333333548E-3</v>
          </cell>
        </row>
        <row r="186">
          <cell r="G186">
            <v>2.6041666666666852E-3</v>
          </cell>
        </row>
        <row r="187">
          <cell r="G187">
            <v>7.9976851851852326E-3</v>
          </cell>
        </row>
        <row r="188">
          <cell r="G188">
            <v>2.3842592592592249E-3</v>
          </cell>
        </row>
        <row r="189">
          <cell r="G189">
            <v>2.0023148148147762E-3</v>
          </cell>
        </row>
        <row r="190">
          <cell r="G190">
            <v>2.2800925925925419E-3</v>
          </cell>
        </row>
        <row r="191">
          <cell r="G191">
            <v>4.9884259259259656E-3</v>
          </cell>
        </row>
        <row r="192">
          <cell r="G192">
            <v>1.4131944444444544E-2</v>
          </cell>
        </row>
        <row r="193">
          <cell r="G193">
            <v>1.2083333333333446E-2</v>
          </cell>
        </row>
        <row r="194">
          <cell r="G194">
            <v>1.2314814814814778E-2</v>
          </cell>
        </row>
        <row r="195">
          <cell r="G195">
            <v>1.1006944444444389E-2</v>
          </cell>
        </row>
        <row r="196">
          <cell r="G196">
            <v>1.0983796296296311E-2</v>
          </cell>
        </row>
        <row r="197">
          <cell r="G197">
            <v>8.2291666666666208E-3</v>
          </cell>
        </row>
        <row r="198">
          <cell r="G198">
            <v>2.4999999999999467E-3</v>
          </cell>
        </row>
        <row r="199">
          <cell r="G199">
            <v>4.5254629629629672E-3</v>
          </cell>
        </row>
        <row r="200">
          <cell r="G200">
            <v>1.9444444444444153E-3</v>
          </cell>
        </row>
        <row r="201">
          <cell r="G201">
            <v>3.5185185185184764E-3</v>
          </cell>
        </row>
        <row r="202">
          <cell r="G202">
            <v>3.1828703703704608E-3</v>
          </cell>
        </row>
        <row r="203">
          <cell r="G203">
            <v>1.979166666666643E-3</v>
          </cell>
        </row>
        <row r="204">
          <cell r="G204">
            <v>1.3692129629629735E-2</v>
          </cell>
        </row>
        <row r="205">
          <cell r="G205">
            <v>8.6342592592593137E-3</v>
          </cell>
        </row>
        <row r="206">
          <cell r="G206">
            <v>1.2291666666666701E-2</v>
          </cell>
        </row>
        <row r="207">
          <cell r="G207">
            <v>5.9722222222221566E-3</v>
          </cell>
        </row>
        <row r="208">
          <cell r="G208">
            <v>1.0798611111111134E-2</v>
          </cell>
        </row>
        <row r="209">
          <cell r="G209">
            <v>1.0590277777777768E-2</v>
          </cell>
        </row>
        <row r="210">
          <cell r="G210">
            <v>5.1967592592593315E-3</v>
          </cell>
        </row>
        <row r="211">
          <cell r="G211">
            <v>6.6782407407406374E-3</v>
          </cell>
        </row>
        <row r="212">
          <cell r="G212">
            <v>3.7500000000000311E-3</v>
          </cell>
        </row>
        <row r="213">
          <cell r="G213">
            <v>3.7731481481482199E-3</v>
          </cell>
        </row>
        <row r="214">
          <cell r="G214">
            <v>2.6041666666667407E-3</v>
          </cell>
        </row>
        <row r="215">
          <cell r="G215">
            <v>3.0208333333333615E-3</v>
          </cell>
        </row>
        <row r="216">
          <cell r="G216">
            <v>2.0023148148148318E-3</v>
          </cell>
        </row>
        <row r="217">
          <cell r="G217">
            <v>4.3981481481482065E-3</v>
          </cell>
        </row>
        <row r="218">
          <cell r="G218">
            <v>4.0300925925925934E-2</v>
          </cell>
        </row>
        <row r="219">
          <cell r="G219">
            <v>4.0393518518518912E-3</v>
          </cell>
        </row>
        <row r="220">
          <cell r="G220">
            <v>1.8831018518518539E-2</v>
          </cell>
        </row>
        <row r="221">
          <cell r="G221">
            <v>4.5717592592593448E-3</v>
          </cell>
        </row>
        <row r="222">
          <cell r="G222">
            <v>2.0254629629629095E-3</v>
          </cell>
        </row>
        <row r="223">
          <cell r="G223">
            <v>1.8518518518517713E-3</v>
          </cell>
        </row>
        <row r="224">
          <cell r="G224">
            <v>5.3587962962963198E-3</v>
          </cell>
        </row>
        <row r="225">
          <cell r="G225">
            <v>3.5416666666666652E-3</v>
          </cell>
        </row>
        <row r="226">
          <cell r="G226">
            <v>2.5462962962963243E-3</v>
          </cell>
        </row>
        <row r="227">
          <cell r="G227">
            <v>2.4421296296295858E-3</v>
          </cell>
        </row>
        <row r="228">
          <cell r="G228">
            <v>2.4074074074074137E-3</v>
          </cell>
        </row>
        <row r="229">
          <cell r="G229">
            <v>1.979166666666754E-3</v>
          </cell>
        </row>
        <row r="230">
          <cell r="G230">
            <v>2.0370370370370594E-3</v>
          </cell>
        </row>
        <row r="231">
          <cell r="G231">
            <v>2.7893518518518068E-3</v>
          </cell>
        </row>
        <row r="232">
          <cell r="G232">
            <v>4.398148148148151E-3</v>
          </cell>
        </row>
        <row r="233">
          <cell r="G233">
            <v>5.1273148148147651E-3</v>
          </cell>
        </row>
        <row r="234">
          <cell r="G234">
            <v>4.9652777777777768E-3</v>
          </cell>
        </row>
        <row r="235">
          <cell r="G235">
            <v>3.9004629629629806E-3</v>
          </cell>
        </row>
        <row r="236">
          <cell r="G236">
            <v>3.0439814814815502E-3</v>
          </cell>
        </row>
        <row r="237">
          <cell r="G237">
            <v>8.7384259259259967E-3</v>
          </cell>
        </row>
        <row r="238">
          <cell r="G238">
            <v>1.4108796296296355E-2</v>
          </cell>
        </row>
        <row r="239">
          <cell r="G239">
            <v>1.7939814814814881E-2</v>
          </cell>
        </row>
        <row r="240">
          <cell r="G240">
            <v>1.4340277777777799E-2</v>
          </cell>
        </row>
        <row r="241">
          <cell r="G241">
            <v>2.7083333333334236E-3</v>
          </cell>
        </row>
        <row r="242">
          <cell r="G242">
            <v>9.0393518518518956E-3</v>
          </cell>
        </row>
        <row r="243">
          <cell r="G243">
            <v>5.3124999999999423E-3</v>
          </cell>
        </row>
        <row r="244">
          <cell r="G244">
            <v>4.9652777777777768E-3</v>
          </cell>
        </row>
        <row r="245">
          <cell r="G245">
            <v>4.5254629629630783E-3</v>
          </cell>
        </row>
        <row r="246">
          <cell r="G246">
            <v>2.0138888888888706E-3</v>
          </cell>
        </row>
        <row r="247">
          <cell r="G247">
            <v>3.5879629629629317E-3</v>
          </cell>
        </row>
        <row r="248">
          <cell r="G248">
            <v>7.314814814814774E-3</v>
          </cell>
        </row>
        <row r="249">
          <cell r="G249">
            <v>3.5532407407408151E-3</v>
          </cell>
        </row>
        <row r="250">
          <cell r="G250">
            <v>2.7314814814813904E-3</v>
          </cell>
        </row>
        <row r="251">
          <cell r="G251">
            <v>4.5254629629629672E-3</v>
          </cell>
        </row>
        <row r="252">
          <cell r="G252">
            <v>7.4305555555556069E-3</v>
          </cell>
        </row>
        <row r="253">
          <cell r="G253">
            <v>4.2592592592591849E-3</v>
          </cell>
        </row>
        <row r="254">
          <cell r="G254">
            <v>1.9560185185185652E-3</v>
          </cell>
        </row>
        <row r="255">
          <cell r="G255">
            <v>1.9097222222221877E-3</v>
          </cell>
        </row>
        <row r="256">
          <cell r="G256">
            <v>1.9560185185184542E-3</v>
          </cell>
        </row>
        <row r="257">
          <cell r="G257">
            <v>1.979166666666643E-3</v>
          </cell>
        </row>
        <row r="258">
          <cell r="G258">
            <v>-0.37417824074074074</v>
          </cell>
        </row>
        <row r="259">
          <cell r="G259">
            <v>1.9212962962963376E-3</v>
          </cell>
        </row>
        <row r="260">
          <cell r="G260">
            <v>1.9675925925926041E-3</v>
          </cell>
        </row>
        <row r="261">
          <cell r="G261">
            <v>1.7592592592592382E-3</v>
          </cell>
        </row>
        <row r="262">
          <cell r="G262">
            <v>1.678240740740744E-3</v>
          </cell>
        </row>
        <row r="263">
          <cell r="G263">
            <v>3.807870370370392E-3</v>
          </cell>
        </row>
        <row r="264">
          <cell r="G264">
            <v>3.0208333333333059E-3</v>
          </cell>
        </row>
        <row r="265">
          <cell r="G265">
            <v>1.1296296296296304E-2</v>
          </cell>
        </row>
        <row r="266">
          <cell r="G266">
            <v>1.1527777777777803E-2</v>
          </cell>
        </row>
        <row r="267">
          <cell r="G267">
            <v>8.4143518518519089E-3</v>
          </cell>
        </row>
        <row r="268">
          <cell r="G268">
            <v>6.967592592592553E-3</v>
          </cell>
        </row>
        <row r="269">
          <cell r="G269">
            <v>5.7407407407406574E-3</v>
          </cell>
        </row>
        <row r="270">
          <cell r="G270">
            <v>4.4675925925926063E-3</v>
          </cell>
        </row>
        <row r="271">
          <cell r="G271">
            <v>4.0162037037037024E-3</v>
          </cell>
        </row>
        <row r="272">
          <cell r="G272">
            <v>4.2013888888888795E-3</v>
          </cell>
        </row>
        <row r="273">
          <cell r="G273">
            <v>4.0393518518518912E-3</v>
          </cell>
        </row>
        <row r="274">
          <cell r="G274">
            <v>2.2222222222222365E-3</v>
          </cell>
        </row>
        <row r="275">
          <cell r="G275">
            <v>2.1527777777778923E-3</v>
          </cell>
        </row>
        <row r="276">
          <cell r="G276">
            <v>1.979166666666643E-3</v>
          </cell>
        </row>
        <row r="277">
          <cell r="G277">
            <v>6.921296296296231E-3</v>
          </cell>
        </row>
        <row r="278">
          <cell r="G278">
            <v>3.6111111111110095E-3</v>
          </cell>
        </row>
        <row r="279">
          <cell r="G279">
            <v>4.6990740740741055E-3</v>
          </cell>
        </row>
        <row r="280">
          <cell r="G280">
            <v>3.4837962962962488E-3</v>
          </cell>
        </row>
        <row r="281">
          <cell r="G281">
            <v>7.1875000000000133E-3</v>
          </cell>
        </row>
        <row r="282">
          <cell r="G282">
            <v>6.0879629629629894E-3</v>
          </cell>
        </row>
        <row r="283">
          <cell r="G283">
            <v>3.6921296296297257E-3</v>
          </cell>
        </row>
        <row r="284">
          <cell r="G284">
            <v>3.7500000000000311E-3</v>
          </cell>
        </row>
        <row r="285">
          <cell r="G285">
            <v>4.2013888888888795E-3</v>
          </cell>
        </row>
        <row r="286">
          <cell r="G286">
            <v>2.6157407407407796E-3</v>
          </cell>
        </row>
        <row r="287">
          <cell r="G287">
            <v>1.9328703703703765E-3</v>
          </cell>
        </row>
        <row r="288">
          <cell r="G288">
            <v>5.3009259259259034E-3</v>
          </cell>
        </row>
        <row r="289">
          <cell r="G289">
            <v>1.8634259259258101E-3</v>
          </cell>
        </row>
        <row r="290">
          <cell r="G290">
            <v>1.7476851851851993E-3</v>
          </cell>
        </row>
        <row r="291">
          <cell r="G291">
            <v>1.9444444444444153E-3</v>
          </cell>
        </row>
        <row r="292">
          <cell r="G292">
            <v>9.1203703703702788E-3</v>
          </cell>
        </row>
        <row r="293">
          <cell r="G293">
            <v>1.9212962962962266E-3</v>
          </cell>
        </row>
        <row r="294">
          <cell r="G294">
            <v>7.1759259259258634E-3</v>
          </cell>
        </row>
        <row r="295">
          <cell r="G295">
            <v>8.1018518518517491E-3</v>
          </cell>
        </row>
        <row r="296">
          <cell r="G296">
            <v>7.8125E-3</v>
          </cell>
        </row>
        <row r="297">
          <cell r="G297">
            <v>5.7754629629629406E-3</v>
          </cell>
        </row>
        <row r="298">
          <cell r="G298">
            <v>9.0509259259259345E-3</v>
          </cell>
        </row>
        <row r="299">
          <cell r="G299">
            <v>3.553240740740593E-3</v>
          </cell>
        </row>
        <row r="300">
          <cell r="G300">
            <v>2.2222222222222365E-3</v>
          </cell>
        </row>
        <row r="301">
          <cell r="G301">
            <v>2.6041666666666297E-3</v>
          </cell>
        </row>
        <row r="302">
          <cell r="G302">
            <v>3.1944444444443887E-3</v>
          </cell>
        </row>
        <row r="303">
          <cell r="G303">
            <v>4.8958333333333215E-3</v>
          </cell>
        </row>
        <row r="304">
          <cell r="G304">
            <v>4.548611111111156E-3</v>
          </cell>
        </row>
        <row r="305">
          <cell r="G305">
            <v>6.1921296296296169E-3</v>
          </cell>
        </row>
        <row r="306">
          <cell r="G306">
            <v>2.8935185185184342E-3</v>
          </cell>
        </row>
        <row r="307">
          <cell r="G307">
            <v>4.8842592592592271E-3</v>
          </cell>
        </row>
        <row r="308">
          <cell r="G308">
            <v>3.8541666666666585E-3</v>
          </cell>
        </row>
        <row r="309">
          <cell r="G309">
            <v>2.6041666666666297E-3</v>
          </cell>
        </row>
        <row r="310">
          <cell r="G310">
            <v>5.9085648148148207E-2</v>
          </cell>
        </row>
        <row r="311">
          <cell r="G311">
            <v>3.2951388888888933E-2</v>
          </cell>
        </row>
        <row r="312">
          <cell r="G312">
            <v>3.2060185185185164E-2</v>
          </cell>
        </row>
        <row r="313">
          <cell r="G313">
            <v>5.5000000000000049E-2</v>
          </cell>
        </row>
        <row r="314">
          <cell r="G314">
            <v>2.6157407407406685E-3</v>
          </cell>
        </row>
        <row r="315">
          <cell r="G315">
            <v>1.2361111111111045E-2</v>
          </cell>
        </row>
        <row r="316">
          <cell r="G316">
            <v>3.0439814814814392E-3</v>
          </cell>
        </row>
        <row r="317">
          <cell r="G317">
            <v>4.2708333333334458E-3</v>
          </cell>
        </row>
        <row r="318">
          <cell r="G318">
            <v>2.8240740740741455E-3</v>
          </cell>
        </row>
        <row r="319">
          <cell r="G319">
            <v>3.1597222222222721E-3</v>
          </cell>
        </row>
        <row r="320">
          <cell r="G320">
            <v>7.7754629629629646E-2</v>
          </cell>
        </row>
        <row r="321">
          <cell r="G321">
            <v>4.0624999999999689E-3</v>
          </cell>
        </row>
        <row r="322">
          <cell r="G322">
            <v>4.548611111111156E-3</v>
          </cell>
        </row>
        <row r="323">
          <cell r="G323">
            <v>7.1759259259259189E-3</v>
          </cell>
        </row>
        <row r="324">
          <cell r="G324">
            <v>6.3888888888889439E-3</v>
          </cell>
        </row>
        <row r="325">
          <cell r="G325">
            <v>3.6342592592593093E-3</v>
          </cell>
        </row>
        <row r="326">
          <cell r="G326">
            <v>3.4953703703703987E-3</v>
          </cell>
        </row>
        <row r="327">
          <cell r="G327">
            <v>3.0208333333333615E-3</v>
          </cell>
        </row>
        <row r="328">
          <cell r="G328">
            <v>3.5069444444444375E-3</v>
          </cell>
        </row>
        <row r="329">
          <cell r="G329">
            <v>2.6041666666666852E-3</v>
          </cell>
        </row>
        <row r="330">
          <cell r="G330">
            <v>2.5462962962962132E-3</v>
          </cell>
        </row>
        <row r="331">
          <cell r="G331">
            <v>2.7662037037036735E-3</v>
          </cell>
        </row>
        <row r="332">
          <cell r="G332">
            <v>2.6157407407407796E-3</v>
          </cell>
        </row>
        <row r="333">
          <cell r="G333">
            <v>1.8032407407407414E-2</v>
          </cell>
        </row>
        <row r="334">
          <cell r="G334">
            <v>5.7986111111111294E-3</v>
          </cell>
        </row>
        <row r="335">
          <cell r="G335">
            <v>2.3263888888888085E-3</v>
          </cell>
        </row>
        <row r="336">
          <cell r="G336">
            <v>7.465277777777779E-3</v>
          </cell>
        </row>
        <row r="337">
          <cell r="G337">
            <v>7.0370370370370638E-3</v>
          </cell>
        </row>
        <row r="338">
          <cell r="G338">
            <v>2.6157407407406685E-3</v>
          </cell>
        </row>
        <row r="339">
          <cell r="G339">
            <v>4.1782407407406907E-3</v>
          </cell>
        </row>
        <row r="340">
          <cell r="G340">
            <v>2.5231481481481355E-3</v>
          </cell>
        </row>
        <row r="341">
          <cell r="G341">
            <v>2.5231481481481355E-3</v>
          </cell>
        </row>
        <row r="342">
          <cell r="G342">
            <v>4.4560185185185119E-3</v>
          </cell>
        </row>
        <row r="343">
          <cell r="G343">
            <v>4.4560185185185119E-3</v>
          </cell>
        </row>
        <row r="344">
          <cell r="G344">
            <v>4.0740740740741188E-3</v>
          </cell>
        </row>
        <row r="345">
          <cell r="G345">
            <v>3.8888888888888307E-3</v>
          </cell>
        </row>
        <row r="346">
          <cell r="G346">
            <v>3.7731481481482199E-3</v>
          </cell>
        </row>
        <row r="347">
          <cell r="G347">
            <v>5.0115740740740433E-3</v>
          </cell>
        </row>
        <row r="348">
          <cell r="G348">
            <v>2.3379629629629584E-3</v>
          </cell>
        </row>
        <row r="349">
          <cell r="G349">
            <v>2.5231481481482465E-3</v>
          </cell>
        </row>
        <row r="350">
          <cell r="G350">
            <v>2.1747685185185106E-2</v>
          </cell>
        </row>
        <row r="351">
          <cell r="G351">
            <v>3.2986111111110716E-3</v>
          </cell>
        </row>
        <row r="352">
          <cell r="G352">
            <v>2.5578703703703631E-3</v>
          </cell>
        </row>
        <row r="353">
          <cell r="G353">
            <v>2.5914351851851869E-2</v>
          </cell>
        </row>
        <row r="354">
          <cell r="G354">
            <v>9.201388888888884E-3</v>
          </cell>
        </row>
        <row r="355">
          <cell r="G355">
            <v>4.8842592592592826E-3</v>
          </cell>
        </row>
        <row r="356">
          <cell r="G356">
            <v>1.9895833333333335E-2</v>
          </cell>
        </row>
        <row r="357">
          <cell r="G357">
            <v>2.6157407407407796E-3</v>
          </cell>
        </row>
        <row r="358">
          <cell r="G358">
            <v>2.523148148148191E-3</v>
          </cell>
        </row>
        <row r="359">
          <cell r="G359">
            <v>2.5578703703703631E-3</v>
          </cell>
        </row>
        <row r="360">
          <cell r="G360">
            <v>2.5347222222221744E-3</v>
          </cell>
        </row>
        <row r="361">
          <cell r="G361">
            <v>3.4722222222223209E-3</v>
          </cell>
        </row>
        <row r="362">
          <cell r="G362">
            <v>3.1250000000000444E-3</v>
          </cell>
        </row>
        <row r="363">
          <cell r="G363">
            <v>3.0578703703703636E-2</v>
          </cell>
        </row>
        <row r="364">
          <cell r="G364">
            <v>2.3148148148147696E-3</v>
          </cell>
        </row>
        <row r="365">
          <cell r="G365">
            <v>1.7326388888888822E-2</v>
          </cell>
        </row>
        <row r="366">
          <cell r="G366">
            <v>6.0995370370370283E-3</v>
          </cell>
        </row>
        <row r="367">
          <cell r="G367">
            <v>7.025462962963025E-3</v>
          </cell>
        </row>
        <row r="368">
          <cell r="G368">
            <v>5.4050925925925863E-3</v>
          </cell>
        </row>
        <row r="369">
          <cell r="G369">
            <v>4.155092592592613E-3</v>
          </cell>
        </row>
        <row r="370">
          <cell r="G370">
            <v>4.7106481481481444E-3</v>
          </cell>
        </row>
        <row r="371">
          <cell r="G371">
            <v>5.138888888888915E-3</v>
          </cell>
        </row>
        <row r="372">
          <cell r="G372">
            <v>2.4999999999999467E-3</v>
          </cell>
        </row>
        <row r="373">
          <cell r="G373">
            <v>2.5925925925925908E-3</v>
          </cell>
        </row>
        <row r="374">
          <cell r="G374">
            <v>3.0902777777777057E-3</v>
          </cell>
        </row>
        <row r="375">
          <cell r="G375">
            <v>2.8240740740740344E-3</v>
          </cell>
        </row>
        <row r="376">
          <cell r="G376">
            <v>1.9513888888888942E-2</v>
          </cell>
        </row>
        <row r="377">
          <cell r="G377">
            <v>4.8611111111110938E-3</v>
          </cell>
        </row>
        <row r="378">
          <cell r="G378">
            <v>4.8958333333333215E-3</v>
          </cell>
        </row>
        <row r="379">
          <cell r="G379">
            <v>2.5000000000000577E-3</v>
          </cell>
        </row>
        <row r="380">
          <cell r="G380">
            <v>2.476851851851869E-3</v>
          </cell>
        </row>
        <row r="381">
          <cell r="G381">
            <v>2.2800925925925419E-3</v>
          </cell>
        </row>
        <row r="382">
          <cell r="G382">
            <v>2.5462962962963243E-3</v>
          </cell>
        </row>
        <row r="383">
          <cell r="G383">
            <v>2.4652777777777746E-3</v>
          </cell>
        </row>
        <row r="384">
          <cell r="G384">
            <v>2.2800925925925419E-3</v>
          </cell>
        </row>
        <row r="385">
          <cell r="G385">
            <v>1.6226851851851853E-2</v>
          </cell>
        </row>
        <row r="386">
          <cell r="G386">
            <v>2.8472222222222232E-3</v>
          </cell>
        </row>
        <row r="387">
          <cell r="G387">
            <v>2.0335648148148089E-2</v>
          </cell>
        </row>
        <row r="388">
          <cell r="G388">
            <v>2.5115740740741521E-3</v>
          </cell>
        </row>
        <row r="389">
          <cell r="G389">
            <v>2.476851851851869E-3</v>
          </cell>
        </row>
        <row r="390">
          <cell r="G390">
            <v>4.3877314814814827E-2</v>
          </cell>
        </row>
        <row r="391">
          <cell r="G391">
            <v>3.5567129629629657E-2</v>
          </cell>
        </row>
        <row r="392">
          <cell r="G392">
            <v>2.3854166666666621E-2</v>
          </cell>
        </row>
        <row r="393">
          <cell r="G393">
            <v>1.0324074074074097E-2</v>
          </cell>
        </row>
        <row r="394">
          <cell r="G394">
            <v>8.159722222222221E-3</v>
          </cell>
        </row>
        <row r="395">
          <cell r="G395">
            <v>7.1527777777777857E-3</v>
          </cell>
        </row>
        <row r="396">
          <cell r="G396">
            <v>8.7500000000000355E-3</v>
          </cell>
        </row>
        <row r="397">
          <cell r="G397">
            <v>8.5648148148148029E-3</v>
          </cell>
        </row>
        <row r="398">
          <cell r="G398">
            <v>4.5138888888888729E-3</v>
          </cell>
        </row>
        <row r="399">
          <cell r="G399">
            <v>3.3379629629629592E-2</v>
          </cell>
        </row>
        <row r="400">
          <cell r="G400">
            <v>2.4884259259259078E-3</v>
          </cell>
        </row>
        <row r="401">
          <cell r="G401">
            <v>2.4155092592592631E-2</v>
          </cell>
        </row>
        <row r="402">
          <cell r="G402">
            <v>4.9305555555555491E-3</v>
          </cell>
        </row>
        <row r="403">
          <cell r="G403">
            <v>2.5000000000000577E-3</v>
          </cell>
        </row>
        <row r="404">
          <cell r="G404">
            <v>3.7824074074074066E-2</v>
          </cell>
        </row>
        <row r="405">
          <cell r="G405">
            <v>2.5231481481481355E-3</v>
          </cell>
        </row>
        <row r="406">
          <cell r="G406">
            <v>2.5231481481482465E-3</v>
          </cell>
        </row>
        <row r="407">
          <cell r="G407">
            <v>2.5810185185184409E-3</v>
          </cell>
        </row>
        <row r="408">
          <cell r="G408">
            <v>2.5844907407407525E-2</v>
          </cell>
        </row>
        <row r="409">
          <cell r="G409">
            <v>2.4074074074073026E-3</v>
          </cell>
        </row>
        <row r="410">
          <cell r="G410">
            <v>2.476851851851869E-3</v>
          </cell>
        </row>
        <row r="411">
          <cell r="G411">
            <v>3.8310185185185253E-3</v>
          </cell>
        </row>
        <row r="412">
          <cell r="G412">
            <v>3.9004629629629806E-3</v>
          </cell>
        </row>
        <row r="413">
          <cell r="G413">
            <v>2.4189814814815636E-3</v>
          </cell>
        </row>
        <row r="414">
          <cell r="G414">
            <v>3.6226851851851816E-2</v>
          </cell>
        </row>
        <row r="415">
          <cell r="G415">
            <v>7.1990740740741077E-3</v>
          </cell>
        </row>
        <row r="416">
          <cell r="G416">
            <v>5.9606481481481732E-3</v>
          </cell>
        </row>
        <row r="417">
          <cell r="G417">
            <v>3.0902777777777612E-3</v>
          </cell>
        </row>
        <row r="418">
          <cell r="G418">
            <v>3.5416666666667207E-3</v>
          </cell>
        </row>
        <row r="419">
          <cell r="G419">
            <v>7.0717592592592915E-3</v>
          </cell>
        </row>
        <row r="420">
          <cell r="G420">
            <v>2.615740740740724E-3</v>
          </cell>
        </row>
        <row r="421">
          <cell r="G421">
            <v>2.4305555555556024E-3</v>
          </cell>
        </row>
        <row r="422">
          <cell r="G422">
            <v>2.5347222222222854E-3</v>
          </cell>
        </row>
        <row r="423">
          <cell r="G423">
            <v>1.6331018518518481E-2</v>
          </cell>
        </row>
        <row r="424">
          <cell r="G424">
            <v>2.4305555555554914E-3</v>
          </cell>
        </row>
        <row r="425">
          <cell r="G425">
            <v>2.4537037037035692E-3</v>
          </cell>
        </row>
        <row r="426">
          <cell r="G426">
            <v>2.476851851851869E-3</v>
          </cell>
        </row>
        <row r="427">
          <cell r="G427">
            <v>1.3587962962962941E-2</v>
          </cell>
        </row>
        <row r="428">
          <cell r="G428">
            <v>2.1689814814814801E-2</v>
          </cell>
        </row>
        <row r="429">
          <cell r="G429">
            <v>8.5300925925926308E-3</v>
          </cell>
        </row>
        <row r="430">
          <cell r="G430">
            <v>4.8842592592592271E-3</v>
          </cell>
        </row>
        <row r="431">
          <cell r="G431">
            <v>3.657407407407387E-3</v>
          </cell>
        </row>
        <row r="432">
          <cell r="G432">
            <v>1.207175925925924E-2</v>
          </cell>
        </row>
        <row r="433">
          <cell r="G433">
            <v>3.5532407407407041E-3</v>
          </cell>
        </row>
        <row r="434">
          <cell r="G434">
            <v>1.0335648148148191E-2</v>
          </cell>
        </row>
        <row r="435">
          <cell r="G435">
            <v>4.9537037037037379E-3</v>
          </cell>
        </row>
        <row r="436">
          <cell r="G436">
            <v>3.3217592592592049E-3</v>
          </cell>
        </row>
        <row r="437">
          <cell r="G437">
            <v>7.7430555555556557E-3</v>
          </cell>
        </row>
        <row r="438">
          <cell r="G438">
            <v>8.0092592592592715E-3</v>
          </cell>
        </row>
        <row r="439">
          <cell r="G439">
            <v>6.8055555555555092E-3</v>
          </cell>
        </row>
        <row r="440">
          <cell r="G440">
            <v>5.0578703703704209E-3</v>
          </cell>
        </row>
        <row r="441">
          <cell r="G441">
            <v>6.6319444444444264E-3</v>
          </cell>
        </row>
        <row r="442">
          <cell r="G442">
            <v>7.3842592592592293E-3</v>
          </cell>
        </row>
        <row r="443">
          <cell r="G443">
            <v>6.4930555555555158E-3</v>
          </cell>
        </row>
        <row r="444">
          <cell r="G444">
            <v>4.4328703703703787E-3</v>
          </cell>
        </row>
        <row r="445">
          <cell r="G445">
            <v>3.1793981481481437E-2</v>
          </cell>
        </row>
        <row r="446">
          <cell r="G446">
            <v>6.7476851851852038E-3</v>
          </cell>
        </row>
        <row r="447">
          <cell r="G447">
            <v>6.3541666666666607E-3</v>
          </cell>
        </row>
        <row r="448">
          <cell r="G448">
            <v>3.2893518518518516E-2</v>
          </cell>
        </row>
        <row r="449">
          <cell r="G449">
            <v>2.4305555555556024E-3</v>
          </cell>
        </row>
        <row r="450">
          <cell r="G450">
            <v>2.5578703703704742E-3</v>
          </cell>
        </row>
        <row r="451">
          <cell r="G451">
            <v>2.5810185185184409E-3</v>
          </cell>
        </row>
        <row r="452">
          <cell r="G452">
            <v>2.5347222222221744E-3</v>
          </cell>
        </row>
        <row r="453">
          <cell r="G453">
            <v>7.5127314814814827E-2</v>
          </cell>
        </row>
        <row r="454">
          <cell r="G454">
            <v>6.7708333333333925E-3</v>
          </cell>
        </row>
        <row r="455">
          <cell r="G455">
            <v>5.9027777777777013E-3</v>
          </cell>
        </row>
        <row r="456">
          <cell r="G456">
            <v>2.4421296296295303E-3</v>
          </cell>
        </row>
        <row r="457">
          <cell r="G457">
            <v>2.4421296296296413E-3</v>
          </cell>
        </row>
        <row r="458">
          <cell r="G458">
            <v>2.4074074074073026E-3</v>
          </cell>
        </row>
        <row r="459">
          <cell r="G459">
            <v>2.3958333333332638E-3</v>
          </cell>
        </row>
        <row r="460">
          <cell r="G460">
            <v>4.1435185185185741E-3</v>
          </cell>
        </row>
        <row r="461">
          <cell r="G461">
            <v>2.5000000000000577E-3</v>
          </cell>
        </row>
        <row r="462">
          <cell r="G462">
            <v>1.4722222222222192E-2</v>
          </cell>
        </row>
        <row r="463">
          <cell r="G463">
            <v>8.7268518518518468E-3</v>
          </cell>
        </row>
        <row r="464">
          <cell r="G464">
            <v>3.8773148148147918E-3</v>
          </cell>
        </row>
        <row r="465">
          <cell r="G465">
            <v>6.0532407407407618E-3</v>
          </cell>
        </row>
        <row r="466">
          <cell r="G466">
            <v>4.4560185185185675E-3</v>
          </cell>
        </row>
        <row r="467">
          <cell r="G467">
            <v>2.372685185185186E-3</v>
          </cell>
        </row>
        <row r="468">
          <cell r="G468">
            <v>2.3726851851852415E-3</v>
          </cell>
        </row>
        <row r="469">
          <cell r="G469">
            <v>2.4074074074074137E-3</v>
          </cell>
        </row>
        <row r="470">
          <cell r="G470">
            <v>2.3842592592592249E-3</v>
          </cell>
        </row>
        <row r="471">
          <cell r="G471">
            <v>3.9317129629629632E-2</v>
          </cell>
        </row>
        <row r="472">
          <cell r="G472">
            <v>3.1111111111111034E-2</v>
          </cell>
        </row>
        <row r="473">
          <cell r="G473">
            <v>5.1041666666666874E-3</v>
          </cell>
        </row>
        <row r="474">
          <cell r="G474">
            <v>5.7870370370370905E-3</v>
          </cell>
        </row>
        <row r="475">
          <cell r="G475">
            <v>2.4537037037036802E-3</v>
          </cell>
        </row>
        <row r="476">
          <cell r="G476">
            <v>2.7893518518518068E-3</v>
          </cell>
        </row>
        <row r="477">
          <cell r="G477">
            <v>3.7499999999999201E-3</v>
          </cell>
        </row>
        <row r="478">
          <cell r="G478">
            <v>2.870370370370301E-3</v>
          </cell>
        </row>
        <row r="479">
          <cell r="G479">
            <v>2.4189814814815636E-3</v>
          </cell>
        </row>
        <row r="480">
          <cell r="G480">
            <v>2.4074074074074137E-3</v>
          </cell>
        </row>
        <row r="481">
          <cell r="G481">
            <v>2.4189814814814525E-3</v>
          </cell>
        </row>
        <row r="482">
          <cell r="G482">
            <v>2.1608796296296306E-2</v>
          </cell>
        </row>
        <row r="483">
          <cell r="G483">
            <v>1.1331018518518476E-2</v>
          </cell>
        </row>
        <row r="484">
          <cell r="G484">
            <v>3.0868055555555551E-2</v>
          </cell>
        </row>
        <row r="485">
          <cell r="G485">
            <v>1.5173611111111096E-2</v>
          </cell>
        </row>
        <row r="486">
          <cell r="G486">
            <v>3.9374999999999938E-2</v>
          </cell>
        </row>
        <row r="487">
          <cell r="G487">
            <v>1.142361111111112E-2</v>
          </cell>
        </row>
        <row r="488">
          <cell r="G488">
            <v>4.9201388888888864E-2</v>
          </cell>
        </row>
        <row r="489">
          <cell r="G489">
            <v>4.8020833333333346E-2</v>
          </cell>
        </row>
        <row r="490">
          <cell r="G490">
            <v>5.3819444444444531E-3</v>
          </cell>
        </row>
        <row r="491">
          <cell r="G491">
            <v>4.6550925925925968E-2</v>
          </cell>
        </row>
        <row r="492">
          <cell r="G492">
            <v>3.3692129629629641E-2</v>
          </cell>
        </row>
        <row r="493">
          <cell r="G493">
            <v>3.1076388888888917E-2</v>
          </cell>
        </row>
        <row r="494">
          <cell r="G494">
            <v>3.0162037037037071E-2</v>
          </cell>
        </row>
        <row r="495">
          <cell r="G495">
            <v>3.038194444444442E-2</v>
          </cell>
        </row>
        <row r="496">
          <cell r="G496">
            <v>3.0034722222222199E-2</v>
          </cell>
        </row>
        <row r="497">
          <cell r="G497">
            <v>2.6180555555555596E-2</v>
          </cell>
        </row>
        <row r="498">
          <cell r="G498">
            <v>2.4409722222222263E-2</v>
          </cell>
        </row>
        <row r="499">
          <cell r="G499">
            <v>2.5833333333333375E-2</v>
          </cell>
        </row>
        <row r="500">
          <cell r="G500">
            <v>3.3333333333332993E-3</v>
          </cell>
        </row>
        <row r="501">
          <cell r="G501">
            <v>2.1076388888888908E-2</v>
          </cell>
        </row>
        <row r="502">
          <cell r="G502">
            <v>1.894675925925926E-2</v>
          </cell>
        </row>
        <row r="503">
          <cell r="G503">
            <v>1.9756944444444424E-2</v>
          </cell>
        </row>
        <row r="504">
          <cell r="G504">
            <v>1.5601851851851811E-2</v>
          </cell>
        </row>
        <row r="505">
          <cell r="G505">
            <v>9.4560185185185719E-3</v>
          </cell>
        </row>
        <row r="506">
          <cell r="G506">
            <v>3.0324074074074003E-3</v>
          </cell>
        </row>
        <row r="507">
          <cell r="G507">
            <v>2.4074074074074137E-3</v>
          </cell>
        </row>
        <row r="508">
          <cell r="G508">
            <v>4.3171296296296569E-3</v>
          </cell>
        </row>
        <row r="509">
          <cell r="G509">
            <v>4.0393518518518357E-3</v>
          </cell>
        </row>
        <row r="510">
          <cell r="G510">
            <v>3.0208333333333059E-3</v>
          </cell>
        </row>
        <row r="511">
          <cell r="G511">
            <v>5.3935185185185475E-3</v>
          </cell>
        </row>
        <row r="512">
          <cell r="G512">
            <v>3.8425925925924531E-3</v>
          </cell>
        </row>
        <row r="513">
          <cell r="G513">
            <v>8.4953703703704031E-3</v>
          </cell>
        </row>
        <row r="514">
          <cell r="G514">
            <v>8.4953703703705141E-3</v>
          </cell>
        </row>
        <row r="515">
          <cell r="G515">
            <v>6.1574074074073337E-3</v>
          </cell>
        </row>
        <row r="516">
          <cell r="G516">
            <v>5.1504629629630649E-3</v>
          </cell>
        </row>
        <row r="517">
          <cell r="G517">
            <v>2.3379629629629584E-3</v>
          </cell>
        </row>
        <row r="518">
          <cell r="G518">
            <v>3.6921296296295036E-3</v>
          </cell>
        </row>
        <row r="519">
          <cell r="G519">
            <v>4.0625000000000799E-3</v>
          </cell>
        </row>
        <row r="520">
          <cell r="G520">
            <v>2.2685185185186141E-3</v>
          </cell>
        </row>
        <row r="521">
          <cell r="G521">
            <v>6.8402777777777368E-3</v>
          </cell>
        </row>
        <row r="522">
          <cell r="G522">
            <v>6.5624999999999156E-3</v>
          </cell>
        </row>
        <row r="523">
          <cell r="G523">
            <v>5.9722222222221566E-3</v>
          </cell>
        </row>
        <row r="524">
          <cell r="G524">
            <v>5.2662037037036757E-3</v>
          </cell>
        </row>
        <row r="525">
          <cell r="G525">
            <v>2.6504629629630072E-3</v>
          </cell>
        </row>
        <row r="526">
          <cell r="G526">
            <v>8.0902777777777102E-3</v>
          </cell>
        </row>
        <row r="527">
          <cell r="G527">
            <v>4.2939814814815236E-3</v>
          </cell>
        </row>
        <row r="528">
          <cell r="G528">
            <v>3.7152777777776924E-3</v>
          </cell>
        </row>
        <row r="529">
          <cell r="G529">
            <v>3.171296296296422E-3</v>
          </cell>
        </row>
        <row r="530">
          <cell r="G530">
            <v>2.372685185185186E-3</v>
          </cell>
        </row>
        <row r="531">
          <cell r="G531">
            <v>2.9108796296296369E-2</v>
          </cell>
        </row>
        <row r="532">
          <cell r="G532">
            <v>2.3379629629629584E-3</v>
          </cell>
        </row>
        <row r="533">
          <cell r="G533">
            <v>2.3032407407408417E-3</v>
          </cell>
        </row>
        <row r="534">
          <cell r="G534">
            <v>2.3263888888888085E-3</v>
          </cell>
        </row>
        <row r="535">
          <cell r="G535">
            <v>3.6921296296295592E-3</v>
          </cell>
        </row>
        <row r="536">
          <cell r="G536">
            <v>1.0729166666666679E-2</v>
          </cell>
        </row>
        <row r="537">
          <cell r="G537">
            <v>5.2546296296296369E-3</v>
          </cell>
        </row>
        <row r="538">
          <cell r="G538">
            <v>5.3935185185185475E-3</v>
          </cell>
        </row>
        <row r="539">
          <cell r="G539">
            <v>2.3495370370369972E-3</v>
          </cell>
        </row>
        <row r="540">
          <cell r="G540">
            <v>2.6967592592592182E-3</v>
          </cell>
        </row>
        <row r="541">
          <cell r="G541">
            <v>6.2962962962962998E-3</v>
          </cell>
        </row>
        <row r="542">
          <cell r="G542">
            <v>1.5023148148148147E-2</v>
          </cell>
        </row>
        <row r="543">
          <cell r="G543">
            <v>1.1377314814814743E-2</v>
          </cell>
        </row>
        <row r="544">
          <cell r="G544">
            <v>1.1597222222222259E-2</v>
          </cell>
        </row>
        <row r="545">
          <cell r="G545">
            <v>9.0393518518518401E-3</v>
          </cell>
        </row>
        <row r="546">
          <cell r="G546">
            <v>7.4768518518518734E-3</v>
          </cell>
        </row>
        <row r="547">
          <cell r="G547">
            <v>5.1851851851851816E-3</v>
          </cell>
        </row>
        <row r="548">
          <cell r="G548">
            <v>4.9305555555556047E-3</v>
          </cell>
        </row>
        <row r="549">
          <cell r="G549">
            <v>5.4166666666666807E-3</v>
          </cell>
        </row>
        <row r="550">
          <cell r="G550">
            <v>5.4629629629630028E-3</v>
          </cell>
        </row>
        <row r="551">
          <cell r="G551">
            <v>3.6921296296296702E-3</v>
          </cell>
        </row>
        <row r="552">
          <cell r="G552">
            <v>3.8078703703703365E-3</v>
          </cell>
        </row>
        <row r="553">
          <cell r="G553">
            <v>2.6620370370369906E-3</v>
          </cell>
        </row>
        <row r="554">
          <cell r="G554">
            <v>4.351851851851829E-3</v>
          </cell>
        </row>
        <row r="555">
          <cell r="G555">
            <v>4.6296296296295947E-3</v>
          </cell>
        </row>
        <row r="556">
          <cell r="G556">
            <v>2.2685185185185031E-3</v>
          </cell>
        </row>
        <row r="557">
          <cell r="G557">
            <v>3.9236111111111693E-3</v>
          </cell>
        </row>
        <row r="558">
          <cell r="G558">
            <v>5.0347222222222321E-3</v>
          </cell>
        </row>
        <row r="559">
          <cell r="G559">
            <v>8.4606481481481755E-3</v>
          </cell>
        </row>
        <row r="560">
          <cell r="G560">
            <v>1.1249999999999982E-2</v>
          </cell>
        </row>
        <row r="561">
          <cell r="G561">
            <v>1.1608796296296298E-2</v>
          </cell>
        </row>
        <row r="562">
          <cell r="G562">
            <v>9.7222222222222987E-3</v>
          </cell>
        </row>
        <row r="563">
          <cell r="G563">
            <v>8.3333333333333037E-3</v>
          </cell>
        </row>
        <row r="564">
          <cell r="G564">
            <v>7.3726851851851904E-3</v>
          </cell>
        </row>
        <row r="565">
          <cell r="G565">
            <v>6.2384259259259389E-3</v>
          </cell>
        </row>
        <row r="566">
          <cell r="G566">
            <v>7.2337962962962798E-3</v>
          </cell>
        </row>
        <row r="567">
          <cell r="G567">
            <v>3.4953703703703987E-3</v>
          </cell>
        </row>
        <row r="568">
          <cell r="G568">
            <v>4.7800925925925997E-3</v>
          </cell>
        </row>
        <row r="569">
          <cell r="G569">
            <v>2.4131944444444442E-2</v>
          </cell>
        </row>
        <row r="570">
          <cell r="G570">
            <v>7.3842592592592293E-3</v>
          </cell>
        </row>
        <row r="571">
          <cell r="G571">
            <v>3.6458333333333481E-3</v>
          </cell>
        </row>
        <row r="572">
          <cell r="G572">
            <v>6.8171296296296591E-3</v>
          </cell>
        </row>
        <row r="573">
          <cell r="G573">
            <v>8.6805555555555802E-3</v>
          </cell>
        </row>
        <row r="574">
          <cell r="G574">
            <v>3.3101851851852215E-3</v>
          </cell>
        </row>
        <row r="575">
          <cell r="G575">
            <v>4.3055555555555625E-3</v>
          </cell>
        </row>
        <row r="576">
          <cell r="G576">
            <v>1.7835648148148087E-2</v>
          </cell>
        </row>
        <row r="577">
          <cell r="G577">
            <v>3.4490740740741321E-3</v>
          </cell>
        </row>
        <row r="578">
          <cell r="G578">
            <v>2.6041666666666741E-2</v>
          </cell>
        </row>
        <row r="579">
          <cell r="G579">
            <v>6.7708333333333925E-3</v>
          </cell>
        </row>
        <row r="580">
          <cell r="G580">
            <v>2.2916666666666918E-3</v>
          </cell>
        </row>
        <row r="581">
          <cell r="G581">
            <v>2.2916666666666918E-3</v>
          </cell>
        </row>
        <row r="582">
          <cell r="G582">
            <v>7.9976851851852881E-3</v>
          </cell>
        </row>
        <row r="583">
          <cell r="G583">
            <v>8.5416666666667806E-3</v>
          </cell>
        </row>
        <row r="584">
          <cell r="G584">
            <v>2.8356481481480733E-3</v>
          </cell>
        </row>
        <row r="585">
          <cell r="G585">
            <v>2.9050925925927507E-3</v>
          </cell>
        </row>
        <row r="586">
          <cell r="G586">
            <v>4.3553240740740795E-2</v>
          </cell>
        </row>
        <row r="587">
          <cell r="G587">
            <v>3.3680555555555269E-3</v>
          </cell>
        </row>
        <row r="588">
          <cell r="G588">
            <v>2.2569444444444642E-3</v>
          </cell>
        </row>
        <row r="589">
          <cell r="G589">
            <v>2.2106481481481421E-3</v>
          </cell>
        </row>
        <row r="590">
          <cell r="G590">
            <v>2.2916666666667473E-3</v>
          </cell>
        </row>
        <row r="591">
          <cell r="G591">
            <v>3.4027777777778101E-3</v>
          </cell>
        </row>
        <row r="592">
          <cell r="G592">
            <v>2.9050925925925286E-3</v>
          </cell>
        </row>
        <row r="593">
          <cell r="G593">
            <v>2.2569444444443532E-3</v>
          </cell>
        </row>
        <row r="594">
          <cell r="G594">
            <v>2.3611111111110361E-3</v>
          </cell>
        </row>
        <row r="595">
          <cell r="G595">
            <v>3.5185185185184764E-3</v>
          </cell>
        </row>
        <row r="596">
          <cell r="G596">
            <v>2.3148148148147696E-3</v>
          </cell>
        </row>
        <row r="597">
          <cell r="G597">
            <v>2.6851851851852349E-3</v>
          </cell>
        </row>
        <row r="598">
          <cell r="G598">
            <v>2.7430555555555403E-3</v>
          </cell>
        </row>
        <row r="599">
          <cell r="G599">
            <v>1.6423611111111125E-2</v>
          </cell>
        </row>
        <row r="600">
          <cell r="G600">
            <v>2.2685185185185031E-3</v>
          </cell>
        </row>
        <row r="601">
          <cell r="G601">
            <v>3.76157407407407E-3</v>
          </cell>
        </row>
        <row r="602">
          <cell r="G602">
            <v>2.8692129629629637E-2</v>
          </cell>
        </row>
        <row r="603">
          <cell r="G603">
            <v>2.2685185185186141E-3</v>
          </cell>
        </row>
        <row r="604">
          <cell r="G604">
            <v>9.5833333333333881E-3</v>
          </cell>
        </row>
        <row r="605">
          <cell r="G605">
            <v>3.1828703703704608E-3</v>
          </cell>
        </row>
        <row r="606">
          <cell r="G606">
            <v>2.2453703703703698E-3</v>
          </cell>
        </row>
        <row r="607">
          <cell r="G607">
            <v>3.2291666666666718E-3</v>
          </cell>
        </row>
        <row r="608">
          <cell r="G608">
            <v>4.502314814814834E-3</v>
          </cell>
        </row>
        <row r="609">
          <cell r="G609">
            <v>3.3564814814814881E-3</v>
          </cell>
        </row>
        <row r="610">
          <cell r="G610">
            <v>3.3807870370370419E-2</v>
          </cell>
        </row>
        <row r="611">
          <cell r="G611">
            <v>7.1759259259259189E-3</v>
          </cell>
        </row>
        <row r="612">
          <cell r="G612">
            <v>5.1157407407407263E-3</v>
          </cell>
        </row>
        <row r="613">
          <cell r="G613">
            <v>2.2916666666666363E-3</v>
          </cell>
        </row>
        <row r="614">
          <cell r="G614">
            <v>3.1018518518518556E-3</v>
          </cell>
        </row>
        <row r="615">
          <cell r="G615">
            <v>2.2453703703703698E-3</v>
          </cell>
        </row>
        <row r="616">
          <cell r="G616">
            <v>3.7592592592592622E-2</v>
          </cell>
        </row>
        <row r="617">
          <cell r="G617">
            <v>3.1828703703703498E-3</v>
          </cell>
        </row>
        <row r="618">
          <cell r="G618">
            <v>8.9814814814814792E-3</v>
          </cell>
        </row>
        <row r="619">
          <cell r="G619">
            <v>3.1018518518518556E-3</v>
          </cell>
        </row>
        <row r="620">
          <cell r="G620">
            <v>1.461805555555562E-2</v>
          </cell>
        </row>
        <row r="621">
          <cell r="G621">
            <v>1.7777777777777781E-2</v>
          </cell>
        </row>
        <row r="622">
          <cell r="G622">
            <v>1.3287037037037042E-2</v>
          </cell>
        </row>
        <row r="623">
          <cell r="G623">
            <v>1.3564814814814863E-2</v>
          </cell>
        </row>
        <row r="624">
          <cell r="G624">
            <v>1.3043981481481559E-2</v>
          </cell>
        </row>
        <row r="625">
          <cell r="G625">
            <v>1.4120370370370394E-2</v>
          </cell>
        </row>
        <row r="626">
          <cell r="G626">
            <v>1.2129629629629601E-2</v>
          </cell>
        </row>
        <row r="627">
          <cell r="G627">
            <v>1.3483796296296258E-2</v>
          </cell>
        </row>
        <row r="628">
          <cell r="G628">
            <v>9.8726851851851372E-3</v>
          </cell>
        </row>
        <row r="629">
          <cell r="G629">
            <v>1.1122685185185222E-2</v>
          </cell>
        </row>
        <row r="630">
          <cell r="G630">
            <v>8.2407407407406597E-3</v>
          </cell>
        </row>
        <row r="631">
          <cell r="G631">
            <v>1.3634259259259318E-2</v>
          </cell>
        </row>
        <row r="632">
          <cell r="G632">
            <v>4.0856481481481577E-3</v>
          </cell>
        </row>
        <row r="633">
          <cell r="G633">
            <v>2.2453703703703143E-3</v>
          </cell>
        </row>
        <row r="634">
          <cell r="G634">
            <v>2.7777777777777679E-3</v>
          </cell>
        </row>
        <row r="635">
          <cell r="G635">
            <v>2.2337962962961644E-3</v>
          </cell>
        </row>
        <row r="636">
          <cell r="G636">
            <v>2.3726851851852415E-3</v>
          </cell>
        </row>
        <row r="637">
          <cell r="G637">
            <v>7.7083333333332615E-3</v>
          </cell>
        </row>
        <row r="638">
          <cell r="G638">
            <v>7.268518518518452E-3</v>
          </cell>
        </row>
        <row r="639">
          <cell r="G639">
            <v>3.4490740740741321E-3</v>
          </cell>
        </row>
        <row r="640">
          <cell r="G640">
            <v>2.6041666666666852E-3</v>
          </cell>
        </row>
        <row r="641">
          <cell r="G641">
            <v>3.4490740740740211E-3</v>
          </cell>
        </row>
        <row r="642">
          <cell r="G642">
            <v>2.1990740740741588E-3</v>
          </cell>
        </row>
        <row r="643">
          <cell r="G643">
            <v>3.4722222222220989E-3</v>
          </cell>
        </row>
        <row r="644">
          <cell r="G644">
            <v>2.1875000000000089E-3</v>
          </cell>
        </row>
        <row r="645">
          <cell r="G645">
            <v>2.2106481481480866E-3</v>
          </cell>
        </row>
        <row r="646">
          <cell r="G646">
            <v>5.8344907407407387E-2</v>
          </cell>
        </row>
        <row r="647">
          <cell r="G647">
            <v>3.9120370370369084E-3</v>
          </cell>
        </row>
        <row r="648">
          <cell r="G648">
            <v>7.3379629629629073E-3</v>
          </cell>
        </row>
        <row r="649">
          <cell r="G649">
            <v>2.2800925925925974E-3</v>
          </cell>
        </row>
        <row r="650">
          <cell r="G650">
            <v>5.2199074074074092E-3</v>
          </cell>
        </row>
        <row r="651">
          <cell r="G651">
            <v>4.69907407407405E-3</v>
          </cell>
        </row>
        <row r="652">
          <cell r="G652">
            <v>4.3171296296296569E-3</v>
          </cell>
        </row>
        <row r="653">
          <cell r="G653">
            <v>4.0856481481481577E-3</v>
          </cell>
        </row>
        <row r="654">
          <cell r="G654">
            <v>2.9629629629630005E-3</v>
          </cell>
        </row>
        <row r="655">
          <cell r="G655">
            <v>2.4421296296296968E-3</v>
          </cell>
        </row>
        <row r="656">
          <cell r="G656">
            <v>4.6296296296295947E-3</v>
          </cell>
        </row>
        <row r="657">
          <cell r="G657">
            <v>5.4050925925926419E-3</v>
          </cell>
        </row>
        <row r="658">
          <cell r="G658">
            <v>5.0810185185185541E-3</v>
          </cell>
        </row>
        <row r="659">
          <cell r="G659">
            <v>3.460648148148171E-3</v>
          </cell>
        </row>
        <row r="660">
          <cell r="G660">
            <v>3.067129629629628E-3</v>
          </cell>
        </row>
        <row r="661">
          <cell r="G661">
            <v>6.678240740740693E-3</v>
          </cell>
        </row>
        <row r="662">
          <cell r="G662">
            <v>5.4050925925925863E-3</v>
          </cell>
        </row>
        <row r="663">
          <cell r="G663">
            <v>5.6249999999999911E-3</v>
          </cell>
        </row>
        <row r="664">
          <cell r="G664">
            <v>1.9675925925926041E-3</v>
          </cell>
        </row>
        <row r="665">
          <cell r="G665">
            <v>6.7152777777777783E-2</v>
          </cell>
        </row>
        <row r="666">
          <cell r="G666">
            <v>3.6458333333333481E-3</v>
          </cell>
        </row>
        <row r="667">
          <cell r="G667">
            <v>2.6851851851851238E-3</v>
          </cell>
        </row>
        <row r="668">
          <cell r="G668">
            <v>3.5995370370370816E-3</v>
          </cell>
        </row>
        <row r="669">
          <cell r="G669">
            <v>2.0497685185185133E-2</v>
          </cell>
        </row>
        <row r="670">
          <cell r="G670">
            <v>1.8344907407407351E-2</v>
          </cell>
        </row>
        <row r="671">
          <cell r="G671">
            <v>1.6481481481481541E-2</v>
          </cell>
        </row>
        <row r="672">
          <cell r="G672">
            <v>1.2164351851851829E-2</v>
          </cell>
        </row>
        <row r="673">
          <cell r="G673">
            <v>1.2453703703703689E-2</v>
          </cell>
        </row>
        <row r="674">
          <cell r="G674">
            <v>1.3090277777777826E-2</v>
          </cell>
        </row>
        <row r="675">
          <cell r="G675">
            <v>1.0046296296296275E-2</v>
          </cell>
        </row>
        <row r="676">
          <cell r="G676">
            <v>3.2291666666666163E-3</v>
          </cell>
        </row>
        <row r="677">
          <cell r="G677">
            <v>2.7893518518518068E-3</v>
          </cell>
        </row>
        <row r="678">
          <cell r="G678">
            <v>3.3217592592592604E-3</v>
          </cell>
        </row>
        <row r="679">
          <cell r="G679">
            <v>4.1550925925925908E-2</v>
          </cell>
        </row>
        <row r="680">
          <cell r="G680">
            <v>5.7523148148147518E-3</v>
          </cell>
        </row>
        <row r="681">
          <cell r="G681">
            <v>3.1365740740740833E-3</v>
          </cell>
        </row>
        <row r="682">
          <cell r="G682">
            <v>7.6620370370370505E-3</v>
          </cell>
        </row>
        <row r="683">
          <cell r="G683">
            <v>4.4907407407408506E-3</v>
          </cell>
        </row>
        <row r="684">
          <cell r="G684">
            <v>3.2870370370370328E-3</v>
          </cell>
        </row>
        <row r="685">
          <cell r="G685">
            <v>3.9814814814814747E-3</v>
          </cell>
        </row>
        <row r="686">
          <cell r="G686">
            <v>1.6631944444444269E-2</v>
          </cell>
        </row>
        <row r="687">
          <cell r="G687">
            <v>8.0439814814815547E-3</v>
          </cell>
        </row>
        <row r="688">
          <cell r="G688">
            <v>8.1250000000000488E-3</v>
          </cell>
        </row>
        <row r="689">
          <cell r="G689">
            <v>7.6504629629630116E-3</v>
          </cell>
        </row>
        <row r="690">
          <cell r="G690">
            <v>6.724537037037015E-3</v>
          </cell>
        </row>
        <row r="691">
          <cell r="G691">
            <v>6.0185185185185341E-3</v>
          </cell>
        </row>
        <row r="692">
          <cell r="G692">
            <v>2.1643518518518201E-3</v>
          </cell>
        </row>
        <row r="693">
          <cell r="G693">
            <v>2.083333333333437E-3</v>
          </cell>
        </row>
        <row r="694">
          <cell r="G694">
            <v>2.1874999999998979E-3</v>
          </cell>
        </row>
        <row r="695">
          <cell r="G695">
            <v>3.7962962962962976E-3</v>
          </cell>
        </row>
        <row r="696">
          <cell r="G696">
            <v>2.9745370370370394E-3</v>
          </cell>
        </row>
        <row r="697">
          <cell r="G697">
            <v>2.7430555555555958E-3</v>
          </cell>
        </row>
        <row r="698">
          <cell r="G698">
            <v>4.6064814814814614E-3</v>
          </cell>
        </row>
        <row r="699">
          <cell r="G699">
            <v>6.5277777777778545E-3</v>
          </cell>
        </row>
        <row r="700">
          <cell r="G700">
            <v>5.7291666666667296E-3</v>
          </cell>
        </row>
        <row r="701">
          <cell r="G701">
            <v>2.1412037037037424E-3</v>
          </cell>
        </row>
        <row r="702">
          <cell r="G702">
            <v>2.5810185185185519E-3</v>
          </cell>
        </row>
        <row r="703">
          <cell r="G703">
            <v>2.1064814814815147E-3</v>
          </cell>
        </row>
        <row r="704">
          <cell r="G704">
            <v>2.1296296296297035E-3</v>
          </cell>
        </row>
        <row r="705">
          <cell r="G705">
            <v>2.4999999999999467E-3</v>
          </cell>
        </row>
        <row r="706">
          <cell r="G706">
            <v>3.990740740740728E-2</v>
          </cell>
        </row>
        <row r="707">
          <cell r="G707">
            <v>3.9143518518518494E-2</v>
          </cell>
        </row>
        <row r="708">
          <cell r="G708">
            <v>3.7210648148148007E-2</v>
          </cell>
        </row>
        <row r="709">
          <cell r="G709">
            <v>3.4490740740740211E-3</v>
          </cell>
        </row>
        <row r="710">
          <cell r="G710">
            <v>2.8587962962964841E-3</v>
          </cell>
        </row>
        <row r="711">
          <cell r="G711">
            <v>1.656249999999998E-2</v>
          </cell>
        </row>
        <row r="712">
          <cell r="G712">
            <v>3.9814814814814192E-3</v>
          </cell>
        </row>
        <row r="713">
          <cell r="G713">
            <v>2.0949074074073648E-3</v>
          </cell>
        </row>
        <row r="714">
          <cell r="G714">
            <v>4.155092592592613E-3</v>
          </cell>
        </row>
        <row r="715">
          <cell r="G715">
            <v>2.9398148148148673E-3</v>
          </cell>
        </row>
        <row r="716">
          <cell r="G716">
            <v>1.4224537037037077E-2</v>
          </cell>
        </row>
        <row r="717">
          <cell r="G717">
            <v>5.6481481481480689E-3</v>
          </cell>
        </row>
        <row r="718">
          <cell r="G718">
            <v>7.9050925925926441E-3</v>
          </cell>
        </row>
        <row r="719">
          <cell r="G719">
            <v>2.0370370370370594E-3</v>
          </cell>
        </row>
        <row r="720">
          <cell r="G720">
            <v>3.0902777777777057E-3</v>
          </cell>
        </row>
        <row r="721">
          <cell r="G721">
            <v>2.1064814814815147E-3</v>
          </cell>
        </row>
        <row r="722">
          <cell r="G722">
            <v>2.1296296296295925E-3</v>
          </cell>
        </row>
        <row r="723">
          <cell r="G723">
            <v>8.3796296296296813E-3</v>
          </cell>
        </row>
        <row r="724">
          <cell r="G724">
            <v>2.083333333333437E-3</v>
          </cell>
        </row>
        <row r="725">
          <cell r="G725">
            <v>5.4629629629628917E-3</v>
          </cell>
        </row>
        <row r="726">
          <cell r="G726">
            <v>2.8356481481481843E-3</v>
          </cell>
        </row>
        <row r="727">
          <cell r="G727">
            <v>3.0092592592592671E-3</v>
          </cell>
        </row>
        <row r="728">
          <cell r="G728">
            <v>2.9050925925925841E-3</v>
          </cell>
        </row>
        <row r="729">
          <cell r="G729">
            <v>2.6273148148148184E-3</v>
          </cell>
        </row>
        <row r="730">
          <cell r="G730">
            <v>2.0486111111111538E-3</v>
          </cell>
        </row>
        <row r="731">
          <cell r="G731">
            <v>2.0717592592592871E-3</v>
          </cell>
        </row>
        <row r="732">
          <cell r="G732">
            <v>3.3912037037036047E-3</v>
          </cell>
        </row>
        <row r="733">
          <cell r="G733">
            <v>2.7430555555555403E-3</v>
          </cell>
        </row>
        <row r="734">
          <cell r="G734">
            <v>2.8819444444444509E-3</v>
          </cell>
        </row>
        <row r="735">
          <cell r="G735">
            <v>2.7777777777777679E-3</v>
          </cell>
        </row>
        <row r="736">
          <cell r="G736">
            <v>3.5532407407407041E-3</v>
          </cell>
        </row>
        <row r="737">
          <cell r="G737">
            <v>2.7777777777777679E-3</v>
          </cell>
        </row>
        <row r="738">
          <cell r="G738">
            <v>1.0833333333333361E-2</v>
          </cell>
        </row>
        <row r="739">
          <cell r="G739">
            <v>3.0868055555555607E-2</v>
          </cell>
        </row>
        <row r="740">
          <cell r="G740">
            <v>2.7893518518516958E-3</v>
          </cell>
        </row>
        <row r="741">
          <cell r="G741">
            <v>3.4143518518519045E-3</v>
          </cell>
        </row>
        <row r="742">
          <cell r="G742">
            <v>3.4606481481481155E-3</v>
          </cell>
        </row>
        <row r="743">
          <cell r="G743">
            <v>1.9409722222222259E-2</v>
          </cell>
        </row>
        <row r="744">
          <cell r="G744">
            <v>1.6377314814814803E-2</v>
          </cell>
        </row>
        <row r="745">
          <cell r="G745">
            <v>2.9166666666666785E-3</v>
          </cell>
        </row>
        <row r="746">
          <cell r="G746">
            <v>2.7430555555555958E-3</v>
          </cell>
        </row>
        <row r="747">
          <cell r="G747">
            <v>1.5879629629629577E-2</v>
          </cell>
        </row>
        <row r="748">
          <cell r="G748">
            <v>3.5879629629629317E-3</v>
          </cell>
        </row>
        <row r="749">
          <cell r="G749">
            <v>1.2141203703703751E-2</v>
          </cell>
        </row>
        <row r="750">
          <cell r="G750">
            <v>2.8356481481480733E-3</v>
          </cell>
        </row>
        <row r="751">
          <cell r="G751">
            <v>3.0324074074072893E-3</v>
          </cell>
        </row>
        <row r="752">
          <cell r="G752">
            <v>2.916666666666623E-3</v>
          </cell>
        </row>
        <row r="753">
          <cell r="G753">
            <v>5.2314814814815036E-3</v>
          </cell>
        </row>
        <row r="754">
          <cell r="G754">
            <v>4.7569444444444109E-3</v>
          </cell>
        </row>
        <row r="755">
          <cell r="G755">
            <v>2.7314814814814459E-3</v>
          </cell>
        </row>
        <row r="756">
          <cell r="G756">
            <v>1.1909722222222197E-2</v>
          </cell>
        </row>
        <row r="757">
          <cell r="G757">
            <v>1.2268518518518512E-2</v>
          </cell>
        </row>
        <row r="758">
          <cell r="G758">
            <v>1.5277777777777724E-2</v>
          </cell>
        </row>
        <row r="759">
          <cell r="G759">
            <v>4.4328703703703787E-3</v>
          </cell>
        </row>
        <row r="760">
          <cell r="G760">
            <v>1.0300925925925908E-2</v>
          </cell>
        </row>
        <row r="761">
          <cell r="G761">
            <v>5.3472222222221144E-3</v>
          </cell>
        </row>
        <row r="762">
          <cell r="G762">
            <v>2.7314814814815014E-3</v>
          </cell>
        </row>
        <row r="763">
          <cell r="G763">
            <v>2.6851851851852349E-3</v>
          </cell>
        </row>
        <row r="764">
          <cell r="G764">
            <v>1.1539351851851842E-2</v>
          </cell>
        </row>
        <row r="765">
          <cell r="G765">
            <v>9.8379629629629095E-3</v>
          </cell>
        </row>
        <row r="766">
          <cell r="G766">
            <v>9.2476851851851505E-3</v>
          </cell>
        </row>
        <row r="767">
          <cell r="G767">
            <v>6.7708333333333925E-3</v>
          </cell>
        </row>
        <row r="768">
          <cell r="G768">
            <v>7.9398148148147607E-3</v>
          </cell>
        </row>
        <row r="769">
          <cell r="G769">
            <v>9.9074074074074758E-3</v>
          </cell>
        </row>
        <row r="770">
          <cell r="G770">
            <v>5.1273148148148762E-3</v>
          </cell>
        </row>
        <row r="771">
          <cell r="G771">
            <v>5.7291666666666741E-3</v>
          </cell>
        </row>
        <row r="772">
          <cell r="G772">
            <v>6.030092592592573E-3</v>
          </cell>
        </row>
        <row r="773">
          <cell r="G773">
            <v>6.0532407407407618E-3</v>
          </cell>
        </row>
        <row r="774">
          <cell r="G774">
            <v>4.7685185185185608E-3</v>
          </cell>
        </row>
        <row r="775">
          <cell r="G775">
            <v>4.3171296296296013E-3</v>
          </cell>
        </row>
        <row r="776">
          <cell r="G776">
            <v>2.6967592592592737E-3</v>
          </cell>
        </row>
        <row r="777">
          <cell r="G777">
            <v>2.6620370370370461E-3</v>
          </cell>
        </row>
        <row r="778">
          <cell r="G778">
            <v>2.7083333333334236E-3</v>
          </cell>
        </row>
        <row r="779">
          <cell r="G779">
            <v>6.6435185185185208E-3</v>
          </cell>
        </row>
        <row r="780">
          <cell r="G780">
            <v>9.201388888888884E-3</v>
          </cell>
        </row>
        <row r="781">
          <cell r="G781">
            <v>1.3634259259259263E-2</v>
          </cell>
        </row>
        <row r="782">
          <cell r="G782">
            <v>1.3090277777777826E-2</v>
          </cell>
        </row>
        <row r="783">
          <cell r="G783">
            <v>1.2962962962962898E-2</v>
          </cell>
        </row>
        <row r="784">
          <cell r="G784">
            <v>7.4537037037036846E-3</v>
          </cell>
        </row>
        <row r="785">
          <cell r="G785">
            <v>1.3379629629629575E-2</v>
          </cell>
        </row>
        <row r="786">
          <cell r="G786">
            <v>2.8124999999999956E-3</v>
          </cell>
        </row>
        <row r="787">
          <cell r="G787">
            <v>1.7650462962962965E-2</v>
          </cell>
        </row>
        <row r="788">
          <cell r="G788">
            <v>4.9074074074074714E-3</v>
          </cell>
        </row>
        <row r="789">
          <cell r="G789">
            <v>2.2025462962962983E-2</v>
          </cell>
        </row>
        <row r="790">
          <cell r="G790">
            <v>2.6504629629630072E-3</v>
          </cell>
        </row>
        <row r="791">
          <cell r="G791">
            <v>6.2384259259258279E-3</v>
          </cell>
        </row>
        <row r="792">
          <cell r="G792">
            <v>4.6990740740739945E-3</v>
          </cell>
        </row>
        <row r="793">
          <cell r="G793">
            <v>4.6990740740739945E-3</v>
          </cell>
        </row>
        <row r="794">
          <cell r="G794">
            <v>2.9050925925926396E-3</v>
          </cell>
        </row>
        <row r="795">
          <cell r="G795">
            <v>2.6851851851851238E-3</v>
          </cell>
        </row>
        <row r="796">
          <cell r="G796">
            <v>2.6388888888888573E-3</v>
          </cell>
        </row>
        <row r="797">
          <cell r="G797">
            <v>2.6041666666666297E-3</v>
          </cell>
        </row>
        <row r="798">
          <cell r="G798">
            <v>4.9305555555555491E-3</v>
          </cell>
        </row>
        <row r="799">
          <cell r="G799">
            <v>2.6273148148148184E-3</v>
          </cell>
        </row>
        <row r="800">
          <cell r="G800">
            <v>2.8124999999999956E-3</v>
          </cell>
        </row>
        <row r="801">
          <cell r="G801">
            <v>7.1064814814815191E-3</v>
          </cell>
        </row>
        <row r="802">
          <cell r="G802">
            <v>3.1250000000000444E-3</v>
          </cell>
        </row>
        <row r="803">
          <cell r="G803">
            <v>6.7129629629629761E-3</v>
          </cell>
        </row>
        <row r="804">
          <cell r="G804">
            <v>5.0925925925925375E-3</v>
          </cell>
        </row>
        <row r="805">
          <cell r="G805">
            <v>2.6122685185185124E-2</v>
          </cell>
        </row>
        <row r="806">
          <cell r="G806">
            <v>5.9953703703703454E-3</v>
          </cell>
        </row>
        <row r="807">
          <cell r="G807">
            <v>1.034722222222223E-2</v>
          </cell>
        </row>
        <row r="808">
          <cell r="G808">
            <v>5.5092592592592693E-3</v>
          </cell>
        </row>
        <row r="809">
          <cell r="G809">
            <v>1.2025462962962974E-2</v>
          </cell>
        </row>
        <row r="810">
          <cell r="G810">
            <v>8.310185185185115E-3</v>
          </cell>
        </row>
        <row r="811">
          <cell r="G811">
            <v>6.4004629629630383E-3</v>
          </cell>
        </row>
        <row r="812">
          <cell r="G812">
            <v>3.7962962962962976E-3</v>
          </cell>
        </row>
        <row r="813">
          <cell r="G813">
            <v>2.6504629629629517E-3</v>
          </cell>
        </row>
        <row r="814">
          <cell r="G814">
            <v>3.9004629629629251E-3</v>
          </cell>
        </row>
        <row r="815">
          <cell r="G815">
            <v>2.6504629629628962E-3</v>
          </cell>
        </row>
        <row r="816">
          <cell r="G816">
            <v>2.6273148148148184E-3</v>
          </cell>
        </row>
        <row r="817">
          <cell r="G817">
            <v>4.8263888888888662E-3</v>
          </cell>
        </row>
        <row r="818">
          <cell r="G818">
            <v>3.0092592592592116E-3</v>
          </cell>
        </row>
        <row r="819">
          <cell r="G819">
            <v>6.7708333333332815E-3</v>
          </cell>
        </row>
        <row r="820">
          <cell r="G820">
            <v>6.8981481481482088E-3</v>
          </cell>
        </row>
        <row r="821">
          <cell r="G821">
            <v>3.1712962962962554E-3</v>
          </cell>
        </row>
        <row r="822">
          <cell r="G822">
            <v>3.6805555555555758E-3</v>
          </cell>
        </row>
        <row r="823">
          <cell r="G823">
            <v>2.9166666666666785E-3</v>
          </cell>
        </row>
        <row r="824">
          <cell r="G824">
            <v>2.4675925925925934E-2</v>
          </cell>
        </row>
        <row r="825">
          <cell r="G825">
            <v>2.6273148148148184E-3</v>
          </cell>
        </row>
        <row r="826">
          <cell r="G826">
            <v>2.7893518518518068E-3</v>
          </cell>
        </row>
      </sheetData>
      <sheetData sheetId="9">
        <row r="3">
          <cell r="G3">
            <v>2.5810185185185519E-3</v>
          </cell>
        </row>
        <row r="4">
          <cell r="G4">
            <v>5.1620370370369928E-3</v>
          </cell>
        </row>
        <row r="5">
          <cell r="G5">
            <v>2.5810185185185519E-3</v>
          </cell>
        </row>
        <row r="6">
          <cell r="G6">
            <v>5.0810185185184986E-3</v>
          </cell>
        </row>
        <row r="7">
          <cell r="G7">
            <v>9.1087962962962399E-3</v>
          </cell>
        </row>
        <row r="8">
          <cell r="G8">
            <v>3.4490740740741321E-3</v>
          </cell>
        </row>
        <row r="9">
          <cell r="G9">
            <v>5.4513888888888529E-3</v>
          </cell>
        </row>
        <row r="10">
          <cell r="G10">
            <v>6.2384259259259389E-3</v>
          </cell>
        </row>
        <row r="11">
          <cell r="G11">
            <v>4.2129629629630294E-3</v>
          </cell>
        </row>
        <row r="12">
          <cell r="G12">
            <v>3.2407407407406552E-3</v>
          </cell>
        </row>
        <row r="13">
          <cell r="G13">
            <v>1.0613425925925957E-2</v>
          </cell>
        </row>
        <row r="14">
          <cell r="G14">
            <v>2.5462962962963243E-3</v>
          </cell>
        </row>
        <row r="15">
          <cell r="G15">
            <v>1.5011574074074052E-2</v>
          </cell>
        </row>
        <row r="16">
          <cell r="G16">
            <v>2.34375E-2</v>
          </cell>
        </row>
        <row r="17">
          <cell r="G17">
            <v>2.5231481481480245E-3</v>
          </cell>
        </row>
        <row r="18">
          <cell r="G18">
            <v>2.5462962962963243E-3</v>
          </cell>
        </row>
        <row r="19">
          <cell r="G19">
            <v>3.3622685185185186E-2</v>
          </cell>
        </row>
        <row r="20">
          <cell r="G20">
            <v>3.2986111111110716E-3</v>
          </cell>
        </row>
        <row r="21">
          <cell r="G21">
            <v>3.8078703703703365E-3</v>
          </cell>
        </row>
        <row r="22">
          <cell r="G22">
            <v>2.5810185185184964E-3</v>
          </cell>
        </row>
        <row r="23">
          <cell r="G23">
            <v>1.1631944444444431E-2</v>
          </cell>
        </row>
        <row r="24">
          <cell r="G24">
            <v>2.4999999999999467E-3</v>
          </cell>
        </row>
        <row r="25">
          <cell r="G25">
            <v>2.1365740740740713E-2</v>
          </cell>
        </row>
        <row r="26">
          <cell r="G26">
            <v>5.8796296296296235E-3</v>
          </cell>
        </row>
        <row r="27">
          <cell r="G27">
            <v>2.8935185185184897E-3</v>
          </cell>
        </row>
        <row r="28">
          <cell r="G28">
            <v>2.5231481481482465E-3</v>
          </cell>
        </row>
        <row r="29">
          <cell r="G29">
            <v>2.5115740740740966E-3</v>
          </cell>
        </row>
        <row r="30">
          <cell r="G30">
            <v>3.5069444444444375E-3</v>
          </cell>
        </row>
        <row r="31">
          <cell r="G31">
            <v>2.5381944444444471E-2</v>
          </cell>
        </row>
        <row r="32">
          <cell r="G32">
            <v>3.3449074074074492E-3</v>
          </cell>
        </row>
        <row r="33">
          <cell r="G33">
            <v>2.5925925925925908E-3</v>
          </cell>
        </row>
        <row r="34">
          <cell r="G34">
            <v>2.5810185185185519E-3</v>
          </cell>
        </row>
        <row r="35">
          <cell r="G35">
            <v>3.6342592592593093E-3</v>
          </cell>
        </row>
        <row r="36">
          <cell r="G36">
            <v>2.5231481481481355E-3</v>
          </cell>
        </row>
        <row r="37">
          <cell r="G37">
            <v>2.5115740740740966E-3</v>
          </cell>
        </row>
        <row r="38">
          <cell r="G38">
            <v>2.4074074074075247E-3</v>
          </cell>
        </row>
        <row r="39">
          <cell r="G39">
            <v>6.3356481481481541E-2</v>
          </cell>
        </row>
        <row r="40">
          <cell r="G40">
            <v>8.4606481481481755E-3</v>
          </cell>
        </row>
        <row r="41">
          <cell r="G41">
            <v>3.4374999999999822E-3</v>
          </cell>
        </row>
        <row r="42">
          <cell r="G42">
            <v>1.2534722222222239E-2</v>
          </cell>
        </row>
        <row r="43">
          <cell r="G43">
            <v>1.3136574074074092E-2</v>
          </cell>
        </row>
        <row r="44">
          <cell r="G44">
            <v>1.214120370370364E-2</v>
          </cell>
        </row>
        <row r="45">
          <cell r="G45">
            <v>1.1087962962962994E-2</v>
          </cell>
        </row>
        <row r="46">
          <cell r="G46">
            <v>8.5300925925926308E-3</v>
          </cell>
        </row>
        <row r="47">
          <cell r="G47">
            <v>2.6504629629629517E-3</v>
          </cell>
        </row>
        <row r="48">
          <cell r="G48">
            <v>1.2777777777777777E-2</v>
          </cell>
        </row>
        <row r="49">
          <cell r="G49">
            <v>2.5115740740740966E-3</v>
          </cell>
        </row>
        <row r="50">
          <cell r="G50">
            <v>3.6689814814814814E-3</v>
          </cell>
        </row>
        <row r="51">
          <cell r="G51">
            <v>5.6134259259259522E-3</v>
          </cell>
        </row>
        <row r="52">
          <cell r="G52">
            <v>4.8842592592592826E-3</v>
          </cell>
        </row>
        <row r="53">
          <cell r="G53">
            <v>5.1273148148147651E-3</v>
          </cell>
        </row>
        <row r="54">
          <cell r="G54">
            <v>1.5219907407407418E-2</v>
          </cell>
        </row>
        <row r="55">
          <cell r="G55">
            <v>1.6655092592592569E-2</v>
          </cell>
        </row>
        <row r="56">
          <cell r="G56">
            <v>8.0324074074074048E-3</v>
          </cell>
        </row>
        <row r="57">
          <cell r="G57">
            <v>1.1840277777777852E-2</v>
          </cell>
        </row>
        <row r="58">
          <cell r="G58">
            <v>6.8402777777777368E-3</v>
          </cell>
        </row>
        <row r="59">
          <cell r="G59">
            <v>7.8703703703704164E-3</v>
          </cell>
        </row>
        <row r="60">
          <cell r="G60">
            <v>5.9722222222222676E-3</v>
          </cell>
        </row>
        <row r="61">
          <cell r="G61">
            <v>6.1458333333334059E-3</v>
          </cell>
        </row>
        <row r="62">
          <cell r="G62">
            <v>4.3750000000000178E-3</v>
          </cell>
        </row>
        <row r="63">
          <cell r="G63">
            <v>2.766203703703729E-3</v>
          </cell>
        </row>
        <row r="64">
          <cell r="G64">
            <v>2.4537037037036802E-3</v>
          </cell>
        </row>
        <row r="65">
          <cell r="G65">
            <v>5.6712962962963687E-3</v>
          </cell>
        </row>
        <row r="66">
          <cell r="G66">
            <v>2.4421296296297523E-3</v>
          </cell>
        </row>
        <row r="67">
          <cell r="G67">
            <v>2.4884259259259078E-3</v>
          </cell>
        </row>
        <row r="68">
          <cell r="G68">
            <v>2.476851851851869E-3</v>
          </cell>
        </row>
        <row r="69">
          <cell r="G69">
            <v>2.5925925925925908E-3</v>
          </cell>
        </row>
        <row r="70">
          <cell r="G70">
            <v>2.7430555555554292E-3</v>
          </cell>
        </row>
        <row r="71">
          <cell r="G71">
            <v>2.4652777777778301E-3</v>
          </cell>
        </row>
        <row r="72">
          <cell r="G72">
            <v>2.4421296296295858E-3</v>
          </cell>
        </row>
        <row r="73">
          <cell r="G73">
            <v>1.0520833333333313E-2</v>
          </cell>
        </row>
        <row r="74">
          <cell r="G74">
            <v>7.6967592592592227E-3</v>
          </cell>
        </row>
        <row r="75">
          <cell r="G75">
            <v>3.3912037037038267E-3</v>
          </cell>
        </row>
        <row r="76">
          <cell r="G76">
            <v>3.1250000000000444E-3</v>
          </cell>
        </row>
        <row r="77">
          <cell r="G77">
            <v>4.8611111111112049E-3</v>
          </cell>
        </row>
        <row r="78">
          <cell r="G78">
            <v>2.4421296296296413E-3</v>
          </cell>
        </row>
        <row r="79">
          <cell r="G79">
            <v>4.2361111111111072E-3</v>
          </cell>
        </row>
        <row r="80">
          <cell r="G80">
            <v>2.3784722222222276E-2</v>
          </cell>
        </row>
        <row r="81">
          <cell r="G81">
            <v>2.4884259259260189E-3</v>
          </cell>
        </row>
        <row r="82">
          <cell r="G82">
            <v>2.4189814814814525E-3</v>
          </cell>
        </row>
        <row r="83">
          <cell r="G83">
            <v>1.9259259259259309E-2</v>
          </cell>
        </row>
        <row r="84">
          <cell r="G84">
            <v>3.3912037037036602E-3</v>
          </cell>
        </row>
        <row r="85">
          <cell r="G85">
            <v>2.5925925925925908E-3</v>
          </cell>
        </row>
        <row r="86">
          <cell r="G86">
            <v>1.431712962962961E-2</v>
          </cell>
        </row>
        <row r="87">
          <cell r="G87">
            <v>3.7037037037037646E-3</v>
          </cell>
        </row>
        <row r="88">
          <cell r="G88">
            <v>9.8958333333333259E-3</v>
          </cell>
        </row>
        <row r="89">
          <cell r="G89">
            <v>2.4189814814814525E-3</v>
          </cell>
        </row>
        <row r="90">
          <cell r="G90">
            <v>1.1817129629629552E-2</v>
          </cell>
        </row>
        <row r="91">
          <cell r="G91">
            <v>4.0393518518518357E-3</v>
          </cell>
        </row>
        <row r="92">
          <cell r="G92">
            <v>2.4074074074073026E-3</v>
          </cell>
        </row>
        <row r="93">
          <cell r="G93">
            <v>2.3611111111110916E-3</v>
          </cell>
        </row>
        <row r="94">
          <cell r="G94">
            <v>2.2546296296296287E-2</v>
          </cell>
        </row>
        <row r="95">
          <cell r="G95">
            <v>2.4305555555556024E-3</v>
          </cell>
        </row>
        <row r="96">
          <cell r="G96">
            <v>2.9166666666666785E-3</v>
          </cell>
        </row>
        <row r="97">
          <cell r="G97">
            <v>2.4305555555554914E-3</v>
          </cell>
        </row>
        <row r="98">
          <cell r="G98">
            <v>6.5509259259259878E-3</v>
          </cell>
        </row>
        <row r="99">
          <cell r="G99">
            <v>4.9652777777777768E-3</v>
          </cell>
        </row>
        <row r="100">
          <cell r="G100">
            <v>3.3796296296296768E-3</v>
          </cell>
        </row>
        <row r="101">
          <cell r="G101">
            <v>2.5578703703703631E-3</v>
          </cell>
        </row>
        <row r="102">
          <cell r="G102">
            <v>6.3078703703703942E-3</v>
          </cell>
        </row>
        <row r="103">
          <cell r="G103">
            <v>3.9120370370370194E-3</v>
          </cell>
        </row>
        <row r="104">
          <cell r="G104">
            <v>5.3009259259259034E-3</v>
          </cell>
        </row>
        <row r="105">
          <cell r="G105">
            <v>4.0972222222222521E-3</v>
          </cell>
        </row>
        <row r="106">
          <cell r="G106">
            <v>1.3101851851851809E-2</v>
          </cell>
        </row>
        <row r="107">
          <cell r="G107">
            <v>7.1412037037036358E-3</v>
          </cell>
        </row>
        <row r="108">
          <cell r="G108">
            <v>2.9513888888889617E-3</v>
          </cell>
        </row>
        <row r="109">
          <cell r="G109">
            <v>3.1944444444443887E-3</v>
          </cell>
        </row>
        <row r="110">
          <cell r="G110">
            <v>2.8935185185185452E-3</v>
          </cell>
        </row>
        <row r="111">
          <cell r="G111">
            <v>2.6041666666666297E-3</v>
          </cell>
        </row>
        <row r="112">
          <cell r="G112">
            <v>2.4884259259259078E-3</v>
          </cell>
        </row>
        <row r="113">
          <cell r="G113">
            <v>4.0509259259258745E-3</v>
          </cell>
        </row>
        <row r="114">
          <cell r="G114">
            <v>2.4074074074074137E-3</v>
          </cell>
        </row>
        <row r="115">
          <cell r="G115">
            <v>3.9236111111111693E-3</v>
          </cell>
        </row>
        <row r="116">
          <cell r="G116">
            <v>2.3379629629629584E-3</v>
          </cell>
        </row>
        <row r="117">
          <cell r="G117">
            <v>2.3958333333333748E-3</v>
          </cell>
        </row>
        <row r="118">
          <cell r="G118">
            <v>3.4027777777778656E-3</v>
          </cell>
        </row>
        <row r="119">
          <cell r="G119">
            <v>2.7893518518518068E-3</v>
          </cell>
        </row>
        <row r="120">
          <cell r="G120">
            <v>2.372685185185186E-3</v>
          </cell>
        </row>
        <row r="121">
          <cell r="G121">
            <v>2.4305555555554914E-3</v>
          </cell>
        </row>
        <row r="122">
          <cell r="G122">
            <v>2.3263888888889195E-3</v>
          </cell>
        </row>
        <row r="123">
          <cell r="G123">
            <v>1.0648148148148184E-2</v>
          </cell>
        </row>
        <row r="124">
          <cell r="G124">
            <v>2.372685185185297E-3</v>
          </cell>
        </row>
        <row r="125">
          <cell r="G125">
            <v>2.3842592592593359E-3</v>
          </cell>
        </row>
        <row r="126">
          <cell r="G126">
            <v>2.5810185185186629E-3</v>
          </cell>
        </row>
        <row r="127">
          <cell r="G127">
            <v>2.3379629629629584E-3</v>
          </cell>
        </row>
        <row r="128">
          <cell r="G128">
            <v>2.3958333333333748E-3</v>
          </cell>
        </row>
        <row r="129">
          <cell r="G129">
            <v>2.5925925925925908E-3</v>
          </cell>
        </row>
        <row r="130">
          <cell r="G130">
            <v>2.280092592592653E-3</v>
          </cell>
        </row>
        <row r="131">
          <cell r="G131">
            <v>2.3379629629629584E-3</v>
          </cell>
        </row>
        <row r="132">
          <cell r="G132">
            <v>2.7777777777778234E-3</v>
          </cell>
        </row>
        <row r="133">
          <cell r="G133">
            <v>3.1597222222222721E-3</v>
          </cell>
        </row>
        <row r="134">
          <cell r="G134">
            <v>2.3379629629629584E-3</v>
          </cell>
        </row>
        <row r="135">
          <cell r="G135">
            <v>1.1134259259259316E-2</v>
          </cell>
        </row>
        <row r="136">
          <cell r="G136">
            <v>2.8587962962963176E-3</v>
          </cell>
        </row>
        <row r="137">
          <cell r="G137">
            <v>9.5717592592592937E-3</v>
          </cell>
        </row>
        <row r="138">
          <cell r="G138">
            <v>9.3634259259258723E-3</v>
          </cell>
        </row>
        <row r="139">
          <cell r="G139">
            <v>1.351851851851843E-2</v>
          </cell>
        </row>
        <row r="140">
          <cell r="G140">
            <v>1.0312499999999891E-2</v>
          </cell>
        </row>
        <row r="141">
          <cell r="G141">
            <v>5.1736111111111427E-3</v>
          </cell>
        </row>
        <row r="142">
          <cell r="G142">
            <v>4.641203703703578E-3</v>
          </cell>
        </row>
        <row r="143">
          <cell r="G143">
            <v>4.7800925925925997E-3</v>
          </cell>
        </row>
        <row r="144">
          <cell r="G144">
            <v>3.1249999999999334E-3</v>
          </cell>
        </row>
        <row r="145">
          <cell r="G145">
            <v>7.6388888888888618E-3</v>
          </cell>
        </row>
        <row r="146">
          <cell r="G146">
            <v>6.226851851851789E-3</v>
          </cell>
        </row>
        <row r="147">
          <cell r="G147">
            <v>9.2476851851851505E-3</v>
          </cell>
        </row>
        <row r="148">
          <cell r="G148">
            <v>6.2731481481481666E-3</v>
          </cell>
        </row>
        <row r="149">
          <cell r="G149">
            <v>3.564814814814854E-3</v>
          </cell>
        </row>
        <row r="150">
          <cell r="G150">
            <v>2.8356481481481843E-3</v>
          </cell>
        </row>
        <row r="151">
          <cell r="G151">
            <v>4.2939814814815236E-3</v>
          </cell>
        </row>
        <row r="152">
          <cell r="G152">
            <v>2.3032407407407307E-3</v>
          </cell>
        </row>
        <row r="153">
          <cell r="G153">
            <v>4.6990740740741055E-3</v>
          </cell>
        </row>
        <row r="154">
          <cell r="G154">
            <v>2.372685185185075E-3</v>
          </cell>
        </row>
        <row r="155">
          <cell r="G155">
            <v>2.3148148148147696E-3</v>
          </cell>
        </row>
        <row r="156">
          <cell r="G156">
            <v>2.2800925925925419E-3</v>
          </cell>
        </row>
        <row r="157">
          <cell r="G157">
            <v>6.3425925925927329E-3</v>
          </cell>
        </row>
        <row r="158">
          <cell r="G158">
            <v>1.08449074074074E-2</v>
          </cell>
        </row>
        <row r="159">
          <cell r="G159">
            <v>1.1516203703703765E-2</v>
          </cell>
        </row>
        <row r="160">
          <cell r="G160">
            <v>3.6805555555556313E-3</v>
          </cell>
        </row>
        <row r="161">
          <cell r="G161">
            <v>3.6342592592592537E-3</v>
          </cell>
        </row>
        <row r="162">
          <cell r="G162">
            <v>2.2685185185185031E-3</v>
          </cell>
        </row>
        <row r="163">
          <cell r="G163">
            <v>2.2800925925925974E-3</v>
          </cell>
        </row>
        <row r="164">
          <cell r="G164">
            <v>2.9282407407407174E-3</v>
          </cell>
        </row>
        <row r="165">
          <cell r="G165">
            <v>3.4837962962963043E-3</v>
          </cell>
        </row>
        <row r="166">
          <cell r="G166">
            <v>1.0555555555555485E-2</v>
          </cell>
        </row>
        <row r="167">
          <cell r="G167">
            <v>2.9050925925926396E-3</v>
          </cell>
        </row>
        <row r="168">
          <cell r="G168">
            <v>2.9745370370370949E-3</v>
          </cell>
        </row>
        <row r="169">
          <cell r="G169">
            <v>3.2986111111111827E-3</v>
          </cell>
        </row>
        <row r="170">
          <cell r="G170">
            <v>4.3981481481480955E-3</v>
          </cell>
        </row>
        <row r="171">
          <cell r="G171">
            <v>4.2939814814814126E-3</v>
          </cell>
        </row>
        <row r="172">
          <cell r="G172">
            <v>3.1250000000000444E-3</v>
          </cell>
        </row>
        <row r="173">
          <cell r="G173">
            <v>6.6898148148148984E-3</v>
          </cell>
        </row>
        <row r="174">
          <cell r="G174">
            <v>4.0856481481481577E-3</v>
          </cell>
        </row>
        <row r="175">
          <cell r="G175">
            <v>3.9236111111111693E-3</v>
          </cell>
        </row>
        <row r="176">
          <cell r="G176">
            <v>3.9699074074074359E-3</v>
          </cell>
        </row>
        <row r="177">
          <cell r="G177">
            <v>8.1481481481482376E-3</v>
          </cell>
        </row>
        <row r="178">
          <cell r="G178">
            <v>2.8587962962962621E-3</v>
          </cell>
        </row>
        <row r="179">
          <cell r="G179">
            <v>6.0185185185184231E-3</v>
          </cell>
        </row>
        <row r="180">
          <cell r="G180">
            <v>3.6458333333333481E-3</v>
          </cell>
        </row>
        <row r="181">
          <cell r="G181">
            <v>2.3379629629629584E-3</v>
          </cell>
        </row>
        <row r="182">
          <cell r="G182">
            <v>3.8657407407407529E-3</v>
          </cell>
        </row>
        <row r="183">
          <cell r="G183">
            <v>3.1018518518517446E-3</v>
          </cell>
        </row>
        <row r="184">
          <cell r="G184">
            <v>3.7384259259259367E-3</v>
          </cell>
        </row>
        <row r="185">
          <cell r="G185">
            <v>3.9930555555555691E-3</v>
          </cell>
        </row>
        <row r="186">
          <cell r="G186">
            <v>2.5925925925925908E-3</v>
          </cell>
        </row>
        <row r="187">
          <cell r="G187">
            <v>2.2337962962962754E-3</v>
          </cell>
        </row>
        <row r="188">
          <cell r="G188">
            <v>7.7662037037037335E-3</v>
          </cell>
        </row>
        <row r="189">
          <cell r="G189">
            <v>7.766203703703678E-3</v>
          </cell>
        </row>
        <row r="190">
          <cell r="G190">
            <v>5.6481481481481244E-3</v>
          </cell>
        </row>
        <row r="191">
          <cell r="G191">
            <v>1.7326388888888877E-2</v>
          </cell>
        </row>
        <row r="192">
          <cell r="G192">
            <v>2.3495370370370527E-3</v>
          </cell>
        </row>
        <row r="193">
          <cell r="G193">
            <v>2.7314814814814459E-3</v>
          </cell>
        </row>
        <row r="194">
          <cell r="G194">
            <v>1.8425925925925901E-2</v>
          </cell>
        </row>
        <row r="195">
          <cell r="G195">
            <v>6.0879629629629894E-3</v>
          </cell>
        </row>
        <row r="196">
          <cell r="G196">
            <v>4.5833333333333837E-3</v>
          </cell>
        </row>
        <row r="197">
          <cell r="G197">
            <v>4.1435185185185741E-3</v>
          </cell>
        </row>
        <row r="198">
          <cell r="G198">
            <v>2.4999999999999467E-3</v>
          </cell>
        </row>
        <row r="199">
          <cell r="G199">
            <v>1.0312500000000058E-2</v>
          </cell>
        </row>
        <row r="200">
          <cell r="G200">
            <v>1.1296296296296249E-2</v>
          </cell>
        </row>
        <row r="201">
          <cell r="G201">
            <v>1.1192129629629566E-2</v>
          </cell>
        </row>
        <row r="202">
          <cell r="G202">
            <v>4.6064814814814614E-3</v>
          </cell>
        </row>
        <row r="203">
          <cell r="G203">
            <v>1.186342592592593E-2</v>
          </cell>
        </row>
        <row r="204">
          <cell r="G204">
            <v>2.1296296296297035E-3</v>
          </cell>
        </row>
        <row r="205">
          <cell r="G205">
            <v>3.0902777777778168E-3</v>
          </cell>
        </row>
        <row r="206">
          <cell r="G206">
            <v>5.0810185185184986E-3</v>
          </cell>
        </row>
        <row r="207">
          <cell r="G207">
            <v>4.5138888888888173E-3</v>
          </cell>
        </row>
        <row r="208">
          <cell r="G208">
            <v>2.280092592592653E-3</v>
          </cell>
        </row>
        <row r="209">
          <cell r="G209">
            <v>2.2106481481480866E-3</v>
          </cell>
        </row>
        <row r="210">
          <cell r="G210">
            <v>3.1944444444443887E-3</v>
          </cell>
        </row>
        <row r="211">
          <cell r="G211">
            <v>2.1585648148148118E-2</v>
          </cell>
        </row>
        <row r="212">
          <cell r="G212">
            <v>2.2800925925925419E-3</v>
          </cell>
        </row>
        <row r="213">
          <cell r="G213">
            <v>2.2222222222222365E-3</v>
          </cell>
        </row>
        <row r="214">
          <cell r="G214">
            <v>1.7858796296296386E-2</v>
          </cell>
        </row>
        <row r="215">
          <cell r="G215">
            <v>1.8287037037037046E-2</v>
          </cell>
        </row>
        <row r="216">
          <cell r="G216">
            <v>5.8564814814814348E-3</v>
          </cell>
        </row>
        <row r="217">
          <cell r="G217">
            <v>2.2685185185185031E-3</v>
          </cell>
        </row>
        <row r="218">
          <cell r="G218">
            <v>6.2962962962962998E-3</v>
          </cell>
        </row>
        <row r="219">
          <cell r="G219">
            <v>5.5092592592592138E-3</v>
          </cell>
        </row>
        <row r="220">
          <cell r="G220">
            <v>3.4606481481481155E-3</v>
          </cell>
        </row>
        <row r="221">
          <cell r="G221">
            <v>1.6458333333333353E-2</v>
          </cell>
        </row>
        <row r="222">
          <cell r="G222">
            <v>4.4444444444444731E-3</v>
          </cell>
        </row>
        <row r="223">
          <cell r="G223">
            <v>3.8541666666666585E-3</v>
          </cell>
        </row>
        <row r="224">
          <cell r="G224">
            <v>7.1527777777777857E-3</v>
          </cell>
        </row>
        <row r="225">
          <cell r="G225">
            <v>6.0532407407406508E-3</v>
          </cell>
        </row>
        <row r="226">
          <cell r="G226">
            <v>4.8842592592591716E-3</v>
          </cell>
        </row>
        <row r="227">
          <cell r="G227">
            <v>3.8425925925925641E-3</v>
          </cell>
        </row>
        <row r="228">
          <cell r="G228">
            <v>4.9652777777777768E-3</v>
          </cell>
        </row>
        <row r="229">
          <cell r="G229">
            <v>7.0833333333333304E-3</v>
          </cell>
        </row>
        <row r="230">
          <cell r="G230">
            <v>4.9652777777777768E-3</v>
          </cell>
        </row>
        <row r="231">
          <cell r="G231">
            <v>3.6458333333333481E-3</v>
          </cell>
        </row>
        <row r="232">
          <cell r="G232">
            <v>3.8773148148147918E-3</v>
          </cell>
        </row>
        <row r="233">
          <cell r="G233">
            <v>3.8425925925926196E-3</v>
          </cell>
        </row>
        <row r="234">
          <cell r="G234">
            <v>2.962962962962945E-3</v>
          </cell>
        </row>
        <row r="235">
          <cell r="G235">
            <v>2.9398148148148118E-3</v>
          </cell>
        </row>
        <row r="236">
          <cell r="G236">
            <v>2.9629629629630005E-3</v>
          </cell>
        </row>
        <row r="237">
          <cell r="G237">
            <v>2.9513888888889062E-3</v>
          </cell>
        </row>
        <row r="238">
          <cell r="G238">
            <v>3.4490740740740766E-3</v>
          </cell>
        </row>
        <row r="239">
          <cell r="G239">
            <v>3.7499999999999201E-3</v>
          </cell>
        </row>
        <row r="240">
          <cell r="G240">
            <v>2.9050925925926396E-3</v>
          </cell>
        </row>
        <row r="241">
          <cell r="G241">
            <v>3.564814814814854E-3</v>
          </cell>
        </row>
        <row r="242">
          <cell r="G242">
            <v>5.2546296296296369E-3</v>
          </cell>
        </row>
        <row r="243">
          <cell r="G243">
            <v>4.1203703703703853E-3</v>
          </cell>
        </row>
        <row r="244">
          <cell r="G244">
            <v>9.4328703703703276E-3</v>
          </cell>
        </row>
        <row r="245">
          <cell r="G245">
            <v>4.1319444444444242E-3</v>
          </cell>
        </row>
        <row r="246">
          <cell r="G246">
            <v>1.9537037037037019E-2</v>
          </cell>
        </row>
        <row r="247">
          <cell r="G247">
            <v>1.9733796296296235E-2</v>
          </cell>
        </row>
        <row r="248">
          <cell r="G248">
            <v>1.5960648148148127E-2</v>
          </cell>
        </row>
        <row r="249">
          <cell r="G249">
            <v>1.6030092592592582E-2</v>
          </cell>
        </row>
        <row r="250">
          <cell r="G250">
            <v>1.5034722222222241E-2</v>
          </cell>
        </row>
        <row r="251">
          <cell r="G251">
            <v>1.2210648148148096E-2</v>
          </cell>
        </row>
        <row r="252">
          <cell r="G252">
            <v>1.1342592592592626E-2</v>
          </cell>
        </row>
        <row r="253">
          <cell r="G253">
            <v>1.2777777777777777E-2</v>
          </cell>
        </row>
        <row r="254">
          <cell r="G254">
            <v>9.7685185185184542E-3</v>
          </cell>
        </row>
        <row r="255">
          <cell r="G255">
            <v>9.6412037037036935E-3</v>
          </cell>
        </row>
        <row r="256">
          <cell r="G256">
            <v>8.1597222222221655E-3</v>
          </cell>
        </row>
        <row r="257">
          <cell r="G257">
            <v>3.7731481481481088E-3</v>
          </cell>
        </row>
        <row r="258">
          <cell r="G258">
            <v>1.4074074074074128E-2</v>
          </cell>
        </row>
        <row r="259">
          <cell r="G259">
            <v>3.1250000000000444E-3</v>
          </cell>
        </row>
        <row r="260">
          <cell r="G260">
            <v>3.0324074074074003E-3</v>
          </cell>
        </row>
        <row r="261">
          <cell r="G261">
            <v>1.4351851851851838E-2</v>
          </cell>
        </row>
        <row r="262">
          <cell r="G262">
            <v>2.9398148148148673E-3</v>
          </cell>
        </row>
        <row r="263">
          <cell r="G263">
            <v>5.3240740740739811E-3</v>
          </cell>
        </row>
        <row r="264">
          <cell r="G264">
            <v>6.770833333333337E-3</v>
          </cell>
        </row>
        <row r="265">
          <cell r="G265">
            <v>3.8657407407407529E-3</v>
          </cell>
        </row>
        <row r="266">
          <cell r="G266">
            <v>4.6875000000000111E-3</v>
          </cell>
        </row>
        <row r="267">
          <cell r="G267">
            <v>3.807870370370392E-3</v>
          </cell>
        </row>
        <row r="268">
          <cell r="G268">
            <v>3.9236111111111693E-3</v>
          </cell>
        </row>
        <row r="269">
          <cell r="G269">
            <v>3.067129629629628E-3</v>
          </cell>
        </row>
        <row r="270">
          <cell r="G270">
            <v>2.9282407407407729E-3</v>
          </cell>
        </row>
        <row r="271">
          <cell r="G271">
            <v>2.3749999999999993E-2</v>
          </cell>
        </row>
        <row r="272">
          <cell r="G272">
            <v>2.228009259259256E-2</v>
          </cell>
        </row>
        <row r="273">
          <cell r="G273">
            <v>1.5208333333333379E-2</v>
          </cell>
        </row>
        <row r="274">
          <cell r="G274">
            <v>1.4907407407407369E-2</v>
          </cell>
        </row>
        <row r="275">
          <cell r="G275">
            <v>1.4201388888888888E-2</v>
          </cell>
        </row>
        <row r="276">
          <cell r="G276">
            <v>1.0925925925925895E-2</v>
          </cell>
        </row>
        <row r="277">
          <cell r="G277">
            <v>1.230324074074074E-2</v>
          </cell>
        </row>
        <row r="278">
          <cell r="G278">
            <v>8.9467592592592515E-3</v>
          </cell>
        </row>
        <row r="279">
          <cell r="G279">
            <v>5.5671296296295747E-3</v>
          </cell>
        </row>
        <row r="280">
          <cell r="G280">
            <v>4.6180555555555003E-3</v>
          </cell>
        </row>
        <row r="281">
          <cell r="G281">
            <v>6.0185185185185341E-3</v>
          </cell>
        </row>
        <row r="282">
          <cell r="G282">
            <v>5.3819444444445086E-3</v>
          </cell>
        </row>
        <row r="283">
          <cell r="G283">
            <v>3.7847222222221477E-3</v>
          </cell>
        </row>
        <row r="284">
          <cell r="G284">
            <v>3.3680555555555269E-3</v>
          </cell>
        </row>
        <row r="285">
          <cell r="G285">
            <v>5.5555555555555358E-3</v>
          </cell>
        </row>
        <row r="286">
          <cell r="G286">
            <v>4.5601851851851949E-3</v>
          </cell>
        </row>
        <row r="287">
          <cell r="G287">
            <v>2.9166666666666785E-3</v>
          </cell>
        </row>
        <row r="288">
          <cell r="G288">
            <v>2.8935185185186008E-3</v>
          </cell>
        </row>
        <row r="289">
          <cell r="G289">
            <v>2.8935185185184897E-3</v>
          </cell>
        </row>
        <row r="290">
          <cell r="G290">
            <v>2.1087962962963114E-2</v>
          </cell>
        </row>
        <row r="291">
          <cell r="G291">
            <v>2.8935185185184897E-3</v>
          </cell>
        </row>
        <row r="292">
          <cell r="G292">
            <v>4.3402777777777346E-3</v>
          </cell>
        </row>
        <row r="293">
          <cell r="G293">
            <v>1.8472222222222223E-2</v>
          </cell>
        </row>
        <row r="294">
          <cell r="G294">
            <v>1.722222222222225E-2</v>
          </cell>
        </row>
        <row r="295">
          <cell r="G295">
            <v>5.2662037037036757E-3</v>
          </cell>
        </row>
        <row r="296">
          <cell r="G296">
            <v>3.7268518518518423E-3</v>
          </cell>
        </row>
        <row r="297">
          <cell r="G297">
            <v>4.4918981481481435E-2</v>
          </cell>
        </row>
        <row r="298">
          <cell r="G298">
            <v>5.5671296296295747E-3</v>
          </cell>
        </row>
        <row r="299">
          <cell r="G299">
            <v>3.5763888888888373E-3</v>
          </cell>
        </row>
        <row r="300">
          <cell r="G300">
            <v>6.6550925925925597E-3</v>
          </cell>
        </row>
        <row r="301">
          <cell r="G301">
            <v>3.3333333333333548E-3</v>
          </cell>
        </row>
        <row r="302">
          <cell r="G302">
            <v>7.0370370370370638E-3</v>
          </cell>
        </row>
        <row r="303">
          <cell r="G303">
            <v>2.8240740740740344E-3</v>
          </cell>
        </row>
        <row r="304">
          <cell r="G304">
            <v>5.3240740740740922E-3</v>
          </cell>
        </row>
        <row r="305">
          <cell r="G305">
            <v>6.8171296296296591E-3</v>
          </cell>
        </row>
        <row r="306">
          <cell r="G306">
            <v>4.35185185185194E-3</v>
          </cell>
        </row>
        <row r="307">
          <cell r="G307">
            <v>3.4837962962963598E-3</v>
          </cell>
        </row>
        <row r="308">
          <cell r="G308">
            <v>2.8935185185184897E-3</v>
          </cell>
        </row>
        <row r="309">
          <cell r="G309">
            <v>1.4421296296296182E-2</v>
          </cell>
        </row>
        <row r="310">
          <cell r="G310">
            <v>2.8124999999999956E-3</v>
          </cell>
        </row>
        <row r="311">
          <cell r="G311">
            <v>1.1620370370370225E-2</v>
          </cell>
        </row>
        <row r="312">
          <cell r="G312">
            <v>2.8587962962962621E-3</v>
          </cell>
        </row>
        <row r="313">
          <cell r="G313">
            <v>9.490740740740744E-3</v>
          </cell>
        </row>
        <row r="314">
          <cell r="G314">
            <v>9.7222222222221877E-3</v>
          </cell>
        </row>
        <row r="315">
          <cell r="G315">
            <v>4.849537037037055E-3</v>
          </cell>
        </row>
        <row r="316">
          <cell r="G316">
            <v>2.9745370370370949E-3</v>
          </cell>
        </row>
        <row r="317">
          <cell r="G317">
            <v>4.8958333333333215E-3</v>
          </cell>
        </row>
        <row r="318">
          <cell r="G318">
            <v>2.673611111111085E-3</v>
          </cell>
        </row>
        <row r="319">
          <cell r="G319">
            <v>2.8009259259259012E-3</v>
          </cell>
        </row>
        <row r="320">
          <cell r="G320">
            <v>3.2870370370370328E-3</v>
          </cell>
        </row>
        <row r="321">
          <cell r="G321">
            <v>3.3796296296296213E-3</v>
          </cell>
        </row>
        <row r="322">
          <cell r="G322">
            <v>4.3287037037036957E-3</v>
          </cell>
        </row>
        <row r="323">
          <cell r="G323">
            <v>3.5879629629629317E-3</v>
          </cell>
        </row>
        <row r="324">
          <cell r="G324">
            <v>3.5185185185185874E-3</v>
          </cell>
        </row>
        <row r="325">
          <cell r="G325">
            <v>2.9398148148147563E-3</v>
          </cell>
        </row>
        <row r="326">
          <cell r="G326">
            <v>8.4143518518519089E-3</v>
          </cell>
        </row>
        <row r="327">
          <cell r="G327">
            <v>7.3263888888889239E-3</v>
          </cell>
        </row>
        <row r="328">
          <cell r="G328">
            <v>5.8449074074073959E-3</v>
          </cell>
        </row>
        <row r="329">
          <cell r="G329">
            <v>3.9004629629629806E-3</v>
          </cell>
        </row>
        <row r="330">
          <cell r="G330">
            <v>3.8657407407407529E-3</v>
          </cell>
        </row>
        <row r="331">
          <cell r="G331">
            <v>2.766203703703729E-3</v>
          </cell>
        </row>
        <row r="332">
          <cell r="G332">
            <v>4.4675925925926618E-3</v>
          </cell>
        </row>
        <row r="333">
          <cell r="G333">
            <v>3.4374999999999822E-3</v>
          </cell>
        </row>
        <row r="334">
          <cell r="G334">
            <v>2.8124999999999956E-3</v>
          </cell>
        </row>
        <row r="335">
          <cell r="G335">
            <v>3.2986111111110716E-3</v>
          </cell>
        </row>
        <row r="336">
          <cell r="G336">
            <v>3.0208333333332504E-3</v>
          </cell>
        </row>
        <row r="337">
          <cell r="G337">
            <v>2.7314814814816124E-3</v>
          </cell>
        </row>
        <row r="338">
          <cell r="G338">
            <v>3.8425925925925641E-3</v>
          </cell>
        </row>
        <row r="339">
          <cell r="G339">
            <v>2.766203703703618E-3</v>
          </cell>
        </row>
        <row r="340">
          <cell r="G340">
            <v>2.766203703703729E-3</v>
          </cell>
        </row>
        <row r="341">
          <cell r="G341">
            <v>3.0208333333333615E-3</v>
          </cell>
        </row>
        <row r="342">
          <cell r="G342">
            <v>3.0787037037036669E-3</v>
          </cell>
        </row>
        <row r="343">
          <cell r="G343">
            <v>2.81249999999994E-3</v>
          </cell>
        </row>
        <row r="344">
          <cell r="G344">
            <v>3.4837962962963043E-3</v>
          </cell>
        </row>
        <row r="345">
          <cell r="G345">
            <v>4.6759259259259722E-3</v>
          </cell>
        </row>
        <row r="346">
          <cell r="G346">
            <v>2.7430555555555403E-3</v>
          </cell>
        </row>
        <row r="347">
          <cell r="G347">
            <v>2.7314814814815014E-3</v>
          </cell>
        </row>
        <row r="348">
          <cell r="G348">
            <v>2.8240740740741455E-3</v>
          </cell>
        </row>
        <row r="349">
          <cell r="G349">
            <v>2.8819444444444509E-3</v>
          </cell>
        </row>
        <row r="350">
          <cell r="G350">
            <v>1.6736111111111063E-2</v>
          </cell>
        </row>
        <row r="351">
          <cell r="G351">
            <v>2.7546296296296902E-3</v>
          </cell>
        </row>
        <row r="352">
          <cell r="G352">
            <v>3.2291666666667274E-3</v>
          </cell>
        </row>
        <row r="353">
          <cell r="G353">
            <v>4.8726851851851882E-3</v>
          </cell>
        </row>
        <row r="354">
          <cell r="G354">
            <v>2.7430555555555958E-3</v>
          </cell>
        </row>
        <row r="355">
          <cell r="G355">
            <v>4.2129629629629184E-3</v>
          </cell>
        </row>
        <row r="356">
          <cell r="G356">
            <v>3.8773148148149028E-3</v>
          </cell>
        </row>
        <row r="357">
          <cell r="G357">
            <v>3.0439814814814947E-3</v>
          </cell>
        </row>
        <row r="358">
          <cell r="G358">
            <v>3.4374999999999822E-3</v>
          </cell>
        </row>
        <row r="359">
          <cell r="G359">
            <v>3.5879629629629317E-3</v>
          </cell>
        </row>
        <row r="360">
          <cell r="G360">
            <v>3.6689814814814259E-3</v>
          </cell>
        </row>
        <row r="361">
          <cell r="G361">
            <v>8.657407407407447E-3</v>
          </cell>
        </row>
        <row r="362">
          <cell r="G362">
            <v>9.1550925925925619E-3</v>
          </cell>
        </row>
        <row r="363">
          <cell r="G363">
            <v>8.3449074074073426E-3</v>
          </cell>
        </row>
        <row r="364">
          <cell r="G364">
            <v>1.2835648148148249E-2</v>
          </cell>
        </row>
        <row r="365">
          <cell r="G365">
            <v>1.1238425925925888E-2</v>
          </cell>
        </row>
        <row r="366">
          <cell r="G366">
            <v>2.9745370370369839E-3</v>
          </cell>
        </row>
        <row r="367">
          <cell r="G367">
            <v>3.3449074074073382E-3</v>
          </cell>
        </row>
        <row r="368">
          <cell r="G368">
            <v>4.9189814814815103E-3</v>
          </cell>
        </row>
        <row r="369">
          <cell r="G369">
            <v>2.6851851851851238E-3</v>
          </cell>
        </row>
        <row r="370">
          <cell r="G370">
            <v>7.2453703703703187E-3</v>
          </cell>
        </row>
        <row r="371">
          <cell r="G371">
            <v>5.5902777777777635E-3</v>
          </cell>
        </row>
        <row r="372">
          <cell r="G372">
            <v>3.9351851851852082E-3</v>
          </cell>
        </row>
        <row r="373">
          <cell r="G373">
            <v>2.673611111111196E-3</v>
          </cell>
        </row>
        <row r="374">
          <cell r="G374">
            <v>2.8240740740741455E-3</v>
          </cell>
        </row>
        <row r="375">
          <cell r="G375">
            <v>2.673611111111085E-3</v>
          </cell>
        </row>
        <row r="376">
          <cell r="G376">
            <v>2.673611111111085E-3</v>
          </cell>
        </row>
        <row r="377">
          <cell r="G377">
            <v>2.6967592592592737E-3</v>
          </cell>
        </row>
        <row r="378">
          <cell r="G378">
            <v>2.6851851851852349E-3</v>
          </cell>
        </row>
        <row r="379">
          <cell r="G379">
            <v>2.8009259259259012E-3</v>
          </cell>
        </row>
        <row r="380">
          <cell r="G380">
            <v>3.7962962962962976E-3</v>
          </cell>
        </row>
        <row r="381">
          <cell r="G381">
            <v>2.9050925925926396E-3</v>
          </cell>
        </row>
        <row r="382">
          <cell r="G382">
            <v>5.8796296296296235E-3</v>
          </cell>
        </row>
        <row r="383">
          <cell r="G383">
            <v>2.673611111111085E-3</v>
          </cell>
        </row>
        <row r="384">
          <cell r="G384">
            <v>2.8935185185184897E-3</v>
          </cell>
        </row>
        <row r="385">
          <cell r="G385">
            <v>2.7314814814815014E-3</v>
          </cell>
        </row>
        <row r="386">
          <cell r="G386">
            <v>2.6620370370369351E-3</v>
          </cell>
        </row>
        <row r="387">
          <cell r="G387">
            <v>4.2824074074073737E-3</v>
          </cell>
        </row>
        <row r="388">
          <cell r="G388">
            <v>1.2245370370370379E-2</v>
          </cell>
        </row>
        <row r="389">
          <cell r="G389">
            <v>4.2245370370370683E-3</v>
          </cell>
        </row>
        <row r="390">
          <cell r="G390">
            <v>4.4560185185185119E-3</v>
          </cell>
        </row>
        <row r="391">
          <cell r="G391">
            <v>5.2199074074074647E-3</v>
          </cell>
        </row>
        <row r="392">
          <cell r="G392">
            <v>5.0231481481481377E-3</v>
          </cell>
        </row>
        <row r="393">
          <cell r="G393">
            <v>4.1435185185185186E-3</v>
          </cell>
        </row>
        <row r="394">
          <cell r="G394">
            <v>2.6504629629629517E-3</v>
          </cell>
        </row>
        <row r="395">
          <cell r="G395">
            <v>2.7083333333333126E-3</v>
          </cell>
        </row>
        <row r="396">
          <cell r="G396">
            <v>3.5879629629630427E-3</v>
          </cell>
        </row>
        <row r="397">
          <cell r="G397">
            <v>4.3055555555555625E-3</v>
          </cell>
        </row>
        <row r="398">
          <cell r="G398">
            <v>2.6504629629630072E-3</v>
          </cell>
        </row>
        <row r="399">
          <cell r="G399">
            <v>1.5277777777777835E-2</v>
          </cell>
        </row>
        <row r="400">
          <cell r="G400">
            <v>7.4421296296295347E-3</v>
          </cell>
        </row>
        <row r="401">
          <cell r="G401">
            <v>5.9722222222221566E-3</v>
          </cell>
        </row>
        <row r="402">
          <cell r="G402">
            <v>3.3449074074073382E-3</v>
          </cell>
        </row>
        <row r="403">
          <cell r="G403">
            <v>2.7314814814816124E-3</v>
          </cell>
        </row>
        <row r="404">
          <cell r="G404">
            <v>5.4861111111110805E-3</v>
          </cell>
        </row>
        <row r="405">
          <cell r="G405">
            <v>4.8379629629630161E-3</v>
          </cell>
        </row>
        <row r="406">
          <cell r="G406">
            <v>2.673611111111085E-3</v>
          </cell>
        </row>
        <row r="407">
          <cell r="G407">
            <v>2.673611111111085E-3</v>
          </cell>
        </row>
        <row r="408">
          <cell r="G408">
            <v>3.1481481481482332E-3</v>
          </cell>
        </row>
        <row r="409">
          <cell r="G409">
            <v>2.6620370370370461E-3</v>
          </cell>
        </row>
        <row r="410">
          <cell r="G410">
            <v>2.6388888888888573E-3</v>
          </cell>
        </row>
        <row r="411">
          <cell r="G411">
            <v>4.0740740740741188E-3</v>
          </cell>
        </row>
        <row r="412">
          <cell r="G412">
            <v>3.3680555555555269E-3</v>
          </cell>
        </row>
        <row r="413">
          <cell r="G413">
            <v>2.6967592592592737E-3</v>
          </cell>
        </row>
        <row r="414">
          <cell r="G414">
            <v>4.4212962962962843E-3</v>
          </cell>
        </row>
        <row r="415">
          <cell r="G415">
            <v>2.6851851851852349E-3</v>
          </cell>
        </row>
        <row r="416">
          <cell r="G416">
            <v>5.2314814814815036E-3</v>
          </cell>
        </row>
        <row r="417">
          <cell r="G417">
            <v>9.1087962962963509E-3</v>
          </cell>
        </row>
        <row r="418">
          <cell r="G418">
            <v>1.4583333333333337E-2</v>
          </cell>
        </row>
        <row r="419">
          <cell r="G419">
            <v>2.3206018518518556E-2</v>
          </cell>
        </row>
        <row r="420">
          <cell r="G420">
            <v>1.787037037037037E-2</v>
          </cell>
        </row>
        <row r="421">
          <cell r="G421">
            <v>1.5821759259259272E-2</v>
          </cell>
        </row>
        <row r="422">
          <cell r="G422">
            <v>1.1967592592592557E-2</v>
          </cell>
        </row>
        <row r="423">
          <cell r="G423">
            <v>1.0995370370370294E-2</v>
          </cell>
        </row>
        <row r="424">
          <cell r="G424">
            <v>1.1041666666666672E-2</v>
          </cell>
        </row>
        <row r="425">
          <cell r="G425">
            <v>9.5254629629630272E-3</v>
          </cell>
        </row>
        <row r="426">
          <cell r="G426">
            <v>2.8009259259259012E-3</v>
          </cell>
        </row>
        <row r="427">
          <cell r="G427">
            <v>2.3298611111111145E-2</v>
          </cell>
        </row>
        <row r="428">
          <cell r="G428">
            <v>2.6157407407407796E-3</v>
          </cell>
        </row>
        <row r="429">
          <cell r="G429">
            <v>1.599537037037041E-2</v>
          </cell>
        </row>
        <row r="430">
          <cell r="G430">
            <v>1.1828703703703702E-2</v>
          </cell>
        </row>
        <row r="431">
          <cell r="G431">
            <v>4.6527777777777835E-3</v>
          </cell>
        </row>
        <row r="432">
          <cell r="G432">
            <v>3.5879629629629317E-3</v>
          </cell>
        </row>
        <row r="433">
          <cell r="G433">
            <v>1.3148148148148242E-2</v>
          </cell>
        </row>
        <row r="434">
          <cell r="G434">
            <v>5.7291666666666741E-3</v>
          </cell>
        </row>
        <row r="435">
          <cell r="G435">
            <v>1.8055555555555602E-2</v>
          </cell>
        </row>
        <row r="436">
          <cell r="G436">
            <v>1.7037037037037073E-2</v>
          </cell>
        </row>
        <row r="437">
          <cell r="G437">
            <v>1.5729166666666683E-2</v>
          </cell>
        </row>
        <row r="438">
          <cell r="G438">
            <v>1.1655092592592675E-2</v>
          </cell>
        </row>
        <row r="439">
          <cell r="G439">
            <v>8.2986111111110761E-3</v>
          </cell>
        </row>
        <row r="440">
          <cell r="G440">
            <v>7.8472222222222276E-3</v>
          </cell>
        </row>
        <row r="441">
          <cell r="G441">
            <v>8.310185185185115E-3</v>
          </cell>
        </row>
        <row r="442">
          <cell r="G442">
            <v>3.657407407407387E-3</v>
          </cell>
        </row>
        <row r="443">
          <cell r="G443">
            <v>5.5092592592593803E-3</v>
          </cell>
        </row>
        <row r="444">
          <cell r="G444">
            <v>2.6620370370370461E-3</v>
          </cell>
        </row>
        <row r="445">
          <cell r="G445">
            <v>3.0555555555554781E-3</v>
          </cell>
        </row>
        <row r="446">
          <cell r="G446">
            <v>2.6157407407407796E-3</v>
          </cell>
        </row>
        <row r="447">
          <cell r="G447">
            <v>2.7777777777777679E-3</v>
          </cell>
        </row>
        <row r="448">
          <cell r="G448">
            <v>3.4143518518519045E-3</v>
          </cell>
        </row>
        <row r="449">
          <cell r="G449">
            <v>2.6388888888889683E-3</v>
          </cell>
        </row>
        <row r="450">
          <cell r="G450">
            <v>2.5925925925926463E-3</v>
          </cell>
        </row>
        <row r="451">
          <cell r="G451">
            <v>1.461805555555562E-2</v>
          </cell>
        </row>
        <row r="452">
          <cell r="G452">
            <v>3.1828703703702943E-3</v>
          </cell>
        </row>
        <row r="453">
          <cell r="G453">
            <v>8.1365740740740322E-3</v>
          </cell>
        </row>
        <row r="454">
          <cell r="G454">
            <v>5.1736111111110872E-3</v>
          </cell>
        </row>
        <row r="455">
          <cell r="G455">
            <v>1.1608796296296298E-2</v>
          </cell>
        </row>
        <row r="456">
          <cell r="G456">
            <v>3.2523148148148051E-3</v>
          </cell>
        </row>
        <row r="457">
          <cell r="G457">
            <v>3.5185185185185874E-3</v>
          </cell>
        </row>
        <row r="458">
          <cell r="G458">
            <v>2.6851851851851238E-3</v>
          </cell>
        </row>
        <row r="459">
          <cell r="G459">
            <v>2.7430555555555403E-3</v>
          </cell>
        </row>
        <row r="460">
          <cell r="G460">
            <v>2.5578703703703631E-3</v>
          </cell>
        </row>
        <row r="461">
          <cell r="G461">
            <v>2.9282407407406064E-3</v>
          </cell>
        </row>
        <row r="462">
          <cell r="G462">
            <v>7.3958333333333792E-3</v>
          </cell>
        </row>
        <row r="463">
          <cell r="G463">
            <v>9.8263888888888706E-3</v>
          </cell>
        </row>
        <row r="464">
          <cell r="G464">
            <v>3.1134259259258945E-3</v>
          </cell>
        </row>
        <row r="465">
          <cell r="G465">
            <v>7.5000000000000622E-3</v>
          </cell>
        </row>
        <row r="466">
          <cell r="G466">
            <v>4.1898148148147851E-3</v>
          </cell>
        </row>
        <row r="467">
          <cell r="G467">
            <v>4.2939814814815236E-3</v>
          </cell>
        </row>
        <row r="468">
          <cell r="G468">
            <v>2.5925925925925353E-3</v>
          </cell>
        </row>
        <row r="469">
          <cell r="G469">
            <v>2.569444444444402E-3</v>
          </cell>
        </row>
        <row r="470">
          <cell r="G470">
            <v>9.6759259259260322E-3</v>
          </cell>
        </row>
        <row r="471">
          <cell r="G471">
            <v>1.1597222222222148E-2</v>
          </cell>
        </row>
        <row r="472">
          <cell r="G472">
            <v>2.5578703703703631E-3</v>
          </cell>
        </row>
        <row r="473">
          <cell r="G473">
            <v>2.6041666666666297E-3</v>
          </cell>
        </row>
        <row r="474">
          <cell r="G474">
            <v>1.3553240740740824E-2</v>
          </cell>
        </row>
        <row r="475">
          <cell r="G475">
            <v>2.9629629629628895E-3</v>
          </cell>
        </row>
        <row r="476">
          <cell r="G476">
            <v>2.5925925925927018E-3</v>
          </cell>
        </row>
        <row r="477">
          <cell r="G477">
            <v>6.4351851851851549E-3</v>
          </cell>
        </row>
        <row r="478">
          <cell r="G478">
            <v>2.8009259259259567E-3</v>
          </cell>
        </row>
        <row r="479">
          <cell r="G479">
            <v>2.6157407407407796E-3</v>
          </cell>
        </row>
        <row r="480">
          <cell r="G480">
            <v>2.9861111111112448E-3</v>
          </cell>
        </row>
        <row r="481">
          <cell r="G481">
            <v>3.1134259259258945E-3</v>
          </cell>
        </row>
        <row r="482">
          <cell r="G482">
            <v>2.5000000000000022E-3</v>
          </cell>
        </row>
        <row r="483">
          <cell r="G483">
            <v>2.6620370370370461E-3</v>
          </cell>
        </row>
        <row r="484">
          <cell r="G484">
            <v>2.6504629629629517E-3</v>
          </cell>
        </row>
        <row r="485">
          <cell r="G485">
            <v>2.5347222222221744E-3</v>
          </cell>
        </row>
        <row r="486">
          <cell r="G486">
            <v>2.6157407407407796E-3</v>
          </cell>
        </row>
        <row r="487">
          <cell r="G487">
            <v>3.8078703703704475E-3</v>
          </cell>
        </row>
        <row r="488">
          <cell r="G488">
            <v>2.4999999999999467E-3</v>
          </cell>
        </row>
        <row r="489">
          <cell r="G489">
            <v>5.3472222222221699E-3</v>
          </cell>
        </row>
        <row r="490">
          <cell r="G490">
            <v>5.2662037037036757E-3</v>
          </cell>
        </row>
        <row r="491">
          <cell r="G491">
            <v>3.0555555555555891E-3</v>
          </cell>
        </row>
        <row r="492">
          <cell r="G492">
            <v>4.0277777777777968E-3</v>
          </cell>
        </row>
        <row r="493">
          <cell r="G493">
            <v>5.8680555555555292E-3</v>
          </cell>
        </row>
        <row r="494">
          <cell r="G494">
            <v>2.4884259259259078E-3</v>
          </cell>
        </row>
        <row r="495">
          <cell r="G495">
            <v>2.4537037037036802E-3</v>
          </cell>
        </row>
        <row r="496">
          <cell r="G496">
            <v>1.3125000000000053E-2</v>
          </cell>
        </row>
        <row r="497">
          <cell r="G497">
            <v>1.1192129629629566E-2</v>
          </cell>
        </row>
        <row r="498">
          <cell r="G498">
            <v>7.5462962962962177E-3</v>
          </cell>
        </row>
        <row r="499">
          <cell r="G499">
            <v>2.4652777777778301E-3</v>
          </cell>
        </row>
        <row r="500">
          <cell r="G500">
            <v>3.0555555555555891E-3</v>
          </cell>
        </row>
        <row r="501">
          <cell r="G501">
            <v>2.476851851851869E-3</v>
          </cell>
        </row>
        <row r="502">
          <cell r="G502">
            <v>3.7847222222221477E-3</v>
          </cell>
        </row>
        <row r="503">
          <cell r="G503">
            <v>3.1365740740740833E-3</v>
          </cell>
        </row>
        <row r="504">
          <cell r="G504">
            <v>2.8009259259258457E-3</v>
          </cell>
        </row>
        <row r="505">
          <cell r="G505">
            <v>2.4652777777777191E-3</v>
          </cell>
        </row>
        <row r="506">
          <cell r="G506">
            <v>2.6400462962962834E-2</v>
          </cell>
        </row>
        <row r="507">
          <cell r="G507">
            <v>4.5717592592592893E-3</v>
          </cell>
        </row>
        <row r="508">
          <cell r="G508">
            <v>2.5000000000000022E-3</v>
          </cell>
        </row>
        <row r="509">
          <cell r="G509">
            <v>6.9907407407407418E-3</v>
          </cell>
        </row>
        <row r="510">
          <cell r="G510">
            <v>1.5601851851851867E-2</v>
          </cell>
        </row>
        <row r="511">
          <cell r="G511">
            <v>6.4814814814815325E-3</v>
          </cell>
        </row>
        <row r="512">
          <cell r="G512">
            <v>2.5868055555555602E-2</v>
          </cell>
        </row>
        <row r="513">
          <cell r="G513">
            <v>2.3379629629629639E-2</v>
          </cell>
        </row>
        <row r="514">
          <cell r="G514">
            <v>2.3738425925925954E-2</v>
          </cell>
        </row>
        <row r="515">
          <cell r="G515">
            <v>2.2812499999999958E-2</v>
          </cell>
        </row>
        <row r="516">
          <cell r="G516">
            <v>1.6967592592592728E-2</v>
          </cell>
        </row>
        <row r="517">
          <cell r="G517">
            <v>8.4837962962962532E-3</v>
          </cell>
        </row>
        <row r="518">
          <cell r="G518">
            <v>2.4189814814814525E-3</v>
          </cell>
        </row>
        <row r="519">
          <cell r="G519">
            <v>2.4074074074074137E-3</v>
          </cell>
        </row>
        <row r="520">
          <cell r="G520">
            <v>2.4305555555554914E-3</v>
          </cell>
        </row>
        <row r="521">
          <cell r="G521">
            <v>4.3287037037037512E-3</v>
          </cell>
        </row>
        <row r="522">
          <cell r="G522">
            <v>5.0347222222222321E-3</v>
          </cell>
        </row>
        <row r="523">
          <cell r="G523">
            <v>5.2662037037036757E-3</v>
          </cell>
        </row>
        <row r="524">
          <cell r="G524">
            <v>4.2013888888888795E-3</v>
          </cell>
        </row>
        <row r="525">
          <cell r="G525">
            <v>1.3020833333333315E-2</v>
          </cell>
        </row>
        <row r="526">
          <cell r="G526">
            <v>3.0787037037037779E-3</v>
          </cell>
        </row>
        <row r="527">
          <cell r="G527">
            <v>3.0902777777777612E-3</v>
          </cell>
        </row>
        <row r="528">
          <cell r="G528">
            <v>3.1365740740740833E-3</v>
          </cell>
        </row>
        <row r="529">
          <cell r="G529">
            <v>1.0856481481481439E-2</v>
          </cell>
        </row>
        <row r="530">
          <cell r="G530">
            <v>1.2488425925925917E-2</v>
          </cell>
        </row>
        <row r="531">
          <cell r="G531">
            <v>3.4953703703702876E-3</v>
          </cell>
        </row>
        <row r="532">
          <cell r="G532">
            <v>3.1250000000000444E-3</v>
          </cell>
        </row>
        <row r="533">
          <cell r="G533">
            <v>3.1250000000000444E-3</v>
          </cell>
        </row>
        <row r="534">
          <cell r="G534">
            <v>3.2291666666667274E-3</v>
          </cell>
        </row>
        <row r="535">
          <cell r="G535">
            <v>3.1250000000000444E-3</v>
          </cell>
        </row>
        <row r="536">
          <cell r="G536">
            <v>5.9837962962963065E-3</v>
          </cell>
        </row>
        <row r="537">
          <cell r="G537">
            <v>9.3749999999999667E-3</v>
          </cell>
        </row>
        <row r="538">
          <cell r="G538">
            <v>3.1249999999999889E-3</v>
          </cell>
        </row>
        <row r="539">
          <cell r="G539">
            <v>2.5694444444444464E-2</v>
          </cell>
        </row>
        <row r="540">
          <cell r="G540">
            <v>3.5416666666667207E-3</v>
          </cell>
        </row>
        <row r="541">
          <cell r="G541">
            <v>4.0624999999999689E-3</v>
          </cell>
        </row>
        <row r="542">
          <cell r="G542">
            <v>3.2754629629628829E-3</v>
          </cell>
        </row>
        <row r="543">
          <cell r="G543">
            <v>3.1250000000000444E-3</v>
          </cell>
        </row>
        <row r="544">
          <cell r="G544">
            <v>7.3032407407408462E-3</v>
          </cell>
        </row>
        <row r="545">
          <cell r="G545">
            <v>4.1898148148148406E-3</v>
          </cell>
        </row>
        <row r="546">
          <cell r="G546">
            <v>4.5023148148148895E-3</v>
          </cell>
        </row>
        <row r="547">
          <cell r="G547">
            <v>4.2824074074074847E-3</v>
          </cell>
        </row>
        <row r="548">
          <cell r="G548">
            <v>3.4143518518517935E-3</v>
          </cell>
        </row>
        <row r="549">
          <cell r="G549">
            <v>5.833333333333357E-3</v>
          </cell>
        </row>
        <row r="550">
          <cell r="G550">
            <v>5.7523148148147518E-3</v>
          </cell>
        </row>
        <row r="551">
          <cell r="G551">
            <v>1.150462962962967E-2</v>
          </cell>
        </row>
        <row r="552">
          <cell r="G552">
            <v>3.067129629629628E-3</v>
          </cell>
        </row>
        <row r="553">
          <cell r="G553">
            <v>3.2523148148147496E-3</v>
          </cell>
        </row>
        <row r="554">
          <cell r="G554">
            <v>3.0555555555555336E-3</v>
          </cell>
        </row>
        <row r="555">
          <cell r="G555">
            <v>3.3680555555555824E-3</v>
          </cell>
        </row>
        <row r="556">
          <cell r="G556">
            <v>3.5532407407407596E-3</v>
          </cell>
        </row>
        <row r="557">
          <cell r="G557">
            <v>3.0555555555555891E-3</v>
          </cell>
        </row>
        <row r="558">
          <cell r="G558">
            <v>4.6180555555555558E-3</v>
          </cell>
        </row>
        <row r="559">
          <cell r="G559">
            <v>3.067129629629628E-3</v>
          </cell>
        </row>
        <row r="560">
          <cell r="G560">
            <v>3.4490740740740766E-3</v>
          </cell>
        </row>
        <row r="561">
          <cell r="G561">
            <v>6.8055555555555092E-3</v>
          </cell>
        </row>
        <row r="562">
          <cell r="G562">
            <v>5.3472222222221699E-3</v>
          </cell>
        </row>
        <row r="563">
          <cell r="G563">
            <v>3.8425925925925641E-3</v>
          </cell>
        </row>
        <row r="564">
          <cell r="G564">
            <v>8.3333333333334147E-3</v>
          </cell>
        </row>
        <row r="565">
          <cell r="G565">
            <v>3.3217592592592604E-3</v>
          </cell>
        </row>
        <row r="566">
          <cell r="G566">
            <v>3.0439814814815502E-3</v>
          </cell>
        </row>
        <row r="567">
          <cell r="G567">
            <v>1.4687499999999964E-2</v>
          </cell>
        </row>
        <row r="568">
          <cell r="G568">
            <v>3.0208333333333615E-3</v>
          </cell>
        </row>
        <row r="569">
          <cell r="G569">
            <v>3.0439814814815502E-3</v>
          </cell>
        </row>
        <row r="570">
          <cell r="G570">
            <v>3.0324074074074003E-3</v>
          </cell>
        </row>
        <row r="571">
          <cell r="G571">
            <v>3.4259259259258323E-3</v>
          </cell>
        </row>
        <row r="572">
          <cell r="G572">
            <v>1.7766203703703742E-2</v>
          </cell>
        </row>
      </sheetData>
      <sheetData sheetId="10">
        <row r="3">
          <cell r="G3">
            <v>5.2662037037036757E-3</v>
          </cell>
        </row>
        <row r="4">
          <cell r="G4">
            <v>2.8472222222222232E-3</v>
          </cell>
        </row>
        <row r="5">
          <cell r="G5">
            <v>5.2083333333341475E-4</v>
          </cell>
        </row>
        <row r="6">
          <cell r="G6">
            <v>4.3055555555555625E-3</v>
          </cell>
        </row>
        <row r="7">
          <cell r="G7">
            <v>1.4930555555555669E-3</v>
          </cell>
        </row>
        <row r="8">
          <cell r="G8">
            <v>2.6620370370372681E-4</v>
          </cell>
        </row>
        <row r="9">
          <cell r="G9">
            <v>5.6828703703702965E-3</v>
          </cell>
        </row>
        <row r="10">
          <cell r="G10">
            <v>4.0972222222221966E-3</v>
          </cell>
        </row>
        <row r="11">
          <cell r="G11">
            <v>3.4259259259258878E-3</v>
          </cell>
        </row>
        <row r="12">
          <cell r="G12">
            <v>2.1064814814814592E-3</v>
          </cell>
        </row>
        <row r="13">
          <cell r="G13">
            <v>5.324074074073426E-4</v>
          </cell>
        </row>
        <row r="14">
          <cell r="G14">
            <v>1.6319444444443665E-3</v>
          </cell>
        </row>
        <row r="15">
          <cell r="G15">
            <v>2.3842592592592249E-3</v>
          </cell>
        </row>
        <row r="16">
          <cell r="G16">
            <v>3.1597222222222721E-3</v>
          </cell>
        </row>
        <row r="17">
          <cell r="G17">
            <v>1.0995370370370239E-3</v>
          </cell>
        </row>
        <row r="18">
          <cell r="G18">
            <v>3.0092592592589895E-4</v>
          </cell>
        </row>
        <row r="19">
          <cell r="G19">
            <v>3.2407407407408773E-4</v>
          </cell>
        </row>
        <row r="20">
          <cell r="G20">
            <v>3.472222222222765E-4</v>
          </cell>
        </row>
        <row r="21">
          <cell r="G21">
            <v>2.6620370370378232E-4</v>
          </cell>
        </row>
        <row r="22">
          <cell r="G22">
            <v>2.5462962962974345E-4</v>
          </cell>
        </row>
        <row r="23">
          <cell r="G23">
            <v>2.6620370370378232E-4</v>
          </cell>
        </row>
        <row r="24">
          <cell r="G24">
            <v>1.6435185185184609E-3</v>
          </cell>
        </row>
        <row r="25">
          <cell r="G25">
            <v>8.6921296296296191E-3</v>
          </cell>
        </row>
        <row r="26">
          <cell r="G26">
            <v>2.8935185185186008E-4</v>
          </cell>
        </row>
        <row r="27">
          <cell r="G27">
            <v>1.2615740740740677E-3</v>
          </cell>
        </row>
        <row r="28">
          <cell r="G28">
            <v>8.796296296296191E-4</v>
          </cell>
        </row>
        <row r="29">
          <cell r="G29">
            <v>2.3148148148144365E-4</v>
          </cell>
        </row>
        <row r="30">
          <cell r="G30">
            <v>3.4722222222221544E-3</v>
          </cell>
        </row>
        <row r="31">
          <cell r="G31">
            <v>2.3726851851851305E-3</v>
          </cell>
        </row>
        <row r="32">
          <cell r="G32">
            <v>6.7013888888888262E-3</v>
          </cell>
        </row>
        <row r="33">
          <cell r="G33">
            <v>1.481481481481528E-3</v>
          </cell>
        </row>
        <row r="34">
          <cell r="G34">
            <v>1.7129629629629717E-3</v>
          </cell>
        </row>
        <row r="35">
          <cell r="G35">
            <v>1.7129629629628607E-3</v>
          </cell>
        </row>
        <row r="36">
          <cell r="G36">
            <v>2.1990740740740478E-4</v>
          </cell>
        </row>
        <row r="37">
          <cell r="G37">
            <v>4.8611111111107608E-4</v>
          </cell>
        </row>
        <row r="38">
          <cell r="G38">
            <v>7.8703703703708605E-4</v>
          </cell>
        </row>
        <row r="39">
          <cell r="G39">
            <v>2.1990740740740478E-4</v>
          </cell>
        </row>
        <row r="40">
          <cell r="G40">
            <v>2.0833333333325488E-4</v>
          </cell>
        </row>
        <row r="41">
          <cell r="G41">
            <v>2.4305555555559355E-4</v>
          </cell>
        </row>
        <row r="42">
          <cell r="G42">
            <v>2.1180555555555536E-3</v>
          </cell>
        </row>
        <row r="43">
          <cell r="G43">
            <v>1.3912037037037139E-2</v>
          </cell>
        </row>
        <row r="44">
          <cell r="G44">
            <v>2.3148148148133263E-4</v>
          </cell>
        </row>
        <row r="45">
          <cell r="G45">
            <v>9.0740740740740122E-3</v>
          </cell>
        </row>
        <row r="46">
          <cell r="G46">
            <v>7.4305555555554959E-3</v>
          </cell>
        </row>
        <row r="47">
          <cell r="G47">
            <v>5.6018518518518023E-3</v>
          </cell>
        </row>
        <row r="48">
          <cell r="G48">
            <v>2.6620370370372681E-4</v>
          </cell>
        </row>
        <row r="49">
          <cell r="G49">
            <v>2.3148148148149916E-4</v>
          </cell>
        </row>
        <row r="50">
          <cell r="G50">
            <v>2.1990740740740478E-4</v>
          </cell>
        </row>
        <row r="51">
          <cell r="G51">
            <v>2.1990740740740478E-4</v>
          </cell>
        </row>
        <row r="52">
          <cell r="G52">
            <v>3.3564814814823762E-4</v>
          </cell>
        </row>
        <row r="53">
          <cell r="G53">
            <v>1.678240740740744E-3</v>
          </cell>
        </row>
        <row r="54">
          <cell r="G54">
            <v>2.1990740740740478E-4</v>
          </cell>
        </row>
        <row r="55">
          <cell r="G55">
            <v>2.5462962962963243E-4</v>
          </cell>
        </row>
        <row r="56">
          <cell r="G56">
            <v>2.777777777778212E-4</v>
          </cell>
        </row>
        <row r="57">
          <cell r="G57">
            <v>2.6111111111111085E-2</v>
          </cell>
        </row>
        <row r="58">
          <cell r="G58">
            <v>2.5462962962963243E-4</v>
          </cell>
        </row>
        <row r="59">
          <cell r="G59">
            <v>3.2407407407408773E-4</v>
          </cell>
        </row>
        <row r="60">
          <cell r="G60">
            <v>1.1296296296296249E-2</v>
          </cell>
        </row>
        <row r="61">
          <cell r="G61">
            <v>2.8935185185186008E-4</v>
          </cell>
        </row>
        <row r="62">
          <cell r="G62">
            <v>2.083333333333659E-4</v>
          </cell>
        </row>
        <row r="63">
          <cell r="G63">
            <v>1.0648148148148517E-3</v>
          </cell>
        </row>
        <row r="64">
          <cell r="G64">
            <v>1.2847222222221455E-3</v>
          </cell>
        </row>
        <row r="65">
          <cell r="G65">
            <v>7.9861111111112493E-4</v>
          </cell>
        </row>
        <row r="66">
          <cell r="G66">
            <v>2.9976851851851727E-3</v>
          </cell>
        </row>
        <row r="67">
          <cell r="G67">
            <v>1.8055555555556158E-3</v>
          </cell>
        </row>
        <row r="68">
          <cell r="G68">
            <v>4.4560185185185119E-3</v>
          </cell>
        </row>
        <row r="69">
          <cell r="G69">
            <v>6.1921296296295614E-3</v>
          </cell>
        </row>
        <row r="70">
          <cell r="G70">
            <v>1.7361111111113825E-4</v>
          </cell>
        </row>
        <row r="71">
          <cell r="G71">
            <v>8.680555555554692E-4</v>
          </cell>
        </row>
        <row r="72">
          <cell r="G72">
            <v>1.6562499999999925E-2</v>
          </cell>
        </row>
        <row r="73">
          <cell r="G73">
            <v>6.9560185185184586E-3</v>
          </cell>
        </row>
        <row r="74">
          <cell r="G74">
            <v>7.7546296296293615E-4</v>
          </cell>
        </row>
        <row r="75">
          <cell r="G75">
            <v>4.3981481481480955E-4</v>
          </cell>
        </row>
        <row r="76">
          <cell r="G76">
            <v>9.5486111111111605E-3</v>
          </cell>
        </row>
        <row r="77">
          <cell r="G77">
            <v>2.3148148148155467E-4</v>
          </cell>
        </row>
        <row r="78">
          <cell r="G78">
            <v>3.5069444444445486E-3</v>
          </cell>
        </row>
        <row r="79">
          <cell r="G79">
            <v>1.9675925925927151E-3</v>
          </cell>
        </row>
        <row r="80">
          <cell r="G80">
            <v>7.9050925925925331E-3</v>
          </cell>
        </row>
        <row r="81">
          <cell r="G81">
            <v>6.7129629629629761E-3</v>
          </cell>
        </row>
        <row r="82">
          <cell r="G82">
            <v>2.1990740740740478E-4</v>
          </cell>
        </row>
        <row r="83">
          <cell r="G83">
            <v>5.6712962962957025E-4</v>
          </cell>
        </row>
        <row r="84">
          <cell r="G84">
            <v>1.1226851851851571E-3</v>
          </cell>
        </row>
        <row r="85">
          <cell r="G85">
            <v>1.2731481481487172E-4</v>
          </cell>
        </row>
        <row r="86">
          <cell r="G86">
            <v>1.1550925925925937E-2</v>
          </cell>
        </row>
        <row r="87">
          <cell r="G87">
            <v>4.5601851851851394E-3</v>
          </cell>
        </row>
        <row r="88">
          <cell r="G88">
            <v>4.9768518518519267E-3</v>
          </cell>
        </row>
        <row r="89">
          <cell r="G89">
            <v>7.1990740740740522E-3</v>
          </cell>
        </row>
        <row r="90">
          <cell r="G90">
            <v>1.0300925925925686E-3</v>
          </cell>
        </row>
        <row r="91">
          <cell r="G91">
            <v>1.9212962962962266E-3</v>
          </cell>
        </row>
        <row r="92">
          <cell r="G92">
            <v>2.8935185185186008E-4</v>
          </cell>
        </row>
        <row r="93">
          <cell r="G93">
            <v>1.1574074074072183E-4</v>
          </cell>
        </row>
        <row r="94">
          <cell r="G94">
            <v>2.777777777778212E-4</v>
          </cell>
        </row>
        <row r="95">
          <cell r="G95">
            <v>1.7361111111102723E-4</v>
          </cell>
        </row>
        <row r="96">
          <cell r="G96">
            <v>2.5231481481481355E-3</v>
          </cell>
        </row>
        <row r="97">
          <cell r="G97">
            <v>1.0300925925926241E-3</v>
          </cell>
        </row>
        <row r="98">
          <cell r="G98">
            <v>2.2106481481481421E-3</v>
          </cell>
        </row>
        <row r="99">
          <cell r="G99">
            <v>3.3564814814818211E-4</v>
          </cell>
        </row>
        <row r="100">
          <cell r="G100">
            <v>1.0740740740740717E-2</v>
          </cell>
        </row>
        <row r="101">
          <cell r="G101">
            <v>2.2916666666666363E-3</v>
          </cell>
        </row>
        <row r="102">
          <cell r="G102">
            <v>2.8356481481481288E-3</v>
          </cell>
        </row>
        <row r="103">
          <cell r="G103">
            <v>3.8773148148147918E-3</v>
          </cell>
        </row>
        <row r="104">
          <cell r="G104">
            <v>3.7037037037036535E-3</v>
          </cell>
        </row>
        <row r="105">
          <cell r="G105">
            <v>3.7152777777778034E-3</v>
          </cell>
        </row>
        <row r="106">
          <cell r="G106">
            <v>3.8194444444444864E-4</v>
          </cell>
        </row>
        <row r="107">
          <cell r="G107">
            <v>1.8287037037037102E-2</v>
          </cell>
        </row>
        <row r="108">
          <cell r="G108">
            <v>4.548611111111156E-3</v>
          </cell>
        </row>
        <row r="109">
          <cell r="G109">
            <v>1.0300925925925908E-2</v>
          </cell>
        </row>
        <row r="110">
          <cell r="G110">
            <v>7.9629629629629495E-3</v>
          </cell>
        </row>
        <row r="111">
          <cell r="G111">
            <v>1.5740740740740611E-3</v>
          </cell>
        </row>
        <row r="112">
          <cell r="G112">
            <v>2.7314814814815014E-3</v>
          </cell>
        </row>
        <row r="113">
          <cell r="G113">
            <v>8.9120370370365798E-4</v>
          </cell>
        </row>
        <row r="114">
          <cell r="G114">
            <v>1.0416666666679397E-4</v>
          </cell>
        </row>
        <row r="115">
          <cell r="G115">
            <v>1.1574074074072183E-4</v>
          </cell>
        </row>
        <row r="116">
          <cell r="G116">
            <v>1.6203703703704386E-3</v>
          </cell>
        </row>
        <row r="117">
          <cell r="G117">
            <v>1.96759259259216E-4</v>
          </cell>
        </row>
        <row r="118">
          <cell r="G118">
            <v>4.9768518518522598E-4</v>
          </cell>
        </row>
        <row r="119">
          <cell r="G119">
            <v>7.9861111111106942E-4</v>
          </cell>
        </row>
        <row r="120">
          <cell r="G120">
            <v>1.0416666666673846E-4</v>
          </cell>
        </row>
        <row r="121">
          <cell r="G121">
            <v>8.946759259259196E-3</v>
          </cell>
        </row>
        <row r="122">
          <cell r="G122">
            <v>1.6435185185184609E-3</v>
          </cell>
        </row>
        <row r="123">
          <cell r="G123">
            <v>1.3425925925925619E-3</v>
          </cell>
        </row>
        <row r="124">
          <cell r="G124">
            <v>2.7083333333333126E-3</v>
          </cell>
        </row>
        <row r="125">
          <cell r="G125">
            <v>5.2546296296296369E-3</v>
          </cell>
        </row>
        <row r="126">
          <cell r="G126">
            <v>1.476851851851857E-2</v>
          </cell>
        </row>
        <row r="127">
          <cell r="G127">
            <v>2.9513888888889062E-3</v>
          </cell>
        </row>
        <row r="128">
          <cell r="G128">
            <v>7.523148148148584E-4</v>
          </cell>
        </row>
        <row r="129">
          <cell r="G129">
            <v>1.8402777777777324E-3</v>
          </cell>
        </row>
        <row r="130">
          <cell r="G130">
            <v>2.270833333333333E-2</v>
          </cell>
        </row>
        <row r="131">
          <cell r="G131">
            <v>6.94444444444553E-5</v>
          </cell>
        </row>
        <row r="132">
          <cell r="G132">
            <v>7.9861111111112493E-4</v>
          </cell>
        </row>
        <row r="133">
          <cell r="G133">
            <v>2.870370370370412E-3</v>
          </cell>
        </row>
        <row r="134">
          <cell r="G134">
            <v>5.8912037037036624E-3</v>
          </cell>
        </row>
        <row r="135">
          <cell r="G135">
            <v>5.5787037037037246E-3</v>
          </cell>
        </row>
        <row r="136">
          <cell r="G136">
            <v>4.3865740740740566E-3</v>
          </cell>
        </row>
        <row r="137">
          <cell r="G137">
            <v>9.6759259259259212E-3</v>
          </cell>
        </row>
        <row r="138">
          <cell r="G138">
            <v>1.0173611111111147E-2</v>
          </cell>
        </row>
        <row r="139">
          <cell r="G139">
            <v>1.3715277777777812E-2</v>
          </cell>
        </row>
        <row r="140">
          <cell r="G140">
            <v>9.2824074074074892E-3</v>
          </cell>
        </row>
        <row r="141">
          <cell r="G141">
            <v>1.7233796296296289E-2</v>
          </cell>
        </row>
        <row r="142">
          <cell r="G142">
            <v>7.2685185185186185E-3</v>
          </cell>
        </row>
        <row r="143">
          <cell r="G143">
            <v>1.7442129629629655E-2</v>
          </cell>
        </row>
        <row r="144">
          <cell r="G144">
            <v>1.6307870370370403E-2</v>
          </cell>
        </row>
        <row r="145">
          <cell r="G145">
            <v>1.489583333333333E-2</v>
          </cell>
        </row>
        <row r="146">
          <cell r="G146">
            <v>1.1574074074074403E-3</v>
          </cell>
        </row>
        <row r="147">
          <cell r="G147">
            <v>1.2731481481481621E-3</v>
          </cell>
        </row>
        <row r="148">
          <cell r="G148">
            <v>8.0439814814814437E-3</v>
          </cell>
        </row>
        <row r="149">
          <cell r="G149">
            <v>8.113425925925899E-3</v>
          </cell>
        </row>
        <row r="150">
          <cell r="G150">
            <v>5.138888888888915E-3</v>
          </cell>
        </row>
        <row r="151">
          <cell r="G151">
            <v>4.3634259259259789E-3</v>
          </cell>
        </row>
        <row r="152">
          <cell r="G152">
            <v>2.7777777777777679E-3</v>
          </cell>
        </row>
        <row r="153">
          <cell r="G153">
            <v>1.3993055555555634E-2</v>
          </cell>
        </row>
        <row r="154">
          <cell r="G154">
            <v>1.0821759259259212E-2</v>
          </cell>
        </row>
        <row r="155">
          <cell r="G155">
            <v>7.9629629629629495E-3</v>
          </cell>
        </row>
        <row r="156">
          <cell r="G156">
            <v>2.2916666666666918E-3</v>
          </cell>
        </row>
        <row r="157">
          <cell r="G157">
            <v>1.7129629629630827E-3</v>
          </cell>
        </row>
        <row r="158">
          <cell r="G158">
            <v>6.2962962962963553E-3</v>
          </cell>
        </row>
        <row r="159">
          <cell r="G159">
            <v>2.4537037037036802E-3</v>
          </cell>
        </row>
        <row r="160">
          <cell r="G160">
            <v>1.8055555555555047E-3</v>
          </cell>
        </row>
        <row r="161">
          <cell r="G161">
            <v>1.3541666666667673E-3</v>
          </cell>
        </row>
        <row r="162">
          <cell r="G162">
            <v>3.4027777777777546E-3</v>
          </cell>
        </row>
        <row r="163">
          <cell r="G163">
            <v>6.134259259259478E-4</v>
          </cell>
        </row>
        <row r="164">
          <cell r="G164">
            <v>1.1458333333332904E-3</v>
          </cell>
        </row>
        <row r="165">
          <cell r="G165">
            <v>4.6296296296322037E-5</v>
          </cell>
        </row>
        <row r="166">
          <cell r="G166">
            <v>1.1574074074094387E-5</v>
          </cell>
        </row>
        <row r="167">
          <cell r="G167">
            <v>4.6874999999999556E-3</v>
          </cell>
        </row>
        <row r="168">
          <cell r="G168">
            <v>4.0162037037036469E-3</v>
          </cell>
        </row>
        <row r="169">
          <cell r="G169">
            <v>2.2337962962962754E-3</v>
          </cell>
        </row>
        <row r="170">
          <cell r="G170">
            <v>4.0509259259269292E-4</v>
          </cell>
        </row>
        <row r="171">
          <cell r="G171">
            <v>3.4722222222116628E-5</v>
          </cell>
        </row>
        <row r="172">
          <cell r="G172">
            <v>2.3148148148077752E-5</v>
          </cell>
        </row>
        <row r="173">
          <cell r="G173">
            <v>1.7708333333332771E-3</v>
          </cell>
        </row>
        <row r="174">
          <cell r="G174">
            <v>1.6203703703698835E-4</v>
          </cell>
        </row>
        <row r="175">
          <cell r="G175">
            <v>2.3032407407407862E-3</v>
          </cell>
        </row>
        <row r="176">
          <cell r="G176">
            <v>9.7222222222220767E-4</v>
          </cell>
        </row>
        <row r="177">
          <cell r="G177">
            <v>3.472222222222765E-5</v>
          </cell>
        </row>
        <row r="178">
          <cell r="G178">
            <v>2.3148148148148251E-3</v>
          </cell>
        </row>
        <row r="179">
          <cell r="G179">
            <v>5.6712962962962576E-4</v>
          </cell>
        </row>
        <row r="180">
          <cell r="G180">
            <v>0</v>
          </cell>
        </row>
        <row r="181">
          <cell r="G181">
            <v>2.3148148148133263E-5</v>
          </cell>
        </row>
        <row r="182">
          <cell r="G182">
            <v>5.7870370370372015E-4</v>
          </cell>
        </row>
        <row r="183">
          <cell r="G183">
            <v>4.7222222222222943E-3</v>
          </cell>
        </row>
        <row r="184">
          <cell r="G184">
            <v>1.1365740740740704E-2</v>
          </cell>
        </row>
        <row r="185">
          <cell r="G185">
            <v>7.4999999999999512E-3</v>
          </cell>
        </row>
        <row r="186">
          <cell r="G186">
            <v>1.3078703703703898E-3</v>
          </cell>
        </row>
        <row r="187">
          <cell r="G187">
            <v>2.9513888888889062E-3</v>
          </cell>
        </row>
        <row r="188">
          <cell r="G188">
            <v>2.7777777777771018E-4</v>
          </cell>
        </row>
        <row r="189">
          <cell r="G189">
            <v>8.3333333333335258E-4</v>
          </cell>
        </row>
        <row r="190">
          <cell r="G190">
            <v>1.4224537037036966E-2</v>
          </cell>
        </row>
        <row r="191">
          <cell r="G191">
            <v>5.7870370370305402E-5</v>
          </cell>
        </row>
        <row r="192">
          <cell r="G192">
            <v>2.3148148148144365E-4</v>
          </cell>
        </row>
        <row r="193">
          <cell r="G193">
            <v>1.9097222222221877E-3</v>
          </cell>
        </row>
        <row r="194">
          <cell r="G194">
            <v>0</v>
          </cell>
        </row>
        <row r="195">
          <cell r="G195">
            <v>7.523148148148584E-4</v>
          </cell>
        </row>
        <row r="196">
          <cell r="G196">
            <v>1.2731481481481621E-4</v>
          </cell>
        </row>
        <row r="197">
          <cell r="G197">
            <v>2.1990740740740478E-4</v>
          </cell>
        </row>
        <row r="198">
          <cell r="G198">
            <v>5.9027777777775903E-4</v>
          </cell>
        </row>
        <row r="199">
          <cell r="G199">
            <v>1.5624999999999667E-3</v>
          </cell>
        </row>
        <row r="200">
          <cell r="G200">
            <v>7.0601851851848085E-4</v>
          </cell>
        </row>
        <row r="201">
          <cell r="G201">
            <v>1.40162037037036E-2</v>
          </cell>
        </row>
        <row r="202">
          <cell r="G202">
            <v>4.7337962962963331E-3</v>
          </cell>
        </row>
        <row r="203">
          <cell r="G203">
            <v>2.0370370370370594E-3</v>
          </cell>
        </row>
        <row r="204">
          <cell r="G204">
            <v>2.0601851851851927E-3</v>
          </cell>
        </row>
        <row r="205">
          <cell r="G205">
            <v>1.1574074074149898E-5</v>
          </cell>
        </row>
        <row r="206">
          <cell r="G206">
            <v>6.2499999999998668E-4</v>
          </cell>
        </row>
        <row r="207">
          <cell r="G207">
            <v>3.8194444444450415E-4</v>
          </cell>
        </row>
        <row r="208">
          <cell r="G208">
            <v>7.5231481481480289E-4</v>
          </cell>
        </row>
        <row r="209">
          <cell r="G209">
            <v>0</v>
          </cell>
        </row>
        <row r="210">
          <cell r="G210">
            <v>1.0682870370370301E-2</v>
          </cell>
        </row>
        <row r="211">
          <cell r="G211">
            <v>1.388888888889106E-4</v>
          </cell>
        </row>
        <row r="212">
          <cell r="G212">
            <v>7.6620370370370505E-3</v>
          </cell>
        </row>
        <row r="213">
          <cell r="G213">
            <v>4.5601851851851394E-3</v>
          </cell>
        </row>
        <row r="214">
          <cell r="G214">
            <v>3.067129629629628E-3</v>
          </cell>
        </row>
        <row r="215">
          <cell r="G215">
            <v>3.6689814814815369E-3</v>
          </cell>
        </row>
        <row r="216">
          <cell r="G216">
            <v>2.569444444444513E-3</v>
          </cell>
        </row>
        <row r="217">
          <cell r="G217">
            <v>1.5162037037037002E-3</v>
          </cell>
        </row>
        <row r="218">
          <cell r="G218">
            <v>9.3749999999998002E-4</v>
          </cell>
        </row>
        <row r="219">
          <cell r="G219">
            <v>7.2916666666666963E-4</v>
          </cell>
        </row>
        <row r="220">
          <cell r="G220">
            <v>9.1435185185184675E-4</v>
          </cell>
        </row>
        <row r="221">
          <cell r="G221">
            <v>6.8287037037034759E-4</v>
          </cell>
        </row>
        <row r="222">
          <cell r="G222">
            <v>8.1018518518494176E-5</v>
          </cell>
        </row>
        <row r="223">
          <cell r="G223">
            <v>6.828703703704031E-4</v>
          </cell>
        </row>
        <row r="224">
          <cell r="G224">
            <v>2.4305555555559355E-4</v>
          </cell>
        </row>
        <row r="225">
          <cell r="G225">
            <v>2.5925925925925908E-3</v>
          </cell>
        </row>
        <row r="226">
          <cell r="G226">
            <v>8.796296296296191E-4</v>
          </cell>
        </row>
        <row r="227">
          <cell r="G227">
            <v>7.8125E-3</v>
          </cell>
        </row>
        <row r="228">
          <cell r="G228">
            <v>5.5671296296296302E-3</v>
          </cell>
        </row>
        <row r="229">
          <cell r="G229">
            <v>2.129629629629648E-3</v>
          </cell>
        </row>
        <row r="230">
          <cell r="G230">
            <v>1.3182870370370414E-2</v>
          </cell>
        </row>
        <row r="231">
          <cell r="G231">
            <v>1.1319444444444438E-2</v>
          </cell>
        </row>
        <row r="232">
          <cell r="G232">
            <v>8.4490740740740811E-3</v>
          </cell>
        </row>
        <row r="233">
          <cell r="G233">
            <v>8.4722222222222143E-3</v>
          </cell>
        </row>
        <row r="234">
          <cell r="G234">
            <v>4.1319444444444242E-3</v>
          </cell>
        </row>
        <row r="235">
          <cell r="G235">
            <v>6.0300925925926285E-3</v>
          </cell>
        </row>
        <row r="236">
          <cell r="G236">
            <v>8.1249999999999933E-3</v>
          </cell>
        </row>
        <row r="237">
          <cell r="G237">
            <v>7.6736111111110894E-3</v>
          </cell>
        </row>
        <row r="238">
          <cell r="G238">
            <v>6.0995370370370838E-3</v>
          </cell>
        </row>
        <row r="239">
          <cell r="G239">
            <v>7.9861111111110827E-3</v>
          </cell>
        </row>
        <row r="240">
          <cell r="G240">
            <v>6.018518518517979E-4</v>
          </cell>
        </row>
        <row r="241">
          <cell r="G241">
            <v>2.3495370370370527E-3</v>
          </cell>
        </row>
        <row r="242">
          <cell r="G242">
            <v>2.615740740740724E-3</v>
          </cell>
        </row>
        <row r="243">
          <cell r="G243">
            <v>3.1365740740740833E-3</v>
          </cell>
        </row>
        <row r="244">
          <cell r="G244">
            <v>2.1180555555555536E-3</v>
          </cell>
        </row>
        <row r="245">
          <cell r="G245">
            <v>5.4976851851852304E-3</v>
          </cell>
        </row>
        <row r="246">
          <cell r="G246">
            <v>7.6736111111111449E-3</v>
          </cell>
        </row>
        <row r="247">
          <cell r="G247">
            <v>1.7129629629629717E-3</v>
          </cell>
        </row>
        <row r="248">
          <cell r="G248">
            <v>1.9675925925924931E-3</v>
          </cell>
        </row>
        <row r="249">
          <cell r="G249">
            <v>6.134259259259478E-4</v>
          </cell>
        </row>
        <row r="250">
          <cell r="G250">
            <v>2.2037037037037022E-2</v>
          </cell>
        </row>
        <row r="251">
          <cell r="G251">
            <v>2.3981481481481493E-2</v>
          </cell>
        </row>
        <row r="252">
          <cell r="G252">
            <v>2.4837962962962923E-2</v>
          </cell>
        </row>
        <row r="253">
          <cell r="G253">
            <v>2.6793981481481488E-2</v>
          </cell>
        </row>
        <row r="254">
          <cell r="G254">
            <v>2.6527777777777761E-2</v>
          </cell>
        </row>
        <row r="255">
          <cell r="G255">
            <v>2.7442129629629608E-2</v>
          </cell>
        </row>
        <row r="256">
          <cell r="G256">
            <v>1.3425925925925619E-3</v>
          </cell>
        </row>
        <row r="257">
          <cell r="G257">
            <v>3.4872685185185215E-2</v>
          </cell>
        </row>
        <row r="258">
          <cell r="G258">
            <v>1.8055555555555602E-3</v>
          </cell>
        </row>
        <row r="259">
          <cell r="G259">
            <v>1.7951388888888919E-2</v>
          </cell>
        </row>
        <row r="260">
          <cell r="G260">
            <v>1.5173611111111041E-2</v>
          </cell>
        </row>
        <row r="261">
          <cell r="G261">
            <v>1.1030092592592522E-2</v>
          </cell>
        </row>
        <row r="262">
          <cell r="G262">
            <v>4.2939814814815791E-3</v>
          </cell>
        </row>
        <row r="263">
          <cell r="G263">
            <v>3.1944444444443887E-3</v>
          </cell>
        </row>
        <row r="264">
          <cell r="G264">
            <v>1.5393518518518334E-3</v>
          </cell>
        </row>
        <row r="265">
          <cell r="G265">
            <v>7.7546296296293615E-4</v>
          </cell>
        </row>
        <row r="266">
          <cell r="G266">
            <v>1.6319444444444442E-2</v>
          </cell>
        </row>
        <row r="267">
          <cell r="G267">
            <v>1.156249999999992E-2</v>
          </cell>
        </row>
        <row r="268">
          <cell r="G268">
            <v>3.4837962962963598E-3</v>
          </cell>
        </row>
        <row r="269">
          <cell r="G269">
            <v>1.2500000000000844E-3</v>
          </cell>
        </row>
        <row r="270">
          <cell r="G270">
            <v>5.5439814814814969E-3</v>
          </cell>
        </row>
        <row r="271">
          <cell r="G271">
            <v>2.7546296296295791E-3</v>
          </cell>
        </row>
        <row r="272">
          <cell r="G272">
            <v>5.4398148148138148E-4</v>
          </cell>
        </row>
        <row r="273">
          <cell r="G273">
            <v>3.6643518518518547E-2</v>
          </cell>
        </row>
        <row r="274">
          <cell r="G274">
            <v>8.3333333333324155E-4</v>
          </cell>
        </row>
        <row r="275">
          <cell r="G275">
            <v>3.7164351851851851E-2</v>
          </cell>
        </row>
        <row r="276">
          <cell r="G276">
            <v>9.8379629629641308E-4</v>
          </cell>
        </row>
        <row r="277">
          <cell r="G277">
            <v>2.4675925925925934E-2</v>
          </cell>
        </row>
        <row r="278">
          <cell r="G278">
            <v>1.489583333333333E-2</v>
          </cell>
        </row>
        <row r="279">
          <cell r="G279">
            <v>1.2835648148148082E-2</v>
          </cell>
        </row>
        <row r="280">
          <cell r="G280">
            <v>6.5046296296296102E-3</v>
          </cell>
        </row>
        <row r="281">
          <cell r="G281">
            <v>2.8240740740741455E-3</v>
          </cell>
        </row>
        <row r="282">
          <cell r="G282">
            <v>5.9027777777775903E-4</v>
          </cell>
        </row>
        <row r="283">
          <cell r="G283">
            <v>1.782407407407427E-3</v>
          </cell>
        </row>
        <row r="284">
          <cell r="G284">
            <v>2.3495370370369972E-3</v>
          </cell>
        </row>
        <row r="285">
          <cell r="G285">
            <v>1.3657407407408062E-3</v>
          </cell>
        </row>
        <row r="286">
          <cell r="G286">
            <v>9.791666666666754E-3</v>
          </cell>
        </row>
        <row r="287">
          <cell r="G287">
            <v>2.0138888888888706E-3</v>
          </cell>
        </row>
        <row r="288">
          <cell r="G288">
            <v>3.5532407407407041E-3</v>
          </cell>
        </row>
        <row r="289">
          <cell r="G289">
            <v>1.2500000000000844E-3</v>
          </cell>
        </row>
        <row r="290">
          <cell r="G290">
            <v>1.4467592592591894E-3</v>
          </cell>
        </row>
        <row r="291">
          <cell r="G291">
            <v>4.6296296296296502E-3</v>
          </cell>
        </row>
        <row r="292">
          <cell r="G292">
            <v>5.6597222222222188E-3</v>
          </cell>
        </row>
        <row r="293">
          <cell r="G293">
            <v>8.6458333333333526E-3</v>
          </cell>
        </row>
        <row r="294">
          <cell r="G294">
            <v>6.8634259259260366E-3</v>
          </cell>
        </row>
        <row r="295">
          <cell r="G295">
            <v>2.1296296296297035E-3</v>
          </cell>
        </row>
        <row r="296">
          <cell r="G296">
            <v>3.6921296296296147E-3</v>
          </cell>
        </row>
        <row r="297">
          <cell r="G297">
            <v>3.2291666666666163E-3</v>
          </cell>
        </row>
        <row r="298">
          <cell r="G298">
            <v>8.9814814814815902E-3</v>
          </cell>
        </row>
        <row r="299">
          <cell r="G299">
            <v>2.0833333333332149E-3</v>
          </cell>
        </row>
        <row r="300">
          <cell r="G300">
            <v>4.5717592592593448E-3</v>
          </cell>
        </row>
        <row r="301">
          <cell r="G301">
            <v>3.9120370370370194E-3</v>
          </cell>
        </row>
        <row r="302">
          <cell r="G302">
            <v>4.6643518518518778E-3</v>
          </cell>
        </row>
        <row r="303">
          <cell r="G303">
            <v>4.2361111111111072E-3</v>
          </cell>
        </row>
        <row r="304">
          <cell r="G304">
            <v>3.6805555555555758E-3</v>
          </cell>
        </row>
        <row r="305">
          <cell r="G305">
            <v>3.9699074074073804E-3</v>
          </cell>
        </row>
        <row r="306">
          <cell r="G306">
            <v>4.0277777777777968E-3</v>
          </cell>
        </row>
        <row r="307">
          <cell r="G307">
            <v>1.3194444444444287E-3</v>
          </cell>
        </row>
        <row r="308">
          <cell r="G308">
            <v>1.8634259259259212E-3</v>
          </cell>
        </row>
        <row r="309">
          <cell r="G309">
            <v>3.2060185185185386E-3</v>
          </cell>
        </row>
        <row r="310">
          <cell r="G310">
            <v>7.615740740740784E-3</v>
          </cell>
        </row>
        <row r="311">
          <cell r="G311">
            <v>9.8726851851851927E-3</v>
          </cell>
        </row>
        <row r="312">
          <cell r="G312">
            <v>9.0509259259259345E-3</v>
          </cell>
        </row>
        <row r="313">
          <cell r="G313">
            <v>8.8194444444444908E-3</v>
          </cell>
        </row>
        <row r="314">
          <cell r="G314">
            <v>1.048611111111114E-2</v>
          </cell>
        </row>
        <row r="315">
          <cell r="G315">
            <v>1.0185185185185297E-3</v>
          </cell>
        </row>
        <row r="316">
          <cell r="G316">
            <v>6.5277777777777435E-3</v>
          </cell>
        </row>
        <row r="317">
          <cell r="G317">
            <v>4.7337962962962776E-3</v>
          </cell>
        </row>
        <row r="318">
          <cell r="G318">
            <v>1.9907407407407374E-3</v>
          </cell>
        </row>
        <row r="319">
          <cell r="G319">
            <v>3.6805555555555758E-3</v>
          </cell>
        </row>
        <row r="320">
          <cell r="G320">
            <v>1.4236111111111671E-3</v>
          </cell>
        </row>
        <row r="321">
          <cell r="G321">
            <v>1.9907407407407374E-3</v>
          </cell>
        </row>
        <row r="322">
          <cell r="G322">
            <v>1.7013888888888218E-3</v>
          </cell>
        </row>
        <row r="323">
          <cell r="G323">
            <v>5.6712962962968128E-4</v>
          </cell>
        </row>
        <row r="324">
          <cell r="G324">
            <v>7.3726851851851904E-3</v>
          </cell>
        </row>
        <row r="325">
          <cell r="G325">
            <v>5.2083333333330373E-4</v>
          </cell>
        </row>
        <row r="326">
          <cell r="G326">
            <v>4.9768518518522598E-4</v>
          </cell>
        </row>
        <row r="327">
          <cell r="G327">
            <v>5.6712962962957025E-4</v>
          </cell>
        </row>
        <row r="328">
          <cell r="G328">
            <v>2.7777777777771018E-4</v>
          </cell>
        </row>
        <row r="329">
          <cell r="G329">
            <v>1.8402777777777324E-3</v>
          </cell>
        </row>
        <row r="330">
          <cell r="G330">
            <v>5.0925925925926485E-4</v>
          </cell>
        </row>
        <row r="331">
          <cell r="G331">
            <v>4.5138888888890394E-4</v>
          </cell>
        </row>
        <row r="332">
          <cell r="G332">
            <v>5.0925925925926485E-4</v>
          </cell>
        </row>
        <row r="333">
          <cell r="G333">
            <v>2.2291666666666654E-2</v>
          </cell>
        </row>
        <row r="334">
          <cell r="G334">
            <v>4.8611111111107608E-4</v>
          </cell>
        </row>
        <row r="335">
          <cell r="G335">
            <v>9.1435185185184675E-4</v>
          </cell>
        </row>
        <row r="336">
          <cell r="G336">
            <v>4.2824074074077068E-4</v>
          </cell>
        </row>
        <row r="337">
          <cell r="G337">
            <v>4.1666666666662078E-4</v>
          </cell>
        </row>
        <row r="338">
          <cell r="G338">
            <v>5.0925925925915383E-4</v>
          </cell>
        </row>
        <row r="339">
          <cell r="G339">
            <v>4.7685185185185608E-3</v>
          </cell>
        </row>
        <row r="340">
          <cell r="G340">
            <v>4.4675925925925508E-3</v>
          </cell>
        </row>
        <row r="341">
          <cell r="G341">
            <v>7.9398148148147607E-3</v>
          </cell>
        </row>
        <row r="342">
          <cell r="G342">
            <v>7.7430555555555447E-3</v>
          </cell>
        </row>
        <row r="343">
          <cell r="G343">
            <v>7.2106481481481466E-3</v>
          </cell>
        </row>
        <row r="344">
          <cell r="G344">
            <v>4.6296296296294281E-4</v>
          </cell>
        </row>
        <row r="345">
          <cell r="G345">
            <v>4.6296296296294281E-4</v>
          </cell>
        </row>
        <row r="346">
          <cell r="G346">
            <v>1.7129629629630272E-3</v>
          </cell>
        </row>
        <row r="347">
          <cell r="G347">
            <v>6.828703703704031E-4</v>
          </cell>
        </row>
        <row r="348">
          <cell r="G348">
            <v>2.6620370370370461E-3</v>
          </cell>
        </row>
        <row r="349">
          <cell r="G349">
            <v>4.5138888888884843E-4</v>
          </cell>
        </row>
        <row r="350">
          <cell r="G350">
            <v>6.4351851851852659E-3</v>
          </cell>
        </row>
        <row r="351">
          <cell r="G351">
            <v>1.135416666666661E-2</v>
          </cell>
        </row>
        <row r="352">
          <cell r="G352">
            <v>9.2129629629629783E-3</v>
          </cell>
        </row>
        <row r="353">
          <cell r="G353">
            <v>1.7592592592592382E-3</v>
          </cell>
        </row>
        <row r="354">
          <cell r="G354">
            <v>1.7592592592592382E-3</v>
          </cell>
        </row>
        <row r="355">
          <cell r="G355">
            <v>4.629629629628873E-4</v>
          </cell>
        </row>
        <row r="356">
          <cell r="G356">
            <v>1.8865740740741099E-3</v>
          </cell>
        </row>
        <row r="357">
          <cell r="G357">
            <v>3.3101851851851105E-3</v>
          </cell>
        </row>
        <row r="358">
          <cell r="G358">
            <v>4.5138888888889284E-3</v>
          </cell>
        </row>
        <row r="359">
          <cell r="G359">
            <v>3.9699074074074359E-3</v>
          </cell>
        </row>
        <row r="360">
          <cell r="G360">
            <v>2.9166666666666785E-3</v>
          </cell>
        </row>
        <row r="361">
          <cell r="G361">
            <v>4.3055555555555625E-3</v>
          </cell>
        </row>
        <row r="362">
          <cell r="G362">
            <v>5.243055555555598E-3</v>
          </cell>
        </row>
        <row r="363">
          <cell r="G363">
            <v>1.7708333333332771E-3</v>
          </cell>
        </row>
        <row r="364">
          <cell r="G364">
            <v>7.1759259259263075E-4</v>
          </cell>
        </row>
        <row r="365">
          <cell r="G365">
            <v>2.4421296296296413E-3</v>
          </cell>
        </row>
        <row r="366">
          <cell r="G366">
            <v>1.2604166666666639E-2</v>
          </cell>
        </row>
        <row r="367">
          <cell r="G367">
            <v>4.861111111111871E-4</v>
          </cell>
        </row>
        <row r="368">
          <cell r="G368">
            <v>1.1805555555555181E-3</v>
          </cell>
        </row>
        <row r="369">
          <cell r="G369">
            <v>1.6597222222222152E-2</v>
          </cell>
        </row>
        <row r="370">
          <cell r="G370">
            <v>1.4803240740740742E-2</v>
          </cell>
        </row>
        <row r="371">
          <cell r="G371">
            <v>1.8865740740741099E-3</v>
          </cell>
        </row>
        <row r="372">
          <cell r="G372">
            <v>9.0277777777775237E-4</v>
          </cell>
        </row>
        <row r="373">
          <cell r="G373">
            <v>4.1666666666667629E-4</v>
          </cell>
        </row>
        <row r="374">
          <cell r="G374">
            <v>1.3113425925925959E-2</v>
          </cell>
        </row>
        <row r="375">
          <cell r="G375">
            <v>2.4652777777778301E-3</v>
          </cell>
        </row>
        <row r="376">
          <cell r="G376">
            <v>4.1666666666662078E-4</v>
          </cell>
        </row>
        <row r="377">
          <cell r="G377">
            <v>3.2754629629629939E-3</v>
          </cell>
        </row>
        <row r="378">
          <cell r="G378">
            <v>1.6087962962963998E-3</v>
          </cell>
        </row>
        <row r="379">
          <cell r="G379">
            <v>4.050925925925819E-4</v>
          </cell>
        </row>
        <row r="380">
          <cell r="G380">
            <v>4.629629629628873E-4</v>
          </cell>
        </row>
        <row r="381">
          <cell r="G381">
            <v>9.2592592592588563E-4</v>
          </cell>
        </row>
        <row r="382">
          <cell r="G382">
            <v>3.8194444444439313E-4</v>
          </cell>
        </row>
        <row r="383">
          <cell r="G383">
            <v>4.2824074074065965E-4</v>
          </cell>
        </row>
        <row r="384">
          <cell r="G384">
            <v>2.2569444444444642E-3</v>
          </cell>
        </row>
        <row r="385">
          <cell r="G385">
            <v>1.0520833333333313E-2</v>
          </cell>
        </row>
        <row r="386">
          <cell r="G386">
            <v>1.5162037037037002E-3</v>
          </cell>
        </row>
        <row r="387">
          <cell r="G387">
            <v>3.8425925925926196E-3</v>
          </cell>
        </row>
        <row r="388">
          <cell r="G388">
            <v>6.5393518518518379E-3</v>
          </cell>
        </row>
        <row r="389">
          <cell r="G389">
            <v>4.6875000000000666E-3</v>
          </cell>
        </row>
        <row r="390">
          <cell r="G390">
            <v>3.6805555555555203E-3</v>
          </cell>
        </row>
        <row r="391">
          <cell r="G391">
            <v>3.1828703703704053E-3</v>
          </cell>
        </row>
        <row r="392">
          <cell r="G392">
            <v>2.0949074074074037E-2</v>
          </cell>
        </row>
        <row r="393">
          <cell r="G393">
            <v>2.129629629629648E-3</v>
          </cell>
        </row>
        <row r="394">
          <cell r="G394">
            <v>1.1689814814814792E-3</v>
          </cell>
        </row>
        <row r="395">
          <cell r="G395">
            <v>1.4236111111110561E-3</v>
          </cell>
        </row>
        <row r="396">
          <cell r="G396">
            <v>3.0092592592589895E-4</v>
          </cell>
        </row>
        <row r="397">
          <cell r="G397">
            <v>2.0370370370369484E-3</v>
          </cell>
        </row>
        <row r="398">
          <cell r="G398">
            <v>8.6805555555558023E-4</v>
          </cell>
        </row>
        <row r="399">
          <cell r="G399">
            <v>1.9444444444443043E-3</v>
          </cell>
        </row>
        <row r="400">
          <cell r="G400">
            <v>1.1168981481481488E-2</v>
          </cell>
        </row>
        <row r="401">
          <cell r="G401">
            <v>9.8263888888889817E-3</v>
          </cell>
        </row>
        <row r="402">
          <cell r="G402">
            <v>3.9120370370369084E-3</v>
          </cell>
        </row>
        <row r="403">
          <cell r="G403">
            <v>3.356481481481266E-4</v>
          </cell>
        </row>
        <row r="404">
          <cell r="G404">
            <v>2.6041666666666297E-3</v>
          </cell>
        </row>
        <row r="405">
          <cell r="G405">
            <v>5.2083333333330373E-4</v>
          </cell>
        </row>
        <row r="406">
          <cell r="G406">
            <v>1.2650462962963016E-2</v>
          </cell>
        </row>
        <row r="407">
          <cell r="G407">
            <v>1.1851851851851836E-2</v>
          </cell>
        </row>
        <row r="408">
          <cell r="G408">
            <v>1.1238425925925943E-2</v>
          </cell>
        </row>
        <row r="409">
          <cell r="G409">
            <v>1.012731481481477E-2</v>
          </cell>
        </row>
        <row r="410">
          <cell r="G410">
            <v>7.0370370370370083E-3</v>
          </cell>
        </row>
        <row r="411">
          <cell r="G411">
            <v>9.7453703703703209E-3</v>
          </cell>
        </row>
        <row r="412">
          <cell r="G412">
            <v>5.0115740740740988E-3</v>
          </cell>
        </row>
        <row r="413">
          <cell r="G413">
            <v>5.8449074074074514E-3</v>
          </cell>
        </row>
        <row r="414">
          <cell r="G414">
            <v>8.7268518518517912E-3</v>
          </cell>
        </row>
        <row r="415">
          <cell r="G415">
            <v>4.0393518518518912E-3</v>
          </cell>
        </row>
        <row r="416">
          <cell r="G416">
            <v>2.9629629629630005E-3</v>
          </cell>
        </row>
        <row r="417">
          <cell r="G417">
            <v>1.8287037037038045E-3</v>
          </cell>
        </row>
        <row r="418">
          <cell r="G418">
            <v>6.7013888888888817E-3</v>
          </cell>
        </row>
        <row r="419">
          <cell r="G419">
            <v>2.6967592592592182E-3</v>
          </cell>
        </row>
        <row r="420">
          <cell r="G420">
            <v>1.8634259259259767E-3</v>
          </cell>
        </row>
        <row r="421">
          <cell r="G421">
            <v>1.192129629629668E-3</v>
          </cell>
        </row>
        <row r="422">
          <cell r="G422">
            <v>1.1111111111110628E-3</v>
          </cell>
        </row>
        <row r="423">
          <cell r="G423">
            <v>5.28935185185192E-3</v>
          </cell>
        </row>
        <row r="424">
          <cell r="G424">
            <v>4.247685185185146E-3</v>
          </cell>
        </row>
        <row r="425">
          <cell r="G425">
            <v>7.6967592592592782E-3</v>
          </cell>
        </row>
        <row r="426">
          <cell r="G426">
            <v>3.1712962962962554E-3</v>
          </cell>
        </row>
        <row r="427">
          <cell r="G427">
            <v>4.745370370370372E-4</v>
          </cell>
        </row>
        <row r="428">
          <cell r="G428">
            <v>5.4398148148143699E-4</v>
          </cell>
        </row>
        <row r="429">
          <cell r="G429">
            <v>3.0092592592595446E-4</v>
          </cell>
        </row>
        <row r="430">
          <cell r="G430">
            <v>3.0092592592600997E-4</v>
          </cell>
        </row>
        <row r="431">
          <cell r="G431">
            <v>7.2916666666666963E-4</v>
          </cell>
        </row>
        <row r="432">
          <cell r="G432">
            <v>3.9351851851854303E-4</v>
          </cell>
        </row>
        <row r="433">
          <cell r="G433">
            <v>1.8518518518528815E-4</v>
          </cell>
        </row>
        <row r="434">
          <cell r="G434">
            <v>2.7199074074073515E-3</v>
          </cell>
        </row>
        <row r="435">
          <cell r="G435">
            <v>2.1539351851851851E-2</v>
          </cell>
        </row>
        <row r="436">
          <cell r="G436">
            <v>6.9560185185184586E-3</v>
          </cell>
        </row>
        <row r="437">
          <cell r="G437">
            <v>8.9814814814815902E-3</v>
          </cell>
        </row>
        <row r="438">
          <cell r="G438">
            <v>6.3541666666666607E-3</v>
          </cell>
        </row>
        <row r="439">
          <cell r="G439">
            <v>7.3032407407408462E-3</v>
          </cell>
        </row>
        <row r="440">
          <cell r="G440">
            <v>6.5856481481482154E-3</v>
          </cell>
        </row>
        <row r="441">
          <cell r="G441">
            <v>1.0416666666667185E-3</v>
          </cell>
        </row>
        <row r="442">
          <cell r="G442">
            <v>1.2615740740740788E-2</v>
          </cell>
        </row>
        <row r="443">
          <cell r="G443">
            <v>9.2592592592593004E-3</v>
          </cell>
        </row>
        <row r="444">
          <cell r="G444">
            <v>5.7870370370372015E-4</v>
          </cell>
        </row>
        <row r="445">
          <cell r="G445">
            <v>9.8379629629630205E-4</v>
          </cell>
        </row>
        <row r="446">
          <cell r="G446">
            <v>1.4918981481481408E-2</v>
          </cell>
        </row>
        <row r="447">
          <cell r="G447">
            <v>1.2615740740741233E-3</v>
          </cell>
        </row>
        <row r="448">
          <cell r="G448">
            <v>1.1527777777777803E-2</v>
          </cell>
        </row>
        <row r="449">
          <cell r="G449">
            <v>1.7291666666666594E-2</v>
          </cell>
        </row>
        <row r="450">
          <cell r="G450">
            <v>3.1597222222222721E-3</v>
          </cell>
        </row>
        <row r="451">
          <cell r="G451">
            <v>3.2407407407419875E-4</v>
          </cell>
        </row>
        <row r="452">
          <cell r="G452">
            <v>3.240740740739767E-4</v>
          </cell>
        </row>
        <row r="453">
          <cell r="G453">
            <v>8.2638888888888484E-3</v>
          </cell>
        </row>
        <row r="454">
          <cell r="G454">
            <v>1.5624999999999667E-3</v>
          </cell>
        </row>
        <row r="455">
          <cell r="G455">
            <v>6.2499999999993117E-4</v>
          </cell>
        </row>
        <row r="456">
          <cell r="G456">
            <v>2.0370370370370039E-3</v>
          </cell>
        </row>
        <row r="457">
          <cell r="G457">
            <v>2.2453703703703698E-3</v>
          </cell>
        </row>
        <row r="458">
          <cell r="G458">
            <v>5.5092592592592693E-3</v>
          </cell>
        </row>
        <row r="459">
          <cell r="G459">
            <v>4.548611111111156E-3</v>
          </cell>
        </row>
        <row r="460">
          <cell r="G460">
            <v>3.5300925925926263E-3</v>
          </cell>
        </row>
        <row r="461">
          <cell r="G461">
            <v>8.7847222222222077E-3</v>
          </cell>
        </row>
        <row r="462">
          <cell r="G462">
            <v>2.3263888888889195E-3</v>
          </cell>
        </row>
        <row r="463">
          <cell r="G463">
            <v>7.5925925925925952E-3</v>
          </cell>
        </row>
        <row r="464">
          <cell r="G464">
            <v>6.2615740740740722E-3</v>
          </cell>
        </row>
        <row r="465">
          <cell r="G465">
            <v>7.0949074074074248E-3</v>
          </cell>
        </row>
        <row r="466">
          <cell r="G466">
            <v>1.2037037037037068E-3</v>
          </cell>
        </row>
        <row r="467">
          <cell r="G467">
            <v>7.3958333333333237E-3</v>
          </cell>
        </row>
        <row r="468">
          <cell r="G468">
            <v>4.3518518518518845E-3</v>
          </cell>
        </row>
        <row r="469">
          <cell r="G469">
            <v>2.2337962962962754E-3</v>
          </cell>
        </row>
        <row r="470">
          <cell r="G470">
            <v>2.4884259259259078E-3</v>
          </cell>
        </row>
        <row r="471">
          <cell r="G471">
            <v>1.7939814814815769E-3</v>
          </cell>
        </row>
        <row r="472">
          <cell r="G472">
            <v>1.5277777777777946E-3</v>
          </cell>
        </row>
        <row r="473">
          <cell r="G473">
            <v>2.4884259259260189E-3</v>
          </cell>
        </row>
        <row r="474">
          <cell r="G474">
            <v>4.3171296296296013E-3</v>
          </cell>
        </row>
        <row r="475">
          <cell r="G475">
            <v>4.4097222222222454E-3</v>
          </cell>
        </row>
        <row r="476">
          <cell r="G476">
            <v>4.8958333333333215E-3</v>
          </cell>
        </row>
        <row r="477">
          <cell r="G477">
            <v>1.4467592592593004E-3</v>
          </cell>
        </row>
        <row r="478">
          <cell r="G478">
            <v>8.4490740740750248E-4</v>
          </cell>
        </row>
        <row r="479">
          <cell r="G479">
            <v>3.0092592592589895E-4</v>
          </cell>
        </row>
        <row r="480">
          <cell r="G480">
            <v>3.1249999999993783E-4</v>
          </cell>
        </row>
        <row r="481">
          <cell r="G481">
            <v>3.6111111111110095E-3</v>
          </cell>
        </row>
        <row r="482">
          <cell r="G482">
            <v>7.5925925925925397E-3</v>
          </cell>
        </row>
        <row r="483">
          <cell r="G483">
            <v>1.0069444444444353E-3</v>
          </cell>
        </row>
        <row r="484">
          <cell r="G484">
            <v>6.5972222222221433E-4</v>
          </cell>
        </row>
        <row r="485">
          <cell r="G485">
            <v>2.6620370370372681E-4</v>
          </cell>
        </row>
        <row r="486">
          <cell r="G486">
            <v>4.0046296296296635E-3</v>
          </cell>
        </row>
        <row r="487">
          <cell r="G487">
            <v>3.4606481481481155E-3</v>
          </cell>
        </row>
        <row r="488">
          <cell r="G488">
            <v>9.8379629629624654E-4</v>
          </cell>
        </row>
        <row r="489">
          <cell r="G489">
            <v>5.1273148148148207E-3</v>
          </cell>
        </row>
        <row r="490">
          <cell r="G490">
            <v>3.2870370370370328E-3</v>
          </cell>
        </row>
        <row r="491">
          <cell r="G491">
            <v>3.1249999999993783E-4</v>
          </cell>
        </row>
        <row r="492">
          <cell r="G492">
            <v>6.4814814814817545E-4</v>
          </cell>
        </row>
        <row r="493">
          <cell r="G493">
            <v>5.6712962962962576E-4</v>
          </cell>
        </row>
        <row r="494">
          <cell r="G494">
            <v>7.9976851851851771E-3</v>
          </cell>
        </row>
        <row r="495">
          <cell r="G495">
            <v>8.0555555555555935E-3</v>
          </cell>
        </row>
        <row r="496">
          <cell r="G496">
            <v>1.0486111111111196E-2</v>
          </cell>
        </row>
        <row r="497">
          <cell r="G497">
            <v>8.4143518518519089E-3</v>
          </cell>
        </row>
        <row r="498">
          <cell r="G498">
            <v>4.2361111111111072E-3</v>
          </cell>
        </row>
        <row r="499">
          <cell r="G499">
            <v>7.3611111111111516E-3</v>
          </cell>
        </row>
        <row r="500">
          <cell r="G500">
            <v>1.1134259259259371E-2</v>
          </cell>
        </row>
        <row r="501">
          <cell r="G501">
            <v>6.2499999999999778E-3</v>
          </cell>
        </row>
        <row r="502">
          <cell r="G502">
            <v>4.7569444444444109E-3</v>
          </cell>
        </row>
        <row r="503">
          <cell r="G503">
            <v>6.7824074074074314E-3</v>
          </cell>
        </row>
        <row r="504">
          <cell r="G504">
            <v>3.5995370370370816E-3</v>
          </cell>
        </row>
        <row r="505">
          <cell r="G505">
            <v>4.050925925925819E-4</v>
          </cell>
        </row>
        <row r="506">
          <cell r="G506">
            <v>9.9537037037034093E-4</v>
          </cell>
        </row>
        <row r="507">
          <cell r="G507">
            <v>2.8935185185184897E-3</v>
          </cell>
        </row>
        <row r="508">
          <cell r="G508">
            <v>3.2175925925925775E-3</v>
          </cell>
        </row>
        <row r="509">
          <cell r="G509">
            <v>1.5046296296296058E-3</v>
          </cell>
        </row>
        <row r="510">
          <cell r="G510">
            <v>3.2407407407408773E-4</v>
          </cell>
        </row>
        <row r="511">
          <cell r="G511">
            <v>7.1759259259251973E-4</v>
          </cell>
        </row>
        <row r="512">
          <cell r="G512">
            <v>2.3148148148144365E-4</v>
          </cell>
        </row>
        <row r="513">
          <cell r="G513">
            <v>1.9328703703703765E-3</v>
          </cell>
        </row>
        <row r="514">
          <cell r="G514">
            <v>1.5972222222222499E-3</v>
          </cell>
        </row>
        <row r="515">
          <cell r="G515">
            <v>2.5462962962963243E-4</v>
          </cell>
        </row>
        <row r="516">
          <cell r="G516">
            <v>3.2407407407414324E-4</v>
          </cell>
        </row>
        <row r="517">
          <cell r="G517">
            <v>5.9837962962963065E-3</v>
          </cell>
        </row>
        <row r="518">
          <cell r="G518">
            <v>2.3148148148144365E-4</v>
          </cell>
        </row>
        <row r="519">
          <cell r="G519">
            <v>2.1990740740740478E-4</v>
          </cell>
        </row>
        <row r="520">
          <cell r="G520">
            <v>2.083333333333659E-4</v>
          </cell>
        </row>
        <row r="521">
          <cell r="G521">
            <v>2.6273148148148184E-3</v>
          </cell>
        </row>
        <row r="522">
          <cell r="G522">
            <v>2.7314814814814459E-3</v>
          </cell>
        </row>
        <row r="523">
          <cell r="G523">
            <v>2.8935185185186008E-4</v>
          </cell>
        </row>
        <row r="524">
          <cell r="G524">
            <v>2.662037037036713E-4</v>
          </cell>
        </row>
        <row r="525">
          <cell r="G525">
            <v>2.5462962962963243E-4</v>
          </cell>
        </row>
        <row r="526">
          <cell r="G526">
            <v>4.8611111111107608E-4</v>
          </cell>
        </row>
        <row r="527">
          <cell r="G527">
            <v>2.083333333333659E-4</v>
          </cell>
        </row>
        <row r="528">
          <cell r="G528">
            <v>1.9675925925927151E-4</v>
          </cell>
        </row>
        <row r="529">
          <cell r="G529">
            <v>7.8703703703703054E-4</v>
          </cell>
        </row>
        <row r="530">
          <cell r="G530">
            <v>4.4097222222221899E-3</v>
          </cell>
        </row>
        <row r="531">
          <cell r="G531">
            <v>4.5370370370370616E-3</v>
          </cell>
        </row>
        <row r="532">
          <cell r="G532">
            <v>4.8726851851851882E-3</v>
          </cell>
        </row>
        <row r="533">
          <cell r="G533">
            <v>1.9212962962962821E-3</v>
          </cell>
        </row>
        <row r="534">
          <cell r="G534">
            <v>1.0648148148147962E-3</v>
          </cell>
        </row>
        <row r="535">
          <cell r="G535">
            <v>4.7685185185185053E-3</v>
          </cell>
        </row>
        <row r="536">
          <cell r="G536">
            <v>2.8587962962962621E-3</v>
          </cell>
        </row>
        <row r="537">
          <cell r="G537">
            <v>2.6157407407407796E-3</v>
          </cell>
        </row>
        <row r="538">
          <cell r="G538">
            <v>2.0949074074074203E-3</v>
          </cell>
        </row>
        <row r="539">
          <cell r="G539">
            <v>1.2037037037037623E-3</v>
          </cell>
        </row>
        <row r="540">
          <cell r="G540">
            <v>2.777777777778212E-4</v>
          </cell>
        </row>
        <row r="541">
          <cell r="G541">
            <v>5.5902777777777635E-3</v>
          </cell>
        </row>
        <row r="542">
          <cell r="G542">
            <v>1.042824074074078E-2</v>
          </cell>
        </row>
        <row r="543">
          <cell r="G543">
            <v>9.5833333333332771E-3</v>
          </cell>
        </row>
        <row r="544">
          <cell r="G544">
            <v>9.4675925925925553E-3</v>
          </cell>
        </row>
        <row r="545">
          <cell r="G545">
            <v>9.293981481481417E-3</v>
          </cell>
        </row>
        <row r="546">
          <cell r="G546">
            <v>9.3981481481481E-3</v>
          </cell>
        </row>
        <row r="547">
          <cell r="G547">
            <v>6.4351851851852659E-3</v>
          </cell>
        </row>
        <row r="548">
          <cell r="G548">
            <v>7.7546296296295836E-3</v>
          </cell>
        </row>
        <row r="549">
          <cell r="G549">
            <v>9.1435185185195778E-4</v>
          </cell>
        </row>
        <row r="550">
          <cell r="G550">
            <v>4.2939814814815236E-3</v>
          </cell>
        </row>
        <row r="551">
          <cell r="G551">
            <v>7.2916666666666963E-3</v>
          </cell>
        </row>
        <row r="552">
          <cell r="G552">
            <v>4.5138888888895945E-4</v>
          </cell>
        </row>
        <row r="553">
          <cell r="G553">
            <v>2.5462962962963243E-4</v>
          </cell>
        </row>
        <row r="554">
          <cell r="G554">
            <v>2.0833333333325488E-4</v>
          </cell>
        </row>
        <row r="555">
          <cell r="G555">
            <v>1.5393518518518334E-3</v>
          </cell>
        </row>
        <row r="556">
          <cell r="G556">
            <v>2.3078703703703685E-2</v>
          </cell>
        </row>
        <row r="557">
          <cell r="G557">
            <v>9.201388888888884E-3</v>
          </cell>
        </row>
        <row r="558">
          <cell r="G558">
            <v>9.0856481481482176E-3</v>
          </cell>
        </row>
        <row r="559">
          <cell r="G559">
            <v>4.1898148148148406E-3</v>
          </cell>
        </row>
        <row r="560">
          <cell r="G560">
            <v>2.4988425925925872E-2</v>
          </cell>
        </row>
        <row r="561">
          <cell r="G561">
            <v>4.7453703703698169E-4</v>
          </cell>
        </row>
        <row r="562">
          <cell r="G562">
            <v>1.3969907407407445E-2</v>
          </cell>
        </row>
        <row r="563">
          <cell r="G563">
            <v>2.3958333333333748E-3</v>
          </cell>
        </row>
        <row r="564">
          <cell r="G564">
            <v>6.7129629629630871E-4</v>
          </cell>
        </row>
        <row r="565">
          <cell r="G565">
            <v>1.6203703703709937E-4</v>
          </cell>
        </row>
        <row r="566">
          <cell r="G566">
            <v>3.2407407407403221E-4</v>
          </cell>
        </row>
        <row r="567">
          <cell r="G567">
            <v>1.8518518518517713E-4</v>
          </cell>
        </row>
        <row r="568">
          <cell r="G568">
            <v>1.7361111111113825E-4</v>
          </cell>
        </row>
        <row r="569">
          <cell r="G569">
            <v>1.5046296296294948E-4</v>
          </cell>
        </row>
        <row r="570">
          <cell r="G570">
            <v>2.0254629629629095E-3</v>
          </cell>
        </row>
        <row r="571">
          <cell r="G571">
            <v>1.0185185185185297E-3</v>
          </cell>
        </row>
        <row r="572">
          <cell r="G572">
            <v>2.7592592592592613E-2</v>
          </cell>
        </row>
        <row r="573">
          <cell r="G573">
            <v>1.7361111111113825E-4</v>
          </cell>
        </row>
        <row r="574">
          <cell r="G574">
            <v>1.7013888888888218E-3</v>
          </cell>
        </row>
        <row r="575">
          <cell r="G575">
            <v>6.0763888888888951E-3</v>
          </cell>
        </row>
        <row r="576">
          <cell r="G576">
            <v>7.5000000000000622E-3</v>
          </cell>
        </row>
        <row r="577">
          <cell r="G577">
            <v>1.1574074074072183E-4</v>
          </cell>
        </row>
        <row r="578">
          <cell r="G578">
            <v>8.2754629629629428E-3</v>
          </cell>
        </row>
        <row r="579">
          <cell r="G579">
            <v>1.2615740740740677E-3</v>
          </cell>
        </row>
        <row r="580">
          <cell r="G580">
            <v>2.3842592592592804E-3</v>
          </cell>
        </row>
        <row r="581">
          <cell r="G581">
            <v>8.3333333333329707E-4</v>
          </cell>
        </row>
        <row r="582">
          <cell r="G582">
            <v>1.8865740740741099E-3</v>
          </cell>
        </row>
        <row r="583">
          <cell r="G583">
            <v>8.101851851851638E-4</v>
          </cell>
        </row>
        <row r="584">
          <cell r="G584">
            <v>2.3842592592592804E-3</v>
          </cell>
        </row>
        <row r="585">
          <cell r="G585">
            <v>5.6018518518518579E-3</v>
          </cell>
        </row>
        <row r="586">
          <cell r="G586">
            <v>5.3472222222222809E-3</v>
          </cell>
        </row>
        <row r="587">
          <cell r="G587">
            <v>1.1076388888889011E-2</v>
          </cell>
        </row>
        <row r="588">
          <cell r="G588">
            <v>1.2106481481481468E-2</v>
          </cell>
        </row>
        <row r="589">
          <cell r="G589">
            <v>6.8171296296296591E-3</v>
          </cell>
        </row>
        <row r="590">
          <cell r="G590">
            <v>9.837962962962965E-3</v>
          </cell>
        </row>
        <row r="591">
          <cell r="G591">
            <v>8.6921296296296191E-3</v>
          </cell>
        </row>
        <row r="592">
          <cell r="G592">
            <v>7.6273148148148229E-3</v>
          </cell>
        </row>
        <row r="593">
          <cell r="G593">
            <v>1.5370370370370423E-2</v>
          </cell>
        </row>
        <row r="594">
          <cell r="G594">
            <v>7.0833333333333304E-3</v>
          </cell>
        </row>
        <row r="595">
          <cell r="G595">
            <v>1.1400462962962932E-2</v>
          </cell>
        </row>
        <row r="596">
          <cell r="G596">
            <v>1.1041666666666727E-2</v>
          </cell>
        </row>
        <row r="597">
          <cell r="G597">
            <v>1.0937500000000044E-2</v>
          </cell>
        </row>
        <row r="598">
          <cell r="G598">
            <v>8.2523148148148096E-3</v>
          </cell>
        </row>
        <row r="599">
          <cell r="G599">
            <v>1.4664351851851887E-2</v>
          </cell>
        </row>
        <row r="600">
          <cell r="G600">
            <v>9.1550925925926174E-3</v>
          </cell>
        </row>
        <row r="601">
          <cell r="G601">
            <v>1.8981481481481488E-3</v>
          </cell>
        </row>
        <row r="602">
          <cell r="G602">
            <v>2.2453703703704253E-3</v>
          </cell>
        </row>
        <row r="603">
          <cell r="G603">
            <v>1.6898148148147829E-3</v>
          </cell>
        </row>
        <row r="604">
          <cell r="G604">
            <v>5.3703703703704697E-3</v>
          </cell>
        </row>
        <row r="605">
          <cell r="G605">
            <v>6.4004629629629273E-3</v>
          </cell>
        </row>
        <row r="606">
          <cell r="G606">
            <v>4.9768518518518157E-3</v>
          </cell>
        </row>
        <row r="607">
          <cell r="G607">
            <v>2.2569444444443532E-3</v>
          </cell>
        </row>
        <row r="608">
          <cell r="G608">
            <v>1.8518518518517713E-4</v>
          </cell>
        </row>
        <row r="609">
          <cell r="G609">
            <v>1.591435185185186E-2</v>
          </cell>
        </row>
        <row r="610">
          <cell r="G610">
            <v>4.0624999999999689E-3</v>
          </cell>
        </row>
        <row r="611">
          <cell r="G611">
            <v>1.6550925925926663E-3</v>
          </cell>
        </row>
        <row r="612">
          <cell r="G612">
            <v>1.1574074074072183E-4</v>
          </cell>
        </row>
        <row r="613">
          <cell r="G613">
            <v>2.8356481481481843E-3</v>
          </cell>
        </row>
        <row r="614">
          <cell r="G614">
            <v>2.9861111111111338E-3</v>
          </cell>
        </row>
        <row r="615">
          <cell r="G615">
            <v>3.7384259259258812E-3</v>
          </cell>
        </row>
        <row r="616">
          <cell r="G616">
            <v>1.5046296296300499E-4</v>
          </cell>
        </row>
        <row r="617">
          <cell r="G617">
            <v>1.0416666666668295E-4</v>
          </cell>
        </row>
        <row r="618">
          <cell r="G618">
            <v>3.4837962962963598E-3</v>
          </cell>
        </row>
        <row r="619">
          <cell r="G619">
            <v>2.3263888888889195E-3</v>
          </cell>
        </row>
        <row r="620">
          <cell r="G620">
            <v>2.2986111111111041E-2</v>
          </cell>
        </row>
        <row r="621">
          <cell r="G621">
            <v>4.3171296296296013E-3</v>
          </cell>
        </row>
        <row r="622">
          <cell r="G622">
            <v>1.3773148148147341E-3</v>
          </cell>
        </row>
        <row r="623">
          <cell r="G623">
            <v>9.2592592592533052E-5</v>
          </cell>
        </row>
        <row r="624">
          <cell r="G624">
            <v>1.0416666666668295E-4</v>
          </cell>
        </row>
        <row r="625">
          <cell r="G625">
            <v>6.8287037037029208E-4</v>
          </cell>
        </row>
        <row r="626">
          <cell r="G626">
            <v>1.481481481481528E-3</v>
          </cell>
        </row>
        <row r="627">
          <cell r="G627">
            <v>1.5046296296295503E-3</v>
          </cell>
        </row>
        <row r="628">
          <cell r="G628">
            <v>5.9606481481481177E-3</v>
          </cell>
        </row>
        <row r="629">
          <cell r="G629">
            <v>1.2488425925925917E-2</v>
          </cell>
        </row>
        <row r="630">
          <cell r="G630">
            <v>4.9305555555555491E-3</v>
          </cell>
        </row>
        <row r="631">
          <cell r="G631">
            <v>1.8750000000000155E-3</v>
          </cell>
        </row>
        <row r="632">
          <cell r="G632">
            <v>4.8263888888888662E-3</v>
          </cell>
        </row>
        <row r="633">
          <cell r="G633">
            <v>6.1226851851851616E-3</v>
          </cell>
        </row>
        <row r="634">
          <cell r="G634">
            <v>5.0115740740740988E-3</v>
          </cell>
        </row>
        <row r="635">
          <cell r="G635">
            <v>3.7037037037035425E-4</v>
          </cell>
        </row>
        <row r="636">
          <cell r="G636">
            <v>6.0185185185185341E-4</v>
          </cell>
        </row>
        <row r="637">
          <cell r="G637">
            <v>5.5555555555553138E-4</v>
          </cell>
        </row>
        <row r="638">
          <cell r="G638">
            <v>9.2592592592533052E-5</v>
          </cell>
        </row>
        <row r="639">
          <cell r="G639">
            <v>6.94444444444553E-5</v>
          </cell>
        </row>
        <row r="640">
          <cell r="G640">
            <v>1.388888888889106E-4</v>
          </cell>
        </row>
        <row r="641">
          <cell r="G641">
            <v>1.2407407407407367E-2</v>
          </cell>
        </row>
        <row r="642">
          <cell r="G642">
            <v>6.4467592592592493E-3</v>
          </cell>
        </row>
        <row r="643">
          <cell r="G643">
            <v>6.0995370370369728E-3</v>
          </cell>
        </row>
        <row r="644">
          <cell r="G644">
            <v>6.3310185185185275E-3</v>
          </cell>
        </row>
        <row r="645">
          <cell r="G645">
            <v>5.4398148148143699E-4</v>
          </cell>
        </row>
        <row r="646">
          <cell r="G646">
            <v>4.1666666666667629E-4</v>
          </cell>
        </row>
        <row r="647">
          <cell r="G647">
            <v>3.3564814814818211E-4</v>
          </cell>
        </row>
        <row r="648">
          <cell r="G648">
            <v>1.2037037037036513E-3</v>
          </cell>
        </row>
        <row r="649">
          <cell r="G649">
            <v>9.3750000000003553E-4</v>
          </cell>
        </row>
        <row r="650">
          <cell r="G650">
            <v>4.9768518518522598E-4</v>
          </cell>
        </row>
        <row r="651">
          <cell r="G651">
            <v>5.7870370370416424E-5</v>
          </cell>
        </row>
        <row r="652">
          <cell r="G652">
            <v>2.4189814814814525E-3</v>
          </cell>
        </row>
        <row r="653">
          <cell r="G653">
            <v>2.2916666666666363E-3</v>
          </cell>
        </row>
        <row r="654">
          <cell r="G654">
            <v>1.0300925925925686E-3</v>
          </cell>
        </row>
        <row r="655">
          <cell r="G655">
            <v>9.2592592592588563E-5</v>
          </cell>
        </row>
        <row r="656">
          <cell r="G656">
            <v>3.3796296296296768E-3</v>
          </cell>
        </row>
        <row r="657">
          <cell r="G657">
            <v>1.4699074074073781E-3</v>
          </cell>
        </row>
        <row r="658">
          <cell r="G658">
            <v>3.5185185185184764E-3</v>
          </cell>
        </row>
        <row r="659">
          <cell r="G659">
            <v>1.1689814814814792E-3</v>
          </cell>
        </row>
        <row r="660">
          <cell r="G660">
            <v>5.7870370370416424E-5</v>
          </cell>
        </row>
        <row r="661">
          <cell r="G661">
            <v>3.5300925925926263E-3</v>
          </cell>
        </row>
        <row r="662">
          <cell r="G662">
            <v>1.3425925925926174E-3</v>
          </cell>
        </row>
        <row r="663">
          <cell r="G663">
            <v>2.3842592592593359E-3</v>
          </cell>
        </row>
        <row r="664">
          <cell r="G664">
            <v>2.1296296296297035E-3</v>
          </cell>
        </row>
        <row r="665">
          <cell r="G665">
            <v>5.7407407407407129E-3</v>
          </cell>
        </row>
        <row r="666">
          <cell r="G666">
            <v>2.1296296296295925E-3</v>
          </cell>
        </row>
        <row r="667">
          <cell r="G667">
            <v>2.9282407407407174E-3</v>
          </cell>
        </row>
        <row r="668">
          <cell r="G668">
            <v>1.2499999999999734E-3</v>
          </cell>
        </row>
        <row r="669">
          <cell r="G669">
            <v>8.6805555555558023E-4</v>
          </cell>
        </row>
        <row r="670">
          <cell r="G670">
            <v>3.8194444444439313E-4</v>
          </cell>
        </row>
        <row r="671">
          <cell r="G671">
            <v>1.4351851851852615E-3</v>
          </cell>
        </row>
        <row r="672">
          <cell r="G672">
            <v>3.2407407407408773E-4</v>
          </cell>
        </row>
        <row r="673">
          <cell r="G673">
            <v>8.1018518518494176E-5</v>
          </cell>
        </row>
        <row r="674">
          <cell r="G674">
            <v>1.1354166666666554E-2</v>
          </cell>
        </row>
        <row r="675">
          <cell r="G675">
            <v>9.7453703703702654E-3</v>
          </cell>
        </row>
        <row r="676">
          <cell r="G676">
            <v>9.5833333333332771E-3</v>
          </cell>
        </row>
        <row r="677">
          <cell r="G677">
            <v>6.6782407407406374E-3</v>
          </cell>
        </row>
        <row r="678">
          <cell r="G678">
            <v>3.8425925925925641E-3</v>
          </cell>
        </row>
        <row r="679">
          <cell r="G679">
            <v>5.5208333333333082E-3</v>
          </cell>
        </row>
        <row r="680">
          <cell r="G680">
            <v>1.7476851851850883E-3</v>
          </cell>
        </row>
        <row r="681">
          <cell r="G681">
            <v>1.1099537037037144E-2</v>
          </cell>
        </row>
        <row r="682">
          <cell r="G682">
            <v>1.1574074074072183E-4</v>
          </cell>
        </row>
        <row r="683">
          <cell r="G683">
            <v>8.5648148148131931E-4</v>
          </cell>
        </row>
        <row r="684">
          <cell r="G684">
            <v>8.1018518518494176E-5</v>
          </cell>
        </row>
        <row r="685">
          <cell r="G685">
            <v>1.0995370370370794E-3</v>
          </cell>
        </row>
        <row r="686">
          <cell r="G686">
            <v>1.2615740740741233E-3</v>
          </cell>
        </row>
        <row r="687">
          <cell r="G687">
            <v>2.8819444444443953E-3</v>
          </cell>
        </row>
        <row r="688">
          <cell r="G688">
            <v>1.678240740740744E-3</v>
          </cell>
        </row>
        <row r="689">
          <cell r="G689">
            <v>1.7013888888889328E-3</v>
          </cell>
        </row>
        <row r="690">
          <cell r="G690">
            <v>5.3240740740745363E-4</v>
          </cell>
        </row>
        <row r="691">
          <cell r="G691">
            <v>2.1875000000000089E-3</v>
          </cell>
        </row>
        <row r="692">
          <cell r="G692">
            <v>1.8287037037036935E-3</v>
          </cell>
        </row>
        <row r="693">
          <cell r="G693">
            <v>7.8703703703703609E-3</v>
          </cell>
        </row>
        <row r="694">
          <cell r="G694">
            <v>2.6967592592592737E-3</v>
          </cell>
        </row>
        <row r="695">
          <cell r="G695">
            <v>1.9907407407407374E-3</v>
          </cell>
        </row>
        <row r="696">
          <cell r="G696">
            <v>1.4236111111110561E-3</v>
          </cell>
        </row>
        <row r="697">
          <cell r="G697">
            <v>3.4027777777776991E-3</v>
          </cell>
        </row>
        <row r="698">
          <cell r="G698">
            <v>6.4814814814817545E-4</v>
          </cell>
        </row>
        <row r="699">
          <cell r="G699">
            <v>1.9560185185185652E-3</v>
          </cell>
        </row>
        <row r="700">
          <cell r="G700">
            <v>1.8634259259259212E-3</v>
          </cell>
        </row>
        <row r="701">
          <cell r="G701">
            <v>6.1458333333334059E-3</v>
          </cell>
        </row>
        <row r="702">
          <cell r="G702">
            <v>1.4699074074073781E-3</v>
          </cell>
        </row>
        <row r="703">
          <cell r="G703">
            <v>2.4074074074074137E-3</v>
          </cell>
        </row>
        <row r="704">
          <cell r="G704">
            <v>3.9930555555555136E-3</v>
          </cell>
        </row>
        <row r="705">
          <cell r="G705">
            <v>2.7777777777777679E-3</v>
          </cell>
        </row>
        <row r="706">
          <cell r="G706">
            <v>1.7662037037037059E-2</v>
          </cell>
        </row>
        <row r="707">
          <cell r="G707">
            <v>1.5659722222222117E-2</v>
          </cell>
        </row>
        <row r="708">
          <cell r="G708">
            <v>1.5069444444444358E-2</v>
          </cell>
        </row>
        <row r="709">
          <cell r="G709">
            <v>1.3263888888888853E-2</v>
          </cell>
        </row>
        <row r="710">
          <cell r="G710">
            <v>4.1087962962962354E-3</v>
          </cell>
        </row>
        <row r="711">
          <cell r="G711">
            <v>6.1574074074074447E-3</v>
          </cell>
        </row>
        <row r="712">
          <cell r="G712">
            <v>8.4953703703704031E-3</v>
          </cell>
        </row>
        <row r="713">
          <cell r="G713">
            <v>1.4155092592592622E-2</v>
          </cell>
        </row>
        <row r="714">
          <cell r="G714">
            <v>6.6782407407407485E-3</v>
          </cell>
        </row>
        <row r="715">
          <cell r="G715">
            <v>2.3229166666666634E-2</v>
          </cell>
        </row>
        <row r="716">
          <cell r="G716">
            <v>1.0300925925925686E-3</v>
          </cell>
        </row>
        <row r="717">
          <cell r="G717">
            <v>2.1793981481481484E-2</v>
          </cell>
        </row>
        <row r="718">
          <cell r="G718">
            <v>6.0532407407407618E-3</v>
          </cell>
        </row>
        <row r="719">
          <cell r="G719">
            <v>2.1400462962962941E-2</v>
          </cell>
        </row>
        <row r="720">
          <cell r="G720">
            <v>2.1979166666666661E-2</v>
          </cell>
        </row>
        <row r="721">
          <cell r="G721">
            <v>1.8125000000000058E-2</v>
          </cell>
        </row>
        <row r="722">
          <cell r="G722">
            <v>2.1446759259259318E-2</v>
          </cell>
        </row>
        <row r="723">
          <cell r="G723">
            <v>1.4884259259259291E-2</v>
          </cell>
        </row>
        <row r="724">
          <cell r="G724">
            <v>1.9907407407407374E-2</v>
          </cell>
        </row>
        <row r="725">
          <cell r="G725">
            <v>1.8229166666666741E-2</v>
          </cell>
        </row>
        <row r="726">
          <cell r="G726">
            <v>1.7777777777777781E-2</v>
          </cell>
        </row>
        <row r="727">
          <cell r="G727">
            <v>7.9513888888887996E-3</v>
          </cell>
        </row>
        <row r="728">
          <cell r="G728">
            <v>6.3078703703702832E-3</v>
          </cell>
        </row>
        <row r="729">
          <cell r="G729">
            <v>3.1365740740740833E-3</v>
          </cell>
        </row>
        <row r="730">
          <cell r="G730">
            <v>1.0868055555555589E-2</v>
          </cell>
        </row>
        <row r="731">
          <cell r="G731">
            <v>1.1655092592592564E-2</v>
          </cell>
        </row>
        <row r="732">
          <cell r="G732">
            <v>1.1574074074074181E-2</v>
          </cell>
        </row>
        <row r="733">
          <cell r="G733">
            <v>1.0624999999999996E-2</v>
          </cell>
        </row>
        <row r="734">
          <cell r="G734">
            <v>7.5925925925925952E-3</v>
          </cell>
        </row>
        <row r="735">
          <cell r="G735">
            <v>7.7777777777777724E-3</v>
          </cell>
        </row>
        <row r="736">
          <cell r="G736">
            <v>1.4236111111112226E-3</v>
          </cell>
        </row>
        <row r="737">
          <cell r="G737">
            <v>1.6203703703703276E-3</v>
          </cell>
        </row>
        <row r="738">
          <cell r="G738">
            <v>1.0185185185185297E-3</v>
          </cell>
        </row>
        <row r="739">
          <cell r="G739">
            <v>7.2916666666666963E-4</v>
          </cell>
        </row>
        <row r="740">
          <cell r="G740">
            <v>7.1759259259240871E-4</v>
          </cell>
        </row>
        <row r="741">
          <cell r="G741">
            <v>8.5648148148143033E-4</v>
          </cell>
        </row>
        <row r="742">
          <cell r="G742">
            <v>3.854166666666714E-3</v>
          </cell>
        </row>
        <row r="743">
          <cell r="G743">
            <v>3.9583333333333415E-3</v>
          </cell>
        </row>
        <row r="744">
          <cell r="G744">
            <v>7.2916666666666963E-4</v>
          </cell>
        </row>
        <row r="745">
          <cell r="G745">
            <v>7.291666666665586E-4</v>
          </cell>
        </row>
        <row r="746">
          <cell r="G746">
            <v>8.2175925925920268E-4</v>
          </cell>
        </row>
        <row r="747">
          <cell r="G747">
            <v>7.2916666666666963E-4</v>
          </cell>
        </row>
        <row r="748">
          <cell r="G748">
            <v>5.4398148148138148E-4</v>
          </cell>
        </row>
      </sheetData>
      <sheetData sheetId="11">
        <row r="3">
          <cell r="G3">
            <v>2.1643518518518756E-3</v>
          </cell>
        </row>
        <row r="4">
          <cell r="G4">
            <v>8.4490740740733594E-4</v>
          </cell>
        </row>
        <row r="5">
          <cell r="G5">
            <v>5.0347222222222321E-3</v>
          </cell>
        </row>
        <row r="6">
          <cell r="G6">
            <v>3.414351851851849E-3</v>
          </cell>
        </row>
        <row r="7">
          <cell r="G7">
            <v>2.2106481481481977E-3</v>
          </cell>
        </row>
        <row r="8">
          <cell r="G8">
            <v>4.0625000000000244E-3</v>
          </cell>
        </row>
        <row r="9">
          <cell r="G9">
            <v>3.0555555555555891E-3</v>
          </cell>
        </row>
        <row r="10">
          <cell r="G10">
            <v>1.6087962962962887E-3</v>
          </cell>
        </row>
        <row r="11">
          <cell r="G11">
            <v>6.9444444444444198E-4</v>
          </cell>
        </row>
        <row r="12">
          <cell r="G12">
            <v>1.0300925925926241E-3</v>
          </cell>
        </row>
        <row r="13">
          <cell r="G13">
            <v>2.0231481481481461E-2</v>
          </cell>
        </row>
        <row r="14">
          <cell r="G14">
            <v>6.5972222222221433E-4</v>
          </cell>
        </row>
        <row r="15">
          <cell r="G15">
            <v>6.712962962962532E-4</v>
          </cell>
        </row>
        <row r="16">
          <cell r="G16">
            <v>1.2152777777777457E-3</v>
          </cell>
        </row>
        <row r="17">
          <cell r="G17">
            <v>6.7129629629636423E-4</v>
          </cell>
        </row>
        <row r="18">
          <cell r="G18">
            <v>6.828703703704031E-4</v>
          </cell>
        </row>
        <row r="19">
          <cell r="G19">
            <v>3.3333333333332993E-3</v>
          </cell>
        </row>
        <row r="20">
          <cell r="G20">
            <v>6.5046296296296657E-3</v>
          </cell>
        </row>
        <row r="21">
          <cell r="G21">
            <v>6.0185185185185897E-3</v>
          </cell>
        </row>
        <row r="22">
          <cell r="G22">
            <v>1.4467592592591894E-3</v>
          </cell>
        </row>
        <row r="23">
          <cell r="G23">
            <v>3.3680555555555269E-3</v>
          </cell>
        </row>
        <row r="24">
          <cell r="G24">
            <v>2.8935185185185452E-3</v>
          </cell>
        </row>
        <row r="25">
          <cell r="G25">
            <v>2.3379629629629584E-3</v>
          </cell>
        </row>
        <row r="26">
          <cell r="G26">
            <v>2.0370370370370594E-3</v>
          </cell>
        </row>
        <row r="27">
          <cell r="G27">
            <v>1.5590277777777828E-2</v>
          </cell>
        </row>
        <row r="28">
          <cell r="G28">
            <v>6.5972222222221433E-4</v>
          </cell>
        </row>
        <row r="29">
          <cell r="G29">
            <v>6.5972222222221433E-4</v>
          </cell>
        </row>
        <row r="30">
          <cell r="G30">
            <v>1.5509259259259223E-2</v>
          </cell>
        </row>
        <row r="31">
          <cell r="G31">
            <v>1.2638888888888866E-2</v>
          </cell>
        </row>
        <row r="32">
          <cell r="G32">
            <v>1.2152777777778012E-3</v>
          </cell>
        </row>
        <row r="33">
          <cell r="G33">
            <v>9.3287037037037557E-3</v>
          </cell>
        </row>
        <row r="34">
          <cell r="G34">
            <v>9.1203703703703898E-3</v>
          </cell>
        </row>
        <row r="35">
          <cell r="G35">
            <v>4.6412037037037446E-3</v>
          </cell>
        </row>
        <row r="36">
          <cell r="G36">
            <v>1.9675925925926041E-3</v>
          </cell>
        </row>
        <row r="37">
          <cell r="G37">
            <v>3.067129629629628E-3</v>
          </cell>
        </row>
        <row r="38">
          <cell r="G38">
            <v>6.1458333333334059E-3</v>
          </cell>
        </row>
        <row r="39">
          <cell r="G39">
            <v>1.4467592592593004E-3</v>
          </cell>
        </row>
        <row r="40">
          <cell r="G40">
            <v>6.4814814814806443E-4</v>
          </cell>
        </row>
        <row r="41">
          <cell r="G41">
            <v>6.3657407407402555E-4</v>
          </cell>
        </row>
        <row r="42">
          <cell r="G42">
            <v>6.018518518517979E-4</v>
          </cell>
        </row>
        <row r="43">
          <cell r="G43">
            <v>4.629629629628873E-4</v>
          </cell>
        </row>
        <row r="44">
          <cell r="G44">
            <v>1.4004629629629228E-3</v>
          </cell>
        </row>
        <row r="45">
          <cell r="G45">
            <v>3.0787037037036669E-3</v>
          </cell>
        </row>
        <row r="46">
          <cell r="G46">
            <v>7.9398148148148162E-3</v>
          </cell>
        </row>
        <row r="47">
          <cell r="G47">
            <v>7.5810185185185563E-3</v>
          </cell>
        </row>
        <row r="48">
          <cell r="G48">
            <v>9.8379629629630205E-4</v>
          </cell>
        </row>
        <row r="49">
          <cell r="G49">
            <v>2.2453703703703143E-3</v>
          </cell>
        </row>
        <row r="50">
          <cell r="G50">
            <v>8.3333333333335258E-4</v>
          </cell>
        </row>
        <row r="51">
          <cell r="G51">
            <v>6.0185185185190893E-4</v>
          </cell>
        </row>
        <row r="52">
          <cell r="G52">
            <v>1.1226851851851571E-3</v>
          </cell>
        </row>
        <row r="53">
          <cell r="G53">
            <v>9.9652777777777257E-3</v>
          </cell>
        </row>
        <row r="54">
          <cell r="G54">
            <v>3.7847222222222587E-3</v>
          </cell>
        </row>
        <row r="55">
          <cell r="G55">
            <v>5.7870370370372015E-4</v>
          </cell>
        </row>
        <row r="56">
          <cell r="G56">
            <v>4.2361111111111072E-3</v>
          </cell>
        </row>
        <row r="57">
          <cell r="G57">
            <v>2.5347222222222854E-3</v>
          </cell>
        </row>
        <row r="58">
          <cell r="G58">
            <v>8.9120370370365798E-4</v>
          </cell>
        </row>
        <row r="59">
          <cell r="G59">
            <v>1.7013888888889328E-3</v>
          </cell>
        </row>
        <row r="60">
          <cell r="G60">
            <v>1.5046296296294948E-3</v>
          </cell>
        </row>
        <row r="61">
          <cell r="G61">
            <v>6.2499999999998668E-4</v>
          </cell>
        </row>
        <row r="62">
          <cell r="G62">
            <v>7.638888888890083E-4</v>
          </cell>
        </row>
        <row r="63">
          <cell r="G63">
            <v>7.8587962962962665E-3</v>
          </cell>
        </row>
        <row r="64">
          <cell r="G64">
            <v>9.6064814814811328E-4</v>
          </cell>
        </row>
        <row r="65">
          <cell r="G65">
            <v>8.101851851851638E-4</v>
          </cell>
        </row>
        <row r="66">
          <cell r="G66">
            <v>1.1018518518518539E-2</v>
          </cell>
        </row>
        <row r="67">
          <cell r="G67">
            <v>9.3287037037036447E-3</v>
          </cell>
        </row>
        <row r="68">
          <cell r="G68">
            <v>6.2152777777778612E-3</v>
          </cell>
        </row>
        <row r="69">
          <cell r="G69">
            <v>3.4837962962963598E-3</v>
          </cell>
        </row>
        <row r="70">
          <cell r="G70">
            <v>5.9027777777781454E-4</v>
          </cell>
        </row>
        <row r="71">
          <cell r="G71">
            <v>7.2916666666666963E-4</v>
          </cell>
        </row>
        <row r="72">
          <cell r="G72">
            <v>5.7870370370372015E-4</v>
          </cell>
        </row>
        <row r="73">
          <cell r="G73">
            <v>3.1944444444444997E-3</v>
          </cell>
        </row>
        <row r="74">
          <cell r="G74">
            <v>3.2060185185185386E-3</v>
          </cell>
        </row>
        <row r="75">
          <cell r="G75">
            <v>5.3009259259259034E-3</v>
          </cell>
        </row>
        <row r="76">
          <cell r="G76">
            <v>5.1041666666666874E-3</v>
          </cell>
        </row>
        <row r="77">
          <cell r="G77">
            <v>1.0034722222222237E-2</v>
          </cell>
        </row>
        <row r="78">
          <cell r="G78">
            <v>1.2037037037036513E-3</v>
          </cell>
        </row>
        <row r="79">
          <cell r="G79">
            <v>3.3680555555555269E-3</v>
          </cell>
        </row>
        <row r="80">
          <cell r="G80">
            <v>9.0277777777775237E-4</v>
          </cell>
        </row>
        <row r="81">
          <cell r="G81">
            <v>5.5555555555558689E-4</v>
          </cell>
        </row>
        <row r="82">
          <cell r="G82">
            <v>5.4166666666666807E-3</v>
          </cell>
        </row>
        <row r="83">
          <cell r="G83">
            <v>1.9675925925926041E-3</v>
          </cell>
        </row>
        <row r="84">
          <cell r="G84">
            <v>6.0185185185190893E-4</v>
          </cell>
        </row>
        <row r="85">
          <cell r="G85">
            <v>3.6342592592593093E-3</v>
          </cell>
        </row>
        <row r="86">
          <cell r="G86">
            <v>7.4074074074081953E-4</v>
          </cell>
        </row>
        <row r="87">
          <cell r="G87">
            <v>3.5416666666666652E-3</v>
          </cell>
        </row>
        <row r="88">
          <cell r="G88">
            <v>1.9675925925926041E-3</v>
          </cell>
        </row>
        <row r="89">
          <cell r="G89">
            <v>1.4004629629629783E-3</v>
          </cell>
        </row>
        <row r="90">
          <cell r="G90">
            <v>8.5648148148148584E-4</v>
          </cell>
        </row>
        <row r="91">
          <cell r="G91">
            <v>5.3240740740739811E-4</v>
          </cell>
        </row>
        <row r="92">
          <cell r="G92">
            <v>8.8657407407407574E-3</v>
          </cell>
        </row>
        <row r="93">
          <cell r="G93">
            <v>7.1412037037036913E-3</v>
          </cell>
        </row>
        <row r="94">
          <cell r="G94">
            <v>4.6064814814814614E-3</v>
          </cell>
        </row>
        <row r="95">
          <cell r="G95">
            <v>1.8981481481481488E-3</v>
          </cell>
        </row>
        <row r="96">
          <cell r="G96">
            <v>7.2916666666665853E-3</v>
          </cell>
        </row>
        <row r="97">
          <cell r="G97">
            <v>3.7268518518518423E-3</v>
          </cell>
        </row>
        <row r="98">
          <cell r="G98">
            <v>6.134259259259478E-4</v>
          </cell>
        </row>
        <row r="99">
          <cell r="G99">
            <v>3.263888888888955E-3</v>
          </cell>
        </row>
        <row r="100">
          <cell r="G100">
            <v>4.9305555555555491E-3</v>
          </cell>
        </row>
        <row r="101">
          <cell r="G101">
            <v>3.9814814814814747E-3</v>
          </cell>
        </row>
        <row r="102">
          <cell r="G102">
            <v>3.6342592592593093E-3</v>
          </cell>
        </row>
        <row r="103">
          <cell r="G103">
            <v>6.9444444444444198E-4</v>
          </cell>
        </row>
        <row r="104">
          <cell r="G104">
            <v>2.5578703703703631E-3</v>
          </cell>
        </row>
        <row r="105">
          <cell r="G105">
            <v>3.263888888888955E-3</v>
          </cell>
        </row>
        <row r="106">
          <cell r="G106">
            <v>1.8611111111111134E-2</v>
          </cell>
        </row>
        <row r="107">
          <cell r="G107">
            <v>5.6712962962957025E-4</v>
          </cell>
        </row>
        <row r="108">
          <cell r="G108">
            <v>4.548611111111156E-3</v>
          </cell>
        </row>
        <row r="109">
          <cell r="G109">
            <v>3.1365740740740833E-3</v>
          </cell>
        </row>
        <row r="110">
          <cell r="G110">
            <v>1.4120370370370727E-3</v>
          </cell>
        </row>
        <row r="111">
          <cell r="G111">
            <v>5.3472222222222809E-3</v>
          </cell>
        </row>
        <row r="112">
          <cell r="G112">
            <v>4.0046296296297745E-3</v>
          </cell>
        </row>
        <row r="113">
          <cell r="G113">
            <v>1.388888888888995E-3</v>
          </cell>
        </row>
        <row r="114">
          <cell r="G114">
            <v>2.372685185185075E-3</v>
          </cell>
        </row>
        <row r="115">
          <cell r="G115">
            <v>1.134259259259307E-3</v>
          </cell>
        </row>
        <row r="116">
          <cell r="G116">
            <v>1.4212962962962927E-2</v>
          </cell>
        </row>
        <row r="117">
          <cell r="G117">
            <v>1.5011574074074052E-2</v>
          </cell>
        </row>
        <row r="118">
          <cell r="G118">
            <v>6.423611111111116E-3</v>
          </cell>
        </row>
        <row r="119">
          <cell r="G119">
            <v>3.1828703703703498E-3</v>
          </cell>
        </row>
        <row r="120">
          <cell r="G120">
            <v>3.6805555555555758E-3</v>
          </cell>
        </row>
        <row r="121">
          <cell r="G121">
            <v>8.3333333333329707E-4</v>
          </cell>
        </row>
        <row r="122">
          <cell r="G122">
            <v>2.372685185185186E-3</v>
          </cell>
        </row>
        <row r="123">
          <cell r="G123">
            <v>2.6504629629630072E-3</v>
          </cell>
        </row>
        <row r="124">
          <cell r="G124">
            <v>2.9745370370370394E-3</v>
          </cell>
        </row>
        <row r="125">
          <cell r="G125">
            <v>5.1273148148147651E-3</v>
          </cell>
        </row>
        <row r="126">
          <cell r="G126">
            <v>5.5324074074074026E-3</v>
          </cell>
        </row>
        <row r="127">
          <cell r="G127">
            <v>5.1041666666666874E-3</v>
          </cell>
        </row>
        <row r="128">
          <cell r="G128">
            <v>1.9328703703703209E-3</v>
          </cell>
        </row>
        <row r="129">
          <cell r="G129">
            <v>2.3379629629629584E-3</v>
          </cell>
        </row>
        <row r="130">
          <cell r="G130">
            <v>5.3240740740739811E-4</v>
          </cell>
        </row>
        <row r="131">
          <cell r="G131">
            <v>5.4629629629630028E-3</v>
          </cell>
        </row>
        <row r="132">
          <cell r="G132">
            <v>1.3078703703703898E-3</v>
          </cell>
        </row>
        <row r="133">
          <cell r="G133">
            <v>4.3125000000000024E-2</v>
          </cell>
        </row>
        <row r="134">
          <cell r="G134">
            <v>3.3217592592592049E-3</v>
          </cell>
        </row>
        <row r="135">
          <cell r="G135">
            <v>3.5995370370370261E-3</v>
          </cell>
        </row>
        <row r="136">
          <cell r="G136">
            <v>9.6875000000000155E-3</v>
          </cell>
        </row>
        <row r="137">
          <cell r="G137">
            <v>9.9768518518518201E-3</v>
          </cell>
        </row>
        <row r="138">
          <cell r="G138">
            <v>1.3692129629629568E-2</v>
          </cell>
        </row>
        <row r="139">
          <cell r="G139">
            <v>1.1122685185185166E-2</v>
          </cell>
        </row>
        <row r="140">
          <cell r="G140">
            <v>2.5462962962963243E-3</v>
          </cell>
        </row>
        <row r="141">
          <cell r="G141">
            <v>9.2824074074074336E-3</v>
          </cell>
        </row>
        <row r="142">
          <cell r="G142">
            <v>2.1875000000000089E-3</v>
          </cell>
        </row>
        <row r="143">
          <cell r="G143">
            <v>1.8981481481481488E-3</v>
          </cell>
        </row>
        <row r="144">
          <cell r="G144">
            <v>1.6203703703704386E-3</v>
          </cell>
        </row>
        <row r="145">
          <cell r="G145">
            <v>2.2800925925925419E-3</v>
          </cell>
        </row>
        <row r="146">
          <cell r="G146">
            <v>1.6898148148146719E-3</v>
          </cell>
        </row>
        <row r="147">
          <cell r="G147">
            <v>1.0995370370371349E-3</v>
          </cell>
        </row>
        <row r="148">
          <cell r="G148">
            <v>6.7129629629630871E-4</v>
          </cell>
        </row>
        <row r="149">
          <cell r="G149">
            <v>1.6550925925926108E-3</v>
          </cell>
        </row>
        <row r="150">
          <cell r="G150">
            <v>4.6296296296299833E-4</v>
          </cell>
        </row>
        <row r="151">
          <cell r="G151">
            <v>1.5393518518518334E-3</v>
          </cell>
        </row>
        <row r="152">
          <cell r="G152">
            <v>6.0532407407407618E-3</v>
          </cell>
        </row>
        <row r="153">
          <cell r="G153">
            <v>4.6180555555555003E-3</v>
          </cell>
        </row>
        <row r="154">
          <cell r="G154">
            <v>1.2268518518518401E-3</v>
          </cell>
        </row>
        <row r="155">
          <cell r="G155">
            <v>2.2685185185185031E-3</v>
          </cell>
        </row>
        <row r="156">
          <cell r="G156">
            <v>2.4074074074074137E-3</v>
          </cell>
        </row>
        <row r="157">
          <cell r="G157">
            <v>3.8194444444439313E-4</v>
          </cell>
        </row>
        <row r="158">
          <cell r="G158">
            <v>1.481481481481528E-3</v>
          </cell>
        </row>
        <row r="159">
          <cell r="G159">
            <v>2.2106481481480866E-3</v>
          </cell>
        </row>
        <row r="160">
          <cell r="G160">
            <v>2.4652777777777191E-3</v>
          </cell>
        </row>
        <row r="161">
          <cell r="G161">
            <v>6.6550925925926152E-3</v>
          </cell>
        </row>
        <row r="162">
          <cell r="G162">
            <v>5.3587962962962643E-3</v>
          </cell>
        </row>
        <row r="163">
          <cell r="G163">
            <v>2.6157407407407796E-3</v>
          </cell>
        </row>
        <row r="164">
          <cell r="G164">
            <v>1.1689814814814792E-3</v>
          </cell>
        </row>
        <row r="165">
          <cell r="G165">
            <v>4.7453703703698169E-4</v>
          </cell>
        </row>
        <row r="166">
          <cell r="G166">
            <v>6.2499999999999778E-3</v>
          </cell>
        </row>
        <row r="167">
          <cell r="G167">
            <v>6.1921296296296724E-3</v>
          </cell>
        </row>
        <row r="168">
          <cell r="G168">
            <v>3.1249999999999334E-3</v>
          </cell>
        </row>
        <row r="169">
          <cell r="G169">
            <v>1.782407407407316E-3</v>
          </cell>
        </row>
        <row r="170">
          <cell r="G170">
            <v>4.3981481481480955E-4</v>
          </cell>
        </row>
        <row r="171">
          <cell r="G171">
            <v>5.8796296296296235E-3</v>
          </cell>
        </row>
        <row r="172">
          <cell r="G172">
            <v>4.2824074074065965E-4</v>
          </cell>
        </row>
        <row r="173">
          <cell r="G173">
            <v>1.9560185185183432E-3</v>
          </cell>
        </row>
        <row r="174">
          <cell r="G174">
            <v>1.7245370370370383E-2</v>
          </cell>
        </row>
        <row r="175">
          <cell r="G175">
            <v>1.5208333333333324E-2</v>
          </cell>
        </row>
        <row r="176">
          <cell r="G176">
            <v>1.4050925925925939E-2</v>
          </cell>
        </row>
        <row r="177">
          <cell r="G177">
            <v>1.5567129629629639E-2</v>
          </cell>
        </row>
        <row r="178">
          <cell r="G178">
            <v>1.5312500000000007E-2</v>
          </cell>
        </row>
        <row r="179">
          <cell r="G179">
            <v>1.4375000000000027E-2</v>
          </cell>
        </row>
        <row r="180">
          <cell r="G180">
            <v>7.1296296296296524E-3</v>
          </cell>
        </row>
        <row r="181">
          <cell r="G181">
            <v>6.0763888888888951E-3</v>
          </cell>
        </row>
        <row r="182">
          <cell r="G182">
            <v>1.099537037037035E-2</v>
          </cell>
        </row>
        <row r="183">
          <cell r="G183">
            <v>1.0243055555555547E-2</v>
          </cell>
        </row>
        <row r="184">
          <cell r="G184">
            <v>2.9976851851851727E-3</v>
          </cell>
        </row>
        <row r="185">
          <cell r="G185">
            <v>1.1226851851851571E-3</v>
          </cell>
        </row>
        <row r="186">
          <cell r="G186">
            <v>1.4930555555555669E-3</v>
          </cell>
        </row>
        <row r="187">
          <cell r="G187">
            <v>2.1412037037036868E-3</v>
          </cell>
        </row>
        <row r="188">
          <cell r="G188">
            <v>4.0509259259263741E-4</v>
          </cell>
        </row>
        <row r="189">
          <cell r="G189">
            <v>3.9351851851854303E-4</v>
          </cell>
        </row>
        <row r="190">
          <cell r="G190">
            <v>4.7453703703698169E-4</v>
          </cell>
        </row>
        <row r="191">
          <cell r="G191">
            <v>2.5462962962957691E-4</v>
          </cell>
        </row>
        <row r="192">
          <cell r="G192">
            <v>4.5138888888895945E-4</v>
          </cell>
        </row>
        <row r="193">
          <cell r="G193">
            <v>8.9930555555554625E-3</v>
          </cell>
        </row>
        <row r="194">
          <cell r="G194">
            <v>1.1145833333333299E-2</v>
          </cell>
        </row>
        <row r="195">
          <cell r="G195">
            <v>1.4016203703703711E-2</v>
          </cell>
        </row>
        <row r="196">
          <cell r="G196">
            <v>8.7268518518517357E-3</v>
          </cell>
        </row>
        <row r="197">
          <cell r="G197">
            <v>7.0833333333333304E-3</v>
          </cell>
        </row>
        <row r="198">
          <cell r="G198">
            <v>5.1736111111110317E-3</v>
          </cell>
        </row>
        <row r="199">
          <cell r="G199">
            <v>5.6712962962962576E-3</v>
          </cell>
        </row>
        <row r="200">
          <cell r="G200">
            <v>3.8425925925925641E-3</v>
          </cell>
        </row>
        <row r="201">
          <cell r="G201">
            <v>5.324074074073426E-4</v>
          </cell>
        </row>
        <row r="202">
          <cell r="G202">
            <v>1.2500000000000844E-3</v>
          </cell>
        </row>
        <row r="203">
          <cell r="G203">
            <v>1.3310185185185786E-3</v>
          </cell>
        </row>
        <row r="204">
          <cell r="G204">
            <v>3.7037037037035425E-4</v>
          </cell>
        </row>
        <row r="205">
          <cell r="G205">
            <v>1.1053240740740655E-2</v>
          </cell>
        </row>
        <row r="206">
          <cell r="G206">
            <v>1.1215277777777644E-2</v>
          </cell>
        </row>
        <row r="207">
          <cell r="G207">
            <v>1.0868055555555589E-2</v>
          </cell>
        </row>
        <row r="208">
          <cell r="G208">
            <v>8.4374999999999867E-3</v>
          </cell>
        </row>
        <row r="209">
          <cell r="G209">
            <v>6.0532407407407618E-3</v>
          </cell>
        </row>
        <row r="210">
          <cell r="G210">
            <v>6.3657407407408106E-3</v>
          </cell>
        </row>
        <row r="211">
          <cell r="G211">
            <v>5.6712962962963687E-3</v>
          </cell>
        </row>
        <row r="212">
          <cell r="G212">
            <v>1.1342592592592515E-3</v>
          </cell>
        </row>
        <row r="213">
          <cell r="G213">
            <v>6.94444444444553E-4</v>
          </cell>
        </row>
        <row r="214">
          <cell r="G214">
            <v>1.9328703703704875E-3</v>
          </cell>
        </row>
        <row r="215">
          <cell r="G215">
            <v>3.8194444444439313E-4</v>
          </cell>
        </row>
        <row r="216">
          <cell r="G216">
            <v>4.2824074074077068E-4</v>
          </cell>
        </row>
        <row r="217">
          <cell r="G217">
            <v>1.3541666666667673E-3</v>
          </cell>
        </row>
        <row r="218">
          <cell r="G218">
            <v>1.6666666666668162E-3</v>
          </cell>
        </row>
        <row r="219">
          <cell r="G219">
            <v>4.0509259259252639E-4</v>
          </cell>
        </row>
        <row r="220">
          <cell r="G220">
            <v>2.4421296296296968E-3</v>
          </cell>
        </row>
        <row r="221">
          <cell r="G221">
            <v>1.6550925925926108E-3</v>
          </cell>
        </row>
        <row r="222">
          <cell r="G222">
            <v>4.5486111111111005E-3</v>
          </cell>
        </row>
        <row r="223">
          <cell r="G223">
            <v>1.4120370370370727E-3</v>
          </cell>
        </row>
        <row r="224">
          <cell r="G224">
            <v>3.8194444444439313E-4</v>
          </cell>
        </row>
        <row r="225">
          <cell r="G225">
            <v>1.8287037037036935E-3</v>
          </cell>
        </row>
        <row r="226">
          <cell r="G226">
            <v>9.3749999999998002E-4</v>
          </cell>
        </row>
        <row r="227">
          <cell r="G227">
            <v>1.8171296296296546E-3</v>
          </cell>
        </row>
        <row r="228">
          <cell r="G228">
            <v>7.3263888888888684E-3</v>
          </cell>
        </row>
        <row r="229">
          <cell r="G229">
            <v>5.3472222222222254E-3</v>
          </cell>
        </row>
        <row r="230">
          <cell r="G230">
            <v>3.5416666666666652E-3</v>
          </cell>
        </row>
        <row r="231">
          <cell r="G231">
            <v>1.678240740740744E-3</v>
          </cell>
        </row>
        <row r="232">
          <cell r="G232">
            <v>3.3217592592592049E-3</v>
          </cell>
        </row>
        <row r="233">
          <cell r="G233">
            <v>1.3773148148147896E-3</v>
          </cell>
        </row>
        <row r="234">
          <cell r="G234">
            <v>6.3657407407408106E-4</v>
          </cell>
        </row>
        <row r="235">
          <cell r="G235">
            <v>2.8472222222222232E-3</v>
          </cell>
        </row>
        <row r="236">
          <cell r="G236">
            <v>2.523148148148191E-3</v>
          </cell>
        </row>
        <row r="237">
          <cell r="G237">
            <v>1.9212962962962821E-3</v>
          </cell>
        </row>
        <row r="238">
          <cell r="G238">
            <v>5.4745370370370416E-3</v>
          </cell>
        </row>
        <row r="239">
          <cell r="G239">
            <v>2.1145833333333419E-2</v>
          </cell>
        </row>
        <row r="240">
          <cell r="G240">
            <v>2.1990740740740478E-3</v>
          </cell>
        </row>
        <row r="241">
          <cell r="G241">
            <v>7.5000000000000622E-3</v>
          </cell>
        </row>
        <row r="242">
          <cell r="G242">
            <v>8.9814814814814792E-3</v>
          </cell>
        </row>
        <row r="243">
          <cell r="G243">
            <v>1.0613425925925957E-2</v>
          </cell>
        </row>
        <row r="244">
          <cell r="G244">
            <v>1.4745370370370381E-2</v>
          </cell>
        </row>
        <row r="245">
          <cell r="G245">
            <v>6.018518518517979E-4</v>
          </cell>
        </row>
        <row r="246">
          <cell r="G246">
            <v>3.3935185185185124E-2</v>
          </cell>
        </row>
        <row r="247">
          <cell r="G247">
            <v>1.1678240740740753E-2</v>
          </cell>
        </row>
        <row r="248">
          <cell r="G248">
            <v>1.2604166666666528E-2</v>
          </cell>
        </row>
        <row r="249">
          <cell r="G249">
            <v>7.025462962963025E-3</v>
          </cell>
        </row>
        <row r="250">
          <cell r="G250">
            <v>1.0069444444444464E-2</v>
          </cell>
        </row>
        <row r="251">
          <cell r="G251">
            <v>4.3750000000000178E-3</v>
          </cell>
        </row>
        <row r="252">
          <cell r="G252">
            <v>1.0000000000000009E-2</v>
          </cell>
        </row>
        <row r="253">
          <cell r="G253">
            <v>3.854166666666714E-3</v>
          </cell>
        </row>
        <row r="254">
          <cell r="G254">
            <v>1.9212962962963376E-3</v>
          </cell>
        </row>
        <row r="255">
          <cell r="G255">
            <v>1.4120370370370727E-3</v>
          </cell>
        </row>
        <row r="256">
          <cell r="G256">
            <v>5.046296296296271E-3</v>
          </cell>
        </row>
        <row r="257">
          <cell r="G257">
            <v>1.9189814814814854E-2</v>
          </cell>
        </row>
        <row r="258">
          <cell r="G258">
            <v>1.113425925925926E-2</v>
          </cell>
        </row>
        <row r="259">
          <cell r="G259">
            <v>9.6064814814814659E-3</v>
          </cell>
        </row>
        <row r="260">
          <cell r="G260">
            <v>5.7407407407407129E-3</v>
          </cell>
        </row>
        <row r="261">
          <cell r="G261">
            <v>3.6689814814815369E-3</v>
          </cell>
        </row>
        <row r="262">
          <cell r="G262">
            <v>1.9212962962962266E-3</v>
          </cell>
        </row>
        <row r="263">
          <cell r="G263">
            <v>1.3009259259259331E-2</v>
          </cell>
        </row>
        <row r="264">
          <cell r="G264">
            <v>1.4120370370369617E-3</v>
          </cell>
        </row>
        <row r="265">
          <cell r="G265">
            <v>3.0208333333333615E-3</v>
          </cell>
        </row>
        <row r="266">
          <cell r="G266">
            <v>4.5370370370370061E-3</v>
          </cell>
        </row>
        <row r="267">
          <cell r="G267">
            <v>2.4999999999999467E-3</v>
          </cell>
        </row>
        <row r="268">
          <cell r="G268">
            <v>4.4097222222222454E-3</v>
          </cell>
        </row>
        <row r="269">
          <cell r="G269">
            <v>5.5787037037036136E-3</v>
          </cell>
        </row>
        <row r="270">
          <cell r="G270">
            <v>2.3043981481481457E-2</v>
          </cell>
        </row>
        <row r="271">
          <cell r="G271">
            <v>1.620370370370372E-2</v>
          </cell>
        </row>
        <row r="272">
          <cell r="G272">
            <v>1.3657407407407285E-2</v>
          </cell>
        </row>
        <row r="273">
          <cell r="G273">
            <v>1.055555555555554E-2</v>
          </cell>
        </row>
        <row r="274">
          <cell r="G274">
            <v>2.9861111111111338E-3</v>
          </cell>
        </row>
        <row r="275">
          <cell r="G275">
            <v>2.1412037037036868E-3</v>
          </cell>
        </row>
        <row r="276">
          <cell r="G276">
            <v>9.2592592592588563E-4</v>
          </cell>
        </row>
        <row r="277">
          <cell r="G277">
            <v>3.2986111111111271E-3</v>
          </cell>
        </row>
        <row r="278">
          <cell r="G278">
            <v>7.5231481481480289E-4</v>
          </cell>
        </row>
        <row r="279">
          <cell r="G279">
            <v>1.1805555555555736E-3</v>
          </cell>
        </row>
        <row r="280">
          <cell r="G280">
            <v>3.7037037037037646E-3</v>
          </cell>
        </row>
        <row r="281">
          <cell r="G281">
            <v>3.9351851851850972E-3</v>
          </cell>
        </row>
        <row r="282">
          <cell r="G282">
            <v>1.7824074074073715E-3</v>
          </cell>
        </row>
        <row r="283">
          <cell r="G283">
            <v>1.2962962962962399E-3</v>
          </cell>
        </row>
        <row r="284">
          <cell r="G284">
            <v>2.0717592592592315E-3</v>
          </cell>
        </row>
        <row r="285">
          <cell r="G285">
            <v>3.5879629629631538E-4</v>
          </cell>
        </row>
        <row r="286">
          <cell r="G286">
            <v>8.3333333333335258E-4</v>
          </cell>
        </row>
        <row r="287">
          <cell r="G287">
            <v>1.5625000000000222E-3</v>
          </cell>
        </row>
        <row r="288">
          <cell r="G288">
            <v>1.7245370370370661E-3</v>
          </cell>
        </row>
        <row r="289">
          <cell r="G289">
            <v>2.6504629629629517E-3</v>
          </cell>
        </row>
        <row r="290">
          <cell r="G290">
            <v>1.388888888888884E-3</v>
          </cell>
        </row>
        <row r="291">
          <cell r="G291">
            <v>3.6342592592592537E-3</v>
          </cell>
        </row>
        <row r="292">
          <cell r="G292">
            <v>3.8194444444444864E-4</v>
          </cell>
        </row>
        <row r="293">
          <cell r="G293">
            <v>3.7326388888888895E-2</v>
          </cell>
        </row>
        <row r="294">
          <cell r="G294">
            <v>3.6724537037037042E-2</v>
          </cell>
        </row>
        <row r="295">
          <cell r="G295">
            <v>2.3148148148148251E-3</v>
          </cell>
        </row>
        <row r="296">
          <cell r="G296">
            <v>3.5381944444444424E-2</v>
          </cell>
        </row>
        <row r="297">
          <cell r="G297">
            <v>2.9826388888888833E-2</v>
          </cell>
        </row>
        <row r="298">
          <cell r="G298">
            <v>3.1655092592592637E-2</v>
          </cell>
        </row>
        <row r="299">
          <cell r="G299">
            <v>2.841435185185176E-2</v>
          </cell>
        </row>
        <row r="300">
          <cell r="G300">
            <v>2.9143518518518596E-2</v>
          </cell>
        </row>
        <row r="301">
          <cell r="G301">
            <v>1.3506944444444446E-2</v>
          </cell>
        </row>
        <row r="302">
          <cell r="G302">
            <v>2.6712962962962994E-2</v>
          </cell>
        </row>
        <row r="303">
          <cell r="G303">
            <v>2.7430555555555569E-2</v>
          </cell>
        </row>
        <row r="304">
          <cell r="G304">
            <v>2.6724537037036977E-2</v>
          </cell>
        </row>
        <row r="305">
          <cell r="G305">
            <v>2.6747685185185166E-2</v>
          </cell>
        </row>
        <row r="306">
          <cell r="G306">
            <v>2.5914351851851813E-2</v>
          </cell>
        </row>
        <row r="307">
          <cell r="G307">
            <v>3.0902777777777724E-2</v>
          </cell>
        </row>
        <row r="308">
          <cell r="G308">
            <v>3.3912037037037046E-2</v>
          </cell>
        </row>
        <row r="309">
          <cell r="G309">
            <v>4.8171296296296351E-2</v>
          </cell>
        </row>
        <row r="310">
          <cell r="G310">
            <v>5.554398148148143E-2</v>
          </cell>
        </row>
        <row r="311">
          <cell r="G311">
            <v>2.9050925925925952E-2</v>
          </cell>
        </row>
        <row r="312">
          <cell r="G312">
            <v>5.5509259259259314E-2</v>
          </cell>
        </row>
        <row r="313">
          <cell r="G313">
            <v>2.2511574074074003E-2</v>
          </cell>
        </row>
        <row r="314">
          <cell r="G314">
            <v>2.2164351851851727E-2</v>
          </cell>
        </row>
        <row r="315">
          <cell r="G315">
            <v>5.714120370370368E-2</v>
          </cell>
        </row>
        <row r="316">
          <cell r="G316">
            <v>2.0902777777777715E-2</v>
          </cell>
        </row>
        <row r="317">
          <cell r="G317">
            <v>5.6956018518518503E-2</v>
          </cell>
        </row>
        <row r="318">
          <cell r="G318">
            <v>2.3379629629629584E-3</v>
          </cell>
        </row>
        <row r="319">
          <cell r="G319">
            <v>5.743055555555554E-2</v>
          </cell>
        </row>
        <row r="320">
          <cell r="G320">
            <v>5.6944444444444464E-2</v>
          </cell>
        </row>
        <row r="321">
          <cell r="G321">
            <v>6.8842592592592511E-2</v>
          </cell>
        </row>
        <row r="322">
          <cell r="G322">
            <v>1.7685185185185137E-2</v>
          </cell>
        </row>
        <row r="323">
          <cell r="G323">
            <v>6.9548611111111103E-2</v>
          </cell>
        </row>
        <row r="324">
          <cell r="G324">
            <v>6.9756944444444469E-2</v>
          </cell>
        </row>
        <row r="325">
          <cell r="G325">
            <v>6.9201388888888937E-2</v>
          </cell>
        </row>
        <row r="326">
          <cell r="G326">
            <v>1.5729166666666683E-2</v>
          </cell>
        </row>
        <row r="327">
          <cell r="G327">
            <v>6.9641203703703747E-2</v>
          </cell>
        </row>
        <row r="328">
          <cell r="G328">
            <v>1.9583333333333286E-2</v>
          </cell>
        </row>
        <row r="329">
          <cell r="G329">
            <v>1.6041666666666621E-2</v>
          </cell>
        </row>
        <row r="330">
          <cell r="G330">
            <v>2.6666666666666616E-2</v>
          </cell>
        </row>
        <row r="331">
          <cell r="G331">
            <v>1.7916666666666803E-2</v>
          </cell>
        </row>
        <row r="332">
          <cell r="G332">
            <v>6.8055555555555536E-2</v>
          </cell>
        </row>
        <row r="333">
          <cell r="G333">
            <v>1.649305555555558E-2</v>
          </cell>
        </row>
        <row r="334">
          <cell r="G334">
            <v>6.6423611111111169E-2</v>
          </cell>
        </row>
        <row r="335">
          <cell r="G335">
            <v>1.6504629629629619E-2</v>
          </cell>
        </row>
        <row r="336">
          <cell r="G336">
            <v>6.4641203703703742E-2</v>
          </cell>
        </row>
        <row r="337">
          <cell r="G337">
            <v>1.503472222222213E-2</v>
          </cell>
        </row>
        <row r="338">
          <cell r="G338">
            <v>1.332175925925938E-2</v>
          </cell>
        </row>
        <row r="339">
          <cell r="G339">
            <v>1.0208333333333264E-2</v>
          </cell>
        </row>
        <row r="340">
          <cell r="G340">
            <v>7.8587962962963775E-3</v>
          </cell>
        </row>
        <row r="341">
          <cell r="G341">
            <v>6.6435185185185208E-3</v>
          </cell>
        </row>
        <row r="342">
          <cell r="G342">
            <v>4.8692129629629544E-2</v>
          </cell>
        </row>
        <row r="343">
          <cell r="G343">
            <v>4.8865740740740682E-2</v>
          </cell>
        </row>
        <row r="344">
          <cell r="G344">
            <v>1.5312499999999951E-2</v>
          </cell>
        </row>
        <row r="345">
          <cell r="G345">
            <v>4.0324074074074012E-2</v>
          </cell>
        </row>
        <row r="346">
          <cell r="G346">
            <v>3.8101851851851887E-2</v>
          </cell>
        </row>
        <row r="347">
          <cell r="G347">
            <v>1.4270833333333344E-2</v>
          </cell>
        </row>
        <row r="348">
          <cell r="G348">
            <v>3.7395833333333406E-2</v>
          </cell>
        </row>
        <row r="349">
          <cell r="G349">
            <v>4.0138888888888946E-2</v>
          </cell>
        </row>
        <row r="350">
          <cell r="G350">
            <v>3.6643518518518547E-2</v>
          </cell>
        </row>
        <row r="351">
          <cell r="G351">
            <v>3.9282407407407405E-2</v>
          </cell>
        </row>
        <row r="352">
          <cell r="G352">
            <v>3.6284722222222232E-2</v>
          </cell>
        </row>
        <row r="353">
          <cell r="G353">
            <v>3.4710648148148171E-2</v>
          </cell>
        </row>
        <row r="354">
          <cell r="G354">
            <v>3.3807870370370363E-2</v>
          </cell>
        </row>
        <row r="355">
          <cell r="G355">
            <v>3.458333333333341E-2</v>
          </cell>
        </row>
        <row r="356">
          <cell r="G356">
            <v>3.298611111111116E-2</v>
          </cell>
        </row>
        <row r="357">
          <cell r="G357">
            <v>3.4675925925925832E-2</v>
          </cell>
        </row>
        <row r="358">
          <cell r="G358">
            <v>3.4467592592592577E-2</v>
          </cell>
        </row>
        <row r="359">
          <cell r="G359">
            <v>3.3252314814814832E-2</v>
          </cell>
        </row>
        <row r="360">
          <cell r="G360">
            <v>3.3344907407407476E-2</v>
          </cell>
        </row>
        <row r="361">
          <cell r="G361">
            <v>3.1076388888888862E-2</v>
          </cell>
        </row>
        <row r="362">
          <cell r="G362">
            <v>9.7222222222215215E-4</v>
          </cell>
        </row>
        <row r="363">
          <cell r="G363">
            <v>8.3680555555555314E-3</v>
          </cell>
        </row>
        <row r="364">
          <cell r="G364">
            <v>2.4189814814814858E-2</v>
          </cell>
        </row>
        <row r="365">
          <cell r="G365">
            <v>2.9502314814814801E-2</v>
          </cell>
        </row>
        <row r="366">
          <cell r="G366">
            <v>2.9270833333333246E-2</v>
          </cell>
        </row>
        <row r="367">
          <cell r="G367">
            <v>1.9340277777777803E-2</v>
          </cell>
        </row>
        <row r="368">
          <cell r="G368">
            <v>1.041666666666663E-2</v>
          </cell>
        </row>
        <row r="369">
          <cell r="G369">
            <v>2.2152777777777688E-2</v>
          </cell>
        </row>
        <row r="370">
          <cell r="G370">
            <v>1.5497685185185239E-2</v>
          </cell>
        </row>
        <row r="371">
          <cell r="G371">
            <v>4.4328703703703232E-3</v>
          </cell>
        </row>
        <row r="372">
          <cell r="G372">
            <v>2.9745370370369839E-3</v>
          </cell>
        </row>
        <row r="373">
          <cell r="G373">
            <v>8.4259259259258368E-3</v>
          </cell>
        </row>
        <row r="374">
          <cell r="G374">
            <v>8.7268518518517357E-3</v>
          </cell>
        </row>
        <row r="375">
          <cell r="G375">
            <v>1.026620370370368E-2</v>
          </cell>
        </row>
        <row r="376">
          <cell r="G376">
            <v>7.8356481481480778E-3</v>
          </cell>
        </row>
        <row r="377">
          <cell r="G377">
            <v>7.0601851851851416E-3</v>
          </cell>
        </row>
        <row r="378">
          <cell r="G378">
            <v>1.1724537037037019E-2</v>
          </cell>
        </row>
        <row r="379">
          <cell r="G379">
            <v>1.620370370370372E-2</v>
          </cell>
        </row>
        <row r="380">
          <cell r="G380">
            <v>6.0069444444443842E-3</v>
          </cell>
        </row>
        <row r="381">
          <cell r="G381">
            <v>9.201388888888884E-3</v>
          </cell>
        </row>
        <row r="382">
          <cell r="G382">
            <v>1.0856481481481439E-2</v>
          </cell>
        </row>
        <row r="383">
          <cell r="G383">
            <v>1.7638888888888871E-2</v>
          </cell>
        </row>
        <row r="384">
          <cell r="G384">
            <v>1.4537037037037015E-2</v>
          </cell>
        </row>
        <row r="385">
          <cell r="G385">
            <v>2.3148148148147696E-3</v>
          </cell>
        </row>
        <row r="386">
          <cell r="G386">
            <v>6.018518518517979E-4</v>
          </cell>
        </row>
        <row r="387">
          <cell r="G387">
            <v>1.2731481481482732E-3</v>
          </cell>
        </row>
        <row r="388">
          <cell r="G388">
            <v>1.5740740740741721E-3</v>
          </cell>
        </row>
        <row r="389">
          <cell r="G389">
            <v>3.0092592592589895E-4</v>
          </cell>
        </row>
        <row r="390">
          <cell r="G390">
            <v>9.2592592592588563E-4</v>
          </cell>
        </row>
        <row r="391">
          <cell r="G391">
            <v>9.3750000000003553E-4</v>
          </cell>
        </row>
        <row r="392">
          <cell r="G392">
            <v>1.5162037037036447E-3</v>
          </cell>
        </row>
        <row r="393">
          <cell r="G393">
            <v>7.2916666666666963E-4</v>
          </cell>
        </row>
        <row r="394">
          <cell r="G394">
            <v>1.3541666666665453E-3</v>
          </cell>
        </row>
        <row r="395">
          <cell r="G395">
            <v>3.9930555555555136E-3</v>
          </cell>
        </row>
        <row r="396">
          <cell r="G396">
            <v>1.9675925925926041E-3</v>
          </cell>
        </row>
        <row r="397">
          <cell r="G397">
            <v>1.2499999999999734E-3</v>
          </cell>
        </row>
        <row r="398">
          <cell r="G398">
            <v>4.3981481481480955E-4</v>
          </cell>
        </row>
        <row r="399">
          <cell r="G399">
            <v>1.1805555555555181E-3</v>
          </cell>
        </row>
        <row r="400">
          <cell r="G400">
            <v>4.0509259259247088E-4</v>
          </cell>
        </row>
        <row r="401">
          <cell r="G401">
            <v>6.1342592592605882E-4</v>
          </cell>
        </row>
        <row r="402">
          <cell r="G402">
            <v>3.7037037037036535E-3</v>
          </cell>
        </row>
        <row r="403">
          <cell r="G403">
            <v>4.0972222222221966E-3</v>
          </cell>
        </row>
        <row r="404">
          <cell r="G404">
            <v>4.2592592592591849E-3</v>
          </cell>
        </row>
        <row r="405">
          <cell r="G405">
            <v>3.1828703703704608E-3</v>
          </cell>
        </row>
        <row r="406">
          <cell r="G406">
            <v>9.3750000000003553E-4</v>
          </cell>
        </row>
        <row r="407">
          <cell r="G407">
            <v>1.2731481481487172E-4</v>
          </cell>
        </row>
        <row r="408">
          <cell r="G408">
            <v>1.814814814814808E-2</v>
          </cell>
        </row>
        <row r="409">
          <cell r="G409">
            <v>4.9652777777777768E-3</v>
          </cell>
        </row>
        <row r="410">
          <cell r="G410">
            <v>1.7152777777777739E-2</v>
          </cell>
        </row>
        <row r="411">
          <cell r="G411">
            <v>1.6608796296296247E-2</v>
          </cell>
        </row>
        <row r="412">
          <cell r="G412">
            <v>1.6226851851851853E-2</v>
          </cell>
        </row>
        <row r="413">
          <cell r="G413">
            <v>2.0138888888888706E-3</v>
          </cell>
        </row>
        <row r="414">
          <cell r="G414">
            <v>1.3657407407407396E-2</v>
          </cell>
        </row>
        <row r="415">
          <cell r="G415">
            <v>1.300925925925922E-2</v>
          </cell>
        </row>
        <row r="416">
          <cell r="G416">
            <v>1.1678240740740642E-2</v>
          </cell>
        </row>
        <row r="417">
          <cell r="G417">
            <v>9.5601851851851993E-3</v>
          </cell>
        </row>
        <row r="418">
          <cell r="G418">
            <v>1.0717592592592529E-2</v>
          </cell>
        </row>
        <row r="419">
          <cell r="G419">
            <v>7.9398148148148717E-3</v>
          </cell>
        </row>
        <row r="420">
          <cell r="G420">
            <v>5.8564814814815458E-3</v>
          </cell>
        </row>
        <row r="421">
          <cell r="G421">
            <v>1.2511574074074105E-2</v>
          </cell>
        </row>
        <row r="422">
          <cell r="G422">
            <v>3.1944444444444997E-3</v>
          </cell>
        </row>
        <row r="423">
          <cell r="G423">
            <v>4.5370370370370061E-3</v>
          </cell>
        </row>
        <row r="424">
          <cell r="G424">
            <v>6.7361111111110539E-3</v>
          </cell>
        </row>
        <row r="425">
          <cell r="G425">
            <v>6.226851851851789E-3</v>
          </cell>
        </row>
        <row r="426">
          <cell r="G426">
            <v>6.8518518518517757E-3</v>
          </cell>
        </row>
        <row r="427">
          <cell r="G427">
            <v>5.0810185185184986E-3</v>
          </cell>
        </row>
        <row r="428">
          <cell r="G428">
            <v>2.3958333333333193E-3</v>
          </cell>
        </row>
        <row r="429">
          <cell r="G429">
            <v>8.0092592592592715E-3</v>
          </cell>
        </row>
        <row r="430">
          <cell r="G430">
            <v>9.8379629629635756E-4</v>
          </cell>
        </row>
        <row r="431">
          <cell r="G431">
            <v>1.631944444444422E-3</v>
          </cell>
        </row>
        <row r="432">
          <cell r="G432">
            <v>1.3078703703703898E-3</v>
          </cell>
        </row>
        <row r="433">
          <cell r="G433">
            <v>3.1249999999999334E-4</v>
          </cell>
        </row>
        <row r="434">
          <cell r="G434">
            <v>1.1226851851851571E-3</v>
          </cell>
        </row>
        <row r="435">
          <cell r="G435">
            <v>4.1666666666667629E-4</v>
          </cell>
        </row>
        <row r="436">
          <cell r="G436">
            <v>4.9305555555555491E-3</v>
          </cell>
        </row>
        <row r="437">
          <cell r="G437">
            <v>3.2870370370370328E-3</v>
          </cell>
        </row>
        <row r="438">
          <cell r="G438">
            <v>2.0138888888888151E-3</v>
          </cell>
        </row>
        <row r="439">
          <cell r="G439">
            <v>2.5115740740740411E-3</v>
          </cell>
        </row>
        <row r="440">
          <cell r="G440">
            <v>2.523148148148191E-3</v>
          </cell>
        </row>
        <row r="441">
          <cell r="G441">
            <v>1.8865740740740544E-3</v>
          </cell>
        </row>
        <row r="442">
          <cell r="G442">
            <v>7.3726851851851904E-3</v>
          </cell>
        </row>
        <row r="443">
          <cell r="G443">
            <v>9.4791666666665941E-3</v>
          </cell>
        </row>
        <row r="444">
          <cell r="G444">
            <v>1.0034722222222292E-2</v>
          </cell>
        </row>
        <row r="445">
          <cell r="G445">
            <v>5.3240740740739811E-3</v>
          </cell>
        </row>
        <row r="446">
          <cell r="G446">
            <v>9.0162037037037623E-3</v>
          </cell>
        </row>
        <row r="447">
          <cell r="G447">
            <v>5.0694444444444042E-3</v>
          </cell>
        </row>
        <row r="448">
          <cell r="G448">
            <v>3.9120370370370749E-3</v>
          </cell>
        </row>
        <row r="449">
          <cell r="G449">
            <v>3.2523148148147496E-3</v>
          </cell>
        </row>
        <row r="450">
          <cell r="G450">
            <v>2.7314814814814459E-3</v>
          </cell>
        </row>
        <row r="451">
          <cell r="G451">
            <v>5.9143518518518512E-3</v>
          </cell>
        </row>
        <row r="452">
          <cell r="G452">
            <v>4.4560185185185119E-3</v>
          </cell>
        </row>
        <row r="453">
          <cell r="G453">
            <v>1.6435185185185164E-3</v>
          </cell>
        </row>
        <row r="454">
          <cell r="G454">
            <v>3.0787037037036669E-3</v>
          </cell>
        </row>
        <row r="455">
          <cell r="G455">
            <v>7.0138888888888751E-3</v>
          </cell>
        </row>
        <row r="456">
          <cell r="G456">
            <v>2.2685185185185031E-3</v>
          </cell>
        </row>
        <row r="457">
          <cell r="G457">
            <v>3.0324074074074003E-3</v>
          </cell>
        </row>
        <row r="458">
          <cell r="G458">
            <v>1.5625000000000222E-3</v>
          </cell>
        </row>
        <row r="459">
          <cell r="G459">
            <v>1.1574074074074403E-3</v>
          </cell>
        </row>
        <row r="460">
          <cell r="G460">
            <v>1.2847222222222565E-3</v>
          </cell>
        </row>
        <row r="461">
          <cell r="G461">
            <v>1.6435185185185164E-3</v>
          </cell>
        </row>
        <row r="462">
          <cell r="G462">
            <v>3.067129629629628E-3</v>
          </cell>
        </row>
        <row r="463">
          <cell r="G463">
            <v>2.5231481481481355E-3</v>
          </cell>
        </row>
        <row r="464">
          <cell r="G464">
            <v>1.1493055555555576E-2</v>
          </cell>
        </row>
        <row r="465">
          <cell r="G465">
            <v>1.0370370370370363E-2</v>
          </cell>
        </row>
        <row r="466">
          <cell r="G466">
            <v>2.7268518518518525E-2</v>
          </cell>
        </row>
        <row r="467">
          <cell r="G467">
            <v>3.2754629629629606E-2</v>
          </cell>
        </row>
        <row r="468">
          <cell r="G468">
            <v>3.4895833333333348E-2</v>
          </cell>
        </row>
        <row r="469">
          <cell r="G469">
            <v>3.3159722222222188E-2</v>
          </cell>
        </row>
        <row r="470">
          <cell r="G470">
            <v>2.8715277777777826E-2</v>
          </cell>
        </row>
        <row r="471">
          <cell r="G471">
            <v>3.7500000000000311E-3</v>
          </cell>
        </row>
        <row r="472">
          <cell r="G472">
            <v>4.4791666666667007E-3</v>
          </cell>
        </row>
        <row r="473">
          <cell r="G473">
            <v>1.678240740740744E-3</v>
          </cell>
        </row>
        <row r="474">
          <cell r="G474">
            <v>4.351851851851829E-3</v>
          </cell>
        </row>
        <row r="475">
          <cell r="G475">
            <v>1.649305555555558E-2</v>
          </cell>
        </row>
        <row r="476">
          <cell r="G476">
            <v>9.6990740740741099E-3</v>
          </cell>
        </row>
        <row r="477">
          <cell r="G477">
            <v>3.067129629629628E-3</v>
          </cell>
        </row>
        <row r="478">
          <cell r="G478">
            <v>8.1249999999999378E-3</v>
          </cell>
        </row>
        <row r="479">
          <cell r="G479">
            <v>1.4930555555555669E-2</v>
          </cell>
        </row>
        <row r="480">
          <cell r="G480">
            <v>4.6064814814814614E-3</v>
          </cell>
        </row>
        <row r="481">
          <cell r="G481">
            <v>2.9745370370370949E-3</v>
          </cell>
        </row>
        <row r="482">
          <cell r="G482">
            <v>9.9537037037037424E-3</v>
          </cell>
        </row>
        <row r="483">
          <cell r="G483">
            <v>6.7129629629629761E-3</v>
          </cell>
        </row>
        <row r="484">
          <cell r="G484">
            <v>1.4120370370369617E-3</v>
          </cell>
        </row>
        <row r="485">
          <cell r="G485">
            <v>2.7777777777771018E-4</v>
          </cell>
        </row>
        <row r="486">
          <cell r="G486">
            <v>3.7037037037046527E-4</v>
          </cell>
        </row>
        <row r="487">
          <cell r="G487">
            <v>8.6805555555558023E-4</v>
          </cell>
        </row>
        <row r="488">
          <cell r="G488">
            <v>1.5509259259258723E-3</v>
          </cell>
        </row>
        <row r="489">
          <cell r="G489">
            <v>7.6388888888889728E-4</v>
          </cell>
        </row>
        <row r="490">
          <cell r="G490">
            <v>2.009259259259244E-2</v>
          </cell>
        </row>
        <row r="491">
          <cell r="G491">
            <v>2.5462962962974345E-4</v>
          </cell>
        </row>
        <row r="492">
          <cell r="G492">
            <v>2.777777777778212E-4</v>
          </cell>
        </row>
        <row r="493">
          <cell r="G493">
            <v>7.0601851851848085E-4</v>
          </cell>
        </row>
        <row r="494">
          <cell r="G494">
            <v>1.678240740740744E-3</v>
          </cell>
        </row>
        <row r="495">
          <cell r="G495">
            <v>2.4074074074074137E-3</v>
          </cell>
        </row>
        <row r="496">
          <cell r="G496">
            <v>1.8171296296296546E-3</v>
          </cell>
        </row>
        <row r="497">
          <cell r="G497">
            <v>2.5462962962968794E-4</v>
          </cell>
        </row>
        <row r="498">
          <cell r="G498">
            <v>4.1666666666667629E-4</v>
          </cell>
        </row>
        <row r="499">
          <cell r="G499">
            <v>2.6620370370372681E-4</v>
          </cell>
        </row>
        <row r="500">
          <cell r="G500">
            <v>3.356481481481266E-4</v>
          </cell>
        </row>
        <row r="501">
          <cell r="G501">
            <v>3.356481481481266E-4</v>
          </cell>
        </row>
        <row r="502">
          <cell r="G502">
            <v>3.4722222222172139E-5</v>
          </cell>
        </row>
        <row r="503">
          <cell r="G503">
            <v>2.3148148148149916E-4</v>
          </cell>
        </row>
        <row r="504">
          <cell r="G504">
            <v>1.6458333333333353E-2</v>
          </cell>
        </row>
        <row r="505">
          <cell r="G505">
            <v>2.3148148148144365E-4</v>
          </cell>
        </row>
        <row r="506">
          <cell r="G506">
            <v>4.745370370370372E-4</v>
          </cell>
        </row>
        <row r="507">
          <cell r="G507">
            <v>4.861111111111871E-4</v>
          </cell>
        </row>
        <row r="508">
          <cell r="G508">
            <v>2.546296296295214E-4</v>
          </cell>
        </row>
        <row r="509">
          <cell r="G509">
            <v>2.4305555555548253E-4</v>
          </cell>
        </row>
        <row r="510">
          <cell r="G510">
            <v>2.662037037036713E-4</v>
          </cell>
        </row>
        <row r="511">
          <cell r="G511">
            <v>6.0648148148148007E-3</v>
          </cell>
        </row>
        <row r="512">
          <cell r="G512">
            <v>1.3657407407407507E-3</v>
          </cell>
        </row>
        <row r="513">
          <cell r="G513">
            <v>1.0555555555555596E-2</v>
          </cell>
        </row>
        <row r="514">
          <cell r="G514">
            <v>1.2083333333333335E-2</v>
          </cell>
        </row>
        <row r="515">
          <cell r="G515">
            <v>8.0787037037037268E-3</v>
          </cell>
        </row>
        <row r="516">
          <cell r="G516">
            <v>7.6041666666666341E-3</v>
          </cell>
        </row>
        <row r="517">
          <cell r="G517">
            <v>5.3819444444443976E-3</v>
          </cell>
        </row>
        <row r="518">
          <cell r="G518">
            <v>4.155092592592613E-3</v>
          </cell>
        </row>
        <row r="519">
          <cell r="G519">
            <v>4.5023148148147785E-3</v>
          </cell>
        </row>
        <row r="520">
          <cell r="G520">
            <v>4.0277777777777968E-3</v>
          </cell>
        </row>
        <row r="521">
          <cell r="G521">
            <v>2.965277777777775E-2</v>
          </cell>
        </row>
        <row r="522">
          <cell r="G522">
            <v>6.2847222222222054E-3</v>
          </cell>
        </row>
        <row r="523">
          <cell r="G523">
            <v>7.1296296296296524E-3</v>
          </cell>
        </row>
        <row r="524">
          <cell r="G524">
            <v>6.2499999999993117E-4</v>
          </cell>
        </row>
        <row r="525">
          <cell r="G525">
            <v>7.8703703703697503E-4</v>
          </cell>
        </row>
        <row r="526">
          <cell r="G526">
            <v>8.9699074074074403E-3</v>
          </cell>
        </row>
        <row r="527">
          <cell r="G527">
            <v>1.2997685185185182E-2</v>
          </cell>
        </row>
        <row r="528">
          <cell r="G528">
            <v>7.4884259259259678E-3</v>
          </cell>
        </row>
        <row r="529">
          <cell r="G529">
            <v>1.300925925925922E-2</v>
          </cell>
        </row>
        <row r="530">
          <cell r="G530">
            <v>1.0150462962962958E-2</v>
          </cell>
        </row>
        <row r="531">
          <cell r="G531">
            <v>1.1701388888888831E-2</v>
          </cell>
        </row>
        <row r="532">
          <cell r="G532">
            <v>5.3356481481482421E-3</v>
          </cell>
        </row>
        <row r="533">
          <cell r="G533">
            <v>3.2986111111111827E-3</v>
          </cell>
        </row>
        <row r="534">
          <cell r="G534">
            <v>8.5995370370370305E-3</v>
          </cell>
        </row>
        <row r="535">
          <cell r="G535">
            <v>2.0833333333333814E-3</v>
          </cell>
        </row>
        <row r="536">
          <cell r="G536">
            <v>7.222222222222241E-3</v>
          </cell>
        </row>
        <row r="537">
          <cell r="G537">
            <v>6.724537037037015E-3</v>
          </cell>
        </row>
        <row r="538">
          <cell r="G538">
            <v>9.0509259259259345E-3</v>
          </cell>
        </row>
        <row r="539">
          <cell r="G539">
            <v>7.9861111111112493E-4</v>
          </cell>
        </row>
        <row r="540">
          <cell r="G540">
            <v>1.0648148148148517E-3</v>
          </cell>
        </row>
        <row r="541">
          <cell r="G541">
            <v>3.7268518518518423E-3</v>
          </cell>
        </row>
        <row r="542">
          <cell r="G542">
            <v>6.8171296296296036E-3</v>
          </cell>
        </row>
        <row r="543">
          <cell r="G543">
            <v>7.7546296296293615E-4</v>
          </cell>
        </row>
        <row r="544">
          <cell r="G544">
            <v>2.222222222222181E-3</v>
          </cell>
        </row>
        <row r="545">
          <cell r="G545">
            <v>1.9918981481481468E-2</v>
          </cell>
        </row>
        <row r="546">
          <cell r="G546">
            <v>1.975694444444448E-2</v>
          </cell>
        </row>
        <row r="547">
          <cell r="G547">
            <v>1.3831018518518534E-2</v>
          </cell>
        </row>
        <row r="548">
          <cell r="G548">
            <v>6.8518518518518312E-3</v>
          </cell>
        </row>
        <row r="549">
          <cell r="G549">
            <v>5.1620370370370483E-3</v>
          </cell>
        </row>
        <row r="550">
          <cell r="G550">
            <v>1.678240740740744E-3</v>
          </cell>
        </row>
        <row r="551">
          <cell r="G551">
            <v>8.91203703703769E-4</v>
          </cell>
        </row>
        <row r="552">
          <cell r="G552">
            <v>2.5231481481481355E-3</v>
          </cell>
        </row>
        <row r="553">
          <cell r="G553">
            <v>4.6874999999999556E-3</v>
          </cell>
        </row>
        <row r="554">
          <cell r="G554">
            <v>3.8078703703703365E-3</v>
          </cell>
        </row>
        <row r="555">
          <cell r="G555">
            <v>3.611111111111176E-3</v>
          </cell>
        </row>
        <row r="556">
          <cell r="G556">
            <v>1.7476851851851993E-3</v>
          </cell>
        </row>
        <row r="557">
          <cell r="G557">
            <v>1.6493055555555525E-2</v>
          </cell>
        </row>
        <row r="558">
          <cell r="G558">
            <v>1.6689814814814796E-2</v>
          </cell>
        </row>
        <row r="559">
          <cell r="G559">
            <v>7.1759259259259744E-3</v>
          </cell>
        </row>
        <row r="560">
          <cell r="G560">
            <v>3.8425925925926752E-3</v>
          </cell>
        </row>
        <row r="561">
          <cell r="G561">
            <v>2.3495370370369972E-3</v>
          </cell>
        </row>
        <row r="562">
          <cell r="G562">
            <v>1.284722222222201E-3</v>
          </cell>
        </row>
        <row r="563">
          <cell r="G563">
            <v>9.490740740740744E-4</v>
          </cell>
        </row>
        <row r="564">
          <cell r="G564">
            <v>3.6689814814814259E-3</v>
          </cell>
        </row>
        <row r="565">
          <cell r="G565">
            <v>2.4305555555556024E-3</v>
          </cell>
        </row>
        <row r="566">
          <cell r="G566">
            <v>1.5162037037036447E-3</v>
          </cell>
        </row>
        <row r="567">
          <cell r="G567">
            <v>4.5138888888889284E-3</v>
          </cell>
        </row>
        <row r="568">
          <cell r="G568">
            <v>2.2685185185185031E-3</v>
          </cell>
        </row>
        <row r="569">
          <cell r="G569">
            <v>2.9282407407407174E-3</v>
          </cell>
        </row>
        <row r="570">
          <cell r="G570">
            <v>6.7129629629636423E-4</v>
          </cell>
        </row>
        <row r="571">
          <cell r="G571">
            <v>7.8125E-3</v>
          </cell>
        </row>
        <row r="572">
          <cell r="G572">
            <v>7.2916666666665853E-3</v>
          </cell>
        </row>
        <row r="573">
          <cell r="G573">
            <v>7.1759259259259744E-3</v>
          </cell>
        </row>
        <row r="574">
          <cell r="G574">
            <v>1.4004629629629228E-3</v>
          </cell>
        </row>
        <row r="575">
          <cell r="G575">
            <v>2.476851851851869E-3</v>
          </cell>
        </row>
        <row r="576">
          <cell r="G576">
            <v>1.5277777777777946E-3</v>
          </cell>
        </row>
        <row r="577">
          <cell r="G577">
            <v>9.1435185185173573E-4</v>
          </cell>
        </row>
        <row r="578">
          <cell r="G578">
            <v>8.2175925925942472E-4</v>
          </cell>
        </row>
        <row r="579">
          <cell r="G579">
            <v>1.4467592592593004E-3</v>
          </cell>
        </row>
        <row r="580">
          <cell r="G580">
            <v>2.0486111111110983E-3</v>
          </cell>
        </row>
        <row r="581">
          <cell r="G581">
            <v>9.1898148148147896E-3</v>
          </cell>
        </row>
        <row r="582">
          <cell r="G582">
            <v>3.0879629629629646E-2</v>
          </cell>
        </row>
        <row r="583">
          <cell r="G583">
            <v>2.879629629629632E-2</v>
          </cell>
        </row>
        <row r="584">
          <cell r="G584">
            <v>2.1296296296295925E-3</v>
          </cell>
        </row>
        <row r="585">
          <cell r="G585">
            <v>2.7372685185185153E-2</v>
          </cell>
        </row>
        <row r="586">
          <cell r="G586">
            <v>3.6863425925926008E-2</v>
          </cell>
        </row>
        <row r="587">
          <cell r="G587">
            <v>3.2129629629629564E-2</v>
          </cell>
        </row>
        <row r="588">
          <cell r="G588">
            <v>2.5937500000000002E-2</v>
          </cell>
        </row>
        <row r="589">
          <cell r="G589">
            <v>8.7615740740741299E-3</v>
          </cell>
        </row>
        <row r="590">
          <cell r="G590">
            <v>3.3506944444444464E-2</v>
          </cell>
        </row>
        <row r="591">
          <cell r="G591">
            <v>6.5509259259259878E-3</v>
          </cell>
        </row>
        <row r="592">
          <cell r="G592">
            <v>4.9074074074073604E-3</v>
          </cell>
        </row>
        <row r="593">
          <cell r="G593">
            <v>2.3113425925925801E-2</v>
          </cell>
        </row>
        <row r="594">
          <cell r="G594">
            <v>2.2060185185185155E-2</v>
          </cell>
        </row>
        <row r="595">
          <cell r="G595">
            <v>1.5277777777777946E-3</v>
          </cell>
        </row>
        <row r="596">
          <cell r="G596">
            <v>9.1435185185184675E-4</v>
          </cell>
        </row>
        <row r="597">
          <cell r="G597">
            <v>2.2569444444444642E-3</v>
          </cell>
        </row>
        <row r="598">
          <cell r="G598">
            <v>3.1944444444444997E-3</v>
          </cell>
        </row>
        <row r="599">
          <cell r="G599">
            <v>2.1296296296297035E-3</v>
          </cell>
        </row>
        <row r="600">
          <cell r="G600">
            <v>1.0532407407407351E-2</v>
          </cell>
        </row>
        <row r="601">
          <cell r="G601">
            <v>1.1111111111111738E-3</v>
          </cell>
        </row>
        <row r="602">
          <cell r="G602">
            <v>1.4699074074074892E-3</v>
          </cell>
        </row>
        <row r="603">
          <cell r="G603">
            <v>3.5416666666667207E-3</v>
          </cell>
        </row>
        <row r="604">
          <cell r="G604">
            <v>1.0648148148148517E-3</v>
          </cell>
        </row>
        <row r="605">
          <cell r="G605">
            <v>2.1412037037036868E-3</v>
          </cell>
        </row>
        <row r="606">
          <cell r="G606">
            <v>1.724537037036955E-3</v>
          </cell>
        </row>
        <row r="607">
          <cell r="G607">
            <v>2.7083333333334236E-3</v>
          </cell>
        </row>
        <row r="608">
          <cell r="G608">
            <v>2.1180555555555536E-3</v>
          </cell>
        </row>
        <row r="609">
          <cell r="G609">
            <v>1.3125000000000053E-2</v>
          </cell>
        </row>
        <row r="610">
          <cell r="G610">
            <v>8.4490740740739145E-4</v>
          </cell>
        </row>
        <row r="611">
          <cell r="G611">
            <v>8.91203703703769E-4</v>
          </cell>
        </row>
        <row r="612">
          <cell r="G612">
            <v>2.4189814814816746E-3</v>
          </cell>
        </row>
        <row r="613">
          <cell r="G613">
            <v>9.6064814814811328E-4</v>
          </cell>
        </row>
        <row r="614">
          <cell r="G614">
            <v>6.3194444444444886E-3</v>
          </cell>
        </row>
        <row r="615">
          <cell r="G615">
            <v>1.0115740740740731E-2</v>
          </cell>
        </row>
        <row r="616">
          <cell r="G616">
            <v>6.5972222222221988E-3</v>
          </cell>
        </row>
        <row r="617">
          <cell r="G617">
            <v>3.1828703703703498E-3</v>
          </cell>
        </row>
        <row r="618">
          <cell r="G618">
            <v>7.7430555555556002E-3</v>
          </cell>
        </row>
        <row r="619">
          <cell r="G619">
            <v>5.2314814814815036E-3</v>
          </cell>
        </row>
        <row r="620">
          <cell r="G620">
            <v>6.6087962962963487E-3</v>
          </cell>
        </row>
        <row r="621">
          <cell r="G621">
            <v>7.8703703703708605E-4</v>
          </cell>
        </row>
        <row r="622">
          <cell r="G622">
            <v>1.2615740740740733E-2</v>
          </cell>
        </row>
        <row r="623">
          <cell r="G623">
            <v>1.2256944444444473E-2</v>
          </cell>
        </row>
        <row r="624">
          <cell r="G624">
            <v>3.0763888888888924E-2</v>
          </cell>
        </row>
        <row r="625">
          <cell r="G625">
            <v>1.5173611111111207E-2</v>
          </cell>
        </row>
        <row r="626">
          <cell r="G626">
            <v>2.7592592592592557E-2</v>
          </cell>
        </row>
        <row r="627">
          <cell r="G627">
            <v>3.4131944444444506E-2</v>
          </cell>
        </row>
        <row r="628">
          <cell r="G628">
            <v>3.9212962962962949E-2</v>
          </cell>
        </row>
        <row r="629">
          <cell r="G629">
            <v>2.6342592592592584E-2</v>
          </cell>
        </row>
        <row r="630">
          <cell r="G630">
            <v>3.6064814814814883E-2</v>
          </cell>
        </row>
        <row r="631">
          <cell r="G631">
            <v>6.3078703703705052E-3</v>
          </cell>
        </row>
        <row r="632">
          <cell r="G632">
            <v>1.1111111111110628E-3</v>
          </cell>
        </row>
        <row r="633">
          <cell r="G633">
            <v>2.3055555555555607E-2</v>
          </cell>
        </row>
        <row r="634">
          <cell r="G634">
            <v>2.1087962962963003E-2</v>
          </cell>
        </row>
        <row r="635">
          <cell r="G635">
            <v>2.5787037037036997E-2</v>
          </cell>
        </row>
        <row r="636">
          <cell r="G636">
            <v>1.4907407407407369E-2</v>
          </cell>
        </row>
        <row r="637">
          <cell r="G637">
            <v>7.7314814814815058E-3</v>
          </cell>
        </row>
        <row r="638">
          <cell r="G638">
            <v>6.7824074074074314E-3</v>
          </cell>
        </row>
        <row r="639">
          <cell r="G639">
            <v>1.6319444444443665E-3</v>
          </cell>
        </row>
        <row r="640">
          <cell r="G640">
            <v>7.5347222222221788E-3</v>
          </cell>
        </row>
        <row r="641">
          <cell r="G641">
            <v>6.527777777777799E-3</v>
          </cell>
        </row>
        <row r="642">
          <cell r="G642">
            <v>1.432870370370376E-2</v>
          </cell>
        </row>
        <row r="643">
          <cell r="G643">
            <v>3.76157407407407E-3</v>
          </cell>
        </row>
        <row r="644">
          <cell r="G644">
            <v>3.1018518518518556E-3</v>
          </cell>
        </row>
        <row r="645">
          <cell r="G645">
            <v>2.372685185185186E-3</v>
          </cell>
        </row>
        <row r="646">
          <cell r="G646">
            <v>1.3773148148147341E-3</v>
          </cell>
        </row>
        <row r="647">
          <cell r="G647">
            <v>8.1018518518527483E-4</v>
          </cell>
        </row>
        <row r="648">
          <cell r="G648">
            <v>1.7245370370368995E-3</v>
          </cell>
        </row>
        <row r="649">
          <cell r="G649">
            <v>4.5254629629629672E-3</v>
          </cell>
        </row>
        <row r="650">
          <cell r="G650">
            <v>7.1296296296295969E-3</v>
          </cell>
        </row>
        <row r="651">
          <cell r="G651">
            <v>4.3865740740740566E-3</v>
          </cell>
        </row>
        <row r="652">
          <cell r="G652">
            <v>1.6203703703703276E-3</v>
          </cell>
        </row>
        <row r="653">
          <cell r="G653">
            <v>1.0185185185185297E-3</v>
          </cell>
        </row>
        <row r="654">
          <cell r="G654">
            <v>3.8194444444444864E-3</v>
          </cell>
        </row>
        <row r="655">
          <cell r="G655">
            <v>2.1064814814814037E-3</v>
          </cell>
        </row>
        <row r="656">
          <cell r="G656">
            <v>2.9745370370368729E-3</v>
          </cell>
        </row>
        <row r="657">
          <cell r="G657">
            <v>2.0138888888888706E-3</v>
          </cell>
        </row>
        <row r="658">
          <cell r="G658">
            <v>1.8171296296296546E-3</v>
          </cell>
        </row>
        <row r="659">
          <cell r="G659">
            <v>4.1203703703702743E-3</v>
          </cell>
        </row>
        <row r="660">
          <cell r="G660">
            <v>3.8888888888889417E-3</v>
          </cell>
        </row>
        <row r="661">
          <cell r="G661">
            <v>6.3541666666666607E-3</v>
          </cell>
        </row>
        <row r="662">
          <cell r="G662">
            <v>8.1250000000000488E-3</v>
          </cell>
        </row>
        <row r="663">
          <cell r="G663">
            <v>6.7013888888889372E-3</v>
          </cell>
        </row>
        <row r="664">
          <cell r="G664">
            <v>5.0231481481480822E-3</v>
          </cell>
        </row>
        <row r="665">
          <cell r="G665">
            <v>3.6226851851852704E-3</v>
          </cell>
        </row>
        <row r="666">
          <cell r="G666">
            <v>3.1250000000000444E-3</v>
          </cell>
        </row>
        <row r="667">
          <cell r="G667">
            <v>2.3379629629629584E-3</v>
          </cell>
        </row>
        <row r="668">
          <cell r="G668">
            <v>1.4004629629629783E-3</v>
          </cell>
        </row>
        <row r="669">
          <cell r="G669">
            <v>1.5972222222222499E-3</v>
          </cell>
        </row>
        <row r="670">
          <cell r="G670">
            <v>2.9861111111110783E-3</v>
          </cell>
        </row>
        <row r="671">
          <cell r="G671">
            <v>7.7546296296304718E-4</v>
          </cell>
        </row>
        <row r="672">
          <cell r="G672">
            <v>1.8020833333333264E-2</v>
          </cell>
        </row>
        <row r="673">
          <cell r="G673">
            <v>6.4699074074074936E-3</v>
          </cell>
        </row>
        <row r="674">
          <cell r="G674">
            <v>1.1458333333334014E-3</v>
          </cell>
        </row>
        <row r="675">
          <cell r="G675">
            <v>2.9282407407407174E-3</v>
          </cell>
        </row>
        <row r="676">
          <cell r="G676">
            <v>8.796296296296191E-4</v>
          </cell>
        </row>
        <row r="677">
          <cell r="G677">
            <v>7.523148148148584E-4</v>
          </cell>
        </row>
        <row r="678">
          <cell r="G678">
            <v>1.284722222222201E-3</v>
          </cell>
        </row>
        <row r="679">
          <cell r="G679">
            <v>1.9444444444443043E-3</v>
          </cell>
        </row>
        <row r="680">
          <cell r="G680">
            <v>6.030092592592462E-3</v>
          </cell>
        </row>
        <row r="681">
          <cell r="G681">
            <v>1.7592592592593492E-3</v>
          </cell>
        </row>
        <row r="682">
          <cell r="G682">
            <v>7.986111111110139E-4</v>
          </cell>
        </row>
        <row r="683">
          <cell r="G683">
            <v>2.7430555555555403E-3</v>
          </cell>
        </row>
        <row r="684">
          <cell r="G684">
            <v>1.7013888888889328E-3</v>
          </cell>
        </row>
        <row r="685">
          <cell r="G685">
            <v>1.5694444444444455E-2</v>
          </cell>
        </row>
        <row r="686">
          <cell r="G686">
            <v>2.3842592592592249E-3</v>
          </cell>
        </row>
        <row r="687">
          <cell r="G687">
            <v>1.2731481481481621E-3</v>
          </cell>
        </row>
        <row r="688">
          <cell r="G688">
            <v>7.523148148148584E-4</v>
          </cell>
        </row>
        <row r="689">
          <cell r="G689">
            <v>1.4236111111111116E-2</v>
          </cell>
        </row>
        <row r="690">
          <cell r="G690">
            <v>7.3032407407408462E-3</v>
          </cell>
        </row>
        <row r="691">
          <cell r="G691">
            <v>2.8703703703703565E-3</v>
          </cell>
        </row>
        <row r="692">
          <cell r="G692">
            <v>5.6944444444444464E-3</v>
          </cell>
        </row>
        <row r="693">
          <cell r="G693">
            <v>1.0185185185185297E-3</v>
          </cell>
        </row>
        <row r="694">
          <cell r="G694">
            <v>4.1435185185185186E-3</v>
          </cell>
        </row>
        <row r="695">
          <cell r="G695">
            <v>7.5347222222221788E-3</v>
          </cell>
        </row>
        <row r="696">
          <cell r="G696">
            <v>3.3101851851852215E-3</v>
          </cell>
        </row>
        <row r="697">
          <cell r="G697">
            <v>6.2268518518519E-3</v>
          </cell>
        </row>
        <row r="698">
          <cell r="G698">
            <v>4.8611111111109828E-3</v>
          </cell>
        </row>
        <row r="699">
          <cell r="G699">
            <v>2.0949074074073648E-3</v>
          </cell>
        </row>
        <row r="700">
          <cell r="G700">
            <v>2.6851851851852349E-3</v>
          </cell>
        </row>
        <row r="701">
          <cell r="G701">
            <v>2.4074074074074137E-3</v>
          </cell>
        </row>
        <row r="702">
          <cell r="G702">
            <v>1.8634259259258101E-3</v>
          </cell>
        </row>
        <row r="703">
          <cell r="G703">
            <v>7.4074074074081953E-4</v>
          </cell>
        </row>
        <row r="704">
          <cell r="G704">
            <v>5.4050925925925863E-3</v>
          </cell>
        </row>
        <row r="705">
          <cell r="G705">
            <v>4.3287037037037512E-3</v>
          </cell>
        </row>
        <row r="706">
          <cell r="G706">
            <v>7.7546296296293615E-4</v>
          </cell>
        </row>
        <row r="707">
          <cell r="G707">
            <v>7.5925925925925952E-3</v>
          </cell>
        </row>
        <row r="708">
          <cell r="G708">
            <v>6.134259259259256E-3</v>
          </cell>
        </row>
        <row r="709">
          <cell r="G709">
            <v>5.2777777777778256E-3</v>
          </cell>
        </row>
        <row r="710">
          <cell r="G710">
            <v>3.8888888888889417E-3</v>
          </cell>
        </row>
        <row r="711">
          <cell r="G711">
            <v>2.673611111111196E-3</v>
          </cell>
        </row>
        <row r="712">
          <cell r="G712">
            <v>2.1296296296295925E-3</v>
          </cell>
        </row>
        <row r="713">
          <cell r="G713">
            <v>1.5046296296296058E-3</v>
          </cell>
        </row>
        <row r="714">
          <cell r="G714">
            <v>1.3773148148148451E-3</v>
          </cell>
        </row>
        <row r="715">
          <cell r="G715">
            <v>7.5231481481474738E-4</v>
          </cell>
        </row>
        <row r="716">
          <cell r="G716">
            <v>1.0706018518518379E-2</v>
          </cell>
        </row>
        <row r="717">
          <cell r="G717">
            <v>7.1990740740741632E-3</v>
          </cell>
        </row>
        <row r="718">
          <cell r="G718">
            <v>5.1273148148146541E-3</v>
          </cell>
        </row>
        <row r="719">
          <cell r="G719">
            <v>3.7731481481482199E-3</v>
          </cell>
        </row>
        <row r="720">
          <cell r="G720">
            <v>2.2916666666666918E-3</v>
          </cell>
        </row>
        <row r="721">
          <cell r="G721">
            <v>2.1527777777777812E-3</v>
          </cell>
        </row>
        <row r="722">
          <cell r="G722">
            <v>2.6967592592592737E-3</v>
          </cell>
        </row>
        <row r="723">
          <cell r="G723">
            <v>1.5046296296296058E-3</v>
          </cell>
        </row>
        <row r="724">
          <cell r="G724">
            <v>5.7060185185185963E-3</v>
          </cell>
        </row>
        <row r="725">
          <cell r="G725">
            <v>1.192129629629668E-3</v>
          </cell>
        </row>
        <row r="726">
          <cell r="G726">
            <v>1.7013888888889328E-3</v>
          </cell>
        </row>
        <row r="727">
          <cell r="G727">
            <v>2.9745370370370949E-3</v>
          </cell>
        </row>
        <row r="728">
          <cell r="G728">
            <v>7.2916666666666963E-4</v>
          </cell>
        </row>
        <row r="729">
          <cell r="G729">
            <v>1.7245370370370106E-3</v>
          </cell>
        </row>
        <row r="730">
          <cell r="G730">
            <v>6.9444444444444198E-4</v>
          </cell>
        </row>
        <row r="731">
          <cell r="G731">
            <v>2.4884259259259078E-3</v>
          </cell>
        </row>
        <row r="732">
          <cell r="G732">
            <v>6.9444444444444198E-4</v>
          </cell>
        </row>
        <row r="733">
          <cell r="G733">
            <v>7.1759259259251973E-4</v>
          </cell>
        </row>
        <row r="734">
          <cell r="G734">
            <v>8.4259259259258368E-3</v>
          </cell>
        </row>
        <row r="735">
          <cell r="G735">
            <v>8.1597222222221655E-3</v>
          </cell>
        </row>
        <row r="736">
          <cell r="G736">
            <v>2.5219907407407316E-2</v>
          </cell>
        </row>
        <row r="737">
          <cell r="G737">
            <v>2.2106481481480866E-3</v>
          </cell>
        </row>
        <row r="738">
          <cell r="G738">
            <v>7.0601851851848085E-4</v>
          </cell>
        </row>
        <row r="739">
          <cell r="G739">
            <v>1.3715277777777812E-2</v>
          </cell>
        </row>
        <row r="740">
          <cell r="G740">
            <v>8.9120370370365798E-4</v>
          </cell>
        </row>
        <row r="741">
          <cell r="G741">
            <v>3.3680555555555269E-3</v>
          </cell>
        </row>
        <row r="742">
          <cell r="G742">
            <v>2.9050925925926396E-3</v>
          </cell>
        </row>
        <row r="743">
          <cell r="G743">
            <v>4.6064814814814614E-3</v>
          </cell>
        </row>
        <row r="744">
          <cell r="G744">
            <v>2.2916666666666918E-3</v>
          </cell>
        </row>
        <row r="745">
          <cell r="G745">
            <v>2.9166666666666785E-3</v>
          </cell>
        </row>
        <row r="746">
          <cell r="G746">
            <v>1.1203703703703771E-2</v>
          </cell>
        </row>
        <row r="747">
          <cell r="G747">
            <v>5.1041666666666874E-3</v>
          </cell>
        </row>
        <row r="748">
          <cell r="G748">
            <v>4.2245370370369573E-3</v>
          </cell>
        </row>
        <row r="749">
          <cell r="G749">
            <v>2.222222222222181E-3</v>
          </cell>
        </row>
        <row r="750">
          <cell r="G750">
            <v>3.1249999999999889E-3</v>
          </cell>
        </row>
        <row r="751">
          <cell r="G751">
            <v>1.2615740740740122E-3</v>
          </cell>
        </row>
        <row r="752">
          <cell r="G752">
            <v>7.2916666666666963E-4</v>
          </cell>
        </row>
        <row r="753">
          <cell r="G753">
            <v>5.7638888888889017E-3</v>
          </cell>
        </row>
        <row r="754">
          <cell r="G754">
            <v>6.1574074074074447E-3</v>
          </cell>
        </row>
        <row r="755">
          <cell r="G755">
            <v>1.2384259259259345E-3</v>
          </cell>
        </row>
        <row r="756">
          <cell r="G756">
            <v>6.8287037037034759E-4</v>
          </cell>
        </row>
        <row r="757">
          <cell r="G757">
            <v>1.8981481481481488E-3</v>
          </cell>
        </row>
        <row r="758">
          <cell r="G758">
            <v>4.5601851851851394E-3</v>
          </cell>
        </row>
        <row r="759">
          <cell r="G759">
            <v>6.4930555555555713E-3</v>
          </cell>
        </row>
        <row r="760">
          <cell r="G760">
            <v>1.3310185185184675E-3</v>
          </cell>
        </row>
        <row r="761">
          <cell r="G761">
            <v>1.2268518518518956E-3</v>
          </cell>
        </row>
        <row r="762">
          <cell r="G762">
            <v>4.8611111111113159E-4</v>
          </cell>
        </row>
        <row r="763">
          <cell r="G763">
            <v>2.9166666666666785E-3</v>
          </cell>
        </row>
        <row r="764">
          <cell r="G764">
            <v>1.6296296296296253E-2</v>
          </cell>
        </row>
        <row r="765">
          <cell r="G765">
            <v>1.2210648148148096E-2</v>
          </cell>
        </row>
        <row r="766">
          <cell r="G766">
            <v>1.1840277777777852E-2</v>
          </cell>
        </row>
        <row r="767">
          <cell r="G767">
            <v>1.0810185185185173E-2</v>
          </cell>
        </row>
        <row r="768">
          <cell r="G768">
            <v>8.3333333333335258E-4</v>
          </cell>
        </row>
        <row r="769">
          <cell r="G769">
            <v>1.0023148148148198E-2</v>
          </cell>
        </row>
        <row r="770">
          <cell r="G770">
            <v>1.128472222222221E-2</v>
          </cell>
        </row>
        <row r="771">
          <cell r="G771">
            <v>1.0173611111111147E-2</v>
          </cell>
        </row>
        <row r="772">
          <cell r="G772">
            <v>8.4722222222222143E-3</v>
          </cell>
        </row>
        <row r="773">
          <cell r="G773">
            <v>9.2592592592599665E-4</v>
          </cell>
        </row>
        <row r="774">
          <cell r="G774">
            <v>3.7847222222222587E-3</v>
          </cell>
        </row>
        <row r="775">
          <cell r="G775">
            <v>7.407407407407085E-4</v>
          </cell>
        </row>
        <row r="776">
          <cell r="G776">
            <v>1.9444444444444153E-3</v>
          </cell>
        </row>
        <row r="777">
          <cell r="G777">
            <v>1.4791666666666758E-2</v>
          </cell>
        </row>
        <row r="778">
          <cell r="G778">
            <v>1.3229166666666625E-2</v>
          </cell>
        </row>
        <row r="779">
          <cell r="G779">
            <v>2.0706018518518499E-2</v>
          </cell>
        </row>
        <row r="780">
          <cell r="G780">
            <v>6.7824074074074314E-3</v>
          </cell>
        </row>
        <row r="781">
          <cell r="G781">
            <v>1.5729166666666683E-2</v>
          </cell>
        </row>
        <row r="782">
          <cell r="G782">
            <v>8.8888888888889461E-3</v>
          </cell>
        </row>
        <row r="783">
          <cell r="G783">
            <v>5.7870370370369795E-3</v>
          </cell>
        </row>
        <row r="784">
          <cell r="G784">
            <v>8.3449074074073426E-3</v>
          </cell>
        </row>
        <row r="785">
          <cell r="G785">
            <v>2.3495370370369972E-3</v>
          </cell>
        </row>
        <row r="786">
          <cell r="G786">
            <v>1.3310185185184675E-3</v>
          </cell>
        </row>
        <row r="787">
          <cell r="G787">
            <v>5.046296296296271E-3</v>
          </cell>
        </row>
        <row r="788">
          <cell r="G788">
            <v>4.1898148148147296E-3</v>
          </cell>
        </row>
        <row r="789">
          <cell r="G789">
            <v>7.986111111110139E-4</v>
          </cell>
        </row>
        <row r="790">
          <cell r="G790">
            <v>7.2916666666666963E-4</v>
          </cell>
        </row>
        <row r="791">
          <cell r="G791">
            <v>6.0185185185185341E-4</v>
          </cell>
        </row>
        <row r="792">
          <cell r="G792">
            <v>7.1759259259263075E-4</v>
          </cell>
        </row>
        <row r="793">
          <cell r="G793">
            <v>2.2453703703703143E-3</v>
          </cell>
        </row>
        <row r="794">
          <cell r="G794">
            <v>4.2708333333334458E-3</v>
          </cell>
        </row>
        <row r="795">
          <cell r="G795">
            <v>2.9745370370369839E-3</v>
          </cell>
        </row>
        <row r="796">
          <cell r="G796">
            <v>6.7129629629636423E-4</v>
          </cell>
        </row>
        <row r="797">
          <cell r="G797">
            <v>2.8009259259258457E-3</v>
          </cell>
        </row>
        <row r="798">
          <cell r="G798">
            <v>6.94444444444553E-4</v>
          </cell>
        </row>
        <row r="799">
          <cell r="G799">
            <v>6.9444444444444198E-4</v>
          </cell>
        </row>
        <row r="800">
          <cell r="G800">
            <v>7.0601851851848085E-4</v>
          </cell>
        </row>
        <row r="801">
          <cell r="G801">
            <v>6.4814814814806443E-4</v>
          </cell>
        </row>
        <row r="802">
          <cell r="G802">
            <v>6.1689814814814836E-3</v>
          </cell>
        </row>
        <row r="803">
          <cell r="G803">
            <v>7.6967592592593337E-3</v>
          </cell>
        </row>
        <row r="804">
          <cell r="G804">
            <v>8.6458333333333526E-3</v>
          </cell>
        </row>
        <row r="805">
          <cell r="G805">
            <v>6.0185185185185341E-4</v>
          </cell>
        </row>
        <row r="806">
          <cell r="G806">
            <v>6.134259259259478E-4</v>
          </cell>
        </row>
        <row r="807">
          <cell r="G807">
            <v>8.4490740740733594E-4</v>
          </cell>
        </row>
        <row r="808">
          <cell r="G808">
            <v>1.7581018518518621E-2</v>
          </cell>
        </row>
        <row r="809">
          <cell r="G809">
            <v>9.1550925925925619E-3</v>
          </cell>
        </row>
        <row r="810">
          <cell r="G810">
            <v>1.6678240740740702E-2</v>
          </cell>
        </row>
        <row r="811">
          <cell r="G811">
            <v>3.2523148148148051E-3</v>
          </cell>
        </row>
        <row r="812">
          <cell r="G812">
            <v>1.6886574074074123E-2</v>
          </cell>
        </row>
        <row r="813">
          <cell r="G813">
            <v>1.2986111111111143E-2</v>
          </cell>
        </row>
        <row r="814">
          <cell r="G814">
            <v>1.4317129629629721E-2</v>
          </cell>
        </row>
        <row r="815">
          <cell r="G815">
            <v>1.6678240740740757E-2</v>
          </cell>
        </row>
        <row r="816">
          <cell r="G816">
            <v>1.6504629629629619E-2</v>
          </cell>
        </row>
        <row r="817">
          <cell r="G817">
            <v>4.7916666666666385E-3</v>
          </cell>
        </row>
        <row r="818">
          <cell r="G818">
            <v>6.331018518518583E-3</v>
          </cell>
        </row>
        <row r="819">
          <cell r="G819">
            <v>5.4050925925926974E-3</v>
          </cell>
        </row>
        <row r="820">
          <cell r="G820">
            <v>3.1365740740740833E-3</v>
          </cell>
        </row>
        <row r="821">
          <cell r="G821">
            <v>6.4814814814817545E-4</v>
          </cell>
        </row>
        <row r="822">
          <cell r="G822">
            <v>1.3194444444444287E-3</v>
          </cell>
        </row>
        <row r="823">
          <cell r="G823">
            <v>6.5972222222221433E-4</v>
          </cell>
        </row>
        <row r="824">
          <cell r="G824">
            <v>1.0532407407406463E-3</v>
          </cell>
        </row>
        <row r="825">
          <cell r="G825">
            <v>3.1597222222222721E-3</v>
          </cell>
        </row>
        <row r="826">
          <cell r="G826">
            <v>6.1458333333334059E-3</v>
          </cell>
        </row>
        <row r="827">
          <cell r="G827">
            <v>6.134259259259478E-4</v>
          </cell>
        </row>
        <row r="828">
          <cell r="G828">
            <v>2.2916666666666918E-3</v>
          </cell>
        </row>
        <row r="829">
          <cell r="G829">
            <v>1.1342592592592515E-3</v>
          </cell>
        </row>
        <row r="830">
          <cell r="G830">
            <v>7.4074074074093055E-4</v>
          </cell>
        </row>
        <row r="831">
          <cell r="G831">
            <v>2.3263888888889195E-3</v>
          </cell>
        </row>
        <row r="832">
          <cell r="G832">
            <v>8.3333333333335258E-4</v>
          </cell>
        </row>
        <row r="833">
          <cell r="G833">
            <v>8.2175925925920268E-4</v>
          </cell>
        </row>
        <row r="834">
          <cell r="G834">
            <v>2.1064814814814037E-3</v>
          </cell>
        </row>
        <row r="835">
          <cell r="G835">
            <v>7.523148148148584E-4</v>
          </cell>
        </row>
        <row r="836">
          <cell r="G836">
            <v>1.2962962962962954E-3</v>
          </cell>
        </row>
        <row r="837">
          <cell r="G837">
            <v>3.0902777777777612E-3</v>
          </cell>
        </row>
        <row r="838">
          <cell r="G838">
            <v>5.7870370370372015E-4</v>
          </cell>
        </row>
        <row r="839">
          <cell r="G839">
            <v>2.1990740740741588E-3</v>
          </cell>
        </row>
        <row r="840">
          <cell r="G840">
            <v>6.4814814814811994E-4</v>
          </cell>
        </row>
        <row r="841">
          <cell r="G841">
            <v>1.2152777777778012E-3</v>
          </cell>
        </row>
        <row r="842">
          <cell r="G842">
            <v>1.3773148148147896E-3</v>
          </cell>
        </row>
        <row r="843">
          <cell r="G843">
            <v>1.6666666666667052E-3</v>
          </cell>
        </row>
        <row r="844">
          <cell r="G844">
            <v>6.1458333333332948E-3</v>
          </cell>
        </row>
        <row r="845">
          <cell r="G845">
            <v>5.1388888888888595E-3</v>
          </cell>
        </row>
        <row r="846">
          <cell r="G846">
            <v>3.0555555555555336E-3</v>
          </cell>
        </row>
        <row r="847">
          <cell r="G847">
            <v>6.2499999999998668E-4</v>
          </cell>
        </row>
        <row r="848">
          <cell r="G848">
            <v>5.7870370370372015E-4</v>
          </cell>
        </row>
        <row r="849">
          <cell r="G849">
            <v>5.7870370370372015E-4</v>
          </cell>
        </row>
        <row r="850">
          <cell r="G850">
            <v>3.4722222222222099E-3</v>
          </cell>
        </row>
        <row r="851">
          <cell r="G851">
            <v>1.0416666666666075E-3</v>
          </cell>
        </row>
        <row r="852">
          <cell r="G852">
            <v>4.9652777777777768E-3</v>
          </cell>
        </row>
        <row r="853">
          <cell r="G853">
            <v>6.3657407407413658E-4</v>
          </cell>
        </row>
        <row r="854">
          <cell r="G854">
            <v>1.8055555555555047E-3</v>
          </cell>
        </row>
        <row r="855">
          <cell r="G855">
            <v>1.3240740740740775E-2</v>
          </cell>
        </row>
        <row r="856">
          <cell r="G856">
            <v>1.0567129629629635E-2</v>
          </cell>
        </row>
        <row r="857">
          <cell r="G857">
            <v>3.0879629629629646E-2</v>
          </cell>
        </row>
        <row r="858">
          <cell r="G858">
            <v>1.7476851851851993E-3</v>
          </cell>
        </row>
        <row r="859">
          <cell r="G859">
            <v>1.7824074074073715E-3</v>
          </cell>
        </row>
        <row r="860">
          <cell r="G860">
            <v>1.6550925925926108E-3</v>
          </cell>
        </row>
        <row r="861">
          <cell r="G861">
            <v>9.490740740740744E-4</v>
          </cell>
        </row>
        <row r="862">
          <cell r="G862">
            <v>1.7013888888889328E-3</v>
          </cell>
        </row>
        <row r="863">
          <cell r="G863">
            <v>2.3842592592591694E-3</v>
          </cell>
        </row>
        <row r="864">
          <cell r="G864">
            <v>9.0856481481482176E-3</v>
          </cell>
        </row>
        <row r="865">
          <cell r="G865">
            <v>9.1435185185185786E-3</v>
          </cell>
        </row>
        <row r="866">
          <cell r="G866">
            <v>5.3587962962963198E-3</v>
          </cell>
        </row>
        <row r="867">
          <cell r="G867">
            <v>7.6157407407407285E-3</v>
          </cell>
        </row>
        <row r="868">
          <cell r="G868">
            <v>6.1689814814814836E-3</v>
          </cell>
        </row>
        <row r="869">
          <cell r="G869">
            <v>7.1759259259263075E-4</v>
          </cell>
        </row>
        <row r="870">
          <cell r="G870">
            <v>4.3171296296296013E-3</v>
          </cell>
        </row>
        <row r="871">
          <cell r="G871">
            <v>3.0555555555555336E-3</v>
          </cell>
        </row>
        <row r="872">
          <cell r="G872">
            <v>3.6226851851852149E-3</v>
          </cell>
        </row>
        <row r="873">
          <cell r="G873">
            <v>4.2592592592592404E-3</v>
          </cell>
        </row>
        <row r="874">
          <cell r="G874">
            <v>3.8194444444444309E-3</v>
          </cell>
        </row>
        <row r="875">
          <cell r="G875">
            <v>2.2569444444444475E-2</v>
          </cell>
        </row>
        <row r="876">
          <cell r="G876">
            <v>2.7314814814814459E-3</v>
          </cell>
        </row>
        <row r="877">
          <cell r="G877">
            <v>3.9710648148148064E-2</v>
          </cell>
        </row>
        <row r="878">
          <cell r="G878">
            <v>4.143518518518513E-2</v>
          </cell>
        </row>
        <row r="879">
          <cell r="G879">
            <v>3.7141203703703662E-2</v>
          </cell>
        </row>
        <row r="880">
          <cell r="G880">
            <v>3.0358796296296287E-2</v>
          </cell>
        </row>
        <row r="881">
          <cell r="G881">
            <v>3.4513888888888844E-2</v>
          </cell>
        </row>
        <row r="882">
          <cell r="G882">
            <v>1.4849537037037119E-2</v>
          </cell>
        </row>
        <row r="883">
          <cell r="G883">
            <v>3.7569444444444433E-2</v>
          </cell>
        </row>
        <row r="884">
          <cell r="G884">
            <v>4.2094907407407456E-2</v>
          </cell>
        </row>
        <row r="885">
          <cell r="G885">
            <v>4.0648148148148155E-2</v>
          </cell>
        </row>
        <row r="886">
          <cell r="G886">
            <v>5.4722222222222172E-2</v>
          </cell>
        </row>
        <row r="887">
          <cell r="G887">
            <v>5.2523148148148124E-2</v>
          </cell>
        </row>
        <row r="888">
          <cell r="G888">
            <v>4.9421296296296213E-2</v>
          </cell>
        </row>
        <row r="889">
          <cell r="G889">
            <v>1.3090277777777715E-2</v>
          </cell>
        </row>
        <row r="890">
          <cell r="G890">
            <v>2.1423611111111018E-2</v>
          </cell>
        </row>
        <row r="891">
          <cell r="G891">
            <v>8.1828703703703543E-3</v>
          </cell>
        </row>
        <row r="892">
          <cell r="G892">
            <v>5.439814814814814E-3</v>
          </cell>
        </row>
        <row r="893">
          <cell r="G893">
            <v>1.1793981481481475E-2</v>
          </cell>
        </row>
        <row r="894">
          <cell r="G894">
            <v>1.8518518518518823E-3</v>
          </cell>
        </row>
        <row r="895">
          <cell r="G895">
            <v>8.6111111111111249E-3</v>
          </cell>
        </row>
        <row r="896">
          <cell r="G896">
            <v>2.17592592592597E-3</v>
          </cell>
        </row>
        <row r="897">
          <cell r="G897">
            <v>3.5104166666666714E-2</v>
          </cell>
        </row>
        <row r="898">
          <cell r="G898">
            <v>3.5648148148148207E-2</v>
          </cell>
        </row>
        <row r="899">
          <cell r="G899">
            <v>3.5023148148148109E-2</v>
          </cell>
        </row>
        <row r="900">
          <cell r="G900">
            <v>3.5173611111111058E-2</v>
          </cell>
        </row>
        <row r="901">
          <cell r="G901">
            <v>1.0173611111111147E-2</v>
          </cell>
        </row>
        <row r="902">
          <cell r="G902">
            <v>1.6886574074074012E-2</v>
          </cell>
        </row>
        <row r="903">
          <cell r="G903">
            <v>5.243055555555598E-3</v>
          </cell>
        </row>
        <row r="904">
          <cell r="G904">
            <v>2.8020833333333384E-2</v>
          </cell>
        </row>
        <row r="905">
          <cell r="G905">
            <v>1.0798611111111134E-2</v>
          </cell>
        </row>
        <row r="906">
          <cell r="G906">
            <v>2.1655092592592573E-2</v>
          </cell>
        </row>
        <row r="907">
          <cell r="G907">
            <v>2.0775462962962954E-2</v>
          </cell>
        </row>
        <row r="908">
          <cell r="G908">
            <v>1.895833333333341E-2</v>
          </cell>
        </row>
        <row r="909">
          <cell r="G909">
            <v>2.0613425925925855E-2</v>
          </cell>
        </row>
        <row r="910">
          <cell r="G910">
            <v>3.657407407407387E-3</v>
          </cell>
        </row>
        <row r="911">
          <cell r="G911">
            <v>9.097222222222312E-3</v>
          </cell>
        </row>
        <row r="912">
          <cell r="G912">
            <v>1.4363425925925877E-2</v>
          </cell>
        </row>
        <row r="913">
          <cell r="G913">
            <v>2.5347222222222854E-3</v>
          </cell>
        </row>
        <row r="914">
          <cell r="G914">
            <v>9.9305555555555536E-3</v>
          </cell>
        </row>
        <row r="915">
          <cell r="G915">
            <v>1.2488425925925917E-2</v>
          </cell>
        </row>
        <row r="916">
          <cell r="G916">
            <v>1.2685185185185133E-2</v>
          </cell>
        </row>
        <row r="917">
          <cell r="G917">
            <v>1.2777777777777777E-2</v>
          </cell>
        </row>
        <row r="918">
          <cell r="G918">
            <v>1.1689814814814792E-3</v>
          </cell>
        </row>
        <row r="919">
          <cell r="G919">
            <v>2.1064814814815147E-3</v>
          </cell>
        </row>
        <row r="920">
          <cell r="G920">
            <v>2.1412037037037424E-3</v>
          </cell>
        </row>
        <row r="921">
          <cell r="G921">
            <v>5.439814814814925E-4</v>
          </cell>
        </row>
        <row r="922">
          <cell r="G922">
            <v>5.4398148148138148E-4</v>
          </cell>
        </row>
        <row r="923">
          <cell r="G923">
            <v>5.7870370370372015E-4</v>
          </cell>
        </row>
        <row r="924">
          <cell r="G924">
            <v>6.2962962962962998E-3</v>
          </cell>
        </row>
        <row r="925">
          <cell r="G925">
            <v>1.2638888888888866E-2</v>
          </cell>
        </row>
        <row r="926">
          <cell r="G926">
            <v>1.1921296296296124E-3</v>
          </cell>
        </row>
        <row r="927">
          <cell r="G927">
            <v>1.0706018518518545E-2</v>
          </cell>
        </row>
        <row r="928">
          <cell r="G928">
            <v>8.1249999999999933E-3</v>
          </cell>
        </row>
        <row r="929">
          <cell r="G929">
            <v>5.2662037037037868E-3</v>
          </cell>
        </row>
        <row r="930">
          <cell r="G930">
            <v>9.2592592592588563E-4</v>
          </cell>
        </row>
        <row r="931">
          <cell r="G931">
            <v>1.3425925925925619E-3</v>
          </cell>
        </row>
        <row r="932">
          <cell r="G932">
            <v>1.7939814814815214E-3</v>
          </cell>
        </row>
        <row r="933">
          <cell r="G933">
            <v>6.1342592592600331E-4</v>
          </cell>
        </row>
        <row r="934">
          <cell r="G934">
            <v>4.2824074074071516E-4</v>
          </cell>
        </row>
        <row r="935">
          <cell r="G935">
            <v>6.5972222222221433E-4</v>
          </cell>
        </row>
        <row r="936">
          <cell r="G936">
            <v>1.388888888888884E-3</v>
          </cell>
        </row>
        <row r="937">
          <cell r="G937">
            <v>6.0185185185190893E-4</v>
          </cell>
        </row>
        <row r="938">
          <cell r="G938">
            <v>2.8136574074073994E-2</v>
          </cell>
        </row>
        <row r="939">
          <cell r="G939">
            <v>2.0787037037037104E-2</v>
          </cell>
        </row>
        <row r="940">
          <cell r="G940">
            <v>9.0856481481481621E-3</v>
          </cell>
        </row>
        <row r="941">
          <cell r="G941">
            <v>1.4548611111111054E-2</v>
          </cell>
        </row>
        <row r="942">
          <cell r="G942">
            <v>7.2453703703703187E-3</v>
          </cell>
        </row>
        <row r="943">
          <cell r="G943">
            <v>1.8043981481481564E-2</v>
          </cell>
        </row>
        <row r="944">
          <cell r="G944">
            <v>7.7893518518518112E-3</v>
          </cell>
        </row>
        <row r="945">
          <cell r="G945">
            <v>2.2800925925925419E-3</v>
          </cell>
        </row>
        <row r="946">
          <cell r="G946">
            <v>5.6481481481481799E-3</v>
          </cell>
        </row>
        <row r="947">
          <cell r="G947">
            <v>5.7870370370372015E-4</v>
          </cell>
        </row>
        <row r="948">
          <cell r="G948">
            <v>6.4814814814817545E-4</v>
          </cell>
        </row>
        <row r="949">
          <cell r="G949">
            <v>9.2592592592588563E-4</v>
          </cell>
        </row>
        <row r="950">
          <cell r="G950">
            <v>2.766203703703729E-3</v>
          </cell>
        </row>
        <row r="951">
          <cell r="G951">
            <v>1.192129629629668E-3</v>
          </cell>
        </row>
        <row r="952">
          <cell r="G952">
            <v>1.4351851851852615E-3</v>
          </cell>
        </row>
        <row r="953">
          <cell r="G953">
            <v>9.7222222222220767E-4</v>
          </cell>
        </row>
        <row r="954">
          <cell r="G954">
            <v>2.17592592592597E-3</v>
          </cell>
        </row>
        <row r="955">
          <cell r="G955">
            <v>1.0081018518518503E-2</v>
          </cell>
        </row>
        <row r="956">
          <cell r="G956">
            <v>1.496527777777773E-2</v>
          </cell>
        </row>
        <row r="957">
          <cell r="G957">
            <v>1.2928240740740726E-2</v>
          </cell>
        </row>
        <row r="958">
          <cell r="G958">
            <v>1.6909722222222257E-2</v>
          </cell>
        </row>
        <row r="959">
          <cell r="G959">
            <v>1.7939814814815214E-3</v>
          </cell>
        </row>
        <row r="960">
          <cell r="G960">
            <v>4.7453703703698169E-4</v>
          </cell>
        </row>
        <row r="961">
          <cell r="G961">
            <v>4.6296296296294281E-4</v>
          </cell>
        </row>
        <row r="962">
          <cell r="G962">
            <v>4.5370370370370061E-3</v>
          </cell>
        </row>
        <row r="963">
          <cell r="G963">
            <v>1.4421296296296238E-2</v>
          </cell>
        </row>
        <row r="964">
          <cell r="G964">
            <v>1.2395833333333328E-2</v>
          </cell>
        </row>
        <row r="965">
          <cell r="G965">
            <v>1.1539351851851842E-2</v>
          </cell>
        </row>
        <row r="966">
          <cell r="G966">
            <v>1.2650462962962905E-2</v>
          </cell>
        </row>
        <row r="967">
          <cell r="G967">
            <v>4.9421296296296435E-3</v>
          </cell>
        </row>
        <row r="968">
          <cell r="G968">
            <v>3.8425925925926196E-3</v>
          </cell>
        </row>
        <row r="969">
          <cell r="G969">
            <v>6.1111111111110672E-3</v>
          </cell>
        </row>
        <row r="970">
          <cell r="G970">
            <v>1.6203703703703276E-3</v>
          </cell>
        </row>
        <row r="971">
          <cell r="G971">
            <v>4.8611111111107608E-4</v>
          </cell>
        </row>
        <row r="972">
          <cell r="G972">
            <v>1.9328703703703209E-3</v>
          </cell>
        </row>
        <row r="973">
          <cell r="G973">
            <v>8.796296296296191E-4</v>
          </cell>
        </row>
        <row r="974">
          <cell r="G974">
            <v>3.6574074074074425E-3</v>
          </cell>
        </row>
        <row r="975">
          <cell r="G975">
            <v>4.745370370370372E-4</v>
          </cell>
        </row>
        <row r="976">
          <cell r="G976">
            <v>6.3657407407413658E-4</v>
          </cell>
        </row>
        <row r="977">
          <cell r="G977">
            <v>2.3368055555555656E-2</v>
          </cell>
        </row>
        <row r="978">
          <cell r="G978">
            <v>4.9768518518522598E-4</v>
          </cell>
        </row>
        <row r="979">
          <cell r="G979">
            <v>4.3981481481480955E-4</v>
          </cell>
        </row>
        <row r="980">
          <cell r="G980">
            <v>4.3981481481480955E-4</v>
          </cell>
        </row>
        <row r="981">
          <cell r="G981">
            <v>1.7534722222222077E-2</v>
          </cell>
        </row>
        <row r="982">
          <cell r="G982">
            <v>1.1655092592592453E-2</v>
          </cell>
        </row>
        <row r="983">
          <cell r="G983">
            <v>5.5555555555553138E-4</v>
          </cell>
        </row>
        <row r="984">
          <cell r="G984">
            <v>1.0532407407407574E-3</v>
          </cell>
        </row>
        <row r="985">
          <cell r="G985">
            <v>2.8356481481480733E-3</v>
          </cell>
        </row>
        <row r="986">
          <cell r="G986">
            <v>4.7569444444444109E-3</v>
          </cell>
        </row>
        <row r="987">
          <cell r="G987">
            <v>6.3657407407402555E-4</v>
          </cell>
        </row>
        <row r="988">
          <cell r="G988">
            <v>1.5856481481481555E-3</v>
          </cell>
        </row>
        <row r="989">
          <cell r="G989">
            <v>4.9768518518517046E-4</v>
          </cell>
        </row>
        <row r="990">
          <cell r="G990">
            <v>9.6759259259259212E-3</v>
          </cell>
        </row>
        <row r="991">
          <cell r="G991">
            <v>2.4189814814815636E-3</v>
          </cell>
        </row>
        <row r="992">
          <cell r="G992">
            <v>1.3078703703703898E-3</v>
          </cell>
        </row>
        <row r="993">
          <cell r="G993">
            <v>5.7638888888889017E-3</v>
          </cell>
        </row>
        <row r="994">
          <cell r="G994">
            <v>6.7361111111111094E-3</v>
          </cell>
        </row>
        <row r="995">
          <cell r="G995">
            <v>5.6597222222222188E-3</v>
          </cell>
        </row>
        <row r="996">
          <cell r="G996">
            <v>4.6527777777777835E-3</v>
          </cell>
        </row>
        <row r="997">
          <cell r="G997">
            <v>3.263888888888955E-3</v>
          </cell>
        </row>
        <row r="998">
          <cell r="G998">
            <v>2.4652777777777746E-3</v>
          </cell>
        </row>
        <row r="999">
          <cell r="G999">
            <v>1.0416666666666075E-3</v>
          </cell>
        </row>
        <row r="1000">
          <cell r="G1000">
            <v>2.1412037037036313E-3</v>
          </cell>
        </row>
        <row r="1001">
          <cell r="G1001">
            <v>1.0069444444444908E-3</v>
          </cell>
        </row>
        <row r="1002">
          <cell r="G1002">
            <v>4.0046296296296635E-3</v>
          </cell>
        </row>
        <row r="1003">
          <cell r="G1003">
            <v>4.8263888888888662E-3</v>
          </cell>
        </row>
        <row r="1004">
          <cell r="G1004">
            <v>3.3333333333332993E-3</v>
          </cell>
        </row>
        <row r="1005">
          <cell r="G1005">
            <v>1.4328703703703649E-2</v>
          </cell>
        </row>
        <row r="1006">
          <cell r="G1006">
            <v>5.9490740740740788E-3</v>
          </cell>
        </row>
        <row r="1007">
          <cell r="G1007">
            <v>3.9120370370369084E-3</v>
          </cell>
        </row>
        <row r="1008">
          <cell r="G1008">
            <v>2.5115740740740966E-3</v>
          </cell>
        </row>
        <row r="1009">
          <cell r="G1009">
            <v>3.9004629629630916E-3</v>
          </cell>
        </row>
        <row r="1010">
          <cell r="G1010">
            <v>4.745370370370372E-4</v>
          </cell>
        </row>
        <row r="1011">
          <cell r="G1011">
            <v>3.9351851851848751E-4</v>
          </cell>
        </row>
        <row r="1012">
          <cell r="G1012">
            <v>1.4699074074073781E-3</v>
          </cell>
        </row>
        <row r="1013">
          <cell r="G1013">
            <v>7.7546296296293615E-4</v>
          </cell>
        </row>
        <row r="1014">
          <cell r="G1014">
            <v>2.6388888888888573E-3</v>
          </cell>
        </row>
        <row r="1015">
          <cell r="G1015">
            <v>1.3657407407407507E-3</v>
          </cell>
        </row>
        <row r="1016">
          <cell r="G1016">
            <v>4.5370370370371171E-3</v>
          </cell>
        </row>
        <row r="1017">
          <cell r="G1017">
            <v>1.3773148148147341E-3</v>
          </cell>
        </row>
        <row r="1018">
          <cell r="G1018">
            <v>1.1608796296296353E-2</v>
          </cell>
        </row>
        <row r="1019">
          <cell r="G1019">
            <v>1.7129629629629717E-3</v>
          </cell>
        </row>
        <row r="1020">
          <cell r="G1020">
            <v>1.87499999999996E-3</v>
          </cell>
        </row>
        <row r="1021">
          <cell r="G1021">
            <v>4.155092592592613E-3</v>
          </cell>
        </row>
        <row r="1022">
          <cell r="G1022">
            <v>3.8194444444439313E-4</v>
          </cell>
        </row>
        <row r="1023">
          <cell r="G1023">
            <v>3.6921296296296702E-3</v>
          </cell>
        </row>
        <row r="1024">
          <cell r="G1024">
            <v>8.5416666666666696E-3</v>
          </cell>
        </row>
        <row r="1025">
          <cell r="G1025">
            <v>4.6643518518518778E-3</v>
          </cell>
        </row>
        <row r="1026">
          <cell r="G1026">
            <v>1.0381944444444458E-2</v>
          </cell>
        </row>
        <row r="1027">
          <cell r="G1027">
            <v>2.766203703703729E-3</v>
          </cell>
        </row>
        <row r="1028">
          <cell r="G1028">
            <v>7.4305555555555514E-3</v>
          </cell>
        </row>
        <row r="1029">
          <cell r="G1029">
            <v>2.9166666666666785E-3</v>
          </cell>
        </row>
        <row r="1030">
          <cell r="G1030">
            <v>3.9351851851854303E-4</v>
          </cell>
        </row>
        <row r="1031">
          <cell r="G1031">
            <v>1.7245370370370661E-3</v>
          </cell>
        </row>
        <row r="1032">
          <cell r="G1032">
            <v>4.2824074074077068E-4</v>
          </cell>
        </row>
        <row r="1033">
          <cell r="G1033">
            <v>4.0509259259247088E-4</v>
          </cell>
        </row>
        <row r="1034">
          <cell r="G1034">
            <v>2.1712962962962989E-2</v>
          </cell>
        </row>
        <row r="1035">
          <cell r="G1035">
            <v>1.2465277777777839E-2</v>
          </cell>
        </row>
        <row r="1036">
          <cell r="G1036">
            <v>2.071759259259176E-3</v>
          </cell>
        </row>
        <row r="1037">
          <cell r="G1037">
            <v>1.4120370370370727E-3</v>
          </cell>
        </row>
        <row r="1038">
          <cell r="G1038">
            <v>2.4652777777778301E-3</v>
          </cell>
        </row>
        <row r="1039">
          <cell r="G1039">
            <v>3.8194444444450415E-4</v>
          </cell>
        </row>
      </sheetData>
      <sheetData sheetId="12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ผู้บริหาร"/>
      <sheetName val="Sheet1"/>
      <sheetName val="STAR"/>
      <sheetName val="ForFC-Run"/>
      <sheetName val="สรุปคะแนนปัญหา"/>
      <sheetName val="สรุปรายงานการจัดเกรด-S"/>
      <sheetName val="แบบประเมิน Process"/>
      <sheetName val="หลักเกณฑ์-Result"/>
      <sheetName val="หลักเกณฑ์-Process"/>
      <sheetName val="กราฟ"/>
      <sheetName val="ระดับดาว"/>
      <sheetName val="สำหรับทำตาราง"/>
      <sheetName val="สรุปจำนวน"/>
      <sheetName val="สอบ L2 ไม่ผ่าน"/>
      <sheetName val="จำนวนปี"/>
      <sheetName val="1.CPK"/>
      <sheetName val="1.ใบเหลืองใบแดง"/>
      <sheetName val="2.NPS"/>
      <sheetName val="3.2ผลสอบ Level 2"/>
      <sheetName val="3.1,3.3 Data Turnover"/>
      <sheetName val="4.1เครื่องจักร"/>
      <sheetName val="data โรงงาน"/>
      <sheetName val="4.2Safety รถโม่"/>
      <sheetName val="4.2Wrap"/>
      <sheetName val="4.2GPS"/>
      <sheetName val="4.3จบส."/>
      <sheetName val="5.CSR"/>
      <sheetName val="CPAC System"/>
      <sheetName val="กำลังพล"/>
    </sheetNames>
    <sheetDataSet>
      <sheetData sheetId="0" refreshError="1"/>
      <sheetData sheetId="1" refreshError="1"/>
      <sheetData sheetId="2">
        <row r="1">
          <cell r="A1" t="str">
            <v>ไม่มีดาว</v>
          </cell>
          <cell r="B1">
            <v>0</v>
          </cell>
        </row>
        <row r="4">
          <cell r="A4">
            <v>5</v>
          </cell>
          <cell r="C4">
            <v>6</v>
          </cell>
        </row>
        <row r="11">
          <cell r="A11">
            <v>0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ผู้บริหาร"/>
      <sheetName val="Sheet1"/>
      <sheetName val="STAR"/>
      <sheetName val="ForFC-Run"/>
      <sheetName val="สรุปคะแนนปัญหา"/>
      <sheetName val="สรุปรายงานการจัดเกรด-S"/>
      <sheetName val="แบบประเมิน Process"/>
      <sheetName val="หลักเกณฑ์-Result"/>
      <sheetName val="หลักเกณฑ์-Process"/>
      <sheetName val="กราฟ"/>
      <sheetName val="ระดับดาว"/>
      <sheetName val="สำหรับทำตาราง"/>
      <sheetName val="สรุปจำนวน"/>
      <sheetName val="สอบ L2 ไม่ผ่าน"/>
      <sheetName val="จำนวนปี"/>
      <sheetName val="1.CPK"/>
      <sheetName val="1.ใบเหลืองใบแดง"/>
      <sheetName val="2.NPS"/>
      <sheetName val="3.2ผลสอบ Level 2"/>
      <sheetName val="3.1,3.3 Data Turnover"/>
      <sheetName val="4.1เครื่องจักร"/>
      <sheetName val="data โรงงาน"/>
      <sheetName val="4.2Safety รถโม่"/>
      <sheetName val="4.2Wrap"/>
      <sheetName val="4.2GPS"/>
      <sheetName val="4.3จบส."/>
      <sheetName val="5.CSR"/>
      <sheetName val="CPAC System"/>
      <sheetName val="กำลังพล"/>
    </sheetNames>
    <sheetDataSet>
      <sheetData sheetId="0"/>
      <sheetData sheetId="1"/>
      <sheetData sheetId="2">
        <row r="1">
          <cell r="A1" t="str">
            <v>ไม่มีดาว</v>
          </cell>
          <cell r="B1">
            <v>0</v>
          </cell>
        </row>
        <row r="4">
          <cell r="A4">
            <v>5</v>
          </cell>
          <cell r="C4">
            <v>6</v>
          </cell>
        </row>
        <row r="11">
          <cell r="A11">
            <v>0</v>
          </cell>
          <cell r="B11">
            <v>0</v>
          </cell>
          <cell r="C11">
            <v>0</v>
          </cell>
          <cell r="D11">
            <v>0</v>
          </cell>
          <cell r="E11">
            <v>0</v>
          </cell>
          <cell r="F11">
            <v>0</v>
          </cell>
          <cell r="G11">
            <v>0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ta-CPAC"/>
      <sheetName val="summary"/>
      <sheetName val="summary-CPAC by customer"/>
      <sheetName val="สถานะลูกหนี้ กท"/>
      <sheetName val="สถานะลูกหนี้ อส"/>
      <sheetName val="สถานะลูกหนี้ ตอ"/>
      <sheetName val="สถานะลูกหนี้ ตต"/>
      <sheetName val="สถานะลูกหนี้ ภน"/>
      <sheetName val="สำหรับทำตาม format ภาคอิสาน "/>
      <sheetName val="สถานะลูกหนี้ ภต"/>
      <sheetName val="customer"/>
    </sheetNames>
    <sheetDataSet>
      <sheetData sheetId="0">
        <row r="1">
          <cell r="A1" t="str">
            <v>Customer</v>
          </cell>
          <cell r="B1" t="str">
            <v>DocumentNo</v>
          </cell>
          <cell r="C1" t="str">
            <v>Doc.Date</v>
          </cell>
          <cell r="D1" t="str">
            <v>Net due dt</v>
          </cell>
          <cell r="E1" t="str">
            <v>Amt in loc.cur.</v>
          </cell>
          <cell r="F1" t="str">
            <v>Text</v>
          </cell>
          <cell r="G1" t="str">
            <v>Document Header Text</v>
          </cell>
          <cell r="H1" t="str">
            <v>ค่าเครื่องจักร/Royalty/Fee</v>
          </cell>
          <cell r="I1" t="str">
            <v>Name</v>
          </cell>
          <cell r="J1" t="str">
            <v>กิจการ</v>
          </cell>
          <cell r="K1" t="str">
            <v>Type Of Franchise</v>
          </cell>
          <cell r="L1" t="str">
            <v>วันที่เอกสาร</v>
          </cell>
          <cell r="M1" t="str">
            <v>วันที่ครบกำหนดชำระเงิน</v>
          </cell>
          <cell r="N1" t="str">
            <v>วันที่ปัจจุบัน</v>
          </cell>
          <cell r="O1" t="str">
            <v>วันที่เกินdue</v>
          </cell>
          <cell r="P1" t="str">
            <v>เกินกำหนดชำระเงิน</v>
          </cell>
          <cell r="Q1" t="str">
            <v>เกินกำหนดชำระ &gt; 12 ด.</v>
          </cell>
          <cell r="R1" t="str">
            <v>ครบกำหนดชำระเงิน/ยังไม่ครบกำหนดชำระเงิน</v>
          </cell>
          <cell r="S1" t="str">
            <v>due-sap</v>
          </cell>
          <cell r="T1" t="str">
            <v>diff due(สูตร-sap)</v>
          </cell>
          <cell r="U1" t="str">
            <v>year</v>
          </cell>
          <cell r="V1" t="str">
            <v>doc</v>
          </cell>
          <cell r="W1" t="str">
            <v>ประเภทของรายได้</v>
          </cell>
          <cell r="X1" t="str">
            <v>Remark</v>
          </cell>
          <cell r="Y1" t="str">
            <v>ชื่อโรงงาน</v>
          </cell>
        </row>
        <row r="2">
          <cell r="A2">
            <v>900470</v>
          </cell>
        </row>
        <row r="3">
          <cell r="A3">
            <v>900470</v>
          </cell>
        </row>
        <row r="4">
          <cell r="A4">
            <v>900470</v>
          </cell>
        </row>
        <row r="5">
          <cell r="A5">
            <v>900470</v>
          </cell>
        </row>
        <row r="6">
          <cell r="A6">
            <v>900470</v>
          </cell>
        </row>
        <row r="7">
          <cell r="A7">
            <v>900470</v>
          </cell>
        </row>
        <row r="8">
          <cell r="A8">
            <v>900470</v>
          </cell>
        </row>
        <row r="9">
          <cell r="A9">
            <v>900470</v>
          </cell>
        </row>
        <row r="10">
          <cell r="A10">
            <v>900470</v>
          </cell>
        </row>
        <row r="11">
          <cell r="A11">
            <v>900772</v>
          </cell>
        </row>
        <row r="12">
          <cell r="A12">
            <v>900772</v>
          </cell>
        </row>
        <row r="13">
          <cell r="A13">
            <v>900772</v>
          </cell>
        </row>
        <row r="14">
          <cell r="A14">
            <v>900772</v>
          </cell>
        </row>
        <row r="15">
          <cell r="A15">
            <v>900772</v>
          </cell>
        </row>
        <row r="16">
          <cell r="A16">
            <v>900772</v>
          </cell>
        </row>
        <row r="17">
          <cell r="A17">
            <v>900772</v>
          </cell>
        </row>
        <row r="18">
          <cell r="A18">
            <v>900772</v>
          </cell>
        </row>
        <row r="19">
          <cell r="A19">
            <v>900773</v>
          </cell>
        </row>
        <row r="20">
          <cell r="A20">
            <v>900773</v>
          </cell>
        </row>
        <row r="21">
          <cell r="A21">
            <v>900773</v>
          </cell>
        </row>
        <row r="22">
          <cell r="A22">
            <v>900773</v>
          </cell>
        </row>
        <row r="23">
          <cell r="A23">
            <v>900774</v>
          </cell>
        </row>
        <row r="24">
          <cell r="A24">
            <v>900774</v>
          </cell>
        </row>
        <row r="25">
          <cell r="A25">
            <v>900774</v>
          </cell>
        </row>
        <row r="26">
          <cell r="A26">
            <v>900775</v>
          </cell>
        </row>
        <row r="27">
          <cell r="A27">
            <v>900775</v>
          </cell>
        </row>
        <row r="28">
          <cell r="A28">
            <v>900775</v>
          </cell>
        </row>
        <row r="29">
          <cell r="A29">
            <v>900775</v>
          </cell>
        </row>
        <row r="30">
          <cell r="A30">
            <v>900775</v>
          </cell>
        </row>
        <row r="31">
          <cell r="A31">
            <v>900775</v>
          </cell>
        </row>
        <row r="32">
          <cell r="A32">
            <v>900775</v>
          </cell>
        </row>
        <row r="33">
          <cell r="A33">
            <v>900775</v>
          </cell>
        </row>
        <row r="34">
          <cell r="A34">
            <v>900775</v>
          </cell>
        </row>
        <row r="35">
          <cell r="A35">
            <v>900775</v>
          </cell>
        </row>
        <row r="36">
          <cell r="A36">
            <v>900776</v>
          </cell>
        </row>
        <row r="37">
          <cell r="A37">
            <v>900776</v>
          </cell>
        </row>
        <row r="38">
          <cell r="A38">
            <v>900776</v>
          </cell>
        </row>
        <row r="39">
          <cell r="A39">
            <v>900776</v>
          </cell>
        </row>
        <row r="40">
          <cell r="A40">
            <v>900776</v>
          </cell>
        </row>
        <row r="41">
          <cell r="A41">
            <v>900776</v>
          </cell>
        </row>
        <row r="42">
          <cell r="A42">
            <v>900776</v>
          </cell>
        </row>
        <row r="43">
          <cell r="A43">
            <v>900776</v>
          </cell>
        </row>
        <row r="44">
          <cell r="A44">
            <v>900776</v>
          </cell>
        </row>
        <row r="45">
          <cell r="A45">
            <v>900859</v>
          </cell>
        </row>
        <row r="46">
          <cell r="A46">
            <v>900859</v>
          </cell>
        </row>
        <row r="47">
          <cell r="A47">
            <v>900859</v>
          </cell>
        </row>
        <row r="48">
          <cell r="A48">
            <v>900859</v>
          </cell>
        </row>
        <row r="49">
          <cell r="A49">
            <v>900859</v>
          </cell>
        </row>
        <row r="50">
          <cell r="A50">
            <v>900859</v>
          </cell>
        </row>
        <row r="51">
          <cell r="A51">
            <v>900859</v>
          </cell>
        </row>
        <row r="52">
          <cell r="A52">
            <v>900859</v>
          </cell>
        </row>
        <row r="53">
          <cell r="A53">
            <v>900859</v>
          </cell>
        </row>
        <row r="54">
          <cell r="A54">
            <v>900859</v>
          </cell>
        </row>
        <row r="55">
          <cell r="A55">
            <v>900860</v>
          </cell>
        </row>
        <row r="56">
          <cell r="A56">
            <v>900860</v>
          </cell>
        </row>
        <row r="57">
          <cell r="A57">
            <v>900860</v>
          </cell>
        </row>
        <row r="58">
          <cell r="A58">
            <v>900860</v>
          </cell>
        </row>
        <row r="59">
          <cell r="A59">
            <v>900860</v>
          </cell>
        </row>
        <row r="60">
          <cell r="A60">
            <v>900860</v>
          </cell>
        </row>
        <row r="61">
          <cell r="A61">
            <v>900860</v>
          </cell>
        </row>
        <row r="62">
          <cell r="A62">
            <v>900861</v>
          </cell>
        </row>
        <row r="63">
          <cell r="A63">
            <v>900861</v>
          </cell>
        </row>
        <row r="64">
          <cell r="A64">
            <v>900861</v>
          </cell>
        </row>
        <row r="65">
          <cell r="A65">
            <v>900861</v>
          </cell>
        </row>
        <row r="66">
          <cell r="A66">
            <v>900862</v>
          </cell>
        </row>
        <row r="67">
          <cell r="A67">
            <v>900862</v>
          </cell>
        </row>
        <row r="68">
          <cell r="A68">
            <v>900862</v>
          </cell>
        </row>
        <row r="69">
          <cell r="A69">
            <v>900862</v>
          </cell>
        </row>
        <row r="70">
          <cell r="A70">
            <v>900862</v>
          </cell>
        </row>
        <row r="71">
          <cell r="A71">
            <v>900862</v>
          </cell>
        </row>
        <row r="72">
          <cell r="A72">
            <v>900862</v>
          </cell>
        </row>
        <row r="73">
          <cell r="A73">
            <v>900862</v>
          </cell>
        </row>
        <row r="74">
          <cell r="A74">
            <v>900862</v>
          </cell>
        </row>
        <row r="75">
          <cell r="A75">
            <v>900863</v>
          </cell>
        </row>
        <row r="76">
          <cell r="A76">
            <v>900863</v>
          </cell>
        </row>
        <row r="77">
          <cell r="A77">
            <v>900863</v>
          </cell>
        </row>
        <row r="78">
          <cell r="A78">
            <v>900863</v>
          </cell>
        </row>
        <row r="79">
          <cell r="A79">
            <v>900863</v>
          </cell>
        </row>
        <row r="80">
          <cell r="A80">
            <v>900863</v>
          </cell>
        </row>
        <row r="81">
          <cell r="A81">
            <v>900863</v>
          </cell>
        </row>
        <row r="82">
          <cell r="A82">
            <v>900863</v>
          </cell>
        </row>
        <row r="83">
          <cell r="A83">
            <v>900864</v>
          </cell>
        </row>
        <row r="84">
          <cell r="A84">
            <v>900864</v>
          </cell>
        </row>
        <row r="85">
          <cell r="A85">
            <v>900864</v>
          </cell>
        </row>
        <row r="86">
          <cell r="A86">
            <v>900864</v>
          </cell>
        </row>
        <row r="87">
          <cell r="A87">
            <v>900864</v>
          </cell>
        </row>
        <row r="88">
          <cell r="A88">
            <v>900864</v>
          </cell>
        </row>
        <row r="89">
          <cell r="A89">
            <v>900864</v>
          </cell>
        </row>
        <row r="90">
          <cell r="A90">
            <v>900864</v>
          </cell>
        </row>
        <row r="91">
          <cell r="A91">
            <v>900864</v>
          </cell>
        </row>
        <row r="92">
          <cell r="A92">
            <v>900864</v>
          </cell>
        </row>
        <row r="93">
          <cell r="A93">
            <v>900864</v>
          </cell>
        </row>
        <row r="94">
          <cell r="A94">
            <v>900864</v>
          </cell>
        </row>
        <row r="95">
          <cell r="A95">
            <v>900864</v>
          </cell>
        </row>
        <row r="96">
          <cell r="A96">
            <v>900864</v>
          </cell>
        </row>
        <row r="97">
          <cell r="A97">
            <v>900864</v>
          </cell>
        </row>
        <row r="98">
          <cell r="A98">
            <v>900864</v>
          </cell>
        </row>
        <row r="99">
          <cell r="A99">
            <v>900864</v>
          </cell>
        </row>
        <row r="100">
          <cell r="A100">
            <v>900864</v>
          </cell>
        </row>
        <row r="101">
          <cell r="A101">
            <v>900864</v>
          </cell>
        </row>
        <row r="102">
          <cell r="A102">
            <v>900864</v>
          </cell>
        </row>
        <row r="103">
          <cell r="A103">
            <v>900864</v>
          </cell>
        </row>
        <row r="104">
          <cell r="A104">
            <v>900864</v>
          </cell>
        </row>
        <row r="105">
          <cell r="A105">
            <v>900864</v>
          </cell>
        </row>
        <row r="106">
          <cell r="A106">
            <v>900864</v>
          </cell>
        </row>
        <row r="107">
          <cell r="A107">
            <v>900864</v>
          </cell>
        </row>
        <row r="108">
          <cell r="A108">
            <v>900864</v>
          </cell>
        </row>
        <row r="109">
          <cell r="A109">
            <v>900864</v>
          </cell>
        </row>
        <row r="110">
          <cell r="A110">
            <v>900864</v>
          </cell>
        </row>
        <row r="111">
          <cell r="A111">
            <v>900864</v>
          </cell>
        </row>
        <row r="112">
          <cell r="A112">
            <v>900864</v>
          </cell>
        </row>
        <row r="113">
          <cell r="A113">
            <v>900864</v>
          </cell>
        </row>
        <row r="114">
          <cell r="A114">
            <v>900865</v>
          </cell>
        </row>
        <row r="115">
          <cell r="A115">
            <v>900865</v>
          </cell>
        </row>
        <row r="116">
          <cell r="A116">
            <v>900865</v>
          </cell>
        </row>
        <row r="117">
          <cell r="A117">
            <v>900865</v>
          </cell>
        </row>
        <row r="118">
          <cell r="A118">
            <v>900865</v>
          </cell>
        </row>
        <row r="119">
          <cell r="A119">
            <v>900866</v>
          </cell>
        </row>
        <row r="120">
          <cell r="A120">
            <v>900866</v>
          </cell>
        </row>
        <row r="121">
          <cell r="A121">
            <v>900866</v>
          </cell>
        </row>
        <row r="122">
          <cell r="A122">
            <v>900866</v>
          </cell>
        </row>
        <row r="123">
          <cell r="A123">
            <v>900866</v>
          </cell>
        </row>
        <row r="124">
          <cell r="A124">
            <v>900866</v>
          </cell>
        </row>
        <row r="125">
          <cell r="A125">
            <v>900867</v>
          </cell>
        </row>
        <row r="126">
          <cell r="A126">
            <v>900867</v>
          </cell>
        </row>
        <row r="127">
          <cell r="A127">
            <v>900867</v>
          </cell>
        </row>
        <row r="128">
          <cell r="A128">
            <v>900867</v>
          </cell>
        </row>
        <row r="129">
          <cell r="A129">
            <v>900867</v>
          </cell>
        </row>
        <row r="130">
          <cell r="A130">
            <v>900867</v>
          </cell>
        </row>
        <row r="131">
          <cell r="A131">
            <v>900867</v>
          </cell>
        </row>
        <row r="132">
          <cell r="A132">
            <v>900867</v>
          </cell>
        </row>
        <row r="133">
          <cell r="A133">
            <v>900867</v>
          </cell>
        </row>
        <row r="134">
          <cell r="A134">
            <v>900867</v>
          </cell>
        </row>
        <row r="135">
          <cell r="A135">
            <v>900867</v>
          </cell>
        </row>
        <row r="136">
          <cell r="A136">
            <v>900868</v>
          </cell>
        </row>
        <row r="137">
          <cell r="A137">
            <v>900868</v>
          </cell>
        </row>
        <row r="138">
          <cell r="A138">
            <v>900868</v>
          </cell>
        </row>
        <row r="139">
          <cell r="A139">
            <v>900868</v>
          </cell>
        </row>
        <row r="140">
          <cell r="A140">
            <v>900872</v>
          </cell>
        </row>
        <row r="141">
          <cell r="A141">
            <v>900872</v>
          </cell>
        </row>
        <row r="142">
          <cell r="A142">
            <v>900872</v>
          </cell>
        </row>
        <row r="143">
          <cell r="A143">
            <v>900872</v>
          </cell>
        </row>
        <row r="144">
          <cell r="A144">
            <v>900872</v>
          </cell>
        </row>
        <row r="145">
          <cell r="A145">
            <v>900872</v>
          </cell>
        </row>
        <row r="146">
          <cell r="A146">
            <v>900872</v>
          </cell>
        </row>
        <row r="147">
          <cell r="A147">
            <v>900872</v>
          </cell>
        </row>
        <row r="148">
          <cell r="A148">
            <v>900872</v>
          </cell>
        </row>
        <row r="149">
          <cell r="A149">
            <v>900872</v>
          </cell>
        </row>
        <row r="150">
          <cell r="A150">
            <v>900872</v>
          </cell>
        </row>
        <row r="151">
          <cell r="A151">
            <v>900875</v>
          </cell>
        </row>
        <row r="152">
          <cell r="A152">
            <v>900875</v>
          </cell>
        </row>
        <row r="153">
          <cell r="A153">
            <v>900875</v>
          </cell>
        </row>
        <row r="154">
          <cell r="A154">
            <v>900875</v>
          </cell>
        </row>
        <row r="155">
          <cell r="A155">
            <v>900875</v>
          </cell>
        </row>
        <row r="156">
          <cell r="A156">
            <v>900875</v>
          </cell>
        </row>
        <row r="157">
          <cell r="A157">
            <v>900875</v>
          </cell>
        </row>
        <row r="158">
          <cell r="A158">
            <v>900875</v>
          </cell>
        </row>
        <row r="159">
          <cell r="A159">
            <v>900875</v>
          </cell>
        </row>
        <row r="160">
          <cell r="A160">
            <v>900878</v>
          </cell>
        </row>
        <row r="161">
          <cell r="A161">
            <v>900878</v>
          </cell>
        </row>
        <row r="162">
          <cell r="A162">
            <v>900889</v>
          </cell>
        </row>
        <row r="163">
          <cell r="A163">
            <v>900889</v>
          </cell>
        </row>
        <row r="164">
          <cell r="A164">
            <v>900895</v>
          </cell>
        </row>
        <row r="165">
          <cell r="A165">
            <v>900895</v>
          </cell>
        </row>
        <row r="166">
          <cell r="A166">
            <v>900895</v>
          </cell>
        </row>
        <row r="167">
          <cell r="A167">
            <v>900895</v>
          </cell>
        </row>
        <row r="168">
          <cell r="A168">
            <v>900895</v>
          </cell>
        </row>
        <row r="169">
          <cell r="A169">
            <v>900895</v>
          </cell>
        </row>
        <row r="170">
          <cell r="A170">
            <v>900895</v>
          </cell>
        </row>
        <row r="171">
          <cell r="A171">
            <v>900895</v>
          </cell>
        </row>
        <row r="172">
          <cell r="A172">
            <v>900895</v>
          </cell>
        </row>
        <row r="173">
          <cell r="A173">
            <v>900895</v>
          </cell>
        </row>
        <row r="174">
          <cell r="A174">
            <v>900895</v>
          </cell>
        </row>
        <row r="175">
          <cell r="A175">
            <v>900895</v>
          </cell>
        </row>
        <row r="176">
          <cell r="A176">
            <v>900895</v>
          </cell>
        </row>
        <row r="177">
          <cell r="A177">
            <v>900895</v>
          </cell>
        </row>
        <row r="178">
          <cell r="A178">
            <v>900895</v>
          </cell>
        </row>
        <row r="179">
          <cell r="A179">
            <v>900895</v>
          </cell>
        </row>
        <row r="180">
          <cell r="A180">
            <v>900895</v>
          </cell>
        </row>
        <row r="181">
          <cell r="A181">
            <v>900895</v>
          </cell>
        </row>
        <row r="182">
          <cell r="A182">
            <v>900895</v>
          </cell>
        </row>
        <row r="183">
          <cell r="A183">
            <v>900895</v>
          </cell>
        </row>
        <row r="184">
          <cell r="A184">
            <v>900895</v>
          </cell>
        </row>
        <row r="185">
          <cell r="A185">
            <v>900895</v>
          </cell>
        </row>
        <row r="186">
          <cell r="A186">
            <v>900895</v>
          </cell>
        </row>
        <row r="187">
          <cell r="A187">
            <v>900895</v>
          </cell>
        </row>
        <row r="188">
          <cell r="A188">
            <v>900895</v>
          </cell>
        </row>
        <row r="189">
          <cell r="A189">
            <v>900895</v>
          </cell>
        </row>
        <row r="190">
          <cell r="A190">
            <v>900895</v>
          </cell>
        </row>
        <row r="191">
          <cell r="A191">
            <v>900895</v>
          </cell>
        </row>
        <row r="192">
          <cell r="A192">
            <v>900895</v>
          </cell>
        </row>
        <row r="193">
          <cell r="A193">
            <v>900895</v>
          </cell>
        </row>
        <row r="194">
          <cell r="A194">
            <v>900895</v>
          </cell>
        </row>
        <row r="195">
          <cell r="A195">
            <v>900895</v>
          </cell>
        </row>
        <row r="196">
          <cell r="A196">
            <v>900895</v>
          </cell>
        </row>
        <row r="197">
          <cell r="A197">
            <v>900895</v>
          </cell>
        </row>
        <row r="198">
          <cell r="A198">
            <v>900895</v>
          </cell>
        </row>
        <row r="199">
          <cell r="A199">
            <v>900895</v>
          </cell>
        </row>
        <row r="200">
          <cell r="A200">
            <v>900895</v>
          </cell>
        </row>
        <row r="201">
          <cell r="A201">
            <v>900895</v>
          </cell>
        </row>
        <row r="202">
          <cell r="A202">
            <v>900895</v>
          </cell>
        </row>
        <row r="203">
          <cell r="A203">
            <v>900895</v>
          </cell>
        </row>
        <row r="204">
          <cell r="A204">
            <v>900895</v>
          </cell>
        </row>
        <row r="205">
          <cell r="A205">
            <v>900895</v>
          </cell>
        </row>
        <row r="206">
          <cell r="A206">
            <v>900895</v>
          </cell>
        </row>
        <row r="207">
          <cell r="A207">
            <v>900895</v>
          </cell>
        </row>
        <row r="208">
          <cell r="A208">
            <v>900895</v>
          </cell>
        </row>
        <row r="209">
          <cell r="A209">
            <v>900895</v>
          </cell>
        </row>
        <row r="210">
          <cell r="A210">
            <v>900895</v>
          </cell>
        </row>
        <row r="211">
          <cell r="A211">
            <v>900895</v>
          </cell>
        </row>
        <row r="212">
          <cell r="A212">
            <v>900895</v>
          </cell>
        </row>
        <row r="213">
          <cell r="A213">
            <v>900895</v>
          </cell>
        </row>
        <row r="214">
          <cell r="A214">
            <v>900895</v>
          </cell>
        </row>
        <row r="215">
          <cell r="A215">
            <v>900895</v>
          </cell>
        </row>
        <row r="216">
          <cell r="A216">
            <v>900895</v>
          </cell>
        </row>
        <row r="217">
          <cell r="A217">
            <v>900895</v>
          </cell>
        </row>
        <row r="218">
          <cell r="A218">
            <v>900895</v>
          </cell>
        </row>
        <row r="219">
          <cell r="A219">
            <v>900895</v>
          </cell>
        </row>
        <row r="220">
          <cell r="A220">
            <v>900902</v>
          </cell>
        </row>
        <row r="221">
          <cell r="A221">
            <v>900902</v>
          </cell>
        </row>
        <row r="222">
          <cell r="A222">
            <v>900902</v>
          </cell>
        </row>
        <row r="223">
          <cell r="A223">
            <v>900902</v>
          </cell>
        </row>
        <row r="224">
          <cell r="A224">
            <v>900902</v>
          </cell>
        </row>
        <row r="225">
          <cell r="A225">
            <v>900902</v>
          </cell>
        </row>
        <row r="226">
          <cell r="A226">
            <v>900902</v>
          </cell>
        </row>
        <row r="227">
          <cell r="A227">
            <v>900902</v>
          </cell>
        </row>
        <row r="228">
          <cell r="A228">
            <v>900902</v>
          </cell>
        </row>
        <row r="229">
          <cell r="A229">
            <v>900902</v>
          </cell>
        </row>
        <row r="230">
          <cell r="A230">
            <v>900902</v>
          </cell>
        </row>
        <row r="231">
          <cell r="A231">
            <v>900902</v>
          </cell>
        </row>
        <row r="232">
          <cell r="A232">
            <v>900902</v>
          </cell>
        </row>
        <row r="233">
          <cell r="A233">
            <v>900902</v>
          </cell>
        </row>
        <row r="234">
          <cell r="A234">
            <v>900902</v>
          </cell>
        </row>
        <row r="235">
          <cell r="A235">
            <v>900934</v>
          </cell>
        </row>
        <row r="236">
          <cell r="A236">
            <v>900934</v>
          </cell>
        </row>
        <row r="237">
          <cell r="A237">
            <v>900934</v>
          </cell>
        </row>
        <row r="238">
          <cell r="A238">
            <v>900934</v>
          </cell>
        </row>
        <row r="239">
          <cell r="A239">
            <v>900934</v>
          </cell>
        </row>
        <row r="240">
          <cell r="A240">
            <v>900934</v>
          </cell>
        </row>
        <row r="241">
          <cell r="A241">
            <v>900934</v>
          </cell>
        </row>
        <row r="242">
          <cell r="A242">
            <v>900934</v>
          </cell>
        </row>
        <row r="243">
          <cell r="A243">
            <v>900934</v>
          </cell>
        </row>
        <row r="244">
          <cell r="A244">
            <v>900934</v>
          </cell>
        </row>
        <row r="245">
          <cell r="A245">
            <v>900946</v>
          </cell>
        </row>
        <row r="246">
          <cell r="A246">
            <v>900946</v>
          </cell>
        </row>
        <row r="247">
          <cell r="A247">
            <v>900946</v>
          </cell>
        </row>
        <row r="248">
          <cell r="A248">
            <v>900946</v>
          </cell>
        </row>
        <row r="249">
          <cell r="A249">
            <v>900946</v>
          </cell>
        </row>
        <row r="250">
          <cell r="A250">
            <v>900946</v>
          </cell>
        </row>
        <row r="251">
          <cell r="A251">
            <v>900946</v>
          </cell>
        </row>
        <row r="252">
          <cell r="A252">
            <v>900946</v>
          </cell>
        </row>
        <row r="253">
          <cell r="A253">
            <v>900946</v>
          </cell>
        </row>
        <row r="254">
          <cell r="A254">
            <v>900946</v>
          </cell>
        </row>
        <row r="255">
          <cell r="A255">
            <v>900946</v>
          </cell>
        </row>
        <row r="256">
          <cell r="A256">
            <v>900946</v>
          </cell>
        </row>
        <row r="257">
          <cell r="A257">
            <v>900946</v>
          </cell>
        </row>
        <row r="258">
          <cell r="A258">
            <v>900998</v>
          </cell>
        </row>
        <row r="259">
          <cell r="A259">
            <v>900998</v>
          </cell>
        </row>
        <row r="260">
          <cell r="A260">
            <v>900998</v>
          </cell>
        </row>
        <row r="261">
          <cell r="A261">
            <v>900998</v>
          </cell>
        </row>
        <row r="262">
          <cell r="A262">
            <v>901000</v>
          </cell>
        </row>
        <row r="263">
          <cell r="A263">
            <v>901000</v>
          </cell>
        </row>
        <row r="264">
          <cell r="A264">
            <v>901000</v>
          </cell>
        </row>
        <row r="265">
          <cell r="A265">
            <v>901000</v>
          </cell>
        </row>
        <row r="266">
          <cell r="A266">
            <v>901000</v>
          </cell>
        </row>
        <row r="267">
          <cell r="A267">
            <v>901000</v>
          </cell>
        </row>
        <row r="268">
          <cell r="A268">
            <v>901000</v>
          </cell>
        </row>
        <row r="269">
          <cell r="A269">
            <v>901000</v>
          </cell>
        </row>
        <row r="270">
          <cell r="A270">
            <v>901000</v>
          </cell>
        </row>
        <row r="271">
          <cell r="A271">
            <v>901000</v>
          </cell>
        </row>
        <row r="272">
          <cell r="A272">
            <v>901000</v>
          </cell>
        </row>
        <row r="273">
          <cell r="A273">
            <v>901000</v>
          </cell>
        </row>
        <row r="274">
          <cell r="A274">
            <v>901000</v>
          </cell>
        </row>
        <row r="275">
          <cell r="A275">
            <v>901004</v>
          </cell>
        </row>
        <row r="276">
          <cell r="A276">
            <v>901004</v>
          </cell>
        </row>
        <row r="277">
          <cell r="A277">
            <v>901004</v>
          </cell>
        </row>
        <row r="278">
          <cell r="A278">
            <v>901004</v>
          </cell>
        </row>
        <row r="279">
          <cell r="A279">
            <v>901004</v>
          </cell>
        </row>
        <row r="280">
          <cell r="A280">
            <v>901004</v>
          </cell>
        </row>
        <row r="281">
          <cell r="A281">
            <v>901016</v>
          </cell>
        </row>
        <row r="282">
          <cell r="A282">
            <v>901016</v>
          </cell>
        </row>
        <row r="283">
          <cell r="A283">
            <v>901016</v>
          </cell>
        </row>
        <row r="284">
          <cell r="A284">
            <v>901016</v>
          </cell>
        </row>
        <row r="285">
          <cell r="A285">
            <v>901016</v>
          </cell>
        </row>
        <row r="286">
          <cell r="A286">
            <v>901016</v>
          </cell>
        </row>
        <row r="287">
          <cell r="A287">
            <v>901016</v>
          </cell>
        </row>
        <row r="288">
          <cell r="A288">
            <v>901016</v>
          </cell>
        </row>
        <row r="289">
          <cell r="A289">
            <v>901016</v>
          </cell>
        </row>
        <row r="290">
          <cell r="A290">
            <v>901019</v>
          </cell>
        </row>
        <row r="291">
          <cell r="A291">
            <v>901019</v>
          </cell>
        </row>
        <row r="292">
          <cell r="A292">
            <v>901019</v>
          </cell>
        </row>
        <row r="293">
          <cell r="A293">
            <v>901019</v>
          </cell>
        </row>
        <row r="294">
          <cell r="A294">
            <v>901019</v>
          </cell>
        </row>
        <row r="295">
          <cell r="A295">
            <v>901019</v>
          </cell>
        </row>
        <row r="296">
          <cell r="A296">
            <v>901019</v>
          </cell>
        </row>
        <row r="297">
          <cell r="A297">
            <v>901019</v>
          </cell>
        </row>
        <row r="298">
          <cell r="A298">
            <v>901019</v>
          </cell>
        </row>
        <row r="299">
          <cell r="A299">
            <v>901019</v>
          </cell>
        </row>
        <row r="300">
          <cell r="A300">
            <v>901019</v>
          </cell>
        </row>
        <row r="301">
          <cell r="A301">
            <v>901019</v>
          </cell>
        </row>
        <row r="302">
          <cell r="A302">
            <v>901019</v>
          </cell>
        </row>
        <row r="303">
          <cell r="A303">
            <v>901019</v>
          </cell>
        </row>
        <row r="304">
          <cell r="A304">
            <v>901019</v>
          </cell>
        </row>
        <row r="305">
          <cell r="A305">
            <v>901019</v>
          </cell>
        </row>
        <row r="306">
          <cell r="A306">
            <v>901019</v>
          </cell>
        </row>
        <row r="307">
          <cell r="A307">
            <v>901019</v>
          </cell>
        </row>
        <row r="308">
          <cell r="A308">
            <v>901019</v>
          </cell>
        </row>
        <row r="309">
          <cell r="A309">
            <v>901019</v>
          </cell>
        </row>
        <row r="310">
          <cell r="A310">
            <v>901019</v>
          </cell>
        </row>
        <row r="311">
          <cell r="A311">
            <v>901019</v>
          </cell>
        </row>
        <row r="312">
          <cell r="A312">
            <v>901019</v>
          </cell>
        </row>
        <row r="313">
          <cell r="A313">
            <v>901019</v>
          </cell>
        </row>
        <row r="314">
          <cell r="A314">
            <v>901019</v>
          </cell>
        </row>
        <row r="315">
          <cell r="A315">
            <v>901019</v>
          </cell>
        </row>
        <row r="316">
          <cell r="A316">
            <v>901019</v>
          </cell>
        </row>
        <row r="317">
          <cell r="A317">
            <v>901019</v>
          </cell>
        </row>
        <row r="318">
          <cell r="A318">
            <v>901019</v>
          </cell>
        </row>
        <row r="319">
          <cell r="A319">
            <v>901019</v>
          </cell>
        </row>
        <row r="320">
          <cell r="A320">
            <v>901019</v>
          </cell>
        </row>
        <row r="321">
          <cell r="A321">
            <v>901019</v>
          </cell>
        </row>
        <row r="322">
          <cell r="A322">
            <v>901019</v>
          </cell>
        </row>
        <row r="323">
          <cell r="A323">
            <v>901019</v>
          </cell>
        </row>
        <row r="324">
          <cell r="A324">
            <v>901019</v>
          </cell>
        </row>
        <row r="325">
          <cell r="A325">
            <v>901019</v>
          </cell>
        </row>
        <row r="326">
          <cell r="A326">
            <v>901019</v>
          </cell>
        </row>
        <row r="327">
          <cell r="A327">
            <v>901019</v>
          </cell>
        </row>
        <row r="328">
          <cell r="A328">
            <v>901019</v>
          </cell>
        </row>
        <row r="329">
          <cell r="A329">
            <v>901019</v>
          </cell>
        </row>
        <row r="330">
          <cell r="A330">
            <v>901019</v>
          </cell>
        </row>
        <row r="331">
          <cell r="A331">
            <v>901019</v>
          </cell>
        </row>
        <row r="332">
          <cell r="A332">
            <v>901019</v>
          </cell>
        </row>
        <row r="333">
          <cell r="A333">
            <v>901019</v>
          </cell>
        </row>
        <row r="334">
          <cell r="A334">
            <v>901019</v>
          </cell>
        </row>
        <row r="335">
          <cell r="A335">
            <v>901019</v>
          </cell>
        </row>
        <row r="336">
          <cell r="A336">
            <v>901019</v>
          </cell>
        </row>
        <row r="337">
          <cell r="A337">
            <v>901019</v>
          </cell>
        </row>
        <row r="338">
          <cell r="A338">
            <v>901019</v>
          </cell>
        </row>
        <row r="339">
          <cell r="A339">
            <v>901019</v>
          </cell>
        </row>
        <row r="340">
          <cell r="A340">
            <v>901019</v>
          </cell>
        </row>
        <row r="341">
          <cell r="A341">
            <v>901019</v>
          </cell>
        </row>
        <row r="342">
          <cell r="A342">
            <v>901019</v>
          </cell>
        </row>
        <row r="343">
          <cell r="A343">
            <v>901019</v>
          </cell>
        </row>
        <row r="344">
          <cell r="A344">
            <v>901019</v>
          </cell>
        </row>
        <row r="345">
          <cell r="A345">
            <v>901019</v>
          </cell>
        </row>
        <row r="346">
          <cell r="A346">
            <v>901019</v>
          </cell>
        </row>
        <row r="347">
          <cell r="A347">
            <v>901019</v>
          </cell>
        </row>
        <row r="348">
          <cell r="A348">
            <v>901019</v>
          </cell>
        </row>
        <row r="349">
          <cell r="A349">
            <v>901019</v>
          </cell>
        </row>
        <row r="350">
          <cell r="A350">
            <v>901019</v>
          </cell>
        </row>
        <row r="351">
          <cell r="A351">
            <v>901019</v>
          </cell>
        </row>
        <row r="352">
          <cell r="A352">
            <v>901019</v>
          </cell>
        </row>
        <row r="353">
          <cell r="A353">
            <v>901019</v>
          </cell>
        </row>
        <row r="354">
          <cell r="A354">
            <v>901019</v>
          </cell>
        </row>
        <row r="355">
          <cell r="A355">
            <v>901019</v>
          </cell>
        </row>
        <row r="356">
          <cell r="A356">
            <v>901019</v>
          </cell>
        </row>
        <row r="357">
          <cell r="A357">
            <v>901019</v>
          </cell>
        </row>
        <row r="358">
          <cell r="A358">
            <v>901019</v>
          </cell>
        </row>
        <row r="359">
          <cell r="A359">
            <v>901019</v>
          </cell>
        </row>
        <row r="360">
          <cell r="A360">
            <v>901019</v>
          </cell>
        </row>
        <row r="361">
          <cell r="A361">
            <v>901041</v>
          </cell>
        </row>
        <row r="362">
          <cell r="A362">
            <v>901041</v>
          </cell>
        </row>
        <row r="363">
          <cell r="A363">
            <v>901041</v>
          </cell>
        </row>
        <row r="364">
          <cell r="A364">
            <v>901041</v>
          </cell>
        </row>
        <row r="365">
          <cell r="A365">
            <v>901049</v>
          </cell>
        </row>
        <row r="366">
          <cell r="A366">
            <v>901049</v>
          </cell>
        </row>
        <row r="367">
          <cell r="A367">
            <v>901049</v>
          </cell>
        </row>
        <row r="368">
          <cell r="A368">
            <v>901049</v>
          </cell>
        </row>
        <row r="369">
          <cell r="A369">
            <v>901049</v>
          </cell>
        </row>
        <row r="370">
          <cell r="A370">
            <v>901049</v>
          </cell>
        </row>
        <row r="371">
          <cell r="A371">
            <v>901107</v>
          </cell>
        </row>
        <row r="372">
          <cell r="A372">
            <v>901107</v>
          </cell>
        </row>
        <row r="373">
          <cell r="A373">
            <v>901107</v>
          </cell>
        </row>
        <row r="374">
          <cell r="A374">
            <v>901107</v>
          </cell>
        </row>
        <row r="375">
          <cell r="A375">
            <v>901107</v>
          </cell>
        </row>
        <row r="376">
          <cell r="A376">
            <v>901107</v>
          </cell>
        </row>
        <row r="377">
          <cell r="A377">
            <v>901107</v>
          </cell>
        </row>
        <row r="378">
          <cell r="A378">
            <v>901107</v>
          </cell>
        </row>
        <row r="379">
          <cell r="A379">
            <v>901107</v>
          </cell>
        </row>
        <row r="380">
          <cell r="A380">
            <v>901107</v>
          </cell>
        </row>
        <row r="381">
          <cell r="A381">
            <v>901107</v>
          </cell>
        </row>
        <row r="382">
          <cell r="A382">
            <v>901107</v>
          </cell>
        </row>
        <row r="383">
          <cell r="A383">
            <v>901107</v>
          </cell>
        </row>
        <row r="384">
          <cell r="A384">
            <v>901107</v>
          </cell>
        </row>
        <row r="385">
          <cell r="A385">
            <v>901107</v>
          </cell>
        </row>
        <row r="386">
          <cell r="A386">
            <v>901107</v>
          </cell>
        </row>
        <row r="387">
          <cell r="A387">
            <v>901107</v>
          </cell>
        </row>
        <row r="388">
          <cell r="A388">
            <v>901107</v>
          </cell>
        </row>
        <row r="389">
          <cell r="A389">
            <v>901107</v>
          </cell>
        </row>
        <row r="390">
          <cell r="A390">
            <v>901107</v>
          </cell>
        </row>
        <row r="391">
          <cell r="A391">
            <v>901107</v>
          </cell>
        </row>
        <row r="392">
          <cell r="A392">
            <v>901107</v>
          </cell>
        </row>
        <row r="393">
          <cell r="A393">
            <v>901107</v>
          </cell>
        </row>
        <row r="394">
          <cell r="A394">
            <v>901107</v>
          </cell>
        </row>
        <row r="395">
          <cell r="A395">
            <v>901107</v>
          </cell>
        </row>
        <row r="396">
          <cell r="A396">
            <v>901107</v>
          </cell>
        </row>
        <row r="397">
          <cell r="A397">
            <v>901107</v>
          </cell>
        </row>
        <row r="398">
          <cell r="A398">
            <v>901107</v>
          </cell>
        </row>
        <row r="399">
          <cell r="A399">
            <v>901107</v>
          </cell>
        </row>
        <row r="400">
          <cell r="A400">
            <v>901128</v>
          </cell>
        </row>
        <row r="401">
          <cell r="A401">
            <v>901128</v>
          </cell>
        </row>
        <row r="402">
          <cell r="A402">
            <v>901128</v>
          </cell>
        </row>
        <row r="403">
          <cell r="A403">
            <v>901150</v>
          </cell>
        </row>
        <row r="404">
          <cell r="A404">
            <v>901150</v>
          </cell>
        </row>
        <row r="405">
          <cell r="A405">
            <v>901150</v>
          </cell>
        </row>
        <row r="406">
          <cell r="A406">
            <v>901162</v>
          </cell>
        </row>
        <row r="407">
          <cell r="A407">
            <v>901162</v>
          </cell>
        </row>
        <row r="408">
          <cell r="A408">
            <v>901162</v>
          </cell>
        </row>
        <row r="409">
          <cell r="A409">
            <v>901162</v>
          </cell>
        </row>
        <row r="410">
          <cell r="A410">
            <v>901162</v>
          </cell>
        </row>
        <row r="411">
          <cell r="A411">
            <v>901162</v>
          </cell>
        </row>
        <row r="412">
          <cell r="A412">
            <v>901162</v>
          </cell>
        </row>
        <row r="413">
          <cell r="A413">
            <v>901162</v>
          </cell>
        </row>
        <row r="414">
          <cell r="A414">
            <v>901162</v>
          </cell>
        </row>
        <row r="415">
          <cell r="A415">
            <v>901162</v>
          </cell>
        </row>
        <row r="416">
          <cell r="A416">
            <v>901162</v>
          </cell>
        </row>
        <row r="417">
          <cell r="A417">
            <v>901162</v>
          </cell>
        </row>
        <row r="418">
          <cell r="A418">
            <v>901162</v>
          </cell>
        </row>
        <row r="419">
          <cell r="A419">
            <v>901162</v>
          </cell>
        </row>
        <row r="420">
          <cell r="A420">
            <v>901162</v>
          </cell>
        </row>
        <row r="421">
          <cell r="A421">
            <v>901162</v>
          </cell>
        </row>
        <row r="422">
          <cell r="A422">
            <v>901162</v>
          </cell>
        </row>
        <row r="423">
          <cell r="A423">
            <v>901162</v>
          </cell>
        </row>
        <row r="424">
          <cell r="A424">
            <v>901202</v>
          </cell>
        </row>
        <row r="425">
          <cell r="A425">
            <v>901202</v>
          </cell>
        </row>
        <row r="426">
          <cell r="A426">
            <v>901202</v>
          </cell>
        </row>
        <row r="427">
          <cell r="A427">
            <v>901202</v>
          </cell>
        </row>
        <row r="428">
          <cell r="A428">
            <v>901202</v>
          </cell>
        </row>
        <row r="429">
          <cell r="A429">
            <v>901202</v>
          </cell>
        </row>
        <row r="430">
          <cell r="A430">
            <v>901202</v>
          </cell>
        </row>
        <row r="431">
          <cell r="A431">
            <v>901202</v>
          </cell>
        </row>
        <row r="432">
          <cell r="A432">
            <v>901243</v>
          </cell>
        </row>
        <row r="433">
          <cell r="A433">
            <v>901243</v>
          </cell>
        </row>
        <row r="434">
          <cell r="A434">
            <v>901243</v>
          </cell>
        </row>
        <row r="435">
          <cell r="A435">
            <v>901243</v>
          </cell>
        </row>
        <row r="436">
          <cell r="A436">
            <v>901243</v>
          </cell>
        </row>
        <row r="437">
          <cell r="A437">
            <v>901243</v>
          </cell>
        </row>
        <row r="438">
          <cell r="A438">
            <v>901243</v>
          </cell>
        </row>
        <row r="439">
          <cell r="A439">
            <v>901243</v>
          </cell>
        </row>
        <row r="440">
          <cell r="A440">
            <v>901244</v>
          </cell>
        </row>
        <row r="441">
          <cell r="A441">
            <v>901244</v>
          </cell>
        </row>
        <row r="442">
          <cell r="A442">
            <v>901244</v>
          </cell>
        </row>
        <row r="443">
          <cell r="A443">
            <v>901244</v>
          </cell>
        </row>
        <row r="444">
          <cell r="A444">
            <v>901244</v>
          </cell>
        </row>
        <row r="445">
          <cell r="A445">
            <v>901244</v>
          </cell>
        </row>
        <row r="446">
          <cell r="A446">
            <v>901244</v>
          </cell>
        </row>
        <row r="447">
          <cell r="A447">
            <v>901247</v>
          </cell>
        </row>
        <row r="448">
          <cell r="A448">
            <v>901247</v>
          </cell>
        </row>
        <row r="449">
          <cell r="A449">
            <v>901247</v>
          </cell>
        </row>
        <row r="450">
          <cell r="A450">
            <v>901247</v>
          </cell>
        </row>
        <row r="451">
          <cell r="A451">
            <v>901247</v>
          </cell>
        </row>
        <row r="452">
          <cell r="A452">
            <v>901247</v>
          </cell>
        </row>
        <row r="453">
          <cell r="A453">
            <v>901294</v>
          </cell>
        </row>
        <row r="454">
          <cell r="A454">
            <v>901294</v>
          </cell>
        </row>
        <row r="455">
          <cell r="A455">
            <v>901294</v>
          </cell>
        </row>
        <row r="456">
          <cell r="A456">
            <v>901294</v>
          </cell>
        </row>
        <row r="457">
          <cell r="A457">
            <v>901294</v>
          </cell>
        </row>
        <row r="458">
          <cell r="A458">
            <v>901294</v>
          </cell>
        </row>
        <row r="459">
          <cell r="A459">
            <v>901294</v>
          </cell>
        </row>
        <row r="460">
          <cell r="A460">
            <v>901294</v>
          </cell>
        </row>
        <row r="461">
          <cell r="A461">
            <v>901294</v>
          </cell>
        </row>
        <row r="462">
          <cell r="A462">
            <v>901303</v>
          </cell>
        </row>
        <row r="463">
          <cell r="A463">
            <v>901303</v>
          </cell>
        </row>
        <row r="464">
          <cell r="A464">
            <v>901303</v>
          </cell>
        </row>
        <row r="465">
          <cell r="A465">
            <v>901303</v>
          </cell>
        </row>
        <row r="466">
          <cell r="A466">
            <v>901303</v>
          </cell>
        </row>
        <row r="467">
          <cell r="A467">
            <v>901303</v>
          </cell>
        </row>
        <row r="468">
          <cell r="A468">
            <v>901341</v>
          </cell>
        </row>
        <row r="469">
          <cell r="A469">
            <v>901341</v>
          </cell>
        </row>
        <row r="470">
          <cell r="A470">
            <v>901341</v>
          </cell>
        </row>
        <row r="471">
          <cell r="A471">
            <v>901341</v>
          </cell>
        </row>
        <row r="472">
          <cell r="A472">
            <v>901341</v>
          </cell>
        </row>
        <row r="473">
          <cell r="A473">
            <v>901341</v>
          </cell>
        </row>
        <row r="474">
          <cell r="A474">
            <v>901341</v>
          </cell>
        </row>
        <row r="475">
          <cell r="A475">
            <v>901341</v>
          </cell>
        </row>
        <row r="476">
          <cell r="A476">
            <v>901341</v>
          </cell>
        </row>
        <row r="477">
          <cell r="A477">
            <v>901341</v>
          </cell>
        </row>
        <row r="478">
          <cell r="A478">
            <v>901341</v>
          </cell>
        </row>
        <row r="479">
          <cell r="A479">
            <v>901341</v>
          </cell>
        </row>
        <row r="480">
          <cell r="A480">
            <v>901341</v>
          </cell>
        </row>
        <row r="481">
          <cell r="A481">
            <v>901342</v>
          </cell>
        </row>
        <row r="482">
          <cell r="A482">
            <v>901342</v>
          </cell>
        </row>
        <row r="483">
          <cell r="A483">
            <v>901375</v>
          </cell>
        </row>
        <row r="484">
          <cell r="A484">
            <v>901375</v>
          </cell>
        </row>
        <row r="485">
          <cell r="A485">
            <v>901375</v>
          </cell>
        </row>
        <row r="486">
          <cell r="A486">
            <v>901375</v>
          </cell>
        </row>
        <row r="487">
          <cell r="A487">
            <v>901375</v>
          </cell>
        </row>
        <row r="488">
          <cell r="A488">
            <v>901375</v>
          </cell>
        </row>
        <row r="489">
          <cell r="A489">
            <v>901375</v>
          </cell>
        </row>
        <row r="490">
          <cell r="A490">
            <v>901375</v>
          </cell>
        </row>
        <row r="491">
          <cell r="A491">
            <v>901392</v>
          </cell>
        </row>
        <row r="492">
          <cell r="A492">
            <v>901392</v>
          </cell>
        </row>
        <row r="493">
          <cell r="A493">
            <v>901392</v>
          </cell>
        </row>
        <row r="494">
          <cell r="A494">
            <v>901392</v>
          </cell>
        </row>
        <row r="495">
          <cell r="A495">
            <v>901392</v>
          </cell>
        </row>
        <row r="496">
          <cell r="A496">
            <v>901587</v>
          </cell>
        </row>
        <row r="497">
          <cell r="A497">
            <v>901587</v>
          </cell>
        </row>
        <row r="498">
          <cell r="A498">
            <v>901587</v>
          </cell>
        </row>
        <row r="499">
          <cell r="A499">
            <v>901587</v>
          </cell>
        </row>
        <row r="500">
          <cell r="A500">
            <v>901587</v>
          </cell>
        </row>
        <row r="501">
          <cell r="A501">
            <v>901587</v>
          </cell>
        </row>
        <row r="502">
          <cell r="A502">
            <v>901587</v>
          </cell>
        </row>
        <row r="503">
          <cell r="A503">
            <v>901607</v>
          </cell>
        </row>
        <row r="504">
          <cell r="A504">
            <v>901607</v>
          </cell>
        </row>
        <row r="505">
          <cell r="A505">
            <v>901607</v>
          </cell>
        </row>
        <row r="506">
          <cell r="A506">
            <v>901607</v>
          </cell>
        </row>
        <row r="507">
          <cell r="A507">
            <v>901626</v>
          </cell>
        </row>
        <row r="508">
          <cell r="A508">
            <v>901626</v>
          </cell>
        </row>
        <row r="509">
          <cell r="A509">
            <v>901654</v>
          </cell>
        </row>
        <row r="510">
          <cell r="A510">
            <v>901654</v>
          </cell>
        </row>
        <row r="511">
          <cell r="A511">
            <v>901654</v>
          </cell>
        </row>
        <row r="512">
          <cell r="A512">
            <v>901694</v>
          </cell>
        </row>
        <row r="513">
          <cell r="A513">
            <v>901694</v>
          </cell>
        </row>
        <row r="514">
          <cell r="A514">
            <v>901694</v>
          </cell>
        </row>
        <row r="515">
          <cell r="A515">
            <v>901694</v>
          </cell>
        </row>
        <row r="516">
          <cell r="A516">
            <v>901694</v>
          </cell>
        </row>
        <row r="517">
          <cell r="A517">
            <v>901694</v>
          </cell>
        </row>
        <row r="518">
          <cell r="A518">
            <v>901694</v>
          </cell>
        </row>
        <row r="519">
          <cell r="A519">
            <v>901694</v>
          </cell>
        </row>
        <row r="520">
          <cell r="A520">
            <v>901694</v>
          </cell>
        </row>
        <row r="521">
          <cell r="A521">
            <v>901694</v>
          </cell>
        </row>
        <row r="522">
          <cell r="A522">
            <v>901694</v>
          </cell>
        </row>
        <row r="523">
          <cell r="A523">
            <v>901694</v>
          </cell>
        </row>
        <row r="524">
          <cell r="A524">
            <v>901694</v>
          </cell>
        </row>
        <row r="525">
          <cell r="A525">
            <v>901694</v>
          </cell>
        </row>
        <row r="526">
          <cell r="A526">
            <v>901694</v>
          </cell>
        </row>
        <row r="527">
          <cell r="A527">
            <v>901694</v>
          </cell>
        </row>
        <row r="528">
          <cell r="A528">
            <v>901694</v>
          </cell>
        </row>
        <row r="529">
          <cell r="A529">
            <v>901694</v>
          </cell>
        </row>
        <row r="530">
          <cell r="A530">
            <v>901694</v>
          </cell>
        </row>
        <row r="531">
          <cell r="A531">
            <v>901694</v>
          </cell>
        </row>
        <row r="532">
          <cell r="A532">
            <v>901694</v>
          </cell>
        </row>
        <row r="533">
          <cell r="A533">
            <v>901694</v>
          </cell>
        </row>
        <row r="534">
          <cell r="A534">
            <v>901694</v>
          </cell>
        </row>
        <row r="535">
          <cell r="A535">
            <v>901694</v>
          </cell>
        </row>
        <row r="536">
          <cell r="A536">
            <v>901694</v>
          </cell>
        </row>
        <row r="537">
          <cell r="A537">
            <v>901694</v>
          </cell>
        </row>
        <row r="538">
          <cell r="A538">
            <v>901694</v>
          </cell>
        </row>
        <row r="539">
          <cell r="A539">
            <v>901694</v>
          </cell>
        </row>
        <row r="540">
          <cell r="A540">
            <v>901694</v>
          </cell>
        </row>
        <row r="541">
          <cell r="A541">
            <v>901694</v>
          </cell>
        </row>
        <row r="542">
          <cell r="A542">
            <v>901694</v>
          </cell>
        </row>
        <row r="543">
          <cell r="A543">
            <v>901694</v>
          </cell>
        </row>
        <row r="544">
          <cell r="A544">
            <v>901694</v>
          </cell>
        </row>
        <row r="545">
          <cell r="A545">
            <v>901694</v>
          </cell>
        </row>
        <row r="546">
          <cell r="A546">
            <v>901694</v>
          </cell>
        </row>
        <row r="547">
          <cell r="A547">
            <v>901694</v>
          </cell>
        </row>
        <row r="548">
          <cell r="A548">
            <v>901694</v>
          </cell>
        </row>
        <row r="549">
          <cell r="A549">
            <v>901694</v>
          </cell>
        </row>
        <row r="550">
          <cell r="A550">
            <v>901694</v>
          </cell>
        </row>
        <row r="551">
          <cell r="A551">
            <v>901694</v>
          </cell>
        </row>
        <row r="552">
          <cell r="A552">
            <v>901694</v>
          </cell>
        </row>
        <row r="553">
          <cell r="A553">
            <v>901694</v>
          </cell>
        </row>
        <row r="554">
          <cell r="A554">
            <v>901694</v>
          </cell>
        </row>
        <row r="555">
          <cell r="A555">
            <v>901694</v>
          </cell>
        </row>
        <row r="556">
          <cell r="A556">
            <v>901694</v>
          </cell>
        </row>
        <row r="557">
          <cell r="A557">
            <v>901694</v>
          </cell>
        </row>
        <row r="558">
          <cell r="A558">
            <v>901694</v>
          </cell>
        </row>
        <row r="559">
          <cell r="A559">
            <v>901694</v>
          </cell>
        </row>
        <row r="560">
          <cell r="A560">
            <v>901694</v>
          </cell>
        </row>
        <row r="561">
          <cell r="A561">
            <v>901694</v>
          </cell>
        </row>
        <row r="562">
          <cell r="A562">
            <v>901694</v>
          </cell>
        </row>
        <row r="563">
          <cell r="A563">
            <v>901694</v>
          </cell>
        </row>
        <row r="564">
          <cell r="A564">
            <v>901694</v>
          </cell>
        </row>
        <row r="565">
          <cell r="A565">
            <v>901694</v>
          </cell>
        </row>
        <row r="566">
          <cell r="A566">
            <v>901694</v>
          </cell>
        </row>
        <row r="567">
          <cell r="A567">
            <v>901694</v>
          </cell>
        </row>
        <row r="568">
          <cell r="A568">
            <v>901694</v>
          </cell>
        </row>
        <row r="569">
          <cell r="A569">
            <v>901694</v>
          </cell>
        </row>
        <row r="570">
          <cell r="A570">
            <v>901694</v>
          </cell>
        </row>
        <row r="571">
          <cell r="A571">
            <v>901694</v>
          </cell>
        </row>
        <row r="572">
          <cell r="A572">
            <v>901694</v>
          </cell>
        </row>
        <row r="573">
          <cell r="A573">
            <v>901694</v>
          </cell>
        </row>
        <row r="574">
          <cell r="A574">
            <v>901694</v>
          </cell>
        </row>
        <row r="575">
          <cell r="A575">
            <v>901694</v>
          </cell>
        </row>
        <row r="576">
          <cell r="A576">
            <v>901694</v>
          </cell>
        </row>
        <row r="577">
          <cell r="A577">
            <v>901694</v>
          </cell>
        </row>
        <row r="578">
          <cell r="A578">
            <v>901694</v>
          </cell>
        </row>
        <row r="579">
          <cell r="A579">
            <v>901694</v>
          </cell>
        </row>
        <row r="580">
          <cell r="A580">
            <v>901694</v>
          </cell>
        </row>
        <row r="581">
          <cell r="A581">
            <v>901694</v>
          </cell>
        </row>
        <row r="582">
          <cell r="A582">
            <v>901694</v>
          </cell>
        </row>
        <row r="583">
          <cell r="A583">
            <v>901694</v>
          </cell>
        </row>
        <row r="584">
          <cell r="A584">
            <v>901694</v>
          </cell>
        </row>
        <row r="585">
          <cell r="A585">
            <v>901694</v>
          </cell>
        </row>
        <row r="586">
          <cell r="A586">
            <v>901694</v>
          </cell>
        </row>
        <row r="587">
          <cell r="A587">
            <v>901694</v>
          </cell>
        </row>
        <row r="588">
          <cell r="A588">
            <v>901694</v>
          </cell>
        </row>
        <row r="589">
          <cell r="A589">
            <v>901694</v>
          </cell>
        </row>
        <row r="590">
          <cell r="A590">
            <v>901694</v>
          </cell>
        </row>
        <row r="591">
          <cell r="A591">
            <v>901694</v>
          </cell>
        </row>
        <row r="592">
          <cell r="A592">
            <v>901694</v>
          </cell>
        </row>
        <row r="593">
          <cell r="A593">
            <v>901694</v>
          </cell>
        </row>
        <row r="594">
          <cell r="A594">
            <v>901694</v>
          </cell>
        </row>
        <row r="595">
          <cell r="A595">
            <v>901694</v>
          </cell>
        </row>
        <row r="596">
          <cell r="A596">
            <v>901694</v>
          </cell>
        </row>
        <row r="597">
          <cell r="A597">
            <v>901694</v>
          </cell>
        </row>
        <row r="598">
          <cell r="A598">
            <v>901694</v>
          </cell>
        </row>
        <row r="599">
          <cell r="A599">
            <v>901694</v>
          </cell>
        </row>
        <row r="600">
          <cell r="A600">
            <v>901694</v>
          </cell>
        </row>
        <row r="601">
          <cell r="A601">
            <v>901694</v>
          </cell>
        </row>
        <row r="602">
          <cell r="A602">
            <v>901694</v>
          </cell>
        </row>
        <row r="603">
          <cell r="A603">
            <v>901694</v>
          </cell>
        </row>
        <row r="604">
          <cell r="A604">
            <v>901694</v>
          </cell>
        </row>
        <row r="605">
          <cell r="A605">
            <v>901694</v>
          </cell>
        </row>
        <row r="606">
          <cell r="A606">
            <v>901694</v>
          </cell>
        </row>
        <row r="607">
          <cell r="A607">
            <v>901694</v>
          </cell>
        </row>
        <row r="608">
          <cell r="A608">
            <v>901694</v>
          </cell>
        </row>
        <row r="609">
          <cell r="A609">
            <v>901694</v>
          </cell>
        </row>
        <row r="610">
          <cell r="A610">
            <v>901694</v>
          </cell>
        </row>
        <row r="611">
          <cell r="A611">
            <v>901694</v>
          </cell>
        </row>
        <row r="612">
          <cell r="A612">
            <v>901694</v>
          </cell>
        </row>
        <row r="613">
          <cell r="A613">
            <v>901694</v>
          </cell>
        </row>
        <row r="614">
          <cell r="A614">
            <v>901694</v>
          </cell>
        </row>
        <row r="615">
          <cell r="A615">
            <v>901694</v>
          </cell>
        </row>
        <row r="616">
          <cell r="A616">
            <v>901717</v>
          </cell>
        </row>
        <row r="617">
          <cell r="A617">
            <v>901717</v>
          </cell>
        </row>
        <row r="618">
          <cell r="A618">
            <v>901717</v>
          </cell>
        </row>
        <row r="619">
          <cell r="A619">
            <v>901717</v>
          </cell>
        </row>
        <row r="620">
          <cell r="A620">
            <v>901717</v>
          </cell>
        </row>
        <row r="621">
          <cell r="A621">
            <v>901717</v>
          </cell>
        </row>
        <row r="622">
          <cell r="A622">
            <v>901717</v>
          </cell>
        </row>
        <row r="623">
          <cell r="A623">
            <v>901717</v>
          </cell>
        </row>
        <row r="624">
          <cell r="A624">
            <v>901717</v>
          </cell>
        </row>
        <row r="625">
          <cell r="A625">
            <v>901723</v>
          </cell>
        </row>
        <row r="626">
          <cell r="A626">
            <v>901723</v>
          </cell>
        </row>
        <row r="627">
          <cell r="A627">
            <v>901723</v>
          </cell>
        </row>
        <row r="628">
          <cell r="A628">
            <v>901723</v>
          </cell>
        </row>
        <row r="629">
          <cell r="A629">
            <v>901723</v>
          </cell>
        </row>
        <row r="630">
          <cell r="A630">
            <v>901723</v>
          </cell>
        </row>
        <row r="631">
          <cell r="A631">
            <v>901723</v>
          </cell>
        </row>
        <row r="632">
          <cell r="A632">
            <v>901723</v>
          </cell>
        </row>
        <row r="633">
          <cell r="A633">
            <v>901785</v>
          </cell>
        </row>
        <row r="634">
          <cell r="A634">
            <v>901785</v>
          </cell>
        </row>
        <row r="635">
          <cell r="A635">
            <v>901785</v>
          </cell>
        </row>
        <row r="636">
          <cell r="A636">
            <v>901786</v>
          </cell>
        </row>
        <row r="637">
          <cell r="A637">
            <v>901787</v>
          </cell>
        </row>
        <row r="638">
          <cell r="A638">
            <v>901787</v>
          </cell>
        </row>
        <row r="639">
          <cell r="A639">
            <v>901787</v>
          </cell>
        </row>
        <row r="640">
          <cell r="A640">
            <v>901787</v>
          </cell>
        </row>
        <row r="641">
          <cell r="A641">
            <v>901788</v>
          </cell>
        </row>
        <row r="642">
          <cell r="A642">
            <v>901788</v>
          </cell>
        </row>
        <row r="643">
          <cell r="A643">
            <v>901788</v>
          </cell>
        </row>
        <row r="644">
          <cell r="A644">
            <v>901788</v>
          </cell>
        </row>
        <row r="645">
          <cell r="A645">
            <v>901788</v>
          </cell>
        </row>
        <row r="646">
          <cell r="A646">
            <v>901900</v>
          </cell>
        </row>
        <row r="647">
          <cell r="A647">
            <v>901900</v>
          </cell>
        </row>
        <row r="648">
          <cell r="A648">
            <v>901900</v>
          </cell>
        </row>
        <row r="649">
          <cell r="A649">
            <v>901900</v>
          </cell>
        </row>
        <row r="650">
          <cell r="A650">
            <v>901900</v>
          </cell>
        </row>
        <row r="651">
          <cell r="A651">
            <v>901913</v>
          </cell>
        </row>
        <row r="652">
          <cell r="A652">
            <v>901913</v>
          </cell>
        </row>
        <row r="653">
          <cell r="A653">
            <v>901913</v>
          </cell>
        </row>
        <row r="654">
          <cell r="A654">
            <v>901913</v>
          </cell>
        </row>
        <row r="655">
          <cell r="A655">
            <v>901913</v>
          </cell>
        </row>
        <row r="656">
          <cell r="A656">
            <v>901913</v>
          </cell>
        </row>
        <row r="657">
          <cell r="A657">
            <v>901913</v>
          </cell>
        </row>
        <row r="658">
          <cell r="A658">
            <v>901918</v>
          </cell>
        </row>
        <row r="659">
          <cell r="A659">
            <v>901918</v>
          </cell>
        </row>
        <row r="660">
          <cell r="A660">
            <v>901918</v>
          </cell>
        </row>
        <row r="661">
          <cell r="A661">
            <v>901918</v>
          </cell>
        </row>
        <row r="662">
          <cell r="A662">
            <v>901918</v>
          </cell>
        </row>
        <row r="663">
          <cell r="A663">
            <v>901918</v>
          </cell>
        </row>
        <row r="664">
          <cell r="A664">
            <v>901918</v>
          </cell>
        </row>
        <row r="665">
          <cell r="A665">
            <v>901918</v>
          </cell>
        </row>
        <row r="666">
          <cell r="A666">
            <v>901923</v>
          </cell>
        </row>
        <row r="667">
          <cell r="A667">
            <v>901923</v>
          </cell>
        </row>
        <row r="668">
          <cell r="A668">
            <v>901923</v>
          </cell>
        </row>
        <row r="669">
          <cell r="A669">
            <v>901923</v>
          </cell>
        </row>
        <row r="670">
          <cell r="A670">
            <v>901923</v>
          </cell>
        </row>
        <row r="671">
          <cell r="A671">
            <v>901923</v>
          </cell>
        </row>
        <row r="672">
          <cell r="A672">
            <v>901923</v>
          </cell>
        </row>
        <row r="673">
          <cell r="A673">
            <v>901923</v>
          </cell>
        </row>
        <row r="674">
          <cell r="A674">
            <v>901923</v>
          </cell>
        </row>
        <row r="675">
          <cell r="A675">
            <v>901923</v>
          </cell>
        </row>
        <row r="676">
          <cell r="A676">
            <v>901923</v>
          </cell>
        </row>
        <row r="677">
          <cell r="A677">
            <v>901923</v>
          </cell>
        </row>
        <row r="678">
          <cell r="A678">
            <v>901925</v>
          </cell>
        </row>
        <row r="679">
          <cell r="A679">
            <v>901925</v>
          </cell>
        </row>
        <row r="680">
          <cell r="A680">
            <v>901925</v>
          </cell>
        </row>
        <row r="681">
          <cell r="A681">
            <v>901925</v>
          </cell>
        </row>
        <row r="682">
          <cell r="A682">
            <v>901925</v>
          </cell>
        </row>
        <row r="683">
          <cell r="A683">
            <v>901925</v>
          </cell>
        </row>
        <row r="684">
          <cell r="A684">
            <v>901925</v>
          </cell>
        </row>
        <row r="685">
          <cell r="A685">
            <v>901925</v>
          </cell>
        </row>
        <row r="686">
          <cell r="A686">
            <v>901925</v>
          </cell>
        </row>
        <row r="687">
          <cell r="A687">
            <v>901925</v>
          </cell>
        </row>
        <row r="688">
          <cell r="A688">
            <v>901925</v>
          </cell>
        </row>
        <row r="689">
          <cell r="A689">
            <v>901925</v>
          </cell>
        </row>
        <row r="690">
          <cell r="A690">
            <v>901925</v>
          </cell>
        </row>
        <row r="691">
          <cell r="A691">
            <v>901925</v>
          </cell>
        </row>
        <row r="692">
          <cell r="A692">
            <v>901937</v>
          </cell>
        </row>
        <row r="693">
          <cell r="A693">
            <v>901937</v>
          </cell>
        </row>
        <row r="694">
          <cell r="A694">
            <v>901937</v>
          </cell>
        </row>
        <row r="695">
          <cell r="A695">
            <v>901937</v>
          </cell>
        </row>
        <row r="696">
          <cell r="A696">
            <v>901937</v>
          </cell>
        </row>
        <row r="697">
          <cell r="A697">
            <v>901937</v>
          </cell>
        </row>
        <row r="698">
          <cell r="A698">
            <v>901947</v>
          </cell>
        </row>
        <row r="699">
          <cell r="A699">
            <v>901947</v>
          </cell>
        </row>
        <row r="700">
          <cell r="A700">
            <v>901947</v>
          </cell>
        </row>
        <row r="701">
          <cell r="A701">
            <v>901947</v>
          </cell>
        </row>
        <row r="702">
          <cell r="A702">
            <v>901976</v>
          </cell>
        </row>
        <row r="703">
          <cell r="A703">
            <v>901976</v>
          </cell>
        </row>
        <row r="704">
          <cell r="A704">
            <v>901976</v>
          </cell>
        </row>
        <row r="705">
          <cell r="A705">
            <v>901977</v>
          </cell>
        </row>
        <row r="706">
          <cell r="A706">
            <v>901977</v>
          </cell>
        </row>
        <row r="707">
          <cell r="A707">
            <v>901977</v>
          </cell>
        </row>
        <row r="708">
          <cell r="A708">
            <v>901977</v>
          </cell>
        </row>
        <row r="709">
          <cell r="A709">
            <v>901977</v>
          </cell>
        </row>
        <row r="710">
          <cell r="A710">
            <v>901977</v>
          </cell>
        </row>
        <row r="711">
          <cell r="A711">
            <v>901977</v>
          </cell>
        </row>
        <row r="712">
          <cell r="A712">
            <v>901977</v>
          </cell>
        </row>
        <row r="713">
          <cell r="A713">
            <v>901977</v>
          </cell>
        </row>
        <row r="714">
          <cell r="A714">
            <v>901977</v>
          </cell>
        </row>
        <row r="715">
          <cell r="A715">
            <v>901977</v>
          </cell>
        </row>
        <row r="716">
          <cell r="A716">
            <v>901977</v>
          </cell>
        </row>
        <row r="717">
          <cell r="A717">
            <v>901977</v>
          </cell>
        </row>
        <row r="718">
          <cell r="A718">
            <v>901977</v>
          </cell>
        </row>
        <row r="719">
          <cell r="A719">
            <v>901977</v>
          </cell>
        </row>
        <row r="720">
          <cell r="A720">
            <v>901977</v>
          </cell>
        </row>
        <row r="721">
          <cell r="A721">
            <v>901977</v>
          </cell>
        </row>
        <row r="722">
          <cell r="A722">
            <v>901977</v>
          </cell>
        </row>
        <row r="723">
          <cell r="A723">
            <v>901977</v>
          </cell>
        </row>
        <row r="724">
          <cell r="A724">
            <v>901977</v>
          </cell>
        </row>
        <row r="725">
          <cell r="A725">
            <v>901977</v>
          </cell>
        </row>
        <row r="726">
          <cell r="A726">
            <v>901977</v>
          </cell>
        </row>
        <row r="727">
          <cell r="A727">
            <v>901977</v>
          </cell>
        </row>
        <row r="728">
          <cell r="A728">
            <v>901977</v>
          </cell>
        </row>
        <row r="729">
          <cell r="A729">
            <v>901977</v>
          </cell>
        </row>
        <row r="730">
          <cell r="A730">
            <v>901977</v>
          </cell>
        </row>
        <row r="731">
          <cell r="A731">
            <v>901977</v>
          </cell>
        </row>
        <row r="732">
          <cell r="A732">
            <v>901977</v>
          </cell>
        </row>
        <row r="733">
          <cell r="A733">
            <v>901977</v>
          </cell>
        </row>
        <row r="734">
          <cell r="A734">
            <v>901977</v>
          </cell>
        </row>
        <row r="735">
          <cell r="A735">
            <v>901977</v>
          </cell>
        </row>
        <row r="736">
          <cell r="A736">
            <v>901977</v>
          </cell>
        </row>
        <row r="737">
          <cell r="A737">
            <v>901977</v>
          </cell>
        </row>
        <row r="738">
          <cell r="A738">
            <v>901977</v>
          </cell>
        </row>
        <row r="739">
          <cell r="A739">
            <v>901977</v>
          </cell>
        </row>
        <row r="740">
          <cell r="A740">
            <v>901977</v>
          </cell>
        </row>
        <row r="741">
          <cell r="A741">
            <v>901977</v>
          </cell>
        </row>
        <row r="742">
          <cell r="A742">
            <v>902019</v>
          </cell>
        </row>
        <row r="743">
          <cell r="A743">
            <v>902019</v>
          </cell>
        </row>
        <row r="744">
          <cell r="A744">
            <v>902019</v>
          </cell>
        </row>
        <row r="745">
          <cell r="A745">
            <v>902021</v>
          </cell>
        </row>
        <row r="746">
          <cell r="A746">
            <v>902021</v>
          </cell>
        </row>
        <row r="747">
          <cell r="A747">
            <v>902021</v>
          </cell>
        </row>
        <row r="748">
          <cell r="A748">
            <v>902021</v>
          </cell>
        </row>
        <row r="749">
          <cell r="A749">
            <v>902021</v>
          </cell>
        </row>
        <row r="750">
          <cell r="A750">
            <v>902021</v>
          </cell>
        </row>
        <row r="751">
          <cell r="A751">
            <v>902021</v>
          </cell>
        </row>
        <row r="752">
          <cell r="A752">
            <v>902022</v>
          </cell>
        </row>
        <row r="753">
          <cell r="A753">
            <v>902022</v>
          </cell>
        </row>
        <row r="754">
          <cell r="A754">
            <v>902022</v>
          </cell>
        </row>
        <row r="755">
          <cell r="A755">
            <v>902022</v>
          </cell>
        </row>
        <row r="756">
          <cell r="A756">
            <v>902034</v>
          </cell>
        </row>
        <row r="757">
          <cell r="A757">
            <v>902034</v>
          </cell>
        </row>
        <row r="758">
          <cell r="A758">
            <v>902034</v>
          </cell>
        </row>
        <row r="759">
          <cell r="A759">
            <v>902034</v>
          </cell>
        </row>
        <row r="760">
          <cell r="A760">
            <v>902034</v>
          </cell>
        </row>
        <row r="761">
          <cell r="A761">
            <v>902042</v>
          </cell>
        </row>
        <row r="762">
          <cell r="A762">
            <v>902042</v>
          </cell>
        </row>
        <row r="763">
          <cell r="A763">
            <v>902042</v>
          </cell>
        </row>
        <row r="764">
          <cell r="A764">
            <v>902042</v>
          </cell>
        </row>
        <row r="765">
          <cell r="A765">
            <v>902042</v>
          </cell>
        </row>
        <row r="766">
          <cell r="A766">
            <v>902042</v>
          </cell>
        </row>
        <row r="767">
          <cell r="A767">
            <v>902043</v>
          </cell>
        </row>
        <row r="768">
          <cell r="A768">
            <v>902043</v>
          </cell>
        </row>
        <row r="769">
          <cell r="A769">
            <v>902043</v>
          </cell>
        </row>
        <row r="770">
          <cell r="A770">
            <v>902054</v>
          </cell>
        </row>
        <row r="771">
          <cell r="A771">
            <v>902054</v>
          </cell>
        </row>
        <row r="772">
          <cell r="A772">
            <v>902054</v>
          </cell>
        </row>
        <row r="773">
          <cell r="A773">
            <v>902055</v>
          </cell>
        </row>
        <row r="774">
          <cell r="A774">
            <v>902055</v>
          </cell>
        </row>
        <row r="775">
          <cell r="A775">
            <v>902055</v>
          </cell>
        </row>
        <row r="776">
          <cell r="A776">
            <v>902064</v>
          </cell>
        </row>
        <row r="777">
          <cell r="A777">
            <v>902064</v>
          </cell>
        </row>
        <row r="778">
          <cell r="A778">
            <v>902064</v>
          </cell>
        </row>
        <row r="779">
          <cell r="A779">
            <v>902064</v>
          </cell>
        </row>
        <row r="780">
          <cell r="A780">
            <v>902064</v>
          </cell>
        </row>
        <row r="781">
          <cell r="A781">
            <v>902064</v>
          </cell>
        </row>
        <row r="782">
          <cell r="A782">
            <v>902064</v>
          </cell>
        </row>
        <row r="783">
          <cell r="A783">
            <v>902064</v>
          </cell>
        </row>
        <row r="784">
          <cell r="A784">
            <v>902064</v>
          </cell>
        </row>
        <row r="785">
          <cell r="A785">
            <v>902065</v>
          </cell>
        </row>
        <row r="786">
          <cell r="A786">
            <v>902065</v>
          </cell>
        </row>
        <row r="787">
          <cell r="A787">
            <v>902065</v>
          </cell>
        </row>
        <row r="788">
          <cell r="A788">
            <v>902065</v>
          </cell>
        </row>
        <row r="789">
          <cell r="A789">
            <v>902067</v>
          </cell>
        </row>
        <row r="790">
          <cell r="A790">
            <v>902067</v>
          </cell>
        </row>
        <row r="791">
          <cell r="A791">
            <v>902067</v>
          </cell>
        </row>
        <row r="792">
          <cell r="A792">
            <v>902067</v>
          </cell>
        </row>
        <row r="793">
          <cell r="A793">
            <v>902067</v>
          </cell>
        </row>
        <row r="794">
          <cell r="A794">
            <v>902074</v>
          </cell>
        </row>
        <row r="795">
          <cell r="A795">
            <v>902074</v>
          </cell>
        </row>
        <row r="796">
          <cell r="A796">
            <v>902074</v>
          </cell>
        </row>
        <row r="797">
          <cell r="A797">
            <v>902074</v>
          </cell>
        </row>
        <row r="798">
          <cell r="A798">
            <v>902074</v>
          </cell>
        </row>
        <row r="799">
          <cell r="A799">
            <v>902074</v>
          </cell>
        </row>
        <row r="800">
          <cell r="A800">
            <v>902074</v>
          </cell>
        </row>
        <row r="801">
          <cell r="A801">
            <v>902074</v>
          </cell>
        </row>
        <row r="802">
          <cell r="A802">
            <v>902074</v>
          </cell>
        </row>
        <row r="803">
          <cell r="A803">
            <v>902074</v>
          </cell>
        </row>
        <row r="804">
          <cell r="A804">
            <v>902074</v>
          </cell>
        </row>
        <row r="805">
          <cell r="A805">
            <v>902083</v>
          </cell>
        </row>
        <row r="806">
          <cell r="A806">
            <v>902083</v>
          </cell>
        </row>
        <row r="807">
          <cell r="A807">
            <v>902083</v>
          </cell>
        </row>
        <row r="808">
          <cell r="A808">
            <v>902083</v>
          </cell>
        </row>
        <row r="809">
          <cell r="A809">
            <v>902083</v>
          </cell>
        </row>
        <row r="810">
          <cell r="A810">
            <v>902089</v>
          </cell>
        </row>
        <row r="811">
          <cell r="A811">
            <v>902089</v>
          </cell>
        </row>
        <row r="812">
          <cell r="A812">
            <v>902089</v>
          </cell>
        </row>
        <row r="813">
          <cell r="A813">
            <v>902089</v>
          </cell>
        </row>
        <row r="814">
          <cell r="A814">
            <v>902089</v>
          </cell>
        </row>
        <row r="815">
          <cell r="A815">
            <v>902089</v>
          </cell>
        </row>
        <row r="816">
          <cell r="A816">
            <v>902093</v>
          </cell>
        </row>
        <row r="817">
          <cell r="A817">
            <v>902121</v>
          </cell>
        </row>
        <row r="818">
          <cell r="A818">
            <v>902121</v>
          </cell>
        </row>
        <row r="819">
          <cell r="A819">
            <v>902121</v>
          </cell>
        </row>
        <row r="820">
          <cell r="A820">
            <v>902121</v>
          </cell>
        </row>
        <row r="821">
          <cell r="A821">
            <v>902121</v>
          </cell>
        </row>
        <row r="822">
          <cell r="A822">
            <v>902121</v>
          </cell>
        </row>
        <row r="823">
          <cell r="A823">
            <v>902121</v>
          </cell>
        </row>
        <row r="824">
          <cell r="A824">
            <v>902121</v>
          </cell>
        </row>
        <row r="825">
          <cell r="A825">
            <v>902121</v>
          </cell>
        </row>
        <row r="826">
          <cell r="A826">
            <v>902121</v>
          </cell>
        </row>
        <row r="827">
          <cell r="A827">
            <v>902121</v>
          </cell>
        </row>
        <row r="828">
          <cell r="A828">
            <v>902121</v>
          </cell>
        </row>
        <row r="829">
          <cell r="A829">
            <v>902121</v>
          </cell>
        </row>
        <row r="830">
          <cell r="A830">
            <v>902121</v>
          </cell>
        </row>
        <row r="831">
          <cell r="A831">
            <v>902121</v>
          </cell>
        </row>
        <row r="832">
          <cell r="A832">
            <v>902121</v>
          </cell>
        </row>
        <row r="833">
          <cell r="A833">
            <v>902121</v>
          </cell>
        </row>
        <row r="834">
          <cell r="A834">
            <v>902121</v>
          </cell>
        </row>
        <row r="835">
          <cell r="A835">
            <v>902121</v>
          </cell>
        </row>
        <row r="836">
          <cell r="A836">
            <v>902121</v>
          </cell>
        </row>
        <row r="837">
          <cell r="A837">
            <v>902121</v>
          </cell>
        </row>
        <row r="838">
          <cell r="A838">
            <v>902121</v>
          </cell>
        </row>
        <row r="839">
          <cell r="A839">
            <v>902121</v>
          </cell>
        </row>
        <row r="840">
          <cell r="A840">
            <v>902121</v>
          </cell>
        </row>
        <row r="841">
          <cell r="A841">
            <v>902121</v>
          </cell>
        </row>
        <row r="842">
          <cell r="A842">
            <v>902121</v>
          </cell>
        </row>
        <row r="843">
          <cell r="A843">
            <v>902121</v>
          </cell>
        </row>
        <row r="844">
          <cell r="A844">
            <v>902121</v>
          </cell>
        </row>
        <row r="845">
          <cell r="A845">
            <v>902121</v>
          </cell>
        </row>
        <row r="846">
          <cell r="A846">
            <v>902121</v>
          </cell>
        </row>
        <row r="847">
          <cell r="A847">
            <v>902121</v>
          </cell>
        </row>
        <row r="848">
          <cell r="A848">
            <v>902121</v>
          </cell>
        </row>
        <row r="849">
          <cell r="A849">
            <v>902121</v>
          </cell>
        </row>
        <row r="850">
          <cell r="A850">
            <v>902121</v>
          </cell>
        </row>
        <row r="851">
          <cell r="A851">
            <v>902121</v>
          </cell>
        </row>
        <row r="852">
          <cell r="A852">
            <v>902123</v>
          </cell>
        </row>
        <row r="853">
          <cell r="A853">
            <v>902123</v>
          </cell>
        </row>
        <row r="854">
          <cell r="A854">
            <v>902123</v>
          </cell>
        </row>
        <row r="855">
          <cell r="A855">
            <v>902123</v>
          </cell>
        </row>
        <row r="856">
          <cell r="A856">
            <v>902129</v>
          </cell>
        </row>
        <row r="857">
          <cell r="A857">
            <v>902129</v>
          </cell>
        </row>
        <row r="858">
          <cell r="A858">
            <v>902132</v>
          </cell>
        </row>
        <row r="859">
          <cell r="A859">
            <v>902183</v>
          </cell>
        </row>
        <row r="860">
          <cell r="A860">
            <v>902183</v>
          </cell>
        </row>
        <row r="861">
          <cell r="A861">
            <v>902188</v>
          </cell>
        </row>
        <row r="862">
          <cell r="A862">
            <v>902188</v>
          </cell>
        </row>
        <row r="863">
          <cell r="A863">
            <v>902188</v>
          </cell>
        </row>
        <row r="864">
          <cell r="A864">
            <v>902188</v>
          </cell>
        </row>
        <row r="865">
          <cell r="A865">
            <v>902188</v>
          </cell>
        </row>
        <row r="866">
          <cell r="A866">
            <v>902188</v>
          </cell>
        </row>
        <row r="867">
          <cell r="A867">
            <v>902188</v>
          </cell>
        </row>
        <row r="868">
          <cell r="A868">
            <v>902188</v>
          </cell>
        </row>
        <row r="869">
          <cell r="A869">
            <v>902188</v>
          </cell>
        </row>
        <row r="870">
          <cell r="A870">
            <v>902188</v>
          </cell>
        </row>
        <row r="871">
          <cell r="A871">
            <v>902188</v>
          </cell>
        </row>
        <row r="872">
          <cell r="A872">
            <v>902188</v>
          </cell>
        </row>
        <row r="873">
          <cell r="A873">
            <v>902188</v>
          </cell>
        </row>
        <row r="874">
          <cell r="A874">
            <v>902188</v>
          </cell>
        </row>
        <row r="875">
          <cell r="A875">
            <v>902188</v>
          </cell>
        </row>
        <row r="876">
          <cell r="A876">
            <v>902188</v>
          </cell>
        </row>
        <row r="877">
          <cell r="A877">
            <v>902188</v>
          </cell>
        </row>
        <row r="878">
          <cell r="A878">
            <v>902188</v>
          </cell>
        </row>
        <row r="879">
          <cell r="A879">
            <v>902188</v>
          </cell>
        </row>
        <row r="880">
          <cell r="A880">
            <v>902188</v>
          </cell>
        </row>
        <row r="881">
          <cell r="A881">
            <v>902188</v>
          </cell>
        </row>
        <row r="882">
          <cell r="A882">
            <v>902188</v>
          </cell>
        </row>
        <row r="883">
          <cell r="A883">
            <v>902188</v>
          </cell>
        </row>
        <row r="884">
          <cell r="A884">
            <v>902188</v>
          </cell>
        </row>
        <row r="885">
          <cell r="A885">
            <v>902188</v>
          </cell>
        </row>
        <row r="886">
          <cell r="A886">
            <v>902188</v>
          </cell>
        </row>
        <row r="887">
          <cell r="A887">
            <v>902188</v>
          </cell>
        </row>
        <row r="888">
          <cell r="A888">
            <v>902188</v>
          </cell>
        </row>
        <row r="889">
          <cell r="A889">
            <v>902188</v>
          </cell>
        </row>
        <row r="890">
          <cell r="A890">
            <v>902188</v>
          </cell>
        </row>
        <row r="891">
          <cell r="A891">
            <v>902188</v>
          </cell>
        </row>
        <row r="892">
          <cell r="A892">
            <v>902188</v>
          </cell>
        </row>
        <row r="893">
          <cell r="A893">
            <v>902188</v>
          </cell>
        </row>
        <row r="894">
          <cell r="A894">
            <v>902188</v>
          </cell>
        </row>
        <row r="895">
          <cell r="A895">
            <v>902188</v>
          </cell>
        </row>
        <row r="896">
          <cell r="A896">
            <v>902188</v>
          </cell>
        </row>
        <row r="897">
          <cell r="A897">
            <v>902188</v>
          </cell>
        </row>
        <row r="898">
          <cell r="A898">
            <v>902188</v>
          </cell>
        </row>
        <row r="899">
          <cell r="A899">
            <v>902188</v>
          </cell>
        </row>
        <row r="900">
          <cell r="A900">
            <v>902188</v>
          </cell>
        </row>
        <row r="901">
          <cell r="A901">
            <v>902188</v>
          </cell>
        </row>
        <row r="902">
          <cell r="A902">
            <v>902188</v>
          </cell>
        </row>
        <row r="903">
          <cell r="A903">
            <v>902188</v>
          </cell>
        </row>
        <row r="904">
          <cell r="A904">
            <v>902188</v>
          </cell>
        </row>
        <row r="905">
          <cell r="A905">
            <v>902188</v>
          </cell>
        </row>
        <row r="906">
          <cell r="A906">
            <v>902188</v>
          </cell>
        </row>
        <row r="907">
          <cell r="A907">
            <v>902188</v>
          </cell>
        </row>
        <row r="908">
          <cell r="A908">
            <v>902188</v>
          </cell>
        </row>
        <row r="909">
          <cell r="A909">
            <v>902188</v>
          </cell>
        </row>
        <row r="910">
          <cell r="A910">
            <v>902188</v>
          </cell>
        </row>
        <row r="911">
          <cell r="A911">
            <v>902188</v>
          </cell>
        </row>
        <row r="912">
          <cell r="A912">
            <v>902188</v>
          </cell>
        </row>
        <row r="913">
          <cell r="A913">
            <v>902188</v>
          </cell>
        </row>
        <row r="914">
          <cell r="A914">
            <v>902188</v>
          </cell>
        </row>
        <row r="915">
          <cell r="A915">
            <v>902188</v>
          </cell>
        </row>
        <row r="916">
          <cell r="A916">
            <v>902188</v>
          </cell>
        </row>
        <row r="917">
          <cell r="A917">
            <v>902188</v>
          </cell>
        </row>
        <row r="918">
          <cell r="A918">
            <v>902188</v>
          </cell>
        </row>
        <row r="919">
          <cell r="A919">
            <v>902188</v>
          </cell>
        </row>
        <row r="920">
          <cell r="A920">
            <v>902188</v>
          </cell>
        </row>
        <row r="921">
          <cell r="A921">
            <v>902188</v>
          </cell>
        </row>
        <row r="922">
          <cell r="A922">
            <v>902188</v>
          </cell>
        </row>
        <row r="923">
          <cell r="A923">
            <v>902188</v>
          </cell>
        </row>
        <row r="924">
          <cell r="A924">
            <v>902188</v>
          </cell>
        </row>
        <row r="925">
          <cell r="A925">
            <v>902188</v>
          </cell>
        </row>
        <row r="926">
          <cell r="A926">
            <v>902195</v>
          </cell>
        </row>
        <row r="927">
          <cell r="A927">
            <v>902195</v>
          </cell>
        </row>
        <row r="928">
          <cell r="A928">
            <v>902195</v>
          </cell>
        </row>
        <row r="929">
          <cell r="A929">
            <v>902195</v>
          </cell>
        </row>
        <row r="930">
          <cell r="A930">
            <v>902195</v>
          </cell>
        </row>
        <row r="931">
          <cell r="A931">
            <v>902195</v>
          </cell>
        </row>
        <row r="932">
          <cell r="A932">
            <v>902195</v>
          </cell>
        </row>
        <row r="933">
          <cell r="A933">
            <v>902195</v>
          </cell>
        </row>
        <row r="934">
          <cell r="A934">
            <v>902195</v>
          </cell>
        </row>
        <row r="935">
          <cell r="A935">
            <v>902195</v>
          </cell>
        </row>
        <row r="936">
          <cell r="A936">
            <v>902195</v>
          </cell>
        </row>
        <row r="937">
          <cell r="A937">
            <v>902195</v>
          </cell>
        </row>
        <row r="938">
          <cell r="A938">
            <v>902195</v>
          </cell>
        </row>
        <row r="939">
          <cell r="A939">
            <v>902195</v>
          </cell>
        </row>
        <row r="940">
          <cell r="A940">
            <v>902195</v>
          </cell>
        </row>
        <row r="941">
          <cell r="A941">
            <v>902195</v>
          </cell>
        </row>
        <row r="942">
          <cell r="A942">
            <v>902195</v>
          </cell>
        </row>
        <row r="943">
          <cell r="A943">
            <v>902195</v>
          </cell>
        </row>
        <row r="944">
          <cell r="A944">
            <v>902195</v>
          </cell>
        </row>
        <row r="945">
          <cell r="A945">
            <v>902195</v>
          </cell>
        </row>
        <row r="946">
          <cell r="A946">
            <v>902195</v>
          </cell>
        </row>
        <row r="947">
          <cell r="A947">
            <v>902195</v>
          </cell>
        </row>
        <row r="948">
          <cell r="A948">
            <v>902195</v>
          </cell>
        </row>
        <row r="949">
          <cell r="A949">
            <v>902195</v>
          </cell>
        </row>
        <row r="950">
          <cell r="A950">
            <v>902195</v>
          </cell>
        </row>
        <row r="951">
          <cell r="A951">
            <v>902195</v>
          </cell>
        </row>
        <row r="952">
          <cell r="A952">
            <v>902195</v>
          </cell>
        </row>
        <row r="953">
          <cell r="A953">
            <v>902195</v>
          </cell>
        </row>
        <row r="954">
          <cell r="A954">
            <v>902195</v>
          </cell>
        </row>
        <row r="955">
          <cell r="A955">
            <v>902195</v>
          </cell>
        </row>
        <row r="956">
          <cell r="A956">
            <v>902195</v>
          </cell>
        </row>
        <row r="957">
          <cell r="A957">
            <v>902195</v>
          </cell>
        </row>
        <row r="958">
          <cell r="A958">
            <v>902195</v>
          </cell>
        </row>
        <row r="959">
          <cell r="A959">
            <v>902195</v>
          </cell>
        </row>
        <row r="960">
          <cell r="A960">
            <v>902195</v>
          </cell>
        </row>
        <row r="961">
          <cell r="A961">
            <v>902195</v>
          </cell>
        </row>
        <row r="962">
          <cell r="A962">
            <v>902195</v>
          </cell>
        </row>
        <row r="963">
          <cell r="A963">
            <v>902195</v>
          </cell>
        </row>
        <row r="964">
          <cell r="A964">
            <v>902195</v>
          </cell>
        </row>
        <row r="965">
          <cell r="A965">
            <v>902195</v>
          </cell>
        </row>
        <row r="966">
          <cell r="A966">
            <v>902195</v>
          </cell>
        </row>
        <row r="967">
          <cell r="A967">
            <v>902195</v>
          </cell>
        </row>
        <row r="968">
          <cell r="A968">
            <v>902195</v>
          </cell>
        </row>
        <row r="969">
          <cell r="A969">
            <v>902195</v>
          </cell>
        </row>
        <row r="970">
          <cell r="A970">
            <v>902195</v>
          </cell>
        </row>
        <row r="971">
          <cell r="A971">
            <v>902195</v>
          </cell>
        </row>
        <row r="972">
          <cell r="A972">
            <v>902195</v>
          </cell>
        </row>
        <row r="973">
          <cell r="A973">
            <v>902195</v>
          </cell>
        </row>
        <row r="974">
          <cell r="A974">
            <v>902195</v>
          </cell>
        </row>
        <row r="975">
          <cell r="A975">
            <v>902195</v>
          </cell>
        </row>
        <row r="976">
          <cell r="A976">
            <v>902195</v>
          </cell>
        </row>
        <row r="977">
          <cell r="A977">
            <v>902195</v>
          </cell>
        </row>
        <row r="978">
          <cell r="A978">
            <v>902195</v>
          </cell>
        </row>
        <row r="979">
          <cell r="A979">
            <v>902195</v>
          </cell>
        </row>
        <row r="980">
          <cell r="A980">
            <v>902195</v>
          </cell>
        </row>
        <row r="981">
          <cell r="A981">
            <v>902195</v>
          </cell>
        </row>
        <row r="982">
          <cell r="A982">
            <v>902195</v>
          </cell>
        </row>
        <row r="983">
          <cell r="A983">
            <v>902195</v>
          </cell>
        </row>
        <row r="984">
          <cell r="A984">
            <v>902195</v>
          </cell>
        </row>
        <row r="985">
          <cell r="A985">
            <v>902195</v>
          </cell>
        </row>
        <row r="986">
          <cell r="A986">
            <v>902195</v>
          </cell>
        </row>
        <row r="987">
          <cell r="A987">
            <v>902195</v>
          </cell>
        </row>
        <row r="988">
          <cell r="A988">
            <v>902195</v>
          </cell>
        </row>
        <row r="989">
          <cell r="A989">
            <v>902195</v>
          </cell>
        </row>
        <row r="990">
          <cell r="A990">
            <v>902195</v>
          </cell>
        </row>
        <row r="991">
          <cell r="A991">
            <v>902195</v>
          </cell>
        </row>
        <row r="992">
          <cell r="A992">
            <v>902195</v>
          </cell>
        </row>
        <row r="993">
          <cell r="A993">
            <v>902195</v>
          </cell>
        </row>
        <row r="994">
          <cell r="A994">
            <v>902195</v>
          </cell>
        </row>
        <row r="995">
          <cell r="A995">
            <v>902195</v>
          </cell>
        </row>
        <row r="996">
          <cell r="A996">
            <v>902195</v>
          </cell>
        </row>
        <row r="997">
          <cell r="A997">
            <v>902198</v>
          </cell>
        </row>
        <row r="998">
          <cell r="A998">
            <v>902198</v>
          </cell>
        </row>
        <row r="999">
          <cell r="A999">
            <v>902198</v>
          </cell>
        </row>
        <row r="1000">
          <cell r="A1000">
            <v>902198</v>
          </cell>
        </row>
        <row r="1001">
          <cell r="A1001">
            <v>902198</v>
          </cell>
        </row>
        <row r="1002">
          <cell r="A1002">
            <v>902198</v>
          </cell>
        </row>
        <row r="1003">
          <cell r="A1003">
            <v>902198</v>
          </cell>
        </row>
        <row r="1004">
          <cell r="A1004">
            <v>902198</v>
          </cell>
        </row>
        <row r="1005">
          <cell r="A1005">
            <v>902198</v>
          </cell>
        </row>
        <row r="1006">
          <cell r="A1006">
            <v>902198</v>
          </cell>
        </row>
        <row r="1007">
          <cell r="A1007">
            <v>902198</v>
          </cell>
        </row>
        <row r="1008">
          <cell r="A1008">
            <v>902199</v>
          </cell>
        </row>
        <row r="1009">
          <cell r="A1009">
            <v>902199</v>
          </cell>
        </row>
        <row r="1010">
          <cell r="A1010">
            <v>902199</v>
          </cell>
        </row>
        <row r="1011">
          <cell r="A1011">
            <v>902199</v>
          </cell>
        </row>
        <row r="1012">
          <cell r="A1012">
            <v>902199</v>
          </cell>
        </row>
        <row r="1013">
          <cell r="A1013">
            <v>902199</v>
          </cell>
        </row>
        <row r="1014">
          <cell r="A1014">
            <v>902199</v>
          </cell>
        </row>
        <row r="1015">
          <cell r="A1015">
            <v>902206</v>
          </cell>
        </row>
        <row r="1016">
          <cell r="A1016">
            <v>902206</v>
          </cell>
        </row>
        <row r="1017">
          <cell r="A1017">
            <v>902213</v>
          </cell>
        </row>
        <row r="1018">
          <cell r="A1018">
            <v>902213</v>
          </cell>
        </row>
        <row r="1019">
          <cell r="A1019">
            <v>902213</v>
          </cell>
        </row>
        <row r="1020">
          <cell r="A1020">
            <v>902213</v>
          </cell>
        </row>
        <row r="1021">
          <cell r="A1021">
            <v>902213</v>
          </cell>
        </row>
        <row r="1022">
          <cell r="A1022">
            <v>902213</v>
          </cell>
        </row>
        <row r="1023">
          <cell r="A1023">
            <v>902213</v>
          </cell>
        </row>
        <row r="1024">
          <cell r="A1024">
            <v>902213</v>
          </cell>
        </row>
        <row r="1025">
          <cell r="A1025">
            <v>902213</v>
          </cell>
        </row>
        <row r="1026">
          <cell r="A1026">
            <v>902213</v>
          </cell>
        </row>
        <row r="1027">
          <cell r="A1027">
            <v>902213</v>
          </cell>
        </row>
        <row r="1028">
          <cell r="A1028">
            <v>902213</v>
          </cell>
        </row>
        <row r="1029">
          <cell r="A1029">
            <v>902213</v>
          </cell>
        </row>
        <row r="1030">
          <cell r="A1030">
            <v>902213</v>
          </cell>
        </row>
        <row r="1031">
          <cell r="A1031">
            <v>902213</v>
          </cell>
        </row>
        <row r="1032">
          <cell r="A1032">
            <v>902213</v>
          </cell>
        </row>
        <row r="1033">
          <cell r="A1033">
            <v>902213</v>
          </cell>
        </row>
        <row r="1034">
          <cell r="A1034">
            <v>902213</v>
          </cell>
        </row>
        <row r="1035">
          <cell r="A1035">
            <v>902213</v>
          </cell>
        </row>
        <row r="1036">
          <cell r="A1036">
            <v>902213</v>
          </cell>
        </row>
        <row r="1037">
          <cell r="A1037">
            <v>902213</v>
          </cell>
        </row>
        <row r="1038">
          <cell r="A1038">
            <v>902213</v>
          </cell>
        </row>
        <row r="1039">
          <cell r="A1039">
            <v>902213</v>
          </cell>
        </row>
        <row r="1040">
          <cell r="A1040">
            <v>902213</v>
          </cell>
        </row>
        <row r="1041">
          <cell r="A1041">
            <v>902213</v>
          </cell>
        </row>
        <row r="1042">
          <cell r="A1042">
            <v>902213</v>
          </cell>
        </row>
        <row r="1043">
          <cell r="A1043">
            <v>902213</v>
          </cell>
        </row>
        <row r="1044">
          <cell r="A1044">
            <v>902213</v>
          </cell>
        </row>
        <row r="1045">
          <cell r="A1045">
            <v>902213</v>
          </cell>
        </row>
        <row r="1046">
          <cell r="A1046">
            <v>902213</v>
          </cell>
        </row>
        <row r="1047">
          <cell r="A1047">
            <v>902222</v>
          </cell>
        </row>
        <row r="1048">
          <cell r="A1048">
            <v>902222</v>
          </cell>
        </row>
        <row r="1049">
          <cell r="A1049">
            <v>902222</v>
          </cell>
        </row>
        <row r="1050">
          <cell r="A1050">
            <v>902222</v>
          </cell>
        </row>
        <row r="1051">
          <cell r="A1051">
            <v>902222</v>
          </cell>
        </row>
        <row r="1052">
          <cell r="A1052">
            <v>902222</v>
          </cell>
        </row>
        <row r="1053">
          <cell r="A1053">
            <v>902222</v>
          </cell>
        </row>
        <row r="1054">
          <cell r="A1054">
            <v>902224</v>
          </cell>
        </row>
        <row r="1055">
          <cell r="A1055">
            <v>902244</v>
          </cell>
        </row>
        <row r="1056">
          <cell r="A1056">
            <v>902244</v>
          </cell>
        </row>
        <row r="1057">
          <cell r="A1057">
            <v>902244</v>
          </cell>
        </row>
        <row r="1058">
          <cell r="A1058">
            <v>902248</v>
          </cell>
        </row>
        <row r="1059">
          <cell r="A1059">
            <v>902248</v>
          </cell>
        </row>
        <row r="1060">
          <cell r="A1060">
            <v>902248</v>
          </cell>
        </row>
        <row r="1061">
          <cell r="A1061">
            <v>902248</v>
          </cell>
        </row>
        <row r="1062">
          <cell r="A1062">
            <v>902248</v>
          </cell>
        </row>
        <row r="1063">
          <cell r="A1063">
            <v>902248</v>
          </cell>
        </row>
        <row r="1064">
          <cell r="A1064">
            <v>902248</v>
          </cell>
        </row>
        <row r="1065">
          <cell r="A1065">
            <v>902248</v>
          </cell>
        </row>
        <row r="1066">
          <cell r="A1066">
            <v>902248</v>
          </cell>
        </row>
        <row r="1067">
          <cell r="A1067">
            <v>902260</v>
          </cell>
        </row>
        <row r="1068">
          <cell r="A1068">
            <v>902260</v>
          </cell>
        </row>
        <row r="1069">
          <cell r="A1069">
            <v>902260</v>
          </cell>
        </row>
        <row r="1070">
          <cell r="A1070">
            <v>902260</v>
          </cell>
        </row>
        <row r="1071">
          <cell r="A1071">
            <v>902260</v>
          </cell>
        </row>
        <row r="1072">
          <cell r="A1072">
            <v>902260</v>
          </cell>
        </row>
        <row r="1073">
          <cell r="A1073">
            <v>902260</v>
          </cell>
        </row>
        <row r="1074">
          <cell r="A1074">
            <v>902262</v>
          </cell>
        </row>
        <row r="1075">
          <cell r="A1075">
            <v>902262</v>
          </cell>
        </row>
        <row r="1076">
          <cell r="A1076">
            <v>902263</v>
          </cell>
        </row>
        <row r="1077">
          <cell r="A1077">
            <v>902334</v>
          </cell>
        </row>
        <row r="1078">
          <cell r="A1078">
            <v>902334</v>
          </cell>
        </row>
        <row r="1079">
          <cell r="A1079">
            <v>902334</v>
          </cell>
        </row>
        <row r="1080">
          <cell r="A1080">
            <v>902334</v>
          </cell>
        </row>
        <row r="1081">
          <cell r="A1081">
            <v>902334</v>
          </cell>
        </row>
        <row r="1082">
          <cell r="A1082">
            <v>902334</v>
          </cell>
        </row>
        <row r="1083">
          <cell r="A1083">
            <v>902334</v>
          </cell>
        </row>
        <row r="1084">
          <cell r="A1084">
            <v>902334</v>
          </cell>
        </row>
        <row r="1085">
          <cell r="A1085">
            <v>902334</v>
          </cell>
        </row>
        <row r="1086">
          <cell r="A1086">
            <v>902334</v>
          </cell>
        </row>
        <row r="1087">
          <cell r="A1087">
            <v>902334</v>
          </cell>
        </row>
        <row r="1088">
          <cell r="A1088">
            <v>902334</v>
          </cell>
        </row>
        <row r="1089">
          <cell r="A1089">
            <v>902334</v>
          </cell>
        </row>
        <row r="1090">
          <cell r="A1090">
            <v>902334</v>
          </cell>
        </row>
        <row r="1091">
          <cell r="A1091">
            <v>902334</v>
          </cell>
        </row>
        <row r="1092">
          <cell r="A1092">
            <v>902334</v>
          </cell>
        </row>
        <row r="1093">
          <cell r="A1093">
            <v>902334</v>
          </cell>
        </row>
        <row r="1094">
          <cell r="A1094">
            <v>902334</v>
          </cell>
        </row>
        <row r="1095">
          <cell r="A1095">
            <v>902334</v>
          </cell>
        </row>
        <row r="1096">
          <cell r="A1096">
            <v>902334</v>
          </cell>
        </row>
        <row r="1097">
          <cell r="A1097">
            <v>902341</v>
          </cell>
        </row>
        <row r="1098">
          <cell r="A1098">
            <v>902341</v>
          </cell>
        </row>
        <row r="1099">
          <cell r="A1099">
            <v>902386</v>
          </cell>
        </row>
        <row r="1100">
          <cell r="A1100">
            <v>902386</v>
          </cell>
        </row>
        <row r="1101">
          <cell r="A1101">
            <v>902386</v>
          </cell>
        </row>
        <row r="1102">
          <cell r="A1102">
            <v>902386</v>
          </cell>
        </row>
        <row r="1103">
          <cell r="A1103">
            <v>902386</v>
          </cell>
        </row>
        <row r="1104">
          <cell r="A1104">
            <v>902386</v>
          </cell>
        </row>
        <row r="1105">
          <cell r="A1105">
            <v>902386</v>
          </cell>
        </row>
        <row r="1106">
          <cell r="A1106">
            <v>902386</v>
          </cell>
        </row>
        <row r="1107">
          <cell r="A1107">
            <v>902389</v>
          </cell>
        </row>
        <row r="1108">
          <cell r="A1108">
            <v>902389</v>
          </cell>
        </row>
        <row r="1109">
          <cell r="A1109">
            <v>902389</v>
          </cell>
        </row>
        <row r="1110">
          <cell r="A1110">
            <v>902389</v>
          </cell>
        </row>
        <row r="1111">
          <cell r="A1111">
            <v>902389</v>
          </cell>
        </row>
        <row r="1112">
          <cell r="A1112">
            <v>902389</v>
          </cell>
        </row>
        <row r="1113">
          <cell r="A1113">
            <v>902389</v>
          </cell>
        </row>
        <row r="1114">
          <cell r="A1114">
            <v>902389</v>
          </cell>
        </row>
        <row r="1115">
          <cell r="A1115">
            <v>902389</v>
          </cell>
        </row>
        <row r="1116">
          <cell r="A1116">
            <v>902389</v>
          </cell>
        </row>
        <row r="1117">
          <cell r="A1117">
            <v>902389</v>
          </cell>
        </row>
        <row r="1118">
          <cell r="A1118">
            <v>902389</v>
          </cell>
        </row>
        <row r="1119">
          <cell r="A1119">
            <v>902389</v>
          </cell>
        </row>
        <row r="1120">
          <cell r="A1120">
            <v>902423</v>
          </cell>
        </row>
        <row r="1121">
          <cell r="A1121">
            <v>902423</v>
          </cell>
        </row>
        <row r="1122">
          <cell r="A1122">
            <v>902423</v>
          </cell>
        </row>
        <row r="1123">
          <cell r="A1123">
            <v>902423</v>
          </cell>
        </row>
        <row r="1124">
          <cell r="A1124">
            <v>902423</v>
          </cell>
        </row>
        <row r="1125">
          <cell r="A1125">
            <v>902423</v>
          </cell>
        </row>
        <row r="1126">
          <cell r="A1126">
            <v>902423</v>
          </cell>
        </row>
        <row r="1127">
          <cell r="A1127">
            <v>902423</v>
          </cell>
        </row>
        <row r="1128">
          <cell r="A1128">
            <v>902423</v>
          </cell>
        </row>
        <row r="1129">
          <cell r="A1129">
            <v>902423</v>
          </cell>
        </row>
        <row r="1130">
          <cell r="A1130">
            <v>902423</v>
          </cell>
        </row>
        <row r="1131">
          <cell r="A1131">
            <v>902423</v>
          </cell>
        </row>
        <row r="1132">
          <cell r="A1132">
            <v>902423</v>
          </cell>
        </row>
        <row r="1133">
          <cell r="A1133">
            <v>902423</v>
          </cell>
        </row>
        <row r="1134">
          <cell r="A1134">
            <v>902423</v>
          </cell>
        </row>
        <row r="1135">
          <cell r="A1135">
            <v>902423</v>
          </cell>
        </row>
        <row r="1136">
          <cell r="A1136">
            <v>902423</v>
          </cell>
        </row>
        <row r="1137">
          <cell r="A1137">
            <v>902423</v>
          </cell>
        </row>
        <row r="1138">
          <cell r="A1138">
            <v>902423</v>
          </cell>
        </row>
        <row r="1139">
          <cell r="A1139">
            <v>902423</v>
          </cell>
        </row>
        <row r="1140">
          <cell r="A1140">
            <v>902423</v>
          </cell>
        </row>
        <row r="1141">
          <cell r="A1141">
            <v>902423</v>
          </cell>
        </row>
        <row r="1142">
          <cell r="A1142">
            <v>902423</v>
          </cell>
        </row>
        <row r="1143">
          <cell r="A1143">
            <v>902423</v>
          </cell>
        </row>
        <row r="1144">
          <cell r="A1144">
            <v>902423</v>
          </cell>
        </row>
        <row r="1145">
          <cell r="A1145">
            <v>902423</v>
          </cell>
        </row>
        <row r="1146">
          <cell r="A1146">
            <v>902423</v>
          </cell>
        </row>
        <row r="1147">
          <cell r="A1147">
            <v>902423</v>
          </cell>
        </row>
        <row r="1148">
          <cell r="A1148">
            <v>902423</v>
          </cell>
        </row>
        <row r="1149">
          <cell r="A1149">
            <v>902423</v>
          </cell>
        </row>
        <row r="1150">
          <cell r="A1150">
            <v>902423</v>
          </cell>
        </row>
        <row r="1151">
          <cell r="A1151">
            <v>902423</v>
          </cell>
        </row>
        <row r="1152">
          <cell r="A1152">
            <v>902423</v>
          </cell>
        </row>
        <row r="1153">
          <cell r="A1153">
            <v>902423</v>
          </cell>
        </row>
        <row r="1154">
          <cell r="A1154">
            <v>902423</v>
          </cell>
        </row>
        <row r="1155">
          <cell r="A1155">
            <v>902423</v>
          </cell>
        </row>
        <row r="1156">
          <cell r="A1156">
            <v>902423</v>
          </cell>
        </row>
        <row r="1157">
          <cell r="A1157">
            <v>902423</v>
          </cell>
        </row>
        <row r="1158">
          <cell r="A1158">
            <v>902423</v>
          </cell>
        </row>
        <row r="1159">
          <cell r="A1159">
            <v>902423</v>
          </cell>
        </row>
        <row r="1160">
          <cell r="A1160">
            <v>902423</v>
          </cell>
        </row>
        <row r="1161">
          <cell r="A1161">
            <v>902423</v>
          </cell>
        </row>
        <row r="1162">
          <cell r="A1162">
            <v>902423</v>
          </cell>
        </row>
        <row r="1163">
          <cell r="A1163">
            <v>902423</v>
          </cell>
        </row>
        <row r="1164">
          <cell r="A1164">
            <v>902423</v>
          </cell>
        </row>
        <row r="1165">
          <cell r="A1165">
            <v>902423</v>
          </cell>
        </row>
        <row r="1166">
          <cell r="A1166">
            <v>902423</v>
          </cell>
        </row>
        <row r="1167">
          <cell r="A1167">
            <v>902423</v>
          </cell>
        </row>
        <row r="1168">
          <cell r="A1168">
            <v>902423</v>
          </cell>
        </row>
        <row r="1169">
          <cell r="A1169">
            <v>902423</v>
          </cell>
        </row>
        <row r="1170">
          <cell r="A1170">
            <v>902423</v>
          </cell>
        </row>
        <row r="1171">
          <cell r="A1171">
            <v>902423</v>
          </cell>
        </row>
        <row r="1172">
          <cell r="A1172">
            <v>902423</v>
          </cell>
        </row>
        <row r="1173">
          <cell r="A1173">
            <v>902423</v>
          </cell>
        </row>
        <row r="1174">
          <cell r="A1174">
            <v>902423</v>
          </cell>
        </row>
        <row r="1175">
          <cell r="A1175">
            <v>902423</v>
          </cell>
        </row>
        <row r="1176">
          <cell r="A1176">
            <v>902423</v>
          </cell>
        </row>
        <row r="1177">
          <cell r="A1177">
            <v>902423</v>
          </cell>
        </row>
        <row r="1178">
          <cell r="A1178">
            <v>902423</v>
          </cell>
        </row>
        <row r="1179">
          <cell r="A1179">
            <v>902423</v>
          </cell>
        </row>
        <row r="1180">
          <cell r="A1180">
            <v>902423</v>
          </cell>
        </row>
        <row r="1181">
          <cell r="A1181">
            <v>902423</v>
          </cell>
        </row>
        <row r="1182">
          <cell r="A1182">
            <v>902423</v>
          </cell>
        </row>
        <row r="1183">
          <cell r="A1183">
            <v>902423</v>
          </cell>
        </row>
        <row r="1184">
          <cell r="A1184">
            <v>902423</v>
          </cell>
        </row>
        <row r="1185">
          <cell r="A1185">
            <v>902423</v>
          </cell>
        </row>
        <row r="1186">
          <cell r="A1186">
            <v>902423</v>
          </cell>
        </row>
        <row r="1187">
          <cell r="A1187">
            <v>902423</v>
          </cell>
        </row>
        <row r="1188">
          <cell r="A1188">
            <v>902423</v>
          </cell>
        </row>
        <row r="1189">
          <cell r="A1189">
            <v>902423</v>
          </cell>
        </row>
        <row r="1190">
          <cell r="A1190">
            <v>902423</v>
          </cell>
        </row>
        <row r="1191">
          <cell r="A1191">
            <v>902423</v>
          </cell>
        </row>
        <row r="1192">
          <cell r="A1192">
            <v>902423</v>
          </cell>
        </row>
        <row r="1193">
          <cell r="A1193">
            <v>902423</v>
          </cell>
        </row>
        <row r="1194">
          <cell r="A1194">
            <v>902423</v>
          </cell>
        </row>
        <row r="1195">
          <cell r="A1195">
            <v>902423</v>
          </cell>
        </row>
        <row r="1196">
          <cell r="A1196">
            <v>902423</v>
          </cell>
        </row>
        <row r="1197">
          <cell r="A1197">
            <v>902423</v>
          </cell>
        </row>
        <row r="1198">
          <cell r="A1198">
            <v>902423</v>
          </cell>
        </row>
        <row r="1199">
          <cell r="A1199">
            <v>902423</v>
          </cell>
        </row>
        <row r="1200">
          <cell r="A1200">
            <v>902423</v>
          </cell>
        </row>
        <row r="1201">
          <cell r="A1201">
            <v>902423</v>
          </cell>
        </row>
        <row r="1202">
          <cell r="A1202">
            <v>902423</v>
          </cell>
        </row>
        <row r="1203">
          <cell r="A1203">
            <v>902423</v>
          </cell>
        </row>
        <row r="1204">
          <cell r="A1204">
            <v>902423</v>
          </cell>
        </row>
        <row r="1205">
          <cell r="A1205">
            <v>902423</v>
          </cell>
        </row>
        <row r="1206">
          <cell r="A1206">
            <v>902423</v>
          </cell>
        </row>
        <row r="1207">
          <cell r="A1207">
            <v>902423</v>
          </cell>
        </row>
        <row r="1208">
          <cell r="A1208">
            <v>902423</v>
          </cell>
        </row>
        <row r="1209">
          <cell r="A1209">
            <v>902423</v>
          </cell>
        </row>
        <row r="1210">
          <cell r="A1210">
            <v>902423</v>
          </cell>
        </row>
        <row r="1211">
          <cell r="A1211">
            <v>902423</v>
          </cell>
        </row>
        <row r="1212">
          <cell r="A1212">
            <v>902423</v>
          </cell>
        </row>
        <row r="1213">
          <cell r="A1213">
            <v>902424</v>
          </cell>
        </row>
        <row r="1214">
          <cell r="A1214">
            <v>902424</v>
          </cell>
        </row>
        <row r="1215">
          <cell r="A1215">
            <v>902424</v>
          </cell>
        </row>
        <row r="1216">
          <cell r="A1216">
            <v>902424</v>
          </cell>
        </row>
        <row r="1217">
          <cell r="A1217">
            <v>902424</v>
          </cell>
        </row>
        <row r="1218">
          <cell r="A1218">
            <v>902424</v>
          </cell>
        </row>
        <row r="1219">
          <cell r="A1219">
            <v>902424</v>
          </cell>
        </row>
        <row r="1220">
          <cell r="A1220">
            <v>902424</v>
          </cell>
        </row>
        <row r="1221">
          <cell r="A1221">
            <v>902424</v>
          </cell>
        </row>
        <row r="1222">
          <cell r="A1222">
            <v>902424</v>
          </cell>
        </row>
        <row r="1223">
          <cell r="A1223">
            <v>902424</v>
          </cell>
        </row>
        <row r="1224">
          <cell r="A1224">
            <v>902424</v>
          </cell>
        </row>
        <row r="1225">
          <cell r="A1225">
            <v>902424</v>
          </cell>
        </row>
        <row r="1226">
          <cell r="A1226">
            <v>902424</v>
          </cell>
        </row>
        <row r="1227">
          <cell r="A1227">
            <v>902424</v>
          </cell>
        </row>
        <row r="1228">
          <cell r="A1228">
            <v>902424</v>
          </cell>
        </row>
        <row r="1229">
          <cell r="A1229">
            <v>902424</v>
          </cell>
        </row>
        <row r="1230">
          <cell r="A1230">
            <v>902424</v>
          </cell>
        </row>
        <row r="1231">
          <cell r="A1231">
            <v>902424</v>
          </cell>
        </row>
        <row r="1232">
          <cell r="A1232">
            <v>902424</v>
          </cell>
        </row>
        <row r="1233">
          <cell r="A1233">
            <v>902424</v>
          </cell>
        </row>
        <row r="1234">
          <cell r="A1234">
            <v>902424</v>
          </cell>
        </row>
        <row r="1235">
          <cell r="A1235">
            <v>902424</v>
          </cell>
        </row>
        <row r="1236">
          <cell r="A1236">
            <v>902424</v>
          </cell>
        </row>
        <row r="1237">
          <cell r="A1237">
            <v>902424</v>
          </cell>
        </row>
        <row r="1238">
          <cell r="A1238">
            <v>902424</v>
          </cell>
        </row>
        <row r="1239">
          <cell r="A1239">
            <v>902424</v>
          </cell>
        </row>
        <row r="1240">
          <cell r="A1240">
            <v>902424</v>
          </cell>
        </row>
        <row r="1241">
          <cell r="A1241">
            <v>902424</v>
          </cell>
        </row>
        <row r="1242">
          <cell r="A1242">
            <v>902424</v>
          </cell>
        </row>
        <row r="1243">
          <cell r="A1243">
            <v>902424</v>
          </cell>
        </row>
        <row r="1244">
          <cell r="A1244">
            <v>902424</v>
          </cell>
        </row>
        <row r="1245">
          <cell r="A1245">
            <v>902424</v>
          </cell>
        </row>
        <row r="1246">
          <cell r="A1246">
            <v>902424</v>
          </cell>
        </row>
        <row r="1247">
          <cell r="A1247">
            <v>902424</v>
          </cell>
        </row>
        <row r="1248">
          <cell r="A1248">
            <v>902424</v>
          </cell>
        </row>
        <row r="1249">
          <cell r="A1249">
            <v>902424</v>
          </cell>
        </row>
        <row r="1250">
          <cell r="A1250">
            <v>902424</v>
          </cell>
        </row>
        <row r="1251">
          <cell r="A1251">
            <v>902424</v>
          </cell>
        </row>
        <row r="1252">
          <cell r="A1252">
            <v>902424</v>
          </cell>
        </row>
        <row r="1253">
          <cell r="A1253">
            <v>902424</v>
          </cell>
        </row>
        <row r="1254">
          <cell r="A1254">
            <v>902424</v>
          </cell>
        </row>
        <row r="1255">
          <cell r="A1255">
            <v>902424</v>
          </cell>
        </row>
        <row r="1256">
          <cell r="A1256">
            <v>902424</v>
          </cell>
        </row>
        <row r="1257">
          <cell r="A1257">
            <v>902433</v>
          </cell>
        </row>
        <row r="1258">
          <cell r="A1258">
            <v>902433</v>
          </cell>
        </row>
        <row r="1259">
          <cell r="A1259">
            <v>902433</v>
          </cell>
        </row>
        <row r="1260">
          <cell r="A1260">
            <v>902433</v>
          </cell>
        </row>
        <row r="1261">
          <cell r="A1261">
            <v>902444</v>
          </cell>
        </row>
        <row r="1262">
          <cell r="A1262">
            <v>902444</v>
          </cell>
        </row>
        <row r="1263">
          <cell r="A1263">
            <v>902444</v>
          </cell>
        </row>
        <row r="1264">
          <cell r="A1264">
            <v>902444</v>
          </cell>
        </row>
        <row r="1265">
          <cell r="A1265">
            <v>902444</v>
          </cell>
        </row>
        <row r="1266">
          <cell r="A1266">
            <v>902444</v>
          </cell>
        </row>
        <row r="1267">
          <cell r="A1267">
            <v>902444</v>
          </cell>
        </row>
        <row r="1268">
          <cell r="A1268">
            <v>902444</v>
          </cell>
        </row>
        <row r="1269">
          <cell r="A1269">
            <v>902445</v>
          </cell>
        </row>
        <row r="1270">
          <cell r="A1270">
            <v>902445</v>
          </cell>
        </row>
        <row r="1271">
          <cell r="A1271">
            <v>902446</v>
          </cell>
        </row>
        <row r="1272">
          <cell r="A1272">
            <v>902446</v>
          </cell>
        </row>
        <row r="1273">
          <cell r="A1273">
            <v>902453</v>
          </cell>
        </row>
        <row r="1274">
          <cell r="A1274">
            <v>902453</v>
          </cell>
        </row>
        <row r="1275">
          <cell r="A1275">
            <v>902453</v>
          </cell>
        </row>
        <row r="1276">
          <cell r="A1276">
            <v>902463</v>
          </cell>
        </row>
        <row r="1277">
          <cell r="A1277">
            <v>902464</v>
          </cell>
        </row>
        <row r="1278">
          <cell r="A1278">
            <v>902467</v>
          </cell>
        </row>
        <row r="1279">
          <cell r="A1279">
            <v>902467</v>
          </cell>
        </row>
        <row r="1280">
          <cell r="A1280">
            <v>902467</v>
          </cell>
        </row>
        <row r="1281">
          <cell r="A1281">
            <v>902467</v>
          </cell>
        </row>
        <row r="1282">
          <cell r="A1282">
            <v>902467</v>
          </cell>
        </row>
        <row r="1283">
          <cell r="A1283">
            <v>902467</v>
          </cell>
        </row>
        <row r="1284">
          <cell r="A1284">
            <v>902467</v>
          </cell>
        </row>
        <row r="1285">
          <cell r="A1285">
            <v>902467</v>
          </cell>
        </row>
        <row r="1286">
          <cell r="A1286">
            <v>902467</v>
          </cell>
        </row>
        <row r="1287">
          <cell r="A1287">
            <v>902467</v>
          </cell>
        </row>
        <row r="1288">
          <cell r="A1288">
            <v>902471</v>
          </cell>
        </row>
        <row r="1289">
          <cell r="A1289">
            <v>902471</v>
          </cell>
        </row>
        <row r="1290">
          <cell r="A1290">
            <v>902474</v>
          </cell>
        </row>
        <row r="1291">
          <cell r="A1291">
            <v>902474</v>
          </cell>
        </row>
        <row r="1292">
          <cell r="A1292">
            <v>902477</v>
          </cell>
        </row>
        <row r="1293">
          <cell r="A1293">
            <v>902477</v>
          </cell>
        </row>
        <row r="1294">
          <cell r="A1294">
            <v>902478</v>
          </cell>
        </row>
        <row r="1295">
          <cell r="A1295">
            <v>902478</v>
          </cell>
        </row>
        <row r="1296">
          <cell r="A1296">
            <v>902478</v>
          </cell>
        </row>
        <row r="1297">
          <cell r="A1297">
            <v>902478</v>
          </cell>
        </row>
        <row r="1298">
          <cell r="A1298">
            <v>902478</v>
          </cell>
        </row>
        <row r="1299">
          <cell r="A1299">
            <v>902478</v>
          </cell>
        </row>
        <row r="1300">
          <cell r="A1300">
            <v>902478</v>
          </cell>
        </row>
        <row r="1301">
          <cell r="A1301">
            <v>902478</v>
          </cell>
        </row>
        <row r="1302">
          <cell r="A1302">
            <v>902478</v>
          </cell>
        </row>
        <row r="1303">
          <cell r="A1303">
            <v>902478</v>
          </cell>
        </row>
        <row r="1304">
          <cell r="A1304">
            <v>902478</v>
          </cell>
        </row>
        <row r="1305">
          <cell r="A1305">
            <v>902478</v>
          </cell>
        </row>
        <row r="1306">
          <cell r="A1306">
            <v>902478</v>
          </cell>
        </row>
        <row r="1307">
          <cell r="A1307">
            <v>902478</v>
          </cell>
        </row>
        <row r="1308">
          <cell r="A1308">
            <v>902478</v>
          </cell>
        </row>
        <row r="1309">
          <cell r="A1309">
            <v>902478</v>
          </cell>
        </row>
        <row r="1310">
          <cell r="A1310">
            <v>902478</v>
          </cell>
        </row>
        <row r="1311">
          <cell r="A1311">
            <v>902478</v>
          </cell>
        </row>
        <row r="1312">
          <cell r="A1312">
            <v>902478</v>
          </cell>
        </row>
        <row r="1313">
          <cell r="A1313">
            <v>902478</v>
          </cell>
        </row>
        <row r="1314">
          <cell r="A1314">
            <v>902478</v>
          </cell>
        </row>
        <row r="1315">
          <cell r="A1315">
            <v>902478</v>
          </cell>
        </row>
        <row r="1316">
          <cell r="A1316">
            <v>902478</v>
          </cell>
        </row>
        <row r="1317">
          <cell r="A1317">
            <v>902478</v>
          </cell>
        </row>
        <row r="1318">
          <cell r="A1318">
            <v>902478</v>
          </cell>
        </row>
        <row r="1319">
          <cell r="A1319">
            <v>902482</v>
          </cell>
        </row>
        <row r="1320">
          <cell r="A1320">
            <v>902482</v>
          </cell>
        </row>
        <row r="1321">
          <cell r="A1321">
            <v>902482</v>
          </cell>
        </row>
        <row r="1322">
          <cell r="A1322">
            <v>902482</v>
          </cell>
        </row>
        <row r="1323">
          <cell r="A1323">
            <v>902482</v>
          </cell>
        </row>
        <row r="1324">
          <cell r="A1324">
            <v>902482</v>
          </cell>
        </row>
        <row r="1325">
          <cell r="A1325">
            <v>902482</v>
          </cell>
        </row>
        <row r="1326">
          <cell r="A1326">
            <v>902491</v>
          </cell>
        </row>
        <row r="1327">
          <cell r="A1327">
            <v>902491</v>
          </cell>
        </row>
        <row r="1328">
          <cell r="A1328">
            <v>902758</v>
          </cell>
        </row>
        <row r="1329">
          <cell r="A1329">
            <v>902758</v>
          </cell>
        </row>
        <row r="1330">
          <cell r="A1330">
            <v>902758</v>
          </cell>
        </row>
        <row r="1331">
          <cell r="A1331">
            <v>902758</v>
          </cell>
        </row>
        <row r="1332">
          <cell r="A1332">
            <v>902758</v>
          </cell>
        </row>
        <row r="1333">
          <cell r="A1333">
            <v>902758</v>
          </cell>
        </row>
        <row r="1334">
          <cell r="A1334">
            <v>902758</v>
          </cell>
        </row>
        <row r="1335">
          <cell r="A1335">
            <v>902758</v>
          </cell>
        </row>
        <row r="1336">
          <cell r="A1336">
            <v>902758</v>
          </cell>
        </row>
        <row r="1337">
          <cell r="A1337">
            <v>902792</v>
          </cell>
        </row>
        <row r="1338">
          <cell r="A1338">
            <v>902793</v>
          </cell>
        </row>
        <row r="1339">
          <cell r="A1339">
            <v>902795</v>
          </cell>
        </row>
        <row r="1340">
          <cell r="A1340">
            <v>902795</v>
          </cell>
        </row>
        <row r="1341">
          <cell r="A1341">
            <v>902795</v>
          </cell>
        </row>
        <row r="1342">
          <cell r="A1342">
            <v>902795</v>
          </cell>
        </row>
        <row r="1343">
          <cell r="A1343">
            <v>902795</v>
          </cell>
        </row>
        <row r="1344">
          <cell r="A1344">
            <v>902795</v>
          </cell>
        </row>
        <row r="1345">
          <cell r="A1345">
            <v>902806</v>
          </cell>
        </row>
        <row r="1346">
          <cell r="A1346">
            <v>902808</v>
          </cell>
        </row>
        <row r="1347">
          <cell r="A1347">
            <v>902808</v>
          </cell>
        </row>
        <row r="1348">
          <cell r="A1348">
            <v>902808</v>
          </cell>
        </row>
        <row r="1349">
          <cell r="A1349">
            <v>902808</v>
          </cell>
        </row>
        <row r="1350">
          <cell r="A1350">
            <v>902810</v>
          </cell>
        </row>
        <row r="1351">
          <cell r="A1351">
            <v>902810</v>
          </cell>
        </row>
        <row r="1352">
          <cell r="A1352">
            <v>902810</v>
          </cell>
        </row>
        <row r="1353">
          <cell r="A1353">
            <v>902810</v>
          </cell>
        </row>
        <row r="1354">
          <cell r="A1354">
            <v>902810</v>
          </cell>
        </row>
        <row r="1355">
          <cell r="A1355">
            <v>902810</v>
          </cell>
        </row>
        <row r="1356">
          <cell r="A1356">
            <v>902810</v>
          </cell>
        </row>
        <row r="1357">
          <cell r="A1357">
            <v>902810</v>
          </cell>
        </row>
        <row r="1358">
          <cell r="A1358">
            <v>902810</v>
          </cell>
        </row>
        <row r="1359">
          <cell r="A1359">
            <v>902810</v>
          </cell>
        </row>
        <row r="1360">
          <cell r="A1360">
            <v>902810</v>
          </cell>
        </row>
        <row r="1361">
          <cell r="A1361">
            <v>902810</v>
          </cell>
        </row>
        <row r="1362">
          <cell r="A1362">
            <v>902810</v>
          </cell>
        </row>
        <row r="1363">
          <cell r="A1363">
            <v>902810</v>
          </cell>
        </row>
        <row r="1364">
          <cell r="A1364">
            <v>902810</v>
          </cell>
        </row>
        <row r="1365">
          <cell r="A1365">
            <v>902810</v>
          </cell>
        </row>
        <row r="1366">
          <cell r="A1366">
            <v>902810</v>
          </cell>
        </row>
        <row r="1367">
          <cell r="A1367">
            <v>902810</v>
          </cell>
        </row>
        <row r="1368">
          <cell r="A1368">
            <v>902816</v>
          </cell>
        </row>
        <row r="1369">
          <cell r="A1369">
            <v>902816</v>
          </cell>
        </row>
        <row r="1370">
          <cell r="A1370">
            <v>902816</v>
          </cell>
        </row>
        <row r="1371">
          <cell r="A1371">
            <v>902816</v>
          </cell>
        </row>
        <row r="1372">
          <cell r="A1372">
            <v>902816</v>
          </cell>
        </row>
        <row r="1373">
          <cell r="A1373">
            <v>902816</v>
          </cell>
        </row>
        <row r="1374">
          <cell r="A1374">
            <v>902816</v>
          </cell>
        </row>
        <row r="1375">
          <cell r="A1375">
            <v>902826</v>
          </cell>
        </row>
        <row r="1376">
          <cell r="A1376">
            <v>902826</v>
          </cell>
        </row>
        <row r="1377">
          <cell r="A1377">
            <v>902826</v>
          </cell>
        </row>
        <row r="1378">
          <cell r="A1378">
            <v>902826</v>
          </cell>
        </row>
        <row r="1379">
          <cell r="A1379">
            <v>902826</v>
          </cell>
        </row>
        <row r="1380">
          <cell r="A1380">
            <v>902826</v>
          </cell>
        </row>
        <row r="1381">
          <cell r="A1381">
            <v>902827</v>
          </cell>
        </row>
        <row r="1382">
          <cell r="A1382">
            <v>902827</v>
          </cell>
        </row>
        <row r="1383">
          <cell r="A1383">
            <v>902827</v>
          </cell>
        </row>
        <row r="1384">
          <cell r="A1384">
            <v>902828</v>
          </cell>
        </row>
        <row r="1385">
          <cell r="A1385">
            <v>902828</v>
          </cell>
        </row>
        <row r="1386">
          <cell r="A1386">
            <v>902828</v>
          </cell>
        </row>
        <row r="1387">
          <cell r="A1387">
            <v>902829</v>
          </cell>
        </row>
        <row r="1388">
          <cell r="A1388">
            <v>902835</v>
          </cell>
        </row>
        <row r="1389">
          <cell r="A1389">
            <v>902835</v>
          </cell>
        </row>
        <row r="1390">
          <cell r="A1390">
            <v>902835</v>
          </cell>
        </row>
        <row r="1391">
          <cell r="A1391">
            <v>902835</v>
          </cell>
        </row>
        <row r="1392">
          <cell r="A1392">
            <v>902835</v>
          </cell>
        </row>
        <row r="1393">
          <cell r="A1393">
            <v>902835</v>
          </cell>
        </row>
        <row r="1394">
          <cell r="A1394">
            <v>902835</v>
          </cell>
        </row>
        <row r="1395">
          <cell r="A1395">
            <v>902835</v>
          </cell>
        </row>
        <row r="1396">
          <cell r="A1396">
            <v>902835</v>
          </cell>
        </row>
        <row r="1397">
          <cell r="A1397">
            <v>902835</v>
          </cell>
        </row>
        <row r="1398">
          <cell r="A1398">
            <v>902835</v>
          </cell>
        </row>
        <row r="1399">
          <cell r="A1399">
            <v>902835</v>
          </cell>
        </row>
        <row r="1400">
          <cell r="A1400">
            <v>902835</v>
          </cell>
        </row>
        <row r="1401">
          <cell r="A1401">
            <v>902835</v>
          </cell>
        </row>
        <row r="1402">
          <cell r="A1402">
            <v>902835</v>
          </cell>
        </row>
        <row r="1403">
          <cell r="A1403">
            <v>902835</v>
          </cell>
        </row>
        <row r="1404">
          <cell r="A1404">
            <v>902835</v>
          </cell>
        </row>
        <row r="1405">
          <cell r="A1405">
            <v>902835</v>
          </cell>
        </row>
        <row r="1406">
          <cell r="A1406">
            <v>902835</v>
          </cell>
        </row>
        <row r="1407">
          <cell r="A1407">
            <v>902835</v>
          </cell>
        </row>
        <row r="1408">
          <cell r="A1408">
            <v>902835</v>
          </cell>
        </row>
        <row r="1409">
          <cell r="A1409">
            <v>902835</v>
          </cell>
        </row>
        <row r="1410">
          <cell r="A1410">
            <v>902835</v>
          </cell>
        </row>
        <row r="1411">
          <cell r="A1411">
            <v>902835</v>
          </cell>
        </row>
        <row r="1412">
          <cell r="A1412">
            <v>902835</v>
          </cell>
        </row>
        <row r="1413">
          <cell r="A1413">
            <v>902835</v>
          </cell>
        </row>
        <row r="1414">
          <cell r="A1414">
            <v>902835</v>
          </cell>
        </row>
        <row r="1415">
          <cell r="A1415">
            <v>902835</v>
          </cell>
        </row>
        <row r="1416">
          <cell r="A1416">
            <v>902835</v>
          </cell>
        </row>
        <row r="1417">
          <cell r="A1417">
            <v>902835</v>
          </cell>
        </row>
        <row r="1418">
          <cell r="A1418">
            <v>902835</v>
          </cell>
        </row>
        <row r="1419">
          <cell r="A1419">
            <v>902835</v>
          </cell>
        </row>
        <row r="1420">
          <cell r="A1420">
            <v>902835</v>
          </cell>
        </row>
        <row r="1421">
          <cell r="A1421">
            <v>902835</v>
          </cell>
        </row>
        <row r="1422">
          <cell r="A1422">
            <v>902835</v>
          </cell>
        </row>
        <row r="1423">
          <cell r="A1423">
            <v>902835</v>
          </cell>
        </row>
        <row r="1424">
          <cell r="A1424">
            <v>902835</v>
          </cell>
        </row>
        <row r="1425">
          <cell r="A1425">
            <v>902835</v>
          </cell>
        </row>
        <row r="1426">
          <cell r="A1426">
            <v>902835</v>
          </cell>
        </row>
        <row r="1427">
          <cell r="A1427">
            <v>902835</v>
          </cell>
        </row>
        <row r="1428">
          <cell r="A1428">
            <v>902835</v>
          </cell>
        </row>
        <row r="1429">
          <cell r="A1429">
            <v>902835</v>
          </cell>
        </row>
        <row r="1430">
          <cell r="A1430">
            <v>902835</v>
          </cell>
        </row>
        <row r="1431">
          <cell r="A1431">
            <v>902857</v>
          </cell>
        </row>
        <row r="1432">
          <cell r="A1432">
            <v>902857</v>
          </cell>
        </row>
        <row r="1433">
          <cell r="A1433">
            <v>902857</v>
          </cell>
        </row>
        <row r="1434">
          <cell r="A1434">
            <v>999999</v>
          </cell>
        </row>
        <row r="1435">
          <cell r="A1435">
            <v>999999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89956-1B1C-48C3-97FC-9AE6F51AE99A}">
  <sheetPr>
    <tabColor rgb="FFFF0000"/>
  </sheetPr>
  <dimension ref="A1:S315"/>
  <sheetViews>
    <sheetView tabSelected="1" workbookViewId="0">
      <pane xSplit="3" ySplit="1" topLeftCell="D150" activePane="bottomRight" state="frozen"/>
      <selection pane="topRight" activeCell="C1" sqref="C1"/>
      <selection pane="bottomLeft" activeCell="A3" sqref="A3"/>
      <selection pane="bottomRight" activeCell="B1" sqref="B1:B1048576"/>
    </sheetView>
  </sheetViews>
  <sheetFormatPr defaultRowHeight="17"/>
  <cols>
    <col min="1" max="1" width="8.7265625" style="18"/>
    <col min="2" max="2" width="8.7265625" style="35"/>
    <col min="3" max="3" width="22.26953125" style="18" customWidth="1"/>
    <col min="4" max="4" width="5.453125" style="18" customWidth="1"/>
    <col min="5" max="13" width="6.7265625" style="18" bestFit="1" customWidth="1"/>
    <col min="14" max="16" width="7.90625" style="18" bestFit="1" customWidth="1"/>
    <col min="17" max="17" width="10.54296875" style="36" customWidth="1"/>
    <col min="18" max="18" width="7.453125" style="37" customWidth="1"/>
    <col min="19" max="19" width="7.453125" style="35" customWidth="1"/>
    <col min="20" max="16384" width="8.7265625" style="18"/>
  </cols>
  <sheetData>
    <row r="1" spans="1:19" s="10" customFormat="1" ht="26.5" customHeight="1" thickBot="1">
      <c r="A1" s="1" t="s">
        <v>0</v>
      </c>
      <c r="B1" s="47" t="s">
        <v>607</v>
      </c>
      <c r="C1" s="2" t="s">
        <v>608</v>
      </c>
      <c r="D1" s="2" t="s">
        <v>575</v>
      </c>
      <c r="E1" s="3">
        <v>1</v>
      </c>
      <c r="F1" s="4">
        <v>2</v>
      </c>
      <c r="G1" s="4">
        <v>3</v>
      </c>
      <c r="H1" s="4">
        <v>4</v>
      </c>
      <c r="I1" s="4">
        <v>5</v>
      </c>
      <c r="J1" s="4">
        <v>6</v>
      </c>
      <c r="K1" s="4">
        <v>7</v>
      </c>
      <c r="L1" s="4">
        <v>8</v>
      </c>
      <c r="M1" s="4">
        <v>9</v>
      </c>
      <c r="N1" s="4">
        <v>10</v>
      </c>
      <c r="O1" s="5">
        <v>11</v>
      </c>
      <c r="P1" s="6">
        <v>12</v>
      </c>
      <c r="Q1" s="7" t="s">
        <v>576</v>
      </c>
      <c r="R1" s="8" t="s">
        <v>577</v>
      </c>
      <c r="S1" s="9" t="s">
        <v>578</v>
      </c>
    </row>
    <row r="2" spans="1:19" ht="17.5" thickBot="1">
      <c r="A2" s="11" t="s">
        <v>601</v>
      </c>
      <c r="B2" s="12" t="s">
        <v>1</v>
      </c>
      <c r="C2" s="13" t="s">
        <v>2</v>
      </c>
      <c r="D2" s="14" t="s">
        <v>579</v>
      </c>
      <c r="E2" s="38">
        <f>VLOOKUP($B2,DATA!$C:$AF,E$1+4,FALSE)</f>
        <v>0</v>
      </c>
      <c r="F2" s="38">
        <f>VLOOKUP($B2,DATA!$C:$AF,F$1+4,FALSE)</f>
        <v>0</v>
      </c>
      <c r="G2" s="38">
        <f>VLOOKUP($B2,DATA!$C:$AF,G$1+4,FALSE)</f>
        <v>0</v>
      </c>
      <c r="H2" s="38">
        <f>VLOOKUP($B2,DATA!$C:$AF,H$1+4,FALSE)</f>
        <v>0</v>
      </c>
      <c r="I2" s="38">
        <f>VLOOKUP($B2,DATA!$C:$AF,I$1+4,FALSE)</f>
        <v>0</v>
      </c>
      <c r="J2" s="38">
        <f>VLOOKUP($B2,DATA!$C:$AF,J$1+4,FALSE)</f>
        <v>0</v>
      </c>
      <c r="K2" s="38">
        <f>VLOOKUP($B2,DATA!$C:$AF,K$1+4,FALSE)</f>
        <v>0</v>
      </c>
      <c r="L2" s="38">
        <f>VLOOKUP($B2,DATA!$C:$AF,L$1+4,FALSE)</f>
        <v>0</v>
      </c>
      <c r="M2" s="38">
        <f>VLOOKUP($B2,DATA!$C:$AF,M$1+4,FALSE)</f>
        <v>0</v>
      </c>
      <c r="N2" s="38">
        <f>VLOOKUP($B2,DATA!$C:$AF,N$1+4,FALSE)</f>
        <v>0</v>
      </c>
      <c r="O2" s="38">
        <f>VLOOKUP($B2,DATA!$C:$AF,O$1+4,FALSE)</f>
        <v>0</v>
      </c>
      <c r="P2" s="38">
        <f>VLOOKUP($B2,DATA!$C:$AF,P$1+4,FALSE)</f>
        <v>0</v>
      </c>
      <c r="Q2" s="16">
        <f t="shared" ref="Q2:Q65" si="0">COUNTIF(E2:P2,"P")</f>
        <v>0</v>
      </c>
      <c r="R2" s="17">
        <v>0</v>
      </c>
      <c r="S2" s="17">
        <f>IF(R2=0,0,IF(R2&lt;=8,15,10))</f>
        <v>0</v>
      </c>
    </row>
    <row r="3" spans="1:19" ht="17.5" thickBot="1">
      <c r="A3" s="11" t="s">
        <v>601</v>
      </c>
      <c r="B3" s="19" t="s">
        <v>3</v>
      </c>
      <c r="C3" s="20" t="s">
        <v>4</v>
      </c>
      <c r="D3" s="14" t="s">
        <v>580</v>
      </c>
      <c r="E3" s="38">
        <f>VLOOKUP($B3,DATA!$C:$AF,E$1+4,FALSE)</f>
        <v>0</v>
      </c>
      <c r="F3" s="38">
        <f>VLOOKUP($B3,DATA!$C:$AF,F$1+4,FALSE)</f>
        <v>0</v>
      </c>
      <c r="G3" s="38">
        <f>VLOOKUP($B3,DATA!$C:$AF,G$1+4,FALSE)</f>
        <v>0</v>
      </c>
      <c r="H3" s="38">
        <f>VLOOKUP($B3,DATA!$C:$AF,H$1+4,FALSE)</f>
        <v>0</v>
      </c>
      <c r="I3" s="38">
        <f>VLOOKUP($B3,DATA!$C:$AF,I$1+4,FALSE)</f>
        <v>0</v>
      </c>
      <c r="J3" s="38">
        <f>VLOOKUP($B3,DATA!$C:$AF,J$1+4,FALSE)</f>
        <v>0</v>
      </c>
      <c r="K3" s="38">
        <f>VLOOKUP($B3,DATA!$C:$AF,K$1+4,FALSE)</f>
        <v>0</v>
      </c>
      <c r="L3" s="38">
        <f>VLOOKUP($B3,DATA!$C:$AF,L$1+4,FALSE)</f>
        <v>0</v>
      </c>
      <c r="M3" s="38">
        <f>VLOOKUP($B3,DATA!$C:$AF,M$1+4,FALSE)</f>
        <v>0</v>
      </c>
      <c r="N3" s="38">
        <f>VLOOKUP($B3,DATA!$C:$AF,N$1+4,FALSE)</f>
        <v>0</v>
      </c>
      <c r="O3" s="38">
        <f>VLOOKUP($B3,DATA!$C:$AF,O$1+4,FALSE)</f>
        <v>0</v>
      </c>
      <c r="P3" s="38">
        <f>VLOOKUP($B3,DATA!$C:$AF,P$1+4,FALSE)</f>
        <v>0</v>
      </c>
      <c r="Q3" s="16">
        <f t="shared" si="0"/>
        <v>0</v>
      </c>
      <c r="R3" s="17">
        <v>0</v>
      </c>
      <c r="S3" s="17">
        <f t="shared" ref="S3:S66" si="1">IF(R3=0,0,IF(R3&lt;=8,15,10))</f>
        <v>0</v>
      </c>
    </row>
    <row r="4" spans="1:19" ht="17.5" thickBot="1">
      <c r="A4" s="11" t="s">
        <v>601</v>
      </c>
      <c r="B4" s="19" t="s">
        <v>5</v>
      </c>
      <c r="C4" s="13" t="s">
        <v>6</v>
      </c>
      <c r="D4" s="14" t="s">
        <v>580</v>
      </c>
      <c r="E4" s="38">
        <f>VLOOKUP($B4,DATA!$C:$AF,E$1+4,FALSE)</f>
        <v>0</v>
      </c>
      <c r="F4" s="38">
        <f>VLOOKUP($B4,DATA!$C:$AF,F$1+4,FALSE)</f>
        <v>0</v>
      </c>
      <c r="G4" s="38">
        <f>VLOOKUP($B4,DATA!$C:$AF,G$1+4,FALSE)</f>
        <v>0</v>
      </c>
      <c r="H4" s="38">
        <f>VLOOKUP($B4,DATA!$C:$AF,H$1+4,FALSE)</f>
        <v>0</v>
      </c>
      <c r="I4" s="38">
        <f>VLOOKUP($B4,DATA!$C:$AF,I$1+4,FALSE)</f>
        <v>0</v>
      </c>
      <c r="J4" s="38">
        <f>VLOOKUP($B4,DATA!$C:$AF,J$1+4,FALSE)</f>
        <v>0</v>
      </c>
      <c r="K4" s="38">
        <f>VLOOKUP($B4,DATA!$C:$AF,K$1+4,FALSE)</f>
        <v>0</v>
      </c>
      <c r="L4" s="38">
        <f>VLOOKUP($B4,DATA!$C:$AF,L$1+4,FALSE)</f>
        <v>0</v>
      </c>
      <c r="M4" s="38">
        <f>VLOOKUP($B4,DATA!$C:$AF,M$1+4,FALSE)</f>
        <v>0</v>
      </c>
      <c r="N4" s="38">
        <f>VLOOKUP($B4,DATA!$C:$AF,N$1+4,FALSE)</f>
        <v>0</v>
      </c>
      <c r="O4" s="38">
        <f>VLOOKUP($B4,DATA!$C:$AF,O$1+4,FALSE)</f>
        <v>0</v>
      </c>
      <c r="P4" s="38">
        <f>VLOOKUP($B4,DATA!$C:$AF,P$1+4,FALSE)</f>
        <v>0</v>
      </c>
      <c r="Q4" s="16">
        <f t="shared" si="0"/>
        <v>0</v>
      </c>
      <c r="R4" s="17">
        <v>0</v>
      </c>
      <c r="S4" s="17">
        <f t="shared" si="1"/>
        <v>0</v>
      </c>
    </row>
    <row r="5" spans="1:19" ht="17.5" thickBot="1">
      <c r="A5" s="11" t="s">
        <v>601</v>
      </c>
      <c r="B5" s="19" t="s">
        <v>7</v>
      </c>
      <c r="C5" s="13" t="s">
        <v>8</v>
      </c>
      <c r="D5" s="14" t="s">
        <v>580</v>
      </c>
      <c r="E5" s="38">
        <f>VLOOKUP($B5,DATA!$C:$AF,E$1+4,FALSE)</f>
        <v>0</v>
      </c>
      <c r="F5" s="38">
        <f>VLOOKUP($B5,DATA!$C:$AF,F$1+4,FALSE)</f>
        <v>0</v>
      </c>
      <c r="G5" s="38">
        <f>VLOOKUP($B5,DATA!$C:$AF,G$1+4,FALSE)</f>
        <v>0</v>
      </c>
      <c r="H5" s="38">
        <f>VLOOKUP($B5,DATA!$C:$AF,H$1+4,FALSE)</f>
        <v>0</v>
      </c>
      <c r="I5" s="38">
        <f>VLOOKUP($B5,DATA!$C:$AF,I$1+4,FALSE)</f>
        <v>0</v>
      </c>
      <c r="J5" s="38">
        <f>VLOOKUP($B5,DATA!$C:$AF,J$1+4,FALSE)</f>
        <v>0</v>
      </c>
      <c r="K5" s="38">
        <f>VLOOKUP($B5,DATA!$C:$AF,K$1+4,FALSE)</f>
        <v>0</v>
      </c>
      <c r="L5" s="38">
        <f>VLOOKUP($B5,DATA!$C:$AF,L$1+4,FALSE)</f>
        <v>0</v>
      </c>
      <c r="M5" s="38">
        <f>VLOOKUP($B5,DATA!$C:$AF,M$1+4,FALSE)</f>
        <v>0</v>
      </c>
      <c r="N5" s="38">
        <f>VLOOKUP($B5,DATA!$C:$AF,N$1+4,FALSE)</f>
        <v>0</v>
      </c>
      <c r="O5" s="38">
        <f>VLOOKUP($B5,DATA!$C:$AF,O$1+4,FALSE)</f>
        <v>0</v>
      </c>
      <c r="P5" s="38">
        <f>VLOOKUP($B5,DATA!$C:$AF,P$1+4,FALSE)</f>
        <v>0</v>
      </c>
      <c r="Q5" s="16">
        <f t="shared" si="0"/>
        <v>0</v>
      </c>
      <c r="R5" s="17">
        <v>0</v>
      </c>
      <c r="S5" s="17">
        <f t="shared" si="1"/>
        <v>0</v>
      </c>
    </row>
    <row r="6" spans="1:19" ht="17.5" thickBot="1">
      <c r="A6" s="11" t="s">
        <v>602</v>
      </c>
      <c r="B6" s="13" t="s">
        <v>9</v>
      </c>
      <c r="C6" s="13" t="s">
        <v>10</v>
      </c>
      <c r="D6" s="14" t="s">
        <v>579</v>
      </c>
      <c r="E6" s="38">
        <f>VLOOKUP($B6,DATA!$C:$AF,E$1+4,FALSE)</f>
        <v>0</v>
      </c>
      <c r="F6" s="38">
        <f>VLOOKUP($B6,DATA!$C:$AF,F$1+4,FALSE)</f>
        <v>0</v>
      </c>
      <c r="G6" s="38">
        <f>VLOOKUP($B6,DATA!$C:$AF,G$1+4,FALSE)</f>
        <v>0</v>
      </c>
      <c r="H6" s="38">
        <f>VLOOKUP($B6,DATA!$C:$AF,H$1+4,FALSE)</f>
        <v>0</v>
      </c>
      <c r="I6" s="38">
        <f>VLOOKUP($B6,DATA!$C:$AF,I$1+4,FALSE)</f>
        <v>0</v>
      </c>
      <c r="J6" s="38">
        <f>VLOOKUP($B6,DATA!$C:$AF,J$1+4,FALSE)</f>
        <v>0</v>
      </c>
      <c r="K6" s="38">
        <f>VLOOKUP($B6,DATA!$C:$AF,K$1+4,FALSE)</f>
        <v>0</v>
      </c>
      <c r="L6" s="38">
        <f>VLOOKUP($B6,DATA!$C:$AF,L$1+4,FALSE)</f>
        <v>0</v>
      </c>
      <c r="M6" s="38">
        <f>VLOOKUP($B6,DATA!$C:$AF,M$1+4,FALSE)</f>
        <v>0</v>
      </c>
      <c r="N6" s="38">
        <f>VLOOKUP($B6,DATA!$C:$AF,N$1+4,FALSE)</f>
        <v>0</v>
      </c>
      <c r="O6" s="38">
        <f>VLOOKUP($B6,DATA!$C:$AF,O$1+4,FALSE)</f>
        <v>0</v>
      </c>
      <c r="P6" s="38">
        <f>VLOOKUP($B6,DATA!$C:$AF,P$1+4,FALSE)</f>
        <v>0</v>
      </c>
      <c r="Q6" s="16">
        <f t="shared" si="0"/>
        <v>0</v>
      </c>
      <c r="R6" s="17">
        <v>0</v>
      </c>
      <c r="S6" s="17">
        <f t="shared" si="1"/>
        <v>0</v>
      </c>
    </row>
    <row r="7" spans="1:19" ht="17.5" thickBot="1">
      <c r="A7" s="11" t="s">
        <v>602</v>
      </c>
      <c r="B7" s="21" t="s">
        <v>11</v>
      </c>
      <c r="C7" s="13" t="s">
        <v>12</v>
      </c>
      <c r="D7" s="14" t="s">
        <v>579</v>
      </c>
      <c r="E7" s="38">
        <f>VLOOKUP($B7,DATA!$C:$AF,E$1+4,FALSE)</f>
        <v>0</v>
      </c>
      <c r="F7" s="38">
        <f>VLOOKUP($B7,DATA!$C:$AF,F$1+4,FALSE)</f>
        <v>0</v>
      </c>
      <c r="G7" s="38">
        <f>VLOOKUP($B7,DATA!$C:$AF,G$1+4,FALSE)</f>
        <v>0</v>
      </c>
      <c r="H7" s="38">
        <f>VLOOKUP($B7,DATA!$C:$AF,H$1+4,FALSE)</f>
        <v>0</v>
      </c>
      <c r="I7" s="38">
        <f>VLOOKUP($B7,DATA!$C:$AF,I$1+4,FALSE)</f>
        <v>0</v>
      </c>
      <c r="J7" s="38">
        <f>VLOOKUP($B7,DATA!$C:$AF,J$1+4,FALSE)</f>
        <v>0</v>
      </c>
      <c r="K7" s="38">
        <f>VLOOKUP($B7,DATA!$C:$AF,K$1+4,FALSE)</f>
        <v>0</v>
      </c>
      <c r="L7" s="38">
        <f>VLOOKUP($B7,DATA!$C:$AF,L$1+4,FALSE)</f>
        <v>0</v>
      </c>
      <c r="M7" s="38">
        <f>VLOOKUP($B7,DATA!$C:$AF,M$1+4,FALSE)</f>
        <v>0</v>
      </c>
      <c r="N7" s="38">
        <f>VLOOKUP($B7,DATA!$C:$AF,N$1+4,FALSE)</f>
        <v>0</v>
      </c>
      <c r="O7" s="38">
        <f>VLOOKUP($B7,DATA!$C:$AF,O$1+4,FALSE)</f>
        <v>0</v>
      </c>
      <c r="P7" s="38">
        <f>VLOOKUP($B7,DATA!$C:$AF,P$1+4,FALSE)</f>
        <v>0</v>
      </c>
      <c r="Q7" s="16">
        <f t="shared" si="0"/>
        <v>0</v>
      </c>
      <c r="R7" s="17">
        <v>0</v>
      </c>
      <c r="S7" s="17">
        <f t="shared" si="1"/>
        <v>0</v>
      </c>
    </row>
    <row r="8" spans="1:19" ht="17.5" thickBot="1">
      <c r="A8" s="11" t="s">
        <v>602</v>
      </c>
      <c r="B8" s="21" t="s">
        <v>13</v>
      </c>
      <c r="C8" s="13" t="s">
        <v>14</v>
      </c>
      <c r="D8" s="14" t="s">
        <v>579</v>
      </c>
      <c r="E8" s="38">
        <f>VLOOKUP($B8,DATA!$C:$AF,E$1+4,FALSE)</f>
        <v>0</v>
      </c>
      <c r="F8" s="38">
        <f>VLOOKUP($B8,DATA!$C:$AF,F$1+4,FALSE)</f>
        <v>0</v>
      </c>
      <c r="G8" s="38">
        <f>VLOOKUP($B8,DATA!$C:$AF,G$1+4,FALSE)</f>
        <v>0</v>
      </c>
      <c r="H8" s="38">
        <f>VLOOKUP($B8,DATA!$C:$AF,H$1+4,FALSE)</f>
        <v>0</v>
      </c>
      <c r="I8" s="38">
        <f>VLOOKUP($B8,DATA!$C:$AF,I$1+4,FALSE)</f>
        <v>0</v>
      </c>
      <c r="J8" s="38">
        <f>VLOOKUP($B8,DATA!$C:$AF,J$1+4,FALSE)</f>
        <v>0</v>
      </c>
      <c r="K8" s="38">
        <f>VLOOKUP($B8,DATA!$C:$AF,K$1+4,FALSE)</f>
        <v>0</v>
      </c>
      <c r="L8" s="38">
        <f>VLOOKUP($B8,DATA!$C:$AF,L$1+4,FALSE)</f>
        <v>0</v>
      </c>
      <c r="M8" s="38">
        <f>VLOOKUP($B8,DATA!$C:$AF,M$1+4,FALSE)</f>
        <v>0</v>
      </c>
      <c r="N8" s="38">
        <f>VLOOKUP($B8,DATA!$C:$AF,N$1+4,FALSE)</f>
        <v>0</v>
      </c>
      <c r="O8" s="38">
        <f>VLOOKUP($B8,DATA!$C:$AF,O$1+4,FALSE)</f>
        <v>0</v>
      </c>
      <c r="P8" s="38">
        <f>VLOOKUP($B8,DATA!$C:$AF,P$1+4,FALSE)</f>
        <v>0</v>
      </c>
      <c r="Q8" s="16">
        <f t="shared" si="0"/>
        <v>0</v>
      </c>
      <c r="R8" s="17">
        <v>0</v>
      </c>
      <c r="S8" s="17">
        <f t="shared" si="1"/>
        <v>0</v>
      </c>
    </row>
    <row r="9" spans="1:19" ht="17.5" thickBot="1">
      <c r="A9" s="11" t="s">
        <v>602</v>
      </c>
      <c r="B9" s="21" t="s">
        <v>15</v>
      </c>
      <c r="C9" s="13" t="s">
        <v>16</v>
      </c>
      <c r="D9" s="14" t="s">
        <v>579</v>
      </c>
      <c r="E9" s="38">
        <f>VLOOKUP($B9,DATA!$C:$AF,E$1+4,FALSE)</f>
        <v>0</v>
      </c>
      <c r="F9" s="38">
        <f>VLOOKUP($B9,DATA!$C:$AF,F$1+4,FALSE)</f>
        <v>0</v>
      </c>
      <c r="G9" s="38">
        <f>VLOOKUP($B9,DATA!$C:$AF,G$1+4,FALSE)</f>
        <v>0</v>
      </c>
      <c r="H9" s="38">
        <f>VLOOKUP($B9,DATA!$C:$AF,H$1+4,FALSE)</f>
        <v>0</v>
      </c>
      <c r="I9" s="38">
        <f>VLOOKUP($B9,DATA!$C:$AF,I$1+4,FALSE)</f>
        <v>0</v>
      </c>
      <c r="J9" s="38">
        <f>VLOOKUP($B9,DATA!$C:$AF,J$1+4,FALSE)</f>
        <v>0</v>
      </c>
      <c r="K9" s="38">
        <f>VLOOKUP($B9,DATA!$C:$AF,K$1+4,FALSE)</f>
        <v>0</v>
      </c>
      <c r="L9" s="38">
        <f>VLOOKUP($B9,DATA!$C:$AF,L$1+4,FALSE)</f>
        <v>0</v>
      </c>
      <c r="M9" s="38">
        <f>VLOOKUP($B9,DATA!$C:$AF,M$1+4,FALSE)</f>
        <v>0</v>
      </c>
      <c r="N9" s="38">
        <f>VLOOKUP($B9,DATA!$C:$AF,N$1+4,FALSE)</f>
        <v>0</v>
      </c>
      <c r="O9" s="38">
        <f>VLOOKUP($B9,DATA!$C:$AF,O$1+4,FALSE)</f>
        <v>0</v>
      </c>
      <c r="P9" s="38">
        <f>VLOOKUP($B9,DATA!$C:$AF,P$1+4,FALSE)</f>
        <v>0</v>
      </c>
      <c r="Q9" s="16">
        <f t="shared" si="0"/>
        <v>0</v>
      </c>
      <c r="R9" s="17">
        <v>0</v>
      </c>
      <c r="S9" s="17">
        <f t="shared" si="1"/>
        <v>0</v>
      </c>
    </row>
    <row r="10" spans="1:19" ht="17.5" thickBot="1">
      <c r="A10" s="11" t="s">
        <v>602</v>
      </c>
      <c r="B10" s="21" t="s">
        <v>17</v>
      </c>
      <c r="C10" s="13" t="s">
        <v>18</v>
      </c>
      <c r="D10" s="14" t="s">
        <v>579</v>
      </c>
      <c r="E10" s="38">
        <f>VLOOKUP($B10,DATA!$C:$AF,E$1+4,FALSE)</f>
        <v>0</v>
      </c>
      <c r="F10" s="38">
        <f>VLOOKUP($B10,DATA!$C:$AF,F$1+4,FALSE)</f>
        <v>0</v>
      </c>
      <c r="G10" s="38">
        <f>VLOOKUP($B10,DATA!$C:$AF,G$1+4,FALSE)</f>
        <v>0</v>
      </c>
      <c r="H10" s="38">
        <f>VLOOKUP($B10,DATA!$C:$AF,H$1+4,FALSE)</f>
        <v>0</v>
      </c>
      <c r="I10" s="38">
        <f>VLOOKUP($B10,DATA!$C:$AF,I$1+4,FALSE)</f>
        <v>0</v>
      </c>
      <c r="J10" s="38">
        <f>VLOOKUP($B10,DATA!$C:$AF,J$1+4,FALSE)</f>
        <v>0</v>
      </c>
      <c r="K10" s="38">
        <f>VLOOKUP($B10,DATA!$C:$AF,K$1+4,FALSE)</f>
        <v>0</v>
      </c>
      <c r="L10" s="38">
        <f>VLOOKUP($B10,DATA!$C:$AF,L$1+4,FALSE)</f>
        <v>0</v>
      </c>
      <c r="M10" s="38">
        <f>VLOOKUP($B10,DATA!$C:$AF,M$1+4,FALSE)</f>
        <v>0</v>
      </c>
      <c r="N10" s="38">
        <f>VLOOKUP($B10,DATA!$C:$AF,N$1+4,FALSE)</f>
        <v>0</v>
      </c>
      <c r="O10" s="38">
        <f>VLOOKUP($B10,DATA!$C:$AF,O$1+4,FALSE)</f>
        <v>0</v>
      </c>
      <c r="P10" s="38">
        <f>VLOOKUP($B10,DATA!$C:$AF,P$1+4,FALSE)</f>
        <v>0</v>
      </c>
      <c r="Q10" s="16">
        <f t="shared" si="0"/>
        <v>0</v>
      </c>
      <c r="R10" s="17">
        <v>0</v>
      </c>
      <c r="S10" s="17">
        <f t="shared" si="1"/>
        <v>0</v>
      </c>
    </row>
    <row r="11" spans="1:19" ht="17.5" thickBot="1">
      <c r="A11" s="11" t="s">
        <v>602</v>
      </c>
      <c r="B11" s="21" t="s">
        <v>19</v>
      </c>
      <c r="C11" s="13" t="s">
        <v>556</v>
      </c>
      <c r="D11" s="14" t="s">
        <v>579</v>
      </c>
      <c r="E11" s="38">
        <f>VLOOKUP($B11,DATA!$C:$AF,E$1+4,FALSE)</f>
        <v>0</v>
      </c>
      <c r="F11" s="38">
        <f>VLOOKUP($B11,DATA!$C:$AF,F$1+4,FALSE)</f>
        <v>0</v>
      </c>
      <c r="G11" s="38">
        <f>VLOOKUP($B11,DATA!$C:$AF,G$1+4,FALSE)</f>
        <v>0</v>
      </c>
      <c r="H11" s="38">
        <f>VLOOKUP($B11,DATA!$C:$AF,H$1+4,FALSE)</f>
        <v>0</v>
      </c>
      <c r="I11" s="38">
        <f>VLOOKUP($B11,DATA!$C:$AF,I$1+4,FALSE)</f>
        <v>0</v>
      </c>
      <c r="J11" s="38">
        <f>VLOOKUP($B11,DATA!$C:$AF,J$1+4,FALSE)</f>
        <v>0</v>
      </c>
      <c r="K11" s="38">
        <f>VLOOKUP($B11,DATA!$C:$AF,K$1+4,FALSE)</f>
        <v>0</v>
      </c>
      <c r="L11" s="38">
        <f>VLOOKUP($B11,DATA!$C:$AF,L$1+4,FALSE)</f>
        <v>0</v>
      </c>
      <c r="M11" s="38">
        <f>VLOOKUP($B11,DATA!$C:$AF,M$1+4,FALSE)</f>
        <v>0</v>
      </c>
      <c r="N11" s="38">
        <f>VLOOKUP($B11,DATA!$C:$AF,N$1+4,FALSE)</f>
        <v>0</v>
      </c>
      <c r="O11" s="38">
        <f>VLOOKUP($B11,DATA!$C:$AF,O$1+4,FALSE)</f>
        <v>0</v>
      </c>
      <c r="P11" s="38">
        <f>VLOOKUP($B11,DATA!$C:$AF,P$1+4,FALSE)</f>
        <v>0</v>
      </c>
      <c r="Q11" s="16">
        <f t="shared" si="0"/>
        <v>0</v>
      </c>
      <c r="R11" s="17">
        <v>0</v>
      </c>
      <c r="S11" s="17">
        <f t="shared" si="1"/>
        <v>0</v>
      </c>
    </row>
    <row r="12" spans="1:19" ht="17.5" thickBot="1">
      <c r="A12" s="11" t="s">
        <v>602</v>
      </c>
      <c r="B12" s="21" t="s">
        <v>20</v>
      </c>
      <c r="C12" s="13" t="s">
        <v>21</v>
      </c>
      <c r="D12" s="14" t="s">
        <v>579</v>
      </c>
      <c r="E12" s="38">
        <f>VLOOKUP($B12,DATA!$C:$AF,E$1+4,FALSE)</f>
        <v>0</v>
      </c>
      <c r="F12" s="38">
        <f>VLOOKUP($B12,DATA!$C:$AF,F$1+4,FALSE)</f>
        <v>0</v>
      </c>
      <c r="G12" s="38">
        <f>VLOOKUP($B12,DATA!$C:$AF,G$1+4,FALSE)</f>
        <v>0</v>
      </c>
      <c r="H12" s="38">
        <f>VLOOKUP($B12,DATA!$C:$AF,H$1+4,FALSE)</f>
        <v>0</v>
      </c>
      <c r="I12" s="38">
        <f>VLOOKUP($B12,DATA!$C:$AF,I$1+4,FALSE)</f>
        <v>0</v>
      </c>
      <c r="J12" s="38">
        <f>VLOOKUP($B12,DATA!$C:$AF,J$1+4,FALSE)</f>
        <v>0</v>
      </c>
      <c r="K12" s="38">
        <f>VLOOKUP($B12,DATA!$C:$AF,K$1+4,FALSE)</f>
        <v>0</v>
      </c>
      <c r="L12" s="38">
        <f>VLOOKUP($B12,DATA!$C:$AF,L$1+4,FALSE)</f>
        <v>0</v>
      </c>
      <c r="M12" s="38">
        <f>VLOOKUP($B12,DATA!$C:$AF,M$1+4,FALSE)</f>
        <v>0</v>
      </c>
      <c r="N12" s="38">
        <f>VLOOKUP($B12,DATA!$C:$AF,N$1+4,FALSE)</f>
        <v>0</v>
      </c>
      <c r="O12" s="38">
        <f>VLOOKUP($B12,DATA!$C:$AF,O$1+4,FALSE)</f>
        <v>0</v>
      </c>
      <c r="P12" s="38">
        <f>VLOOKUP($B12,DATA!$C:$AF,P$1+4,FALSE)</f>
        <v>0</v>
      </c>
      <c r="Q12" s="16">
        <f t="shared" si="0"/>
        <v>0</v>
      </c>
      <c r="R12" s="17">
        <v>0</v>
      </c>
      <c r="S12" s="17">
        <f t="shared" si="1"/>
        <v>0</v>
      </c>
    </row>
    <row r="13" spans="1:19" ht="17.5" thickBot="1">
      <c r="A13" s="11" t="s">
        <v>602</v>
      </c>
      <c r="B13" s="21" t="s">
        <v>22</v>
      </c>
      <c r="C13" s="13" t="s">
        <v>555</v>
      </c>
      <c r="D13" s="14" t="s">
        <v>579</v>
      </c>
      <c r="E13" s="38">
        <f>VLOOKUP($B13,DATA!$C:$AF,E$1+4,FALSE)</f>
        <v>0</v>
      </c>
      <c r="F13" s="38">
        <f>VLOOKUP($B13,DATA!$C:$AF,F$1+4,FALSE)</f>
        <v>0</v>
      </c>
      <c r="G13" s="38">
        <f>VLOOKUP($B13,DATA!$C:$AF,G$1+4,FALSE)</f>
        <v>0</v>
      </c>
      <c r="H13" s="38">
        <f>VLOOKUP($B13,DATA!$C:$AF,H$1+4,FALSE)</f>
        <v>0</v>
      </c>
      <c r="I13" s="38">
        <f>VLOOKUP($B13,DATA!$C:$AF,I$1+4,FALSE)</f>
        <v>0</v>
      </c>
      <c r="J13" s="38">
        <f>VLOOKUP($B13,DATA!$C:$AF,J$1+4,FALSE)</f>
        <v>0</v>
      </c>
      <c r="K13" s="38">
        <f>VLOOKUP($B13,DATA!$C:$AF,K$1+4,FALSE)</f>
        <v>0</v>
      </c>
      <c r="L13" s="38">
        <f>VLOOKUP($B13,DATA!$C:$AF,L$1+4,FALSE)</f>
        <v>0</v>
      </c>
      <c r="M13" s="38">
        <f>VLOOKUP($B13,DATA!$C:$AF,M$1+4,FALSE)</f>
        <v>0</v>
      </c>
      <c r="N13" s="38">
        <f>VLOOKUP($B13,DATA!$C:$AF,N$1+4,FALSE)</f>
        <v>0</v>
      </c>
      <c r="O13" s="38">
        <f>VLOOKUP($B13,DATA!$C:$AF,O$1+4,FALSE)</f>
        <v>0</v>
      </c>
      <c r="P13" s="38">
        <f>VLOOKUP($B13,DATA!$C:$AF,P$1+4,FALSE)</f>
        <v>0</v>
      </c>
      <c r="Q13" s="16">
        <f t="shared" si="0"/>
        <v>0</v>
      </c>
      <c r="R13" s="17">
        <v>0</v>
      </c>
      <c r="S13" s="17">
        <f t="shared" si="1"/>
        <v>0</v>
      </c>
    </row>
    <row r="14" spans="1:19" ht="17.5" thickBot="1">
      <c r="A14" s="11" t="s">
        <v>602</v>
      </c>
      <c r="B14" s="21" t="s">
        <v>23</v>
      </c>
      <c r="C14" s="13" t="s">
        <v>24</v>
      </c>
      <c r="D14" s="14" t="s">
        <v>579</v>
      </c>
      <c r="E14" s="38">
        <f>VLOOKUP($B14,DATA!$C:$AF,E$1+4,FALSE)</f>
        <v>0</v>
      </c>
      <c r="F14" s="38">
        <f>VLOOKUP($B14,DATA!$C:$AF,F$1+4,FALSE)</f>
        <v>0</v>
      </c>
      <c r="G14" s="38">
        <f>VLOOKUP($B14,DATA!$C:$AF,G$1+4,FALSE)</f>
        <v>0</v>
      </c>
      <c r="H14" s="38">
        <f>VLOOKUP($B14,DATA!$C:$AF,H$1+4,FALSE)</f>
        <v>0</v>
      </c>
      <c r="I14" s="38">
        <f>VLOOKUP($B14,DATA!$C:$AF,I$1+4,FALSE)</f>
        <v>0</v>
      </c>
      <c r="J14" s="38">
        <f>VLOOKUP($B14,DATA!$C:$AF,J$1+4,FALSE)</f>
        <v>0</v>
      </c>
      <c r="K14" s="38">
        <f>VLOOKUP($B14,DATA!$C:$AF,K$1+4,FALSE)</f>
        <v>0</v>
      </c>
      <c r="L14" s="38">
        <f>VLOOKUP($B14,DATA!$C:$AF,L$1+4,FALSE)</f>
        <v>0</v>
      </c>
      <c r="M14" s="38">
        <f>VLOOKUP($B14,DATA!$C:$AF,M$1+4,FALSE)</f>
        <v>0</v>
      </c>
      <c r="N14" s="38">
        <f>VLOOKUP($B14,DATA!$C:$AF,N$1+4,FALSE)</f>
        <v>0</v>
      </c>
      <c r="O14" s="38">
        <f>VLOOKUP($B14,DATA!$C:$AF,O$1+4,FALSE)</f>
        <v>0</v>
      </c>
      <c r="P14" s="38">
        <f>VLOOKUP($B14,DATA!$C:$AF,P$1+4,FALSE)</f>
        <v>0</v>
      </c>
      <c r="Q14" s="16">
        <f t="shared" si="0"/>
        <v>0</v>
      </c>
      <c r="R14" s="17">
        <v>0</v>
      </c>
      <c r="S14" s="17">
        <f t="shared" si="1"/>
        <v>0</v>
      </c>
    </row>
    <row r="15" spans="1:19" ht="17.5" thickBot="1">
      <c r="A15" s="11" t="s">
        <v>602</v>
      </c>
      <c r="B15" s="21" t="s">
        <v>25</v>
      </c>
      <c r="C15" s="13" t="s">
        <v>26</v>
      </c>
      <c r="D15" s="14" t="s">
        <v>579</v>
      </c>
      <c r="E15" s="38">
        <f>VLOOKUP($B15,DATA!$C:$AF,E$1+4,FALSE)</f>
        <v>0</v>
      </c>
      <c r="F15" s="38">
        <f>VLOOKUP($B15,DATA!$C:$AF,F$1+4,FALSE)</f>
        <v>0</v>
      </c>
      <c r="G15" s="38">
        <f>VLOOKUP($B15,DATA!$C:$AF,G$1+4,FALSE)</f>
        <v>0</v>
      </c>
      <c r="H15" s="38">
        <f>VLOOKUP($B15,DATA!$C:$AF,H$1+4,FALSE)</f>
        <v>0</v>
      </c>
      <c r="I15" s="38">
        <f>VLOOKUP($B15,DATA!$C:$AF,I$1+4,FALSE)</f>
        <v>0</v>
      </c>
      <c r="J15" s="38">
        <f>VLOOKUP($B15,DATA!$C:$AF,J$1+4,FALSE)</f>
        <v>0</v>
      </c>
      <c r="K15" s="38">
        <f>VLOOKUP($B15,DATA!$C:$AF,K$1+4,FALSE)</f>
        <v>0</v>
      </c>
      <c r="L15" s="38">
        <f>VLOOKUP($B15,DATA!$C:$AF,L$1+4,FALSE)</f>
        <v>0</v>
      </c>
      <c r="M15" s="38">
        <f>VLOOKUP($B15,DATA!$C:$AF,M$1+4,FALSE)</f>
        <v>0</v>
      </c>
      <c r="N15" s="38">
        <f>VLOOKUP($B15,DATA!$C:$AF,N$1+4,FALSE)</f>
        <v>0</v>
      </c>
      <c r="O15" s="38">
        <f>VLOOKUP($B15,DATA!$C:$AF,O$1+4,FALSE)</f>
        <v>0</v>
      </c>
      <c r="P15" s="38">
        <f>VLOOKUP($B15,DATA!$C:$AF,P$1+4,FALSE)</f>
        <v>0</v>
      </c>
      <c r="Q15" s="16">
        <f t="shared" si="0"/>
        <v>0</v>
      </c>
      <c r="R15" s="17">
        <v>0</v>
      </c>
      <c r="S15" s="17">
        <f t="shared" si="1"/>
        <v>0</v>
      </c>
    </row>
    <row r="16" spans="1:19" ht="17.5" thickBot="1">
      <c r="A16" s="11" t="s">
        <v>602</v>
      </c>
      <c r="B16" s="19" t="s">
        <v>27</v>
      </c>
      <c r="C16" s="13" t="s">
        <v>28</v>
      </c>
      <c r="D16" s="14" t="s">
        <v>579</v>
      </c>
      <c r="E16" s="38">
        <f>VLOOKUP($B16,DATA!$C:$AF,E$1+4,FALSE)</f>
        <v>0</v>
      </c>
      <c r="F16" s="38">
        <f>VLOOKUP($B16,DATA!$C:$AF,F$1+4,FALSE)</f>
        <v>0</v>
      </c>
      <c r="G16" s="38">
        <f>VLOOKUP($B16,DATA!$C:$AF,G$1+4,FALSE)</f>
        <v>0</v>
      </c>
      <c r="H16" s="38">
        <f>VLOOKUP($B16,DATA!$C:$AF,H$1+4,FALSE)</f>
        <v>0</v>
      </c>
      <c r="I16" s="38">
        <f>VLOOKUP($B16,DATA!$C:$AF,I$1+4,FALSE)</f>
        <v>0</v>
      </c>
      <c r="J16" s="38">
        <f>VLOOKUP($B16,DATA!$C:$AF,J$1+4,FALSE)</f>
        <v>0</v>
      </c>
      <c r="K16" s="38">
        <f>VLOOKUP($B16,DATA!$C:$AF,K$1+4,FALSE)</f>
        <v>0</v>
      </c>
      <c r="L16" s="38">
        <f>VLOOKUP($B16,DATA!$C:$AF,L$1+4,FALSE)</f>
        <v>0</v>
      </c>
      <c r="M16" s="38">
        <f>VLOOKUP($B16,DATA!$C:$AF,M$1+4,FALSE)</f>
        <v>0</v>
      </c>
      <c r="N16" s="38">
        <f>VLOOKUP($B16,DATA!$C:$AF,N$1+4,FALSE)</f>
        <v>0</v>
      </c>
      <c r="O16" s="38">
        <f>VLOOKUP($B16,DATA!$C:$AF,O$1+4,FALSE)</f>
        <v>0</v>
      </c>
      <c r="P16" s="38">
        <f>VLOOKUP($B16,DATA!$C:$AF,P$1+4,FALSE)</f>
        <v>0</v>
      </c>
      <c r="Q16" s="16">
        <f t="shared" si="0"/>
        <v>0</v>
      </c>
      <c r="R16" s="17">
        <v>0</v>
      </c>
      <c r="S16" s="17">
        <f t="shared" si="1"/>
        <v>0</v>
      </c>
    </row>
    <row r="17" spans="1:19" ht="17.5" thickBot="1">
      <c r="A17" s="11" t="s">
        <v>602</v>
      </c>
      <c r="B17" s="21" t="s">
        <v>29</v>
      </c>
      <c r="C17" s="13" t="s">
        <v>30</v>
      </c>
      <c r="D17" s="14" t="s">
        <v>579</v>
      </c>
      <c r="E17" s="38">
        <f>VLOOKUP($B17,DATA!$C:$AF,E$1+4,FALSE)</f>
        <v>0</v>
      </c>
      <c r="F17" s="38">
        <f>VLOOKUP($B17,DATA!$C:$AF,F$1+4,FALSE)</f>
        <v>0</v>
      </c>
      <c r="G17" s="38">
        <f>VLOOKUP($B17,DATA!$C:$AF,G$1+4,FALSE)</f>
        <v>0</v>
      </c>
      <c r="H17" s="38">
        <f>VLOOKUP($B17,DATA!$C:$AF,H$1+4,FALSE)</f>
        <v>0</v>
      </c>
      <c r="I17" s="38">
        <f>VLOOKUP($B17,DATA!$C:$AF,I$1+4,FALSE)</f>
        <v>0</v>
      </c>
      <c r="J17" s="38">
        <f>VLOOKUP($B17,DATA!$C:$AF,J$1+4,FALSE)</f>
        <v>0</v>
      </c>
      <c r="K17" s="38">
        <f>VLOOKUP($B17,DATA!$C:$AF,K$1+4,FALSE)</f>
        <v>0</v>
      </c>
      <c r="L17" s="38">
        <f>VLOOKUP($B17,DATA!$C:$AF,L$1+4,FALSE)</f>
        <v>0</v>
      </c>
      <c r="M17" s="38">
        <f>VLOOKUP($B17,DATA!$C:$AF,M$1+4,FALSE)</f>
        <v>0</v>
      </c>
      <c r="N17" s="38">
        <f>VLOOKUP($B17,DATA!$C:$AF,N$1+4,FALSE)</f>
        <v>0</v>
      </c>
      <c r="O17" s="38">
        <f>VLOOKUP($B17,DATA!$C:$AF,O$1+4,FALSE)</f>
        <v>0</v>
      </c>
      <c r="P17" s="38">
        <f>VLOOKUP($B17,DATA!$C:$AF,P$1+4,FALSE)</f>
        <v>0</v>
      </c>
      <c r="Q17" s="16">
        <f t="shared" si="0"/>
        <v>0</v>
      </c>
      <c r="R17" s="17">
        <v>0</v>
      </c>
      <c r="S17" s="17">
        <f t="shared" si="1"/>
        <v>0</v>
      </c>
    </row>
    <row r="18" spans="1:19" ht="17.5" thickBot="1">
      <c r="A18" s="11" t="s">
        <v>602</v>
      </c>
      <c r="B18" s="21" t="s">
        <v>31</v>
      </c>
      <c r="C18" s="13" t="s">
        <v>32</v>
      </c>
      <c r="D18" s="14" t="s">
        <v>579</v>
      </c>
      <c r="E18" s="38">
        <f>VLOOKUP($B18,DATA!$C:$AF,E$1+4,FALSE)</f>
        <v>0</v>
      </c>
      <c r="F18" s="38">
        <f>VLOOKUP($B18,DATA!$C:$AF,F$1+4,FALSE)</f>
        <v>0</v>
      </c>
      <c r="G18" s="38">
        <f>VLOOKUP($B18,DATA!$C:$AF,G$1+4,FALSE)</f>
        <v>0</v>
      </c>
      <c r="H18" s="38">
        <f>VLOOKUP($B18,DATA!$C:$AF,H$1+4,FALSE)</f>
        <v>0</v>
      </c>
      <c r="I18" s="38">
        <f>VLOOKUP($B18,DATA!$C:$AF,I$1+4,FALSE)</f>
        <v>0</v>
      </c>
      <c r="J18" s="38">
        <f>VLOOKUP($B18,DATA!$C:$AF,J$1+4,FALSE)</f>
        <v>0</v>
      </c>
      <c r="K18" s="38">
        <f>VLOOKUP($B18,DATA!$C:$AF,K$1+4,FALSE)</f>
        <v>0</v>
      </c>
      <c r="L18" s="38">
        <f>VLOOKUP($B18,DATA!$C:$AF,L$1+4,FALSE)</f>
        <v>0</v>
      </c>
      <c r="M18" s="38">
        <f>VLOOKUP($B18,DATA!$C:$AF,M$1+4,FALSE)</f>
        <v>0</v>
      </c>
      <c r="N18" s="38">
        <f>VLOOKUP($B18,DATA!$C:$AF,N$1+4,FALSE)</f>
        <v>0</v>
      </c>
      <c r="O18" s="38">
        <f>VLOOKUP($B18,DATA!$C:$AF,O$1+4,FALSE)</f>
        <v>0</v>
      </c>
      <c r="P18" s="38">
        <f>VLOOKUP($B18,DATA!$C:$AF,P$1+4,FALSE)</f>
        <v>0</v>
      </c>
      <c r="Q18" s="16">
        <f t="shared" si="0"/>
        <v>0</v>
      </c>
      <c r="R18" s="17">
        <v>0</v>
      </c>
      <c r="S18" s="17">
        <f t="shared" si="1"/>
        <v>0</v>
      </c>
    </row>
    <row r="19" spans="1:19" ht="17.5" thickBot="1">
      <c r="A19" s="11" t="s">
        <v>602</v>
      </c>
      <c r="B19" s="22" t="s">
        <v>33</v>
      </c>
      <c r="C19" s="13" t="s">
        <v>34</v>
      </c>
      <c r="D19" s="14" t="s">
        <v>579</v>
      </c>
      <c r="E19" s="38">
        <f>VLOOKUP($B19,DATA!$C:$AF,E$1+4,FALSE)</f>
        <v>0</v>
      </c>
      <c r="F19" s="38">
        <f>VLOOKUP($B19,DATA!$C:$AF,F$1+4,FALSE)</f>
        <v>0</v>
      </c>
      <c r="G19" s="38">
        <f>VLOOKUP($B19,DATA!$C:$AF,G$1+4,FALSE)</f>
        <v>0</v>
      </c>
      <c r="H19" s="38">
        <f>VLOOKUP($B19,DATA!$C:$AF,H$1+4,FALSE)</f>
        <v>0</v>
      </c>
      <c r="I19" s="38">
        <f>VLOOKUP($B19,DATA!$C:$AF,I$1+4,FALSE)</f>
        <v>0</v>
      </c>
      <c r="J19" s="38">
        <f>VLOOKUP($B19,DATA!$C:$AF,J$1+4,FALSE)</f>
        <v>0</v>
      </c>
      <c r="K19" s="38">
        <f>VLOOKUP($B19,DATA!$C:$AF,K$1+4,FALSE)</f>
        <v>0</v>
      </c>
      <c r="L19" s="38">
        <f>VLOOKUP($B19,DATA!$C:$AF,L$1+4,FALSE)</f>
        <v>0</v>
      </c>
      <c r="M19" s="38">
        <f>VLOOKUP($B19,DATA!$C:$AF,M$1+4,FALSE)</f>
        <v>0</v>
      </c>
      <c r="N19" s="38">
        <f>VLOOKUP($B19,DATA!$C:$AF,N$1+4,FALSE)</f>
        <v>0</v>
      </c>
      <c r="O19" s="38">
        <f>VLOOKUP($B19,DATA!$C:$AF,O$1+4,FALSE)</f>
        <v>0</v>
      </c>
      <c r="P19" s="38">
        <f>VLOOKUP($B19,DATA!$C:$AF,P$1+4,FALSE)</f>
        <v>0</v>
      </c>
      <c r="Q19" s="16">
        <f t="shared" si="0"/>
        <v>0</v>
      </c>
      <c r="R19" s="17">
        <v>0</v>
      </c>
      <c r="S19" s="17">
        <f t="shared" si="1"/>
        <v>0</v>
      </c>
    </row>
    <row r="20" spans="1:19" ht="17.5" thickBot="1">
      <c r="A20" s="11" t="s">
        <v>602</v>
      </c>
      <c r="B20" s="21" t="s">
        <v>35</v>
      </c>
      <c r="C20" s="13" t="s">
        <v>36</v>
      </c>
      <c r="D20" s="14" t="s">
        <v>579</v>
      </c>
      <c r="E20" s="38">
        <f>VLOOKUP($B20,DATA!$C:$AF,E$1+4,FALSE)</f>
        <v>0</v>
      </c>
      <c r="F20" s="38">
        <f>VLOOKUP($B20,DATA!$C:$AF,F$1+4,FALSE)</f>
        <v>0</v>
      </c>
      <c r="G20" s="38">
        <f>VLOOKUP($B20,DATA!$C:$AF,G$1+4,FALSE)</f>
        <v>0</v>
      </c>
      <c r="H20" s="38">
        <f>VLOOKUP($B20,DATA!$C:$AF,H$1+4,FALSE)</f>
        <v>0</v>
      </c>
      <c r="I20" s="38">
        <f>VLOOKUP($B20,DATA!$C:$AF,I$1+4,FALSE)</f>
        <v>0</v>
      </c>
      <c r="J20" s="38">
        <f>VLOOKUP($B20,DATA!$C:$AF,J$1+4,FALSE)</f>
        <v>0</v>
      </c>
      <c r="K20" s="38">
        <f>VLOOKUP($B20,DATA!$C:$AF,K$1+4,FALSE)</f>
        <v>0</v>
      </c>
      <c r="L20" s="38">
        <f>VLOOKUP($B20,DATA!$C:$AF,L$1+4,FALSE)</f>
        <v>0</v>
      </c>
      <c r="M20" s="38">
        <f>VLOOKUP($B20,DATA!$C:$AF,M$1+4,FALSE)</f>
        <v>0</v>
      </c>
      <c r="N20" s="38">
        <f>VLOOKUP($B20,DATA!$C:$AF,N$1+4,FALSE)</f>
        <v>0</v>
      </c>
      <c r="O20" s="38">
        <f>VLOOKUP($B20,DATA!$C:$AF,O$1+4,FALSE)</f>
        <v>0</v>
      </c>
      <c r="P20" s="38">
        <f>VLOOKUP($B20,DATA!$C:$AF,P$1+4,FALSE)</f>
        <v>0</v>
      </c>
      <c r="Q20" s="16">
        <f t="shared" si="0"/>
        <v>0</v>
      </c>
      <c r="R20" s="17">
        <v>0</v>
      </c>
      <c r="S20" s="17">
        <f t="shared" si="1"/>
        <v>0</v>
      </c>
    </row>
    <row r="21" spans="1:19" ht="17.5" thickBot="1">
      <c r="A21" s="11" t="s">
        <v>602</v>
      </c>
      <c r="B21" s="19" t="s">
        <v>37</v>
      </c>
      <c r="C21" s="13" t="s">
        <v>38</v>
      </c>
      <c r="D21" s="14" t="s">
        <v>579</v>
      </c>
      <c r="E21" s="38">
        <f>VLOOKUP($B21,DATA!$C:$AF,E$1+4,FALSE)</f>
        <v>0</v>
      </c>
      <c r="F21" s="38">
        <f>VLOOKUP($B21,DATA!$C:$AF,F$1+4,FALSE)</f>
        <v>0</v>
      </c>
      <c r="G21" s="38">
        <f>VLOOKUP($B21,DATA!$C:$AF,G$1+4,FALSE)</f>
        <v>0</v>
      </c>
      <c r="H21" s="38">
        <f>VLOOKUP($B21,DATA!$C:$AF,H$1+4,FALSE)</f>
        <v>0</v>
      </c>
      <c r="I21" s="38">
        <f>VLOOKUP($B21,DATA!$C:$AF,I$1+4,FALSE)</f>
        <v>0</v>
      </c>
      <c r="J21" s="38">
        <f>VLOOKUP($B21,DATA!$C:$AF,J$1+4,FALSE)</f>
        <v>0</v>
      </c>
      <c r="K21" s="38">
        <f>VLOOKUP($B21,DATA!$C:$AF,K$1+4,FALSE)</f>
        <v>0</v>
      </c>
      <c r="L21" s="38">
        <f>VLOOKUP($B21,DATA!$C:$AF,L$1+4,FALSE)</f>
        <v>0</v>
      </c>
      <c r="M21" s="38">
        <f>VLOOKUP($B21,DATA!$C:$AF,M$1+4,FALSE)</f>
        <v>0</v>
      </c>
      <c r="N21" s="38">
        <f>VLOOKUP($B21,DATA!$C:$AF,N$1+4,FALSE)</f>
        <v>0</v>
      </c>
      <c r="O21" s="38">
        <f>VLOOKUP($B21,DATA!$C:$AF,O$1+4,FALSE)</f>
        <v>0</v>
      </c>
      <c r="P21" s="38">
        <f>VLOOKUP($B21,DATA!$C:$AF,P$1+4,FALSE)</f>
        <v>0</v>
      </c>
      <c r="Q21" s="16">
        <f t="shared" si="0"/>
        <v>0</v>
      </c>
      <c r="R21" s="17">
        <v>0</v>
      </c>
      <c r="S21" s="17">
        <f t="shared" si="1"/>
        <v>0</v>
      </c>
    </row>
    <row r="22" spans="1:19" ht="17.5" thickBot="1">
      <c r="A22" s="11" t="s">
        <v>602</v>
      </c>
      <c r="B22" s="21" t="s">
        <v>39</v>
      </c>
      <c r="C22" s="13" t="s">
        <v>40</v>
      </c>
      <c r="D22" s="14" t="s">
        <v>579</v>
      </c>
      <c r="E22" s="38">
        <f>VLOOKUP($B22,DATA!$C:$AF,E$1+4,FALSE)</f>
        <v>0</v>
      </c>
      <c r="F22" s="38">
        <f>VLOOKUP($B22,DATA!$C:$AF,F$1+4,FALSE)</f>
        <v>0</v>
      </c>
      <c r="G22" s="38">
        <f>VLOOKUP($B22,DATA!$C:$AF,G$1+4,FALSE)</f>
        <v>0</v>
      </c>
      <c r="H22" s="38">
        <f>VLOOKUP($B22,DATA!$C:$AF,H$1+4,FALSE)</f>
        <v>0</v>
      </c>
      <c r="I22" s="38">
        <f>VLOOKUP($B22,DATA!$C:$AF,I$1+4,FALSE)</f>
        <v>0</v>
      </c>
      <c r="J22" s="38">
        <f>VLOOKUP($B22,DATA!$C:$AF,J$1+4,FALSE)</f>
        <v>0</v>
      </c>
      <c r="K22" s="38">
        <f>VLOOKUP($B22,DATA!$C:$AF,K$1+4,FALSE)</f>
        <v>0</v>
      </c>
      <c r="L22" s="38">
        <f>VLOOKUP($B22,DATA!$C:$AF,L$1+4,FALSE)</f>
        <v>0</v>
      </c>
      <c r="M22" s="38">
        <f>VLOOKUP($B22,DATA!$C:$AF,M$1+4,FALSE)</f>
        <v>0</v>
      </c>
      <c r="N22" s="38">
        <f>VLOOKUP($B22,DATA!$C:$AF,N$1+4,FALSE)</f>
        <v>0</v>
      </c>
      <c r="O22" s="38">
        <f>VLOOKUP($B22,DATA!$C:$AF,O$1+4,FALSE)</f>
        <v>0</v>
      </c>
      <c r="P22" s="38">
        <f>VLOOKUP($B22,DATA!$C:$AF,P$1+4,FALSE)</f>
        <v>0</v>
      </c>
      <c r="Q22" s="16">
        <f t="shared" si="0"/>
        <v>0</v>
      </c>
      <c r="R22" s="17">
        <v>0</v>
      </c>
      <c r="S22" s="17">
        <f t="shared" si="1"/>
        <v>0</v>
      </c>
    </row>
    <row r="23" spans="1:19" ht="17.5" thickBot="1">
      <c r="A23" s="11" t="s">
        <v>602</v>
      </c>
      <c r="B23" s="19" t="s">
        <v>41</v>
      </c>
      <c r="C23" s="13" t="s">
        <v>42</v>
      </c>
      <c r="D23" s="14" t="s">
        <v>579</v>
      </c>
      <c r="E23" s="38">
        <f>VLOOKUP($B23,DATA!$C:$AF,E$1+4,FALSE)</f>
        <v>0</v>
      </c>
      <c r="F23" s="38">
        <f>VLOOKUP($B23,DATA!$C:$AF,F$1+4,FALSE)</f>
        <v>0</v>
      </c>
      <c r="G23" s="38">
        <f>VLOOKUP($B23,DATA!$C:$AF,G$1+4,FALSE)</f>
        <v>0</v>
      </c>
      <c r="H23" s="38">
        <f>VLOOKUP($B23,DATA!$C:$AF,H$1+4,FALSE)</f>
        <v>0</v>
      </c>
      <c r="I23" s="38">
        <f>VLOOKUP($B23,DATA!$C:$AF,I$1+4,FALSE)</f>
        <v>0</v>
      </c>
      <c r="J23" s="38">
        <f>VLOOKUP($B23,DATA!$C:$AF,J$1+4,FALSE)</f>
        <v>0</v>
      </c>
      <c r="K23" s="38">
        <f>VLOOKUP($B23,DATA!$C:$AF,K$1+4,FALSE)</f>
        <v>0</v>
      </c>
      <c r="L23" s="38">
        <f>VLOOKUP($B23,DATA!$C:$AF,L$1+4,FALSE)</f>
        <v>0</v>
      </c>
      <c r="M23" s="38">
        <f>VLOOKUP($B23,DATA!$C:$AF,M$1+4,FALSE)</f>
        <v>0</v>
      </c>
      <c r="N23" s="38">
        <f>VLOOKUP($B23,DATA!$C:$AF,N$1+4,FALSE)</f>
        <v>0</v>
      </c>
      <c r="O23" s="38">
        <f>VLOOKUP($B23,DATA!$C:$AF,O$1+4,FALSE)</f>
        <v>0</v>
      </c>
      <c r="P23" s="38">
        <f>VLOOKUP($B23,DATA!$C:$AF,P$1+4,FALSE)</f>
        <v>0</v>
      </c>
      <c r="Q23" s="16">
        <f t="shared" si="0"/>
        <v>0</v>
      </c>
      <c r="R23" s="17">
        <v>0</v>
      </c>
      <c r="S23" s="17">
        <f t="shared" si="1"/>
        <v>0</v>
      </c>
    </row>
    <row r="24" spans="1:19" ht="17.5" thickBot="1">
      <c r="A24" s="11" t="s">
        <v>602</v>
      </c>
      <c r="B24" s="21" t="s">
        <v>43</v>
      </c>
      <c r="C24" s="13" t="s">
        <v>44</v>
      </c>
      <c r="D24" s="14" t="s">
        <v>579</v>
      </c>
      <c r="E24" s="38">
        <f>VLOOKUP($B24,DATA!$C:$AF,E$1+4,FALSE)</f>
        <v>0</v>
      </c>
      <c r="F24" s="38">
        <f>VLOOKUP($B24,DATA!$C:$AF,F$1+4,FALSE)</f>
        <v>0</v>
      </c>
      <c r="G24" s="38">
        <f>VLOOKUP($B24,DATA!$C:$AF,G$1+4,FALSE)</f>
        <v>0</v>
      </c>
      <c r="H24" s="38">
        <f>VLOOKUP($B24,DATA!$C:$AF,H$1+4,FALSE)</f>
        <v>0</v>
      </c>
      <c r="I24" s="38">
        <f>VLOOKUP($B24,DATA!$C:$AF,I$1+4,FALSE)</f>
        <v>0</v>
      </c>
      <c r="J24" s="38">
        <f>VLOOKUP($B24,DATA!$C:$AF,J$1+4,FALSE)</f>
        <v>0</v>
      </c>
      <c r="K24" s="38">
        <f>VLOOKUP($B24,DATA!$C:$AF,K$1+4,FALSE)</f>
        <v>0</v>
      </c>
      <c r="L24" s="38">
        <f>VLOOKUP($B24,DATA!$C:$AF,L$1+4,FALSE)</f>
        <v>0</v>
      </c>
      <c r="M24" s="38">
        <f>VLOOKUP($B24,DATA!$C:$AF,M$1+4,FALSE)</f>
        <v>0</v>
      </c>
      <c r="N24" s="38">
        <f>VLOOKUP($B24,DATA!$C:$AF,N$1+4,FALSE)</f>
        <v>0</v>
      </c>
      <c r="O24" s="38">
        <f>VLOOKUP($B24,DATA!$C:$AF,O$1+4,FALSE)</f>
        <v>0</v>
      </c>
      <c r="P24" s="38">
        <f>VLOOKUP($B24,DATA!$C:$AF,P$1+4,FALSE)</f>
        <v>0</v>
      </c>
      <c r="Q24" s="16">
        <f t="shared" si="0"/>
        <v>0</v>
      </c>
      <c r="R24" s="17">
        <v>0</v>
      </c>
      <c r="S24" s="17">
        <f t="shared" si="1"/>
        <v>0</v>
      </c>
    </row>
    <row r="25" spans="1:19" ht="17.5" thickBot="1">
      <c r="A25" s="11" t="s">
        <v>602</v>
      </c>
      <c r="B25" s="21" t="s">
        <v>45</v>
      </c>
      <c r="C25" s="13" t="s">
        <v>46</v>
      </c>
      <c r="D25" s="14" t="s">
        <v>579</v>
      </c>
      <c r="E25" s="38">
        <f>VLOOKUP($B25,DATA!$C:$AF,E$1+4,FALSE)</f>
        <v>0</v>
      </c>
      <c r="F25" s="38">
        <f>VLOOKUP($B25,DATA!$C:$AF,F$1+4,FALSE)</f>
        <v>0</v>
      </c>
      <c r="G25" s="38">
        <f>VLOOKUP($B25,DATA!$C:$AF,G$1+4,FALSE)</f>
        <v>0</v>
      </c>
      <c r="H25" s="38">
        <f>VLOOKUP($B25,DATA!$C:$AF,H$1+4,FALSE)</f>
        <v>0</v>
      </c>
      <c r="I25" s="38">
        <f>VLOOKUP($B25,DATA!$C:$AF,I$1+4,FALSE)</f>
        <v>0</v>
      </c>
      <c r="J25" s="38">
        <f>VLOOKUP($B25,DATA!$C:$AF,J$1+4,FALSE)</f>
        <v>0</v>
      </c>
      <c r="K25" s="38">
        <f>VLOOKUP($B25,DATA!$C:$AF,K$1+4,FALSE)</f>
        <v>0</v>
      </c>
      <c r="L25" s="38">
        <f>VLOOKUP($B25,DATA!$C:$AF,L$1+4,FALSE)</f>
        <v>0</v>
      </c>
      <c r="M25" s="38">
        <f>VLOOKUP($B25,DATA!$C:$AF,M$1+4,FALSE)</f>
        <v>0</v>
      </c>
      <c r="N25" s="38">
        <f>VLOOKUP($B25,DATA!$C:$AF,N$1+4,FALSE)</f>
        <v>0</v>
      </c>
      <c r="O25" s="38">
        <f>VLOOKUP($B25,DATA!$C:$AF,O$1+4,FALSE)</f>
        <v>0</v>
      </c>
      <c r="P25" s="38">
        <f>VLOOKUP($B25,DATA!$C:$AF,P$1+4,FALSE)</f>
        <v>0</v>
      </c>
      <c r="Q25" s="16">
        <f t="shared" si="0"/>
        <v>0</v>
      </c>
      <c r="R25" s="17">
        <v>0</v>
      </c>
      <c r="S25" s="17">
        <f t="shared" si="1"/>
        <v>0</v>
      </c>
    </row>
    <row r="26" spans="1:19" ht="17.5" thickBot="1">
      <c r="A26" s="11" t="s">
        <v>603</v>
      </c>
      <c r="B26" s="19" t="s">
        <v>581</v>
      </c>
      <c r="C26" s="13" t="s">
        <v>538</v>
      </c>
      <c r="D26" s="14" t="s">
        <v>579</v>
      </c>
      <c r="E26" s="38">
        <f>VLOOKUP($B26,DATA!$C:$AF,E$1+4,FALSE)</f>
        <v>0</v>
      </c>
      <c r="F26" s="38">
        <f>VLOOKUP($B26,DATA!$C:$AF,F$1+4,FALSE)</f>
        <v>0</v>
      </c>
      <c r="G26" s="38">
        <f>VLOOKUP($B26,DATA!$C:$AF,G$1+4,FALSE)</f>
        <v>0</v>
      </c>
      <c r="H26" s="38">
        <f>VLOOKUP($B26,DATA!$C:$AF,H$1+4,FALSE)</f>
        <v>0</v>
      </c>
      <c r="I26" s="38">
        <f>VLOOKUP($B26,DATA!$C:$AF,I$1+4,FALSE)</f>
        <v>0</v>
      </c>
      <c r="J26" s="38">
        <f>VLOOKUP($B26,DATA!$C:$AF,J$1+4,FALSE)</f>
        <v>0</v>
      </c>
      <c r="K26" s="38">
        <f>VLOOKUP($B26,DATA!$C:$AF,K$1+4,FALSE)</f>
        <v>0</v>
      </c>
      <c r="L26" s="38">
        <f>VLOOKUP($B26,DATA!$C:$AF,L$1+4,FALSE)</f>
        <v>0</v>
      </c>
      <c r="M26" s="38">
        <f>VLOOKUP($B26,DATA!$C:$AF,M$1+4,FALSE)</f>
        <v>0</v>
      </c>
      <c r="N26" s="38">
        <f>VLOOKUP($B26,DATA!$C:$AF,N$1+4,FALSE)</f>
        <v>0</v>
      </c>
      <c r="O26" s="38">
        <f>VLOOKUP($B26,DATA!$C:$AF,O$1+4,FALSE)</f>
        <v>0</v>
      </c>
      <c r="P26" s="38">
        <f>VLOOKUP($B26,DATA!$C:$AF,P$1+4,FALSE)</f>
        <v>0</v>
      </c>
      <c r="Q26" s="16">
        <f t="shared" si="0"/>
        <v>0</v>
      </c>
      <c r="R26" s="17">
        <v>0</v>
      </c>
      <c r="S26" s="17">
        <f t="shared" si="1"/>
        <v>0</v>
      </c>
    </row>
    <row r="27" spans="1:19" ht="17.5" thickBot="1">
      <c r="A27" s="11" t="s">
        <v>603</v>
      </c>
      <c r="B27" s="21" t="s">
        <v>47</v>
      </c>
      <c r="C27" s="13" t="s">
        <v>48</v>
      </c>
      <c r="D27" s="14" t="s">
        <v>579</v>
      </c>
      <c r="E27" s="38">
        <f>VLOOKUP($B27,DATA!$C:$AF,E$1+4,FALSE)</f>
        <v>0</v>
      </c>
      <c r="F27" s="38">
        <f>VLOOKUP($B27,DATA!$C:$AF,F$1+4,FALSE)</f>
        <v>0</v>
      </c>
      <c r="G27" s="38">
        <f>VLOOKUP($B27,DATA!$C:$AF,G$1+4,FALSE)</f>
        <v>0</v>
      </c>
      <c r="H27" s="38">
        <f>VLOOKUP($B27,DATA!$C:$AF,H$1+4,FALSE)</f>
        <v>0</v>
      </c>
      <c r="I27" s="38">
        <f>VLOOKUP($B27,DATA!$C:$AF,I$1+4,FALSE)</f>
        <v>0</v>
      </c>
      <c r="J27" s="38">
        <f>VLOOKUP($B27,DATA!$C:$AF,J$1+4,FALSE)</f>
        <v>0</v>
      </c>
      <c r="K27" s="38">
        <f>VLOOKUP($B27,DATA!$C:$AF,K$1+4,FALSE)</f>
        <v>0</v>
      </c>
      <c r="L27" s="38">
        <f>VLOOKUP($B27,DATA!$C:$AF,L$1+4,FALSE)</f>
        <v>0</v>
      </c>
      <c r="M27" s="38">
        <f>VLOOKUP($B27,DATA!$C:$AF,M$1+4,FALSE)</f>
        <v>0</v>
      </c>
      <c r="N27" s="38">
        <f>VLOOKUP($B27,DATA!$C:$AF,N$1+4,FALSE)</f>
        <v>0</v>
      </c>
      <c r="O27" s="38">
        <f>VLOOKUP($B27,DATA!$C:$AF,O$1+4,FALSE)</f>
        <v>0</v>
      </c>
      <c r="P27" s="38">
        <f>VLOOKUP($B27,DATA!$C:$AF,P$1+4,FALSE)</f>
        <v>0</v>
      </c>
      <c r="Q27" s="16">
        <f t="shared" si="0"/>
        <v>0</v>
      </c>
      <c r="R27" s="17">
        <v>0</v>
      </c>
      <c r="S27" s="17">
        <f t="shared" si="1"/>
        <v>0</v>
      </c>
    </row>
    <row r="28" spans="1:19" ht="17.5" thickBot="1">
      <c r="A28" s="11" t="s">
        <v>603</v>
      </c>
      <c r="B28" s="21" t="s">
        <v>49</v>
      </c>
      <c r="C28" s="13" t="s">
        <v>50</v>
      </c>
      <c r="D28" s="14" t="s">
        <v>579</v>
      </c>
      <c r="E28" s="38">
        <f>VLOOKUP($B28,DATA!$C:$AF,E$1+4,FALSE)</f>
        <v>0</v>
      </c>
      <c r="F28" s="38">
        <f>VLOOKUP($B28,DATA!$C:$AF,F$1+4,FALSE)</f>
        <v>0</v>
      </c>
      <c r="G28" s="38">
        <f>VLOOKUP($B28,DATA!$C:$AF,G$1+4,FALSE)</f>
        <v>0</v>
      </c>
      <c r="H28" s="38">
        <f>VLOOKUP($B28,DATA!$C:$AF,H$1+4,FALSE)</f>
        <v>0</v>
      </c>
      <c r="I28" s="38">
        <f>VLOOKUP($B28,DATA!$C:$AF,I$1+4,FALSE)</f>
        <v>0</v>
      </c>
      <c r="J28" s="38">
        <f>VLOOKUP($B28,DATA!$C:$AF,J$1+4,FALSE)</f>
        <v>0</v>
      </c>
      <c r="K28" s="38">
        <f>VLOOKUP($B28,DATA!$C:$AF,K$1+4,FALSE)</f>
        <v>0</v>
      </c>
      <c r="L28" s="38">
        <f>VLOOKUP($B28,DATA!$C:$AF,L$1+4,FALSE)</f>
        <v>0</v>
      </c>
      <c r="M28" s="38">
        <f>VLOOKUP($B28,DATA!$C:$AF,M$1+4,FALSE)</f>
        <v>0</v>
      </c>
      <c r="N28" s="38">
        <f>VLOOKUP($B28,DATA!$C:$AF,N$1+4,FALSE)</f>
        <v>0</v>
      </c>
      <c r="O28" s="38">
        <f>VLOOKUP($B28,DATA!$C:$AF,O$1+4,FALSE)</f>
        <v>0</v>
      </c>
      <c r="P28" s="38">
        <f>VLOOKUP($B28,DATA!$C:$AF,P$1+4,FALSE)</f>
        <v>0</v>
      </c>
      <c r="Q28" s="16">
        <f t="shared" si="0"/>
        <v>0</v>
      </c>
      <c r="R28" s="17">
        <v>0</v>
      </c>
      <c r="S28" s="17">
        <f t="shared" si="1"/>
        <v>0</v>
      </c>
    </row>
    <row r="29" spans="1:19" ht="17.5" thickBot="1">
      <c r="A29" s="11" t="s">
        <v>603</v>
      </c>
      <c r="B29" s="21" t="s">
        <v>51</v>
      </c>
      <c r="C29" s="13" t="s">
        <v>52</v>
      </c>
      <c r="D29" s="14" t="s">
        <v>579</v>
      </c>
      <c r="E29" s="38">
        <f>VLOOKUP($B29,DATA!$C:$AF,E$1+4,FALSE)</f>
        <v>0</v>
      </c>
      <c r="F29" s="38">
        <f>VLOOKUP($B29,DATA!$C:$AF,F$1+4,FALSE)</f>
        <v>0</v>
      </c>
      <c r="G29" s="38">
        <f>VLOOKUP($B29,DATA!$C:$AF,G$1+4,FALSE)</f>
        <v>0</v>
      </c>
      <c r="H29" s="38">
        <f>VLOOKUP($B29,DATA!$C:$AF,H$1+4,FALSE)</f>
        <v>0</v>
      </c>
      <c r="I29" s="38">
        <f>VLOOKUP($B29,DATA!$C:$AF,I$1+4,FALSE)</f>
        <v>0</v>
      </c>
      <c r="J29" s="38">
        <f>VLOOKUP($B29,DATA!$C:$AF,J$1+4,FALSE)</f>
        <v>0</v>
      </c>
      <c r="K29" s="38">
        <f>VLOOKUP($B29,DATA!$C:$AF,K$1+4,FALSE)</f>
        <v>0</v>
      </c>
      <c r="L29" s="38">
        <f>VLOOKUP($B29,DATA!$C:$AF,L$1+4,FALSE)</f>
        <v>0</v>
      </c>
      <c r="M29" s="38">
        <f>VLOOKUP($B29,DATA!$C:$AF,M$1+4,FALSE)</f>
        <v>0</v>
      </c>
      <c r="N29" s="38">
        <f>VLOOKUP($B29,DATA!$C:$AF,N$1+4,FALSE)</f>
        <v>0</v>
      </c>
      <c r="O29" s="38">
        <f>VLOOKUP($B29,DATA!$C:$AF,O$1+4,FALSE)</f>
        <v>0</v>
      </c>
      <c r="P29" s="38">
        <f>VLOOKUP($B29,DATA!$C:$AF,P$1+4,FALSE)</f>
        <v>0</v>
      </c>
      <c r="Q29" s="16">
        <f t="shared" si="0"/>
        <v>0</v>
      </c>
      <c r="R29" s="17">
        <v>0</v>
      </c>
      <c r="S29" s="17">
        <f t="shared" si="1"/>
        <v>0</v>
      </c>
    </row>
    <row r="30" spans="1:19" ht="17.5" thickBot="1">
      <c r="A30" s="11" t="s">
        <v>603</v>
      </c>
      <c r="B30" s="21" t="s">
        <v>53</v>
      </c>
      <c r="C30" s="13" t="s">
        <v>54</v>
      </c>
      <c r="D30" s="14" t="s">
        <v>579</v>
      </c>
      <c r="E30" s="38">
        <f>VLOOKUP($B30,DATA!$C:$AF,E$1+4,FALSE)</f>
        <v>0</v>
      </c>
      <c r="F30" s="38">
        <f>VLOOKUP($B30,DATA!$C:$AF,F$1+4,FALSE)</f>
        <v>0</v>
      </c>
      <c r="G30" s="38">
        <f>VLOOKUP($B30,DATA!$C:$AF,G$1+4,FALSE)</f>
        <v>0</v>
      </c>
      <c r="H30" s="38">
        <f>VLOOKUP($B30,DATA!$C:$AF,H$1+4,FALSE)</f>
        <v>0</v>
      </c>
      <c r="I30" s="38">
        <f>VLOOKUP($B30,DATA!$C:$AF,I$1+4,FALSE)</f>
        <v>0</v>
      </c>
      <c r="J30" s="38">
        <f>VLOOKUP($B30,DATA!$C:$AF,J$1+4,FALSE)</f>
        <v>0</v>
      </c>
      <c r="K30" s="38">
        <f>VLOOKUP($B30,DATA!$C:$AF,K$1+4,FALSE)</f>
        <v>0</v>
      </c>
      <c r="L30" s="38">
        <f>VLOOKUP($B30,DATA!$C:$AF,L$1+4,FALSE)</f>
        <v>0</v>
      </c>
      <c r="M30" s="38">
        <f>VLOOKUP($B30,DATA!$C:$AF,M$1+4,FALSE)</f>
        <v>0</v>
      </c>
      <c r="N30" s="38">
        <f>VLOOKUP($B30,DATA!$C:$AF,N$1+4,FALSE)</f>
        <v>0</v>
      </c>
      <c r="O30" s="38">
        <f>VLOOKUP($B30,DATA!$C:$AF,O$1+4,FALSE)</f>
        <v>0</v>
      </c>
      <c r="P30" s="38">
        <f>VLOOKUP($B30,DATA!$C:$AF,P$1+4,FALSE)</f>
        <v>0</v>
      </c>
      <c r="Q30" s="16">
        <f t="shared" si="0"/>
        <v>0</v>
      </c>
      <c r="R30" s="17">
        <v>0</v>
      </c>
      <c r="S30" s="17">
        <f t="shared" si="1"/>
        <v>0</v>
      </c>
    </row>
    <row r="31" spans="1:19" ht="17.5" thickBot="1">
      <c r="A31" s="11" t="s">
        <v>603</v>
      </c>
      <c r="B31" s="21" t="s">
        <v>55</v>
      </c>
      <c r="C31" s="13" t="s">
        <v>56</v>
      </c>
      <c r="D31" s="14" t="s">
        <v>579</v>
      </c>
      <c r="E31" s="38">
        <f>VLOOKUP($B31,DATA!$C:$AF,E$1+4,FALSE)</f>
        <v>0</v>
      </c>
      <c r="F31" s="38">
        <f>VLOOKUP($B31,DATA!$C:$AF,F$1+4,FALSE)</f>
        <v>0</v>
      </c>
      <c r="G31" s="38">
        <f>VLOOKUP($B31,DATA!$C:$AF,G$1+4,FALSE)</f>
        <v>0</v>
      </c>
      <c r="H31" s="38">
        <f>VLOOKUP($B31,DATA!$C:$AF,H$1+4,FALSE)</f>
        <v>0</v>
      </c>
      <c r="I31" s="38">
        <f>VLOOKUP($B31,DATA!$C:$AF,I$1+4,FALSE)</f>
        <v>0</v>
      </c>
      <c r="J31" s="38">
        <f>VLOOKUP($B31,DATA!$C:$AF,J$1+4,FALSE)</f>
        <v>0</v>
      </c>
      <c r="K31" s="38">
        <f>VLOOKUP($B31,DATA!$C:$AF,K$1+4,FALSE)</f>
        <v>0</v>
      </c>
      <c r="L31" s="38">
        <f>VLOOKUP($B31,DATA!$C:$AF,L$1+4,FALSE)</f>
        <v>0</v>
      </c>
      <c r="M31" s="38">
        <f>VLOOKUP($B31,DATA!$C:$AF,M$1+4,FALSE)</f>
        <v>0</v>
      </c>
      <c r="N31" s="38">
        <f>VLOOKUP($B31,DATA!$C:$AF,N$1+4,FALSE)</f>
        <v>0</v>
      </c>
      <c r="O31" s="38">
        <f>VLOOKUP($B31,DATA!$C:$AF,O$1+4,FALSE)</f>
        <v>0</v>
      </c>
      <c r="P31" s="38">
        <f>VLOOKUP($B31,DATA!$C:$AF,P$1+4,FALSE)</f>
        <v>0</v>
      </c>
      <c r="Q31" s="16">
        <f t="shared" si="0"/>
        <v>0</v>
      </c>
      <c r="R31" s="17">
        <v>0</v>
      </c>
      <c r="S31" s="17">
        <f t="shared" si="1"/>
        <v>0</v>
      </c>
    </row>
    <row r="32" spans="1:19" ht="17.5" thickBot="1">
      <c r="A32" s="11" t="s">
        <v>603</v>
      </c>
      <c r="B32" s="21" t="s">
        <v>57</v>
      </c>
      <c r="C32" s="13" t="s">
        <v>58</v>
      </c>
      <c r="D32" s="14" t="s">
        <v>579</v>
      </c>
      <c r="E32" s="38">
        <f>VLOOKUP($B32,DATA!$C:$AF,E$1+4,FALSE)</f>
        <v>0</v>
      </c>
      <c r="F32" s="38">
        <f>VLOOKUP($B32,DATA!$C:$AF,F$1+4,FALSE)</f>
        <v>0</v>
      </c>
      <c r="G32" s="38">
        <f>VLOOKUP($B32,DATA!$C:$AF,G$1+4,FALSE)</f>
        <v>0</v>
      </c>
      <c r="H32" s="38">
        <f>VLOOKUP($B32,DATA!$C:$AF,H$1+4,FALSE)</f>
        <v>0</v>
      </c>
      <c r="I32" s="38">
        <f>VLOOKUP($B32,DATA!$C:$AF,I$1+4,FALSE)</f>
        <v>0</v>
      </c>
      <c r="J32" s="38">
        <f>VLOOKUP($B32,DATA!$C:$AF,J$1+4,FALSE)</f>
        <v>0</v>
      </c>
      <c r="K32" s="38">
        <f>VLOOKUP($B32,DATA!$C:$AF,K$1+4,FALSE)</f>
        <v>0</v>
      </c>
      <c r="L32" s="38">
        <f>VLOOKUP($B32,DATA!$C:$AF,L$1+4,FALSE)</f>
        <v>0</v>
      </c>
      <c r="M32" s="38">
        <f>VLOOKUP($B32,DATA!$C:$AF,M$1+4,FALSE)</f>
        <v>0</v>
      </c>
      <c r="N32" s="38">
        <f>VLOOKUP($B32,DATA!$C:$AF,N$1+4,FALSE)</f>
        <v>0</v>
      </c>
      <c r="O32" s="38">
        <f>VLOOKUP($B32,DATA!$C:$AF,O$1+4,FALSE)</f>
        <v>0</v>
      </c>
      <c r="P32" s="38">
        <f>VLOOKUP($B32,DATA!$C:$AF,P$1+4,FALSE)</f>
        <v>0</v>
      </c>
      <c r="Q32" s="16">
        <f t="shared" si="0"/>
        <v>0</v>
      </c>
      <c r="R32" s="17">
        <v>0</v>
      </c>
      <c r="S32" s="17">
        <f t="shared" si="1"/>
        <v>0</v>
      </c>
    </row>
    <row r="33" spans="1:19" ht="17.5" thickBot="1">
      <c r="A33" s="11" t="s">
        <v>603</v>
      </c>
      <c r="B33" s="21" t="s">
        <v>59</v>
      </c>
      <c r="C33" s="13" t="s">
        <v>60</v>
      </c>
      <c r="D33" s="14" t="s">
        <v>579</v>
      </c>
      <c r="E33" s="38">
        <f>VLOOKUP($B33,DATA!$C:$AF,E$1+4,FALSE)</f>
        <v>0</v>
      </c>
      <c r="F33" s="38">
        <f>VLOOKUP($B33,DATA!$C:$AF,F$1+4,FALSE)</f>
        <v>0</v>
      </c>
      <c r="G33" s="38">
        <f>VLOOKUP($B33,DATA!$C:$AF,G$1+4,FALSE)</f>
        <v>0</v>
      </c>
      <c r="H33" s="38">
        <f>VLOOKUP($B33,DATA!$C:$AF,H$1+4,FALSE)</f>
        <v>0</v>
      </c>
      <c r="I33" s="38">
        <f>VLOOKUP($B33,DATA!$C:$AF,I$1+4,FALSE)</f>
        <v>0</v>
      </c>
      <c r="J33" s="38">
        <f>VLOOKUP($B33,DATA!$C:$AF,J$1+4,FALSE)</f>
        <v>0</v>
      </c>
      <c r="K33" s="38">
        <f>VLOOKUP($B33,DATA!$C:$AF,K$1+4,FALSE)</f>
        <v>0</v>
      </c>
      <c r="L33" s="38">
        <f>VLOOKUP($B33,DATA!$C:$AF,L$1+4,FALSE)</f>
        <v>0</v>
      </c>
      <c r="M33" s="38">
        <f>VLOOKUP($B33,DATA!$C:$AF,M$1+4,FALSE)</f>
        <v>0</v>
      </c>
      <c r="N33" s="38">
        <f>VLOOKUP($B33,DATA!$C:$AF,N$1+4,FALSE)</f>
        <v>0</v>
      </c>
      <c r="O33" s="38">
        <f>VLOOKUP($B33,DATA!$C:$AF,O$1+4,FALSE)</f>
        <v>0</v>
      </c>
      <c r="P33" s="38">
        <f>VLOOKUP($B33,DATA!$C:$AF,P$1+4,FALSE)</f>
        <v>0</v>
      </c>
      <c r="Q33" s="16">
        <f t="shared" si="0"/>
        <v>0</v>
      </c>
      <c r="R33" s="17">
        <v>0</v>
      </c>
      <c r="S33" s="17">
        <f t="shared" si="1"/>
        <v>0</v>
      </c>
    </row>
    <row r="34" spans="1:19" ht="17.5" thickBot="1">
      <c r="A34" s="11" t="s">
        <v>603</v>
      </c>
      <c r="B34" s="21" t="s">
        <v>61</v>
      </c>
      <c r="C34" s="13" t="s">
        <v>62</v>
      </c>
      <c r="D34" s="14" t="s">
        <v>579</v>
      </c>
      <c r="E34" s="38">
        <f>VLOOKUP($B34,DATA!$C:$AF,E$1+4,FALSE)</f>
        <v>0</v>
      </c>
      <c r="F34" s="38">
        <f>VLOOKUP($B34,DATA!$C:$AF,F$1+4,FALSE)</f>
        <v>0</v>
      </c>
      <c r="G34" s="38">
        <f>VLOOKUP($B34,DATA!$C:$AF,G$1+4,FALSE)</f>
        <v>0</v>
      </c>
      <c r="H34" s="38">
        <f>VLOOKUP($B34,DATA!$C:$AF,H$1+4,FALSE)</f>
        <v>0</v>
      </c>
      <c r="I34" s="38">
        <f>VLOOKUP($B34,DATA!$C:$AF,I$1+4,FALSE)</f>
        <v>0</v>
      </c>
      <c r="J34" s="38">
        <f>VLOOKUP($B34,DATA!$C:$AF,J$1+4,FALSE)</f>
        <v>0</v>
      </c>
      <c r="K34" s="38">
        <f>VLOOKUP($B34,DATA!$C:$AF,K$1+4,FALSE)</f>
        <v>0</v>
      </c>
      <c r="L34" s="38">
        <f>VLOOKUP($B34,DATA!$C:$AF,L$1+4,FALSE)</f>
        <v>0</v>
      </c>
      <c r="M34" s="38">
        <f>VLOOKUP($B34,DATA!$C:$AF,M$1+4,FALSE)</f>
        <v>0</v>
      </c>
      <c r="N34" s="38">
        <f>VLOOKUP($B34,DATA!$C:$AF,N$1+4,FALSE)</f>
        <v>0</v>
      </c>
      <c r="O34" s="38">
        <f>VLOOKUP($B34,DATA!$C:$AF,O$1+4,FALSE)</f>
        <v>0</v>
      </c>
      <c r="P34" s="38">
        <f>VLOOKUP($B34,DATA!$C:$AF,P$1+4,FALSE)</f>
        <v>0</v>
      </c>
      <c r="Q34" s="16">
        <f t="shared" si="0"/>
        <v>0</v>
      </c>
      <c r="R34" s="17">
        <v>0</v>
      </c>
      <c r="S34" s="17">
        <f t="shared" si="1"/>
        <v>0</v>
      </c>
    </row>
    <row r="35" spans="1:19" ht="17.5" thickBot="1">
      <c r="A35" s="11" t="s">
        <v>603</v>
      </c>
      <c r="B35" s="21" t="s">
        <v>63</v>
      </c>
      <c r="C35" s="13" t="s">
        <v>64</v>
      </c>
      <c r="D35" s="14" t="s">
        <v>579</v>
      </c>
      <c r="E35" s="38">
        <f>VLOOKUP($B35,DATA!$C:$AF,E$1+4,FALSE)</f>
        <v>0</v>
      </c>
      <c r="F35" s="38">
        <f>VLOOKUP($B35,DATA!$C:$AF,F$1+4,FALSE)</f>
        <v>0</v>
      </c>
      <c r="G35" s="38">
        <f>VLOOKUP($B35,DATA!$C:$AF,G$1+4,FALSE)</f>
        <v>0</v>
      </c>
      <c r="H35" s="38">
        <f>VLOOKUP($B35,DATA!$C:$AF,H$1+4,FALSE)</f>
        <v>0</v>
      </c>
      <c r="I35" s="38">
        <f>VLOOKUP($B35,DATA!$C:$AF,I$1+4,FALSE)</f>
        <v>0</v>
      </c>
      <c r="J35" s="38">
        <f>VLOOKUP($B35,DATA!$C:$AF,J$1+4,FALSE)</f>
        <v>0</v>
      </c>
      <c r="K35" s="38">
        <f>VLOOKUP($B35,DATA!$C:$AF,K$1+4,FALSE)</f>
        <v>0</v>
      </c>
      <c r="L35" s="38">
        <f>VLOOKUP($B35,DATA!$C:$AF,L$1+4,FALSE)</f>
        <v>0</v>
      </c>
      <c r="M35" s="38">
        <f>VLOOKUP($B35,DATA!$C:$AF,M$1+4,FALSE)</f>
        <v>0</v>
      </c>
      <c r="N35" s="38">
        <f>VLOOKUP($B35,DATA!$C:$AF,N$1+4,FALSE)</f>
        <v>0</v>
      </c>
      <c r="O35" s="38">
        <f>VLOOKUP($B35,DATA!$C:$AF,O$1+4,FALSE)</f>
        <v>0</v>
      </c>
      <c r="P35" s="38">
        <f>VLOOKUP($B35,DATA!$C:$AF,P$1+4,FALSE)</f>
        <v>0</v>
      </c>
      <c r="Q35" s="16">
        <f t="shared" si="0"/>
        <v>0</v>
      </c>
      <c r="R35" s="17">
        <v>0</v>
      </c>
      <c r="S35" s="17">
        <f t="shared" si="1"/>
        <v>0</v>
      </c>
    </row>
    <row r="36" spans="1:19" ht="17.5" thickBot="1">
      <c r="A36" s="11" t="s">
        <v>603</v>
      </c>
      <c r="B36" s="21" t="s">
        <v>65</v>
      </c>
      <c r="C36" s="13" t="s">
        <v>66</v>
      </c>
      <c r="D36" s="14" t="s">
        <v>579</v>
      </c>
      <c r="E36" s="38">
        <f>VLOOKUP($B36,DATA!$C:$AF,E$1+4,FALSE)</f>
        <v>0</v>
      </c>
      <c r="F36" s="38">
        <f>VLOOKUP($B36,DATA!$C:$AF,F$1+4,FALSE)</f>
        <v>0</v>
      </c>
      <c r="G36" s="38">
        <f>VLOOKUP($B36,DATA!$C:$AF,G$1+4,FALSE)</f>
        <v>0</v>
      </c>
      <c r="H36" s="38">
        <f>VLOOKUP($B36,DATA!$C:$AF,H$1+4,FALSE)</f>
        <v>0</v>
      </c>
      <c r="I36" s="38">
        <f>VLOOKUP($B36,DATA!$C:$AF,I$1+4,FALSE)</f>
        <v>0</v>
      </c>
      <c r="J36" s="38">
        <f>VLOOKUP($B36,DATA!$C:$AF,J$1+4,FALSE)</f>
        <v>0</v>
      </c>
      <c r="K36" s="38">
        <f>VLOOKUP($B36,DATA!$C:$AF,K$1+4,FALSE)</f>
        <v>0</v>
      </c>
      <c r="L36" s="38">
        <f>VLOOKUP($B36,DATA!$C:$AF,L$1+4,FALSE)</f>
        <v>0</v>
      </c>
      <c r="M36" s="38">
        <f>VLOOKUP($B36,DATA!$C:$AF,M$1+4,FALSE)</f>
        <v>0</v>
      </c>
      <c r="N36" s="38">
        <f>VLOOKUP($B36,DATA!$C:$AF,N$1+4,FALSE)</f>
        <v>0</v>
      </c>
      <c r="O36" s="38">
        <f>VLOOKUP($B36,DATA!$C:$AF,O$1+4,FALSE)</f>
        <v>0</v>
      </c>
      <c r="P36" s="38">
        <f>VLOOKUP($B36,DATA!$C:$AF,P$1+4,FALSE)</f>
        <v>0</v>
      </c>
      <c r="Q36" s="16">
        <f t="shared" si="0"/>
        <v>0</v>
      </c>
      <c r="R36" s="17">
        <v>0</v>
      </c>
      <c r="S36" s="17">
        <f t="shared" si="1"/>
        <v>0</v>
      </c>
    </row>
    <row r="37" spans="1:19" ht="17.5" thickBot="1">
      <c r="A37" s="11" t="s">
        <v>603</v>
      </c>
      <c r="B37" s="19" t="s">
        <v>67</v>
      </c>
      <c r="C37" s="13" t="s">
        <v>68</v>
      </c>
      <c r="D37" s="14" t="s">
        <v>579</v>
      </c>
      <c r="E37" s="38">
        <f>VLOOKUP($B37,DATA!$C:$AF,E$1+4,FALSE)</f>
        <v>0</v>
      </c>
      <c r="F37" s="38">
        <f>VLOOKUP($B37,DATA!$C:$AF,F$1+4,FALSE)</f>
        <v>0</v>
      </c>
      <c r="G37" s="38">
        <f>VLOOKUP($B37,DATA!$C:$AF,G$1+4,FALSE)</f>
        <v>0</v>
      </c>
      <c r="H37" s="38">
        <f>VLOOKUP($B37,DATA!$C:$AF,H$1+4,FALSE)</f>
        <v>0</v>
      </c>
      <c r="I37" s="38">
        <f>VLOOKUP($B37,DATA!$C:$AF,I$1+4,FALSE)</f>
        <v>0</v>
      </c>
      <c r="J37" s="38">
        <f>VLOOKUP($B37,DATA!$C:$AF,J$1+4,FALSE)</f>
        <v>0</v>
      </c>
      <c r="K37" s="38">
        <f>VLOOKUP($B37,DATA!$C:$AF,K$1+4,FALSE)</f>
        <v>0</v>
      </c>
      <c r="L37" s="38">
        <f>VLOOKUP($B37,DATA!$C:$AF,L$1+4,FALSE)</f>
        <v>0</v>
      </c>
      <c r="M37" s="38">
        <f>VLOOKUP($B37,DATA!$C:$AF,M$1+4,FALSE)</f>
        <v>0</v>
      </c>
      <c r="N37" s="38">
        <f>VLOOKUP($B37,DATA!$C:$AF,N$1+4,FALSE)</f>
        <v>0</v>
      </c>
      <c r="O37" s="38">
        <f>VLOOKUP($B37,DATA!$C:$AF,O$1+4,FALSE)</f>
        <v>0</v>
      </c>
      <c r="P37" s="38">
        <f>VLOOKUP($B37,DATA!$C:$AF,P$1+4,FALSE)</f>
        <v>0</v>
      </c>
      <c r="Q37" s="16">
        <f t="shared" si="0"/>
        <v>0</v>
      </c>
      <c r="R37" s="17">
        <v>0</v>
      </c>
      <c r="S37" s="17">
        <f t="shared" si="1"/>
        <v>0</v>
      </c>
    </row>
    <row r="38" spans="1:19" ht="17.5" thickBot="1">
      <c r="A38" s="11" t="s">
        <v>603</v>
      </c>
      <c r="B38" s="21" t="s">
        <v>103</v>
      </c>
      <c r="C38" s="13" t="s">
        <v>104</v>
      </c>
      <c r="D38" s="14" t="s">
        <v>579</v>
      </c>
      <c r="E38" s="38">
        <f>VLOOKUP($B38,DATA!$C:$AF,E$1+4,FALSE)</f>
        <v>0</v>
      </c>
      <c r="F38" s="38">
        <f>VLOOKUP($B38,DATA!$C:$AF,F$1+4,FALSE)</f>
        <v>0</v>
      </c>
      <c r="G38" s="38">
        <f>VLOOKUP($B38,DATA!$C:$AF,G$1+4,FALSE)</f>
        <v>0</v>
      </c>
      <c r="H38" s="38">
        <f>VLOOKUP($B38,DATA!$C:$AF,H$1+4,FALSE)</f>
        <v>0</v>
      </c>
      <c r="I38" s="38">
        <f>VLOOKUP($B38,DATA!$C:$AF,I$1+4,FALSE)</f>
        <v>0</v>
      </c>
      <c r="J38" s="38">
        <f>VLOOKUP($B38,DATA!$C:$AF,J$1+4,FALSE)</f>
        <v>0</v>
      </c>
      <c r="K38" s="38">
        <f>VLOOKUP($B38,DATA!$C:$AF,K$1+4,FALSE)</f>
        <v>0</v>
      </c>
      <c r="L38" s="38">
        <f>VLOOKUP($B38,DATA!$C:$AF,L$1+4,FALSE)</f>
        <v>0</v>
      </c>
      <c r="M38" s="38">
        <f>VLOOKUP($B38,DATA!$C:$AF,M$1+4,FALSE)</f>
        <v>0</v>
      </c>
      <c r="N38" s="38">
        <f>VLOOKUP($B38,DATA!$C:$AF,N$1+4,FALSE)</f>
        <v>0</v>
      </c>
      <c r="O38" s="38">
        <f>VLOOKUP($B38,DATA!$C:$AF,O$1+4,FALSE)</f>
        <v>0</v>
      </c>
      <c r="P38" s="38">
        <f>VLOOKUP($B38,DATA!$C:$AF,P$1+4,FALSE)</f>
        <v>0</v>
      </c>
      <c r="Q38" s="16">
        <f t="shared" si="0"/>
        <v>0</v>
      </c>
      <c r="R38" s="17">
        <v>0</v>
      </c>
      <c r="S38" s="17">
        <f t="shared" si="1"/>
        <v>0</v>
      </c>
    </row>
    <row r="39" spans="1:19" ht="17.5" thickBot="1">
      <c r="A39" s="11" t="s">
        <v>603</v>
      </c>
      <c r="B39" s="19" t="s">
        <v>69</v>
      </c>
      <c r="C39" s="13" t="s">
        <v>70</v>
      </c>
      <c r="D39" s="14" t="s">
        <v>580</v>
      </c>
      <c r="E39" s="38" t="str">
        <f>VLOOKUP($B39,DATA!$C:$AF,E$1+4,FALSE)</f>
        <v>P</v>
      </c>
      <c r="F39" s="38" t="str">
        <f>VLOOKUP($B39,DATA!$C:$AF,F$1+4,FALSE)</f>
        <v>P</v>
      </c>
      <c r="G39" s="38" t="str">
        <f>VLOOKUP($B39,DATA!$C:$AF,G$1+4,FALSE)</f>
        <v>P</v>
      </c>
      <c r="H39" s="38" t="str">
        <f>VLOOKUP($B39,DATA!$C:$AF,H$1+4,FALSE)</f>
        <v>P</v>
      </c>
      <c r="I39" s="38" t="str">
        <f>VLOOKUP($B39,DATA!$C:$AF,I$1+4,FALSE)</f>
        <v>P</v>
      </c>
      <c r="J39" s="38" t="str">
        <f>VLOOKUP($B39,DATA!$C:$AF,J$1+4,FALSE)</f>
        <v>P</v>
      </c>
      <c r="K39" s="38" t="str">
        <f>VLOOKUP($B39,DATA!$C:$AF,K$1+4,FALSE)</f>
        <v>P</v>
      </c>
      <c r="L39" s="38" t="str">
        <f>VLOOKUP($B39,DATA!$C:$AF,L$1+4,FALSE)</f>
        <v>P</v>
      </c>
      <c r="M39" s="38" t="str">
        <f>VLOOKUP($B39,DATA!$C:$AF,M$1+4,FALSE)</f>
        <v>P</v>
      </c>
      <c r="N39" s="38" t="str">
        <f>VLOOKUP($B39,DATA!$C:$AF,N$1+4,FALSE)</f>
        <v>P</v>
      </c>
      <c r="O39" s="38" t="str">
        <f>VLOOKUP($B39,DATA!$C:$AF,O$1+4,FALSE)</f>
        <v>P</v>
      </c>
      <c r="P39" s="38" t="str">
        <f>VLOOKUP($B39,DATA!$C:$AF,P$1+4,FALSE)</f>
        <v>P</v>
      </c>
      <c r="Q39" s="16">
        <f t="shared" si="0"/>
        <v>12</v>
      </c>
      <c r="R39" s="17">
        <v>6</v>
      </c>
      <c r="S39" s="17">
        <f t="shared" si="1"/>
        <v>15</v>
      </c>
    </row>
    <row r="40" spans="1:19" ht="17.5" thickBot="1">
      <c r="A40" s="11" t="s">
        <v>603</v>
      </c>
      <c r="B40" s="23" t="s">
        <v>71</v>
      </c>
      <c r="C40" s="13" t="s">
        <v>72</v>
      </c>
      <c r="D40" s="14" t="s">
        <v>579</v>
      </c>
      <c r="E40" s="38">
        <f>VLOOKUP($B40,DATA!$C:$AF,E$1+4,FALSE)</f>
        <v>0</v>
      </c>
      <c r="F40" s="38">
        <f>VLOOKUP($B40,DATA!$C:$AF,F$1+4,FALSE)</f>
        <v>0</v>
      </c>
      <c r="G40" s="38">
        <f>VLOOKUP($B40,DATA!$C:$AF,G$1+4,FALSE)</f>
        <v>0</v>
      </c>
      <c r="H40" s="38">
        <f>VLOOKUP($B40,DATA!$C:$AF,H$1+4,FALSE)</f>
        <v>0</v>
      </c>
      <c r="I40" s="38">
        <f>VLOOKUP($B40,DATA!$C:$AF,I$1+4,FALSE)</f>
        <v>0</v>
      </c>
      <c r="J40" s="38">
        <f>VLOOKUP($B40,DATA!$C:$AF,J$1+4,FALSE)</f>
        <v>0</v>
      </c>
      <c r="K40" s="38">
        <f>VLOOKUP($B40,DATA!$C:$AF,K$1+4,FALSE)</f>
        <v>0</v>
      </c>
      <c r="L40" s="38">
        <f>VLOOKUP($B40,DATA!$C:$AF,L$1+4,FALSE)</f>
        <v>0</v>
      </c>
      <c r="M40" s="38">
        <f>VLOOKUP($B40,DATA!$C:$AF,M$1+4,FALSE)</f>
        <v>0</v>
      </c>
      <c r="N40" s="38">
        <f>VLOOKUP($B40,DATA!$C:$AF,N$1+4,FALSE)</f>
        <v>0</v>
      </c>
      <c r="O40" s="38">
        <f>VLOOKUP($B40,DATA!$C:$AF,O$1+4,FALSE)</f>
        <v>0</v>
      </c>
      <c r="P40" s="38">
        <f>VLOOKUP($B40,DATA!$C:$AF,P$1+4,FALSE)</f>
        <v>0</v>
      </c>
      <c r="Q40" s="16">
        <f t="shared" si="0"/>
        <v>0</v>
      </c>
      <c r="R40" s="17">
        <v>0</v>
      </c>
      <c r="S40" s="17">
        <f t="shared" si="1"/>
        <v>0</v>
      </c>
    </row>
    <row r="41" spans="1:19" ht="17.5" thickBot="1">
      <c r="A41" s="11" t="s">
        <v>603</v>
      </c>
      <c r="B41" s="23" t="s">
        <v>73</v>
      </c>
      <c r="C41" s="13" t="s">
        <v>74</v>
      </c>
      <c r="D41" s="14" t="s">
        <v>579</v>
      </c>
      <c r="E41" s="38">
        <f>VLOOKUP($B41,DATA!$C:$AF,E$1+4,FALSE)</f>
        <v>0</v>
      </c>
      <c r="F41" s="38">
        <f>VLOOKUP($B41,DATA!$C:$AF,F$1+4,FALSE)</f>
        <v>0</v>
      </c>
      <c r="G41" s="38">
        <f>VLOOKUP($B41,DATA!$C:$AF,G$1+4,FALSE)</f>
        <v>0</v>
      </c>
      <c r="H41" s="38">
        <f>VLOOKUP($B41,DATA!$C:$AF,H$1+4,FALSE)</f>
        <v>0</v>
      </c>
      <c r="I41" s="38">
        <f>VLOOKUP($B41,DATA!$C:$AF,I$1+4,FALSE)</f>
        <v>0</v>
      </c>
      <c r="J41" s="38">
        <f>VLOOKUP($B41,DATA!$C:$AF,J$1+4,FALSE)</f>
        <v>0</v>
      </c>
      <c r="K41" s="38">
        <f>VLOOKUP($B41,DATA!$C:$AF,K$1+4,FALSE)</f>
        <v>0</v>
      </c>
      <c r="L41" s="38">
        <f>VLOOKUP($B41,DATA!$C:$AF,L$1+4,FALSE)</f>
        <v>0</v>
      </c>
      <c r="M41" s="38">
        <f>VLOOKUP($B41,DATA!$C:$AF,M$1+4,FALSE)</f>
        <v>0</v>
      </c>
      <c r="N41" s="38">
        <f>VLOOKUP($B41,DATA!$C:$AF,N$1+4,FALSE)</f>
        <v>0</v>
      </c>
      <c r="O41" s="38">
        <f>VLOOKUP($B41,DATA!$C:$AF,O$1+4,FALSE)</f>
        <v>0</v>
      </c>
      <c r="P41" s="38">
        <f>VLOOKUP($B41,DATA!$C:$AF,P$1+4,FALSE)</f>
        <v>0</v>
      </c>
      <c r="Q41" s="16">
        <f t="shared" si="0"/>
        <v>0</v>
      </c>
      <c r="R41" s="17">
        <v>0</v>
      </c>
      <c r="S41" s="17">
        <f t="shared" si="1"/>
        <v>0</v>
      </c>
    </row>
    <row r="42" spans="1:19" ht="17.5" thickBot="1">
      <c r="A42" s="11" t="s">
        <v>603</v>
      </c>
      <c r="B42" s="23" t="s">
        <v>75</v>
      </c>
      <c r="C42" s="13" t="s">
        <v>76</v>
      </c>
      <c r="D42" s="14" t="s">
        <v>579</v>
      </c>
      <c r="E42" s="38">
        <f>VLOOKUP($B42,DATA!$C:$AF,E$1+4,FALSE)</f>
        <v>0</v>
      </c>
      <c r="F42" s="38">
        <f>VLOOKUP($B42,DATA!$C:$AF,F$1+4,FALSE)</f>
        <v>0</v>
      </c>
      <c r="G42" s="38">
        <f>VLOOKUP($B42,DATA!$C:$AF,G$1+4,FALSE)</f>
        <v>0</v>
      </c>
      <c r="H42" s="38">
        <f>VLOOKUP($B42,DATA!$C:$AF,H$1+4,FALSE)</f>
        <v>0</v>
      </c>
      <c r="I42" s="38">
        <f>VLOOKUP($B42,DATA!$C:$AF,I$1+4,FALSE)</f>
        <v>0</v>
      </c>
      <c r="J42" s="38">
        <f>VLOOKUP($B42,DATA!$C:$AF,J$1+4,FALSE)</f>
        <v>0</v>
      </c>
      <c r="K42" s="38">
        <f>VLOOKUP($B42,DATA!$C:$AF,K$1+4,FALSE)</f>
        <v>0</v>
      </c>
      <c r="L42" s="38">
        <f>VLOOKUP($B42,DATA!$C:$AF,L$1+4,FALSE)</f>
        <v>0</v>
      </c>
      <c r="M42" s="38">
        <f>VLOOKUP($B42,DATA!$C:$AF,M$1+4,FALSE)</f>
        <v>0</v>
      </c>
      <c r="N42" s="38">
        <f>VLOOKUP($B42,DATA!$C:$AF,N$1+4,FALSE)</f>
        <v>0</v>
      </c>
      <c r="O42" s="38">
        <f>VLOOKUP($B42,DATA!$C:$AF,O$1+4,FALSE)</f>
        <v>0</v>
      </c>
      <c r="P42" s="38">
        <f>VLOOKUP($B42,DATA!$C:$AF,P$1+4,FALSE)</f>
        <v>0</v>
      </c>
      <c r="Q42" s="16">
        <f t="shared" si="0"/>
        <v>0</v>
      </c>
      <c r="R42" s="17">
        <v>0</v>
      </c>
      <c r="S42" s="17">
        <f>IF(R42=0,0,IF(R42&lt;=8,15,10))</f>
        <v>0</v>
      </c>
    </row>
    <row r="43" spans="1:19" ht="17.5" thickBot="1">
      <c r="A43" s="11" t="s">
        <v>603</v>
      </c>
      <c r="B43" s="23" t="s">
        <v>554</v>
      </c>
      <c r="C43" s="13" t="s">
        <v>582</v>
      </c>
      <c r="D43" s="14" t="s">
        <v>579</v>
      </c>
      <c r="E43" s="38">
        <f>VLOOKUP($B43,DATA!$C:$AF,E$1+4,FALSE)</f>
        <v>0</v>
      </c>
      <c r="F43" s="38">
        <f>VLOOKUP($B43,DATA!$C:$AF,F$1+4,FALSE)</f>
        <v>0</v>
      </c>
      <c r="G43" s="38">
        <f>VLOOKUP($B43,DATA!$C:$AF,G$1+4,FALSE)</f>
        <v>0</v>
      </c>
      <c r="H43" s="38">
        <f>VLOOKUP($B43,DATA!$C:$AF,H$1+4,FALSE)</f>
        <v>0</v>
      </c>
      <c r="I43" s="38">
        <f>VLOOKUP($B43,DATA!$C:$AF,I$1+4,FALSE)</f>
        <v>0</v>
      </c>
      <c r="J43" s="38">
        <f>VLOOKUP($B43,DATA!$C:$AF,J$1+4,FALSE)</f>
        <v>0</v>
      </c>
      <c r="K43" s="38">
        <f>VLOOKUP($B43,DATA!$C:$AF,K$1+4,FALSE)</f>
        <v>0</v>
      </c>
      <c r="L43" s="38">
        <f>VLOOKUP($B43,DATA!$C:$AF,L$1+4,FALSE)</f>
        <v>0</v>
      </c>
      <c r="M43" s="38">
        <f>VLOOKUP($B43,DATA!$C:$AF,M$1+4,FALSE)</f>
        <v>0</v>
      </c>
      <c r="N43" s="38">
        <f>VLOOKUP($B43,DATA!$C:$AF,N$1+4,FALSE)</f>
        <v>0</v>
      </c>
      <c r="O43" s="38">
        <f>VLOOKUP($B43,DATA!$C:$AF,O$1+4,FALSE)</f>
        <v>0</v>
      </c>
      <c r="P43" s="38">
        <f>VLOOKUP($B43,DATA!$C:$AF,P$1+4,FALSE)</f>
        <v>0</v>
      </c>
      <c r="Q43" s="16">
        <f t="shared" si="0"/>
        <v>0</v>
      </c>
      <c r="R43" s="17">
        <v>0</v>
      </c>
      <c r="S43" s="17">
        <f t="shared" si="1"/>
        <v>0</v>
      </c>
    </row>
    <row r="44" spans="1:19" ht="17.5" thickBot="1">
      <c r="A44" s="11" t="s">
        <v>603</v>
      </c>
      <c r="B44" s="19" t="s">
        <v>77</v>
      </c>
      <c r="C44" s="13" t="s">
        <v>78</v>
      </c>
      <c r="D44" s="14" t="s">
        <v>579</v>
      </c>
      <c r="E44" s="38">
        <f>VLOOKUP($B44,DATA!$C:$AF,E$1+4,FALSE)</f>
        <v>0</v>
      </c>
      <c r="F44" s="38">
        <f>VLOOKUP($B44,DATA!$C:$AF,F$1+4,FALSE)</f>
        <v>0</v>
      </c>
      <c r="G44" s="38">
        <f>VLOOKUP($B44,DATA!$C:$AF,G$1+4,FALSE)</f>
        <v>0</v>
      </c>
      <c r="H44" s="38">
        <f>VLOOKUP($B44,DATA!$C:$AF,H$1+4,FALSE)</f>
        <v>0</v>
      </c>
      <c r="I44" s="38">
        <f>VLOOKUP($B44,DATA!$C:$AF,I$1+4,FALSE)</f>
        <v>0</v>
      </c>
      <c r="J44" s="38">
        <f>VLOOKUP($B44,DATA!$C:$AF,J$1+4,FALSE)</f>
        <v>0</v>
      </c>
      <c r="K44" s="38">
        <f>VLOOKUP($B44,DATA!$C:$AF,K$1+4,FALSE)</f>
        <v>0</v>
      </c>
      <c r="L44" s="38">
        <f>VLOOKUP($B44,DATA!$C:$AF,L$1+4,FALSE)</f>
        <v>0</v>
      </c>
      <c r="M44" s="38">
        <f>VLOOKUP($B44,DATA!$C:$AF,M$1+4,FALSE)</f>
        <v>0</v>
      </c>
      <c r="N44" s="38">
        <f>VLOOKUP($B44,DATA!$C:$AF,N$1+4,FALSE)</f>
        <v>0</v>
      </c>
      <c r="O44" s="38">
        <f>VLOOKUP($B44,DATA!$C:$AF,O$1+4,FALSE)</f>
        <v>0</v>
      </c>
      <c r="P44" s="38">
        <f>VLOOKUP($B44,DATA!$C:$AF,P$1+4,FALSE)</f>
        <v>0</v>
      </c>
      <c r="Q44" s="16">
        <f t="shared" si="0"/>
        <v>0</v>
      </c>
      <c r="R44" s="17">
        <v>0</v>
      </c>
      <c r="S44" s="17">
        <f t="shared" si="1"/>
        <v>0</v>
      </c>
    </row>
    <row r="45" spans="1:19" ht="17.5" thickBot="1">
      <c r="A45" s="11" t="s">
        <v>603</v>
      </c>
      <c r="B45" s="13" t="s">
        <v>79</v>
      </c>
      <c r="C45" s="13" t="s">
        <v>80</v>
      </c>
      <c r="D45" s="14" t="s">
        <v>579</v>
      </c>
      <c r="E45" s="38">
        <f>VLOOKUP($B45,DATA!$C:$AF,E$1+4,FALSE)</f>
        <v>0</v>
      </c>
      <c r="F45" s="38">
        <f>VLOOKUP($B45,DATA!$C:$AF,F$1+4,FALSE)</f>
        <v>0</v>
      </c>
      <c r="G45" s="38">
        <f>VLOOKUP($B45,DATA!$C:$AF,G$1+4,FALSE)</f>
        <v>0</v>
      </c>
      <c r="H45" s="38">
        <f>VLOOKUP($B45,DATA!$C:$AF,H$1+4,FALSE)</f>
        <v>0</v>
      </c>
      <c r="I45" s="38">
        <f>VLOOKUP($B45,DATA!$C:$AF,I$1+4,FALSE)</f>
        <v>0</v>
      </c>
      <c r="J45" s="38">
        <f>VLOOKUP($B45,DATA!$C:$AF,J$1+4,FALSE)</f>
        <v>0</v>
      </c>
      <c r="K45" s="38">
        <f>VLOOKUP($B45,DATA!$C:$AF,K$1+4,FALSE)</f>
        <v>0</v>
      </c>
      <c r="L45" s="38">
        <f>VLOOKUP($B45,DATA!$C:$AF,L$1+4,FALSE)</f>
        <v>0</v>
      </c>
      <c r="M45" s="38">
        <f>VLOOKUP($B45,DATA!$C:$AF,M$1+4,FALSE)</f>
        <v>0</v>
      </c>
      <c r="N45" s="38">
        <f>VLOOKUP($B45,DATA!$C:$AF,N$1+4,FALSE)</f>
        <v>0</v>
      </c>
      <c r="O45" s="38">
        <f>VLOOKUP($B45,DATA!$C:$AF,O$1+4,FALSE)</f>
        <v>0</v>
      </c>
      <c r="P45" s="38">
        <f>VLOOKUP($B45,DATA!$C:$AF,P$1+4,FALSE)</f>
        <v>0</v>
      </c>
      <c r="Q45" s="16">
        <f t="shared" si="0"/>
        <v>0</v>
      </c>
      <c r="R45" s="17">
        <v>0</v>
      </c>
      <c r="S45" s="17">
        <f t="shared" si="1"/>
        <v>0</v>
      </c>
    </row>
    <row r="46" spans="1:19" ht="17.5" thickBot="1">
      <c r="A46" s="11" t="s">
        <v>603</v>
      </c>
      <c r="B46" s="13" t="s">
        <v>81</v>
      </c>
      <c r="C46" s="13" t="s">
        <v>82</v>
      </c>
      <c r="D46" s="14" t="s">
        <v>579</v>
      </c>
      <c r="E46" s="38">
        <f>VLOOKUP($B46,DATA!$C:$AF,E$1+4,FALSE)</f>
        <v>0</v>
      </c>
      <c r="F46" s="38">
        <f>VLOOKUP($B46,DATA!$C:$AF,F$1+4,FALSE)</f>
        <v>0</v>
      </c>
      <c r="G46" s="38">
        <f>VLOOKUP($B46,DATA!$C:$AF,G$1+4,FALSE)</f>
        <v>0</v>
      </c>
      <c r="H46" s="38">
        <f>VLOOKUP($B46,DATA!$C:$AF,H$1+4,FALSE)</f>
        <v>0</v>
      </c>
      <c r="I46" s="38">
        <f>VLOOKUP($B46,DATA!$C:$AF,I$1+4,FALSE)</f>
        <v>0</v>
      </c>
      <c r="J46" s="38">
        <f>VLOOKUP($B46,DATA!$C:$AF,J$1+4,FALSE)</f>
        <v>0</v>
      </c>
      <c r="K46" s="38">
        <f>VLOOKUP($B46,DATA!$C:$AF,K$1+4,FALSE)</f>
        <v>0</v>
      </c>
      <c r="L46" s="38">
        <f>VLOOKUP($B46,DATA!$C:$AF,L$1+4,FALSE)</f>
        <v>0</v>
      </c>
      <c r="M46" s="38">
        <f>VLOOKUP($B46,DATA!$C:$AF,M$1+4,FALSE)</f>
        <v>0</v>
      </c>
      <c r="N46" s="38">
        <f>VLOOKUP($B46,DATA!$C:$AF,N$1+4,FALSE)</f>
        <v>0</v>
      </c>
      <c r="O46" s="38">
        <f>VLOOKUP($B46,DATA!$C:$AF,O$1+4,FALSE)</f>
        <v>0</v>
      </c>
      <c r="P46" s="38">
        <f>VLOOKUP($B46,DATA!$C:$AF,P$1+4,FALSE)</f>
        <v>0</v>
      </c>
      <c r="Q46" s="16">
        <f t="shared" si="0"/>
        <v>0</v>
      </c>
      <c r="R46" s="17">
        <v>0</v>
      </c>
      <c r="S46" s="17">
        <f t="shared" si="1"/>
        <v>0</v>
      </c>
    </row>
    <row r="47" spans="1:19" ht="17.5" thickBot="1">
      <c r="A47" s="11" t="s">
        <v>603</v>
      </c>
      <c r="B47" s="21" t="s">
        <v>83</v>
      </c>
      <c r="C47" s="13" t="s">
        <v>84</v>
      </c>
      <c r="D47" s="14" t="s">
        <v>579</v>
      </c>
      <c r="E47" s="38">
        <f>VLOOKUP($B47,DATA!$C:$AF,E$1+4,FALSE)</f>
        <v>0</v>
      </c>
      <c r="F47" s="38">
        <f>VLOOKUP($B47,DATA!$C:$AF,F$1+4,FALSE)</f>
        <v>0</v>
      </c>
      <c r="G47" s="38">
        <f>VLOOKUP($B47,DATA!$C:$AF,G$1+4,FALSE)</f>
        <v>0</v>
      </c>
      <c r="H47" s="38">
        <f>VLOOKUP($B47,DATA!$C:$AF,H$1+4,FALSE)</f>
        <v>0</v>
      </c>
      <c r="I47" s="38">
        <f>VLOOKUP($B47,DATA!$C:$AF,I$1+4,FALSE)</f>
        <v>0</v>
      </c>
      <c r="J47" s="38">
        <f>VLOOKUP($B47,DATA!$C:$AF,J$1+4,FALSE)</f>
        <v>0</v>
      </c>
      <c r="K47" s="38">
        <f>VLOOKUP($B47,DATA!$C:$AF,K$1+4,FALSE)</f>
        <v>0</v>
      </c>
      <c r="L47" s="38">
        <f>VLOOKUP($B47,DATA!$C:$AF,L$1+4,FALSE)</f>
        <v>0</v>
      </c>
      <c r="M47" s="38">
        <f>VLOOKUP($B47,DATA!$C:$AF,M$1+4,FALSE)</f>
        <v>0</v>
      </c>
      <c r="N47" s="38">
        <f>VLOOKUP($B47,DATA!$C:$AF,N$1+4,FALSE)</f>
        <v>0</v>
      </c>
      <c r="O47" s="38">
        <f>VLOOKUP($B47,DATA!$C:$AF,O$1+4,FALSE)</f>
        <v>0</v>
      </c>
      <c r="P47" s="38">
        <f>VLOOKUP($B47,DATA!$C:$AF,P$1+4,FALSE)</f>
        <v>0</v>
      </c>
      <c r="Q47" s="16">
        <f t="shared" si="0"/>
        <v>0</v>
      </c>
      <c r="R47" s="17">
        <v>0</v>
      </c>
      <c r="S47" s="17">
        <f t="shared" si="1"/>
        <v>0</v>
      </c>
    </row>
    <row r="48" spans="1:19" ht="17.5" thickBot="1">
      <c r="A48" s="11" t="s">
        <v>603</v>
      </c>
      <c r="B48" s="21" t="s">
        <v>85</v>
      </c>
      <c r="C48" s="13" t="s">
        <v>86</v>
      </c>
      <c r="D48" s="14" t="s">
        <v>579</v>
      </c>
      <c r="E48" s="38">
        <f>VLOOKUP($B48,DATA!$C:$AF,E$1+4,FALSE)</f>
        <v>0</v>
      </c>
      <c r="F48" s="38">
        <f>VLOOKUP($B48,DATA!$C:$AF,F$1+4,FALSE)</f>
        <v>0</v>
      </c>
      <c r="G48" s="38">
        <f>VLOOKUP($B48,DATA!$C:$AF,G$1+4,FALSE)</f>
        <v>0</v>
      </c>
      <c r="H48" s="38">
        <f>VLOOKUP($B48,DATA!$C:$AF,H$1+4,FALSE)</f>
        <v>0</v>
      </c>
      <c r="I48" s="38">
        <f>VLOOKUP($B48,DATA!$C:$AF,I$1+4,FALSE)</f>
        <v>0</v>
      </c>
      <c r="J48" s="38">
        <f>VLOOKUP($B48,DATA!$C:$AF,J$1+4,FALSE)</f>
        <v>0</v>
      </c>
      <c r="K48" s="38">
        <f>VLOOKUP($B48,DATA!$C:$AF,K$1+4,FALSE)</f>
        <v>0</v>
      </c>
      <c r="L48" s="38">
        <f>VLOOKUP($B48,DATA!$C:$AF,L$1+4,FALSE)</f>
        <v>0</v>
      </c>
      <c r="M48" s="38">
        <f>VLOOKUP($B48,DATA!$C:$AF,M$1+4,FALSE)</f>
        <v>0</v>
      </c>
      <c r="N48" s="38">
        <f>VLOOKUP($B48,DATA!$C:$AF,N$1+4,FALSE)</f>
        <v>0</v>
      </c>
      <c r="O48" s="38">
        <f>VLOOKUP($B48,DATA!$C:$AF,O$1+4,FALSE)</f>
        <v>0</v>
      </c>
      <c r="P48" s="38">
        <f>VLOOKUP($B48,DATA!$C:$AF,P$1+4,FALSE)</f>
        <v>0</v>
      </c>
      <c r="Q48" s="16">
        <f t="shared" si="0"/>
        <v>0</v>
      </c>
      <c r="R48" s="17">
        <v>0</v>
      </c>
      <c r="S48" s="17">
        <f t="shared" si="1"/>
        <v>0</v>
      </c>
    </row>
    <row r="49" spans="1:19" ht="17.5" thickBot="1">
      <c r="A49" s="11" t="s">
        <v>603</v>
      </c>
      <c r="B49" s="24" t="s">
        <v>536</v>
      </c>
      <c r="C49" s="25" t="s">
        <v>537</v>
      </c>
      <c r="D49" s="14" t="s">
        <v>579</v>
      </c>
      <c r="E49" s="38">
        <f>VLOOKUP($B49,DATA!$C:$AF,E$1+4,FALSE)</f>
        <v>0</v>
      </c>
      <c r="F49" s="38">
        <f>VLOOKUP($B49,DATA!$C:$AF,F$1+4,FALSE)</f>
        <v>0</v>
      </c>
      <c r="G49" s="38">
        <f>VLOOKUP($B49,DATA!$C:$AF,G$1+4,FALSE)</f>
        <v>0</v>
      </c>
      <c r="H49" s="38">
        <f>VLOOKUP($B49,DATA!$C:$AF,H$1+4,FALSE)</f>
        <v>0</v>
      </c>
      <c r="I49" s="38">
        <f>VLOOKUP($B49,DATA!$C:$AF,I$1+4,FALSE)</f>
        <v>0</v>
      </c>
      <c r="J49" s="38">
        <f>VLOOKUP($B49,DATA!$C:$AF,J$1+4,FALSE)</f>
        <v>0</v>
      </c>
      <c r="K49" s="38">
        <f>VLOOKUP($B49,DATA!$C:$AF,K$1+4,FALSE)</f>
        <v>0</v>
      </c>
      <c r="L49" s="38">
        <f>VLOOKUP($B49,DATA!$C:$AF,L$1+4,FALSE)</f>
        <v>0</v>
      </c>
      <c r="M49" s="38">
        <f>VLOOKUP($B49,DATA!$C:$AF,M$1+4,FALSE)</f>
        <v>0</v>
      </c>
      <c r="N49" s="38">
        <f>VLOOKUP($B49,DATA!$C:$AF,N$1+4,FALSE)</f>
        <v>0</v>
      </c>
      <c r="O49" s="38">
        <f>VLOOKUP($B49,DATA!$C:$AF,O$1+4,FALSE)</f>
        <v>0</v>
      </c>
      <c r="P49" s="38">
        <f>VLOOKUP($B49,DATA!$C:$AF,P$1+4,FALSE)</f>
        <v>0</v>
      </c>
      <c r="Q49" s="16">
        <f t="shared" si="0"/>
        <v>0</v>
      </c>
      <c r="R49" s="17">
        <v>0</v>
      </c>
      <c r="S49" s="17">
        <f t="shared" si="1"/>
        <v>0</v>
      </c>
    </row>
    <row r="50" spans="1:19" ht="17.5" thickBot="1">
      <c r="A50" s="11" t="s">
        <v>603</v>
      </c>
      <c r="B50" s="22" t="s">
        <v>532</v>
      </c>
      <c r="C50" s="22" t="s">
        <v>533</v>
      </c>
      <c r="D50" s="14" t="s">
        <v>579</v>
      </c>
      <c r="E50" s="38">
        <f>VLOOKUP($B50,DATA!$C:$AF,E$1+4,FALSE)</f>
        <v>0</v>
      </c>
      <c r="F50" s="38">
        <f>VLOOKUP($B50,DATA!$C:$AF,F$1+4,FALSE)</f>
        <v>0</v>
      </c>
      <c r="G50" s="38">
        <f>VLOOKUP($B50,DATA!$C:$AF,G$1+4,FALSE)</f>
        <v>0</v>
      </c>
      <c r="H50" s="38">
        <f>VLOOKUP($B50,DATA!$C:$AF,H$1+4,FALSE)</f>
        <v>0</v>
      </c>
      <c r="I50" s="38">
        <f>VLOOKUP($B50,DATA!$C:$AF,I$1+4,FALSE)</f>
        <v>0</v>
      </c>
      <c r="J50" s="38">
        <f>VLOOKUP($B50,DATA!$C:$AF,J$1+4,FALSE)</f>
        <v>0</v>
      </c>
      <c r="K50" s="38">
        <f>VLOOKUP($B50,DATA!$C:$AF,K$1+4,FALSE)</f>
        <v>0</v>
      </c>
      <c r="L50" s="38">
        <f>VLOOKUP($B50,DATA!$C:$AF,L$1+4,FALSE)</f>
        <v>0</v>
      </c>
      <c r="M50" s="38">
        <f>VLOOKUP($B50,DATA!$C:$AF,M$1+4,FALSE)</f>
        <v>0</v>
      </c>
      <c r="N50" s="38">
        <f>VLOOKUP($B50,DATA!$C:$AF,N$1+4,FALSE)</f>
        <v>0</v>
      </c>
      <c r="O50" s="38">
        <f>VLOOKUP($B50,DATA!$C:$AF,O$1+4,FALSE)</f>
        <v>0</v>
      </c>
      <c r="P50" s="38">
        <f>VLOOKUP($B50,DATA!$C:$AF,P$1+4,FALSE)</f>
        <v>0</v>
      </c>
      <c r="Q50" s="16">
        <f t="shared" si="0"/>
        <v>0</v>
      </c>
      <c r="R50" s="17">
        <v>0</v>
      </c>
      <c r="S50" s="17">
        <f t="shared" si="1"/>
        <v>0</v>
      </c>
    </row>
    <row r="51" spans="1:19" ht="17.5" thickBot="1">
      <c r="A51" s="11" t="s">
        <v>603</v>
      </c>
      <c r="B51" s="13" t="s">
        <v>87</v>
      </c>
      <c r="C51" s="13" t="s">
        <v>88</v>
      </c>
      <c r="D51" s="14" t="s">
        <v>579</v>
      </c>
      <c r="E51" s="38">
        <f>VLOOKUP($B51,DATA!$C:$AF,E$1+4,FALSE)</f>
        <v>0</v>
      </c>
      <c r="F51" s="38">
        <f>VLOOKUP($B51,DATA!$C:$AF,F$1+4,FALSE)</f>
        <v>0</v>
      </c>
      <c r="G51" s="38">
        <f>VLOOKUP($B51,DATA!$C:$AF,G$1+4,FALSE)</f>
        <v>0</v>
      </c>
      <c r="H51" s="38">
        <f>VLOOKUP($B51,DATA!$C:$AF,H$1+4,FALSE)</f>
        <v>0</v>
      </c>
      <c r="I51" s="38">
        <f>VLOOKUP($B51,DATA!$C:$AF,I$1+4,FALSE)</f>
        <v>0</v>
      </c>
      <c r="J51" s="38">
        <f>VLOOKUP($B51,DATA!$C:$AF,J$1+4,FALSE)</f>
        <v>0</v>
      </c>
      <c r="K51" s="38">
        <f>VLOOKUP($B51,DATA!$C:$AF,K$1+4,FALSE)</f>
        <v>0</v>
      </c>
      <c r="L51" s="38">
        <f>VLOOKUP($B51,DATA!$C:$AF,L$1+4,FALSE)</f>
        <v>0</v>
      </c>
      <c r="M51" s="38">
        <f>VLOOKUP($B51,DATA!$C:$AF,M$1+4,FALSE)</f>
        <v>0</v>
      </c>
      <c r="N51" s="38">
        <f>VLOOKUP($B51,DATA!$C:$AF,N$1+4,FALSE)</f>
        <v>0</v>
      </c>
      <c r="O51" s="38">
        <f>VLOOKUP($B51,DATA!$C:$AF,O$1+4,FALSE)</f>
        <v>0</v>
      </c>
      <c r="P51" s="38">
        <f>VLOOKUP($B51,DATA!$C:$AF,P$1+4,FALSE)</f>
        <v>0</v>
      </c>
      <c r="Q51" s="16">
        <f t="shared" si="0"/>
        <v>0</v>
      </c>
      <c r="R51" s="17">
        <v>0</v>
      </c>
      <c r="S51" s="17">
        <f t="shared" si="1"/>
        <v>0</v>
      </c>
    </row>
    <row r="52" spans="1:19" ht="17.5" thickBot="1">
      <c r="A52" s="11" t="s">
        <v>603</v>
      </c>
      <c r="B52" s="22" t="s">
        <v>89</v>
      </c>
      <c r="C52" s="22" t="s">
        <v>90</v>
      </c>
      <c r="D52" s="14" t="s">
        <v>579</v>
      </c>
      <c r="E52" s="38">
        <f>VLOOKUP($B52,DATA!$C:$AF,E$1+4,FALSE)</f>
        <v>0</v>
      </c>
      <c r="F52" s="38">
        <f>VLOOKUP($B52,DATA!$C:$AF,F$1+4,FALSE)</f>
        <v>0</v>
      </c>
      <c r="G52" s="38">
        <f>VLOOKUP($B52,DATA!$C:$AF,G$1+4,FALSE)</f>
        <v>0</v>
      </c>
      <c r="H52" s="38">
        <f>VLOOKUP($B52,DATA!$C:$AF,H$1+4,FALSE)</f>
        <v>0</v>
      </c>
      <c r="I52" s="38">
        <f>VLOOKUP($B52,DATA!$C:$AF,I$1+4,FALSE)</f>
        <v>0</v>
      </c>
      <c r="J52" s="38">
        <f>VLOOKUP($B52,DATA!$C:$AF,J$1+4,FALSE)</f>
        <v>0</v>
      </c>
      <c r="K52" s="38">
        <f>VLOOKUP($B52,DATA!$C:$AF,K$1+4,FALSE)</f>
        <v>0</v>
      </c>
      <c r="L52" s="38">
        <f>VLOOKUP($B52,DATA!$C:$AF,L$1+4,FALSE)</f>
        <v>0</v>
      </c>
      <c r="M52" s="38">
        <f>VLOOKUP($B52,DATA!$C:$AF,M$1+4,FALSE)</f>
        <v>0</v>
      </c>
      <c r="N52" s="38">
        <f>VLOOKUP($B52,DATA!$C:$AF,N$1+4,FALSE)</f>
        <v>0</v>
      </c>
      <c r="O52" s="38">
        <f>VLOOKUP($B52,DATA!$C:$AF,O$1+4,FALSE)</f>
        <v>0</v>
      </c>
      <c r="P52" s="38">
        <f>VLOOKUP($B52,DATA!$C:$AF,P$1+4,FALSE)</f>
        <v>0</v>
      </c>
      <c r="Q52" s="16">
        <f t="shared" si="0"/>
        <v>0</v>
      </c>
      <c r="R52" s="17">
        <v>0</v>
      </c>
      <c r="S52" s="17">
        <f t="shared" si="1"/>
        <v>0</v>
      </c>
    </row>
    <row r="53" spans="1:19" ht="17.5" thickBot="1">
      <c r="A53" s="11" t="s">
        <v>603</v>
      </c>
      <c r="B53" s="21" t="s">
        <v>91</v>
      </c>
      <c r="C53" s="13" t="s">
        <v>92</v>
      </c>
      <c r="D53" s="14" t="s">
        <v>580</v>
      </c>
      <c r="E53" s="38">
        <f>VLOOKUP($B53,DATA!$C:$AF,E$1+4,FALSE)</f>
        <v>0</v>
      </c>
      <c r="F53" s="38">
        <f>VLOOKUP($B53,DATA!$C:$AF,F$1+4,FALSE)</f>
        <v>0</v>
      </c>
      <c r="G53" s="38">
        <f>VLOOKUP($B53,DATA!$C:$AF,G$1+4,FALSE)</f>
        <v>0</v>
      </c>
      <c r="H53" s="38">
        <f>VLOOKUP($B53,DATA!$C:$AF,H$1+4,FALSE)</f>
        <v>0</v>
      </c>
      <c r="I53" s="38">
        <f>VLOOKUP($B53,DATA!$C:$AF,I$1+4,FALSE)</f>
        <v>0</v>
      </c>
      <c r="J53" s="38">
        <f>VLOOKUP($B53,DATA!$C:$AF,J$1+4,FALSE)</f>
        <v>0</v>
      </c>
      <c r="K53" s="38">
        <f>VLOOKUP($B53,DATA!$C:$AF,K$1+4,FALSE)</f>
        <v>0</v>
      </c>
      <c r="L53" s="38">
        <f>VLOOKUP($B53,DATA!$C:$AF,L$1+4,FALSE)</f>
        <v>0</v>
      </c>
      <c r="M53" s="38">
        <f>VLOOKUP($B53,DATA!$C:$AF,M$1+4,FALSE)</f>
        <v>0</v>
      </c>
      <c r="N53" s="38">
        <f>VLOOKUP($B53,DATA!$C:$AF,N$1+4,FALSE)</f>
        <v>0</v>
      </c>
      <c r="O53" s="38">
        <f>VLOOKUP($B53,DATA!$C:$AF,O$1+4,FALSE)</f>
        <v>0</v>
      </c>
      <c r="P53" s="38">
        <f>VLOOKUP($B53,DATA!$C:$AF,P$1+4,FALSE)</f>
        <v>0</v>
      </c>
      <c r="Q53" s="16">
        <f t="shared" si="0"/>
        <v>0</v>
      </c>
      <c r="R53" s="17">
        <v>0</v>
      </c>
      <c r="S53" s="17">
        <f t="shared" si="1"/>
        <v>0</v>
      </c>
    </row>
    <row r="54" spans="1:19" ht="17.5" thickBot="1">
      <c r="A54" s="11" t="s">
        <v>603</v>
      </c>
      <c r="B54" s="13" t="s">
        <v>93</v>
      </c>
      <c r="C54" s="13" t="s">
        <v>94</v>
      </c>
      <c r="D54" s="14" t="s">
        <v>579</v>
      </c>
      <c r="E54" s="38">
        <f>VLOOKUP($B54,DATA!$C:$AF,E$1+4,FALSE)</f>
        <v>0</v>
      </c>
      <c r="F54" s="38">
        <f>VLOOKUP($B54,DATA!$C:$AF,F$1+4,FALSE)</f>
        <v>0</v>
      </c>
      <c r="G54" s="38">
        <f>VLOOKUP($B54,DATA!$C:$AF,G$1+4,FALSE)</f>
        <v>0</v>
      </c>
      <c r="H54" s="38">
        <f>VLOOKUP($B54,DATA!$C:$AF,H$1+4,FALSE)</f>
        <v>0</v>
      </c>
      <c r="I54" s="38">
        <f>VLOOKUP($B54,DATA!$C:$AF,I$1+4,FALSE)</f>
        <v>0</v>
      </c>
      <c r="J54" s="38">
        <f>VLOOKUP($B54,DATA!$C:$AF,J$1+4,FALSE)</f>
        <v>0</v>
      </c>
      <c r="K54" s="38">
        <f>VLOOKUP($B54,DATA!$C:$AF,K$1+4,FALSE)</f>
        <v>0</v>
      </c>
      <c r="L54" s="38">
        <f>VLOOKUP($B54,DATA!$C:$AF,L$1+4,FALSE)</f>
        <v>0</v>
      </c>
      <c r="M54" s="38">
        <f>VLOOKUP($B54,DATA!$C:$AF,M$1+4,FALSE)</f>
        <v>0</v>
      </c>
      <c r="N54" s="38">
        <f>VLOOKUP($B54,DATA!$C:$AF,N$1+4,FALSE)</f>
        <v>0</v>
      </c>
      <c r="O54" s="38">
        <f>VLOOKUP($B54,DATA!$C:$AF,O$1+4,FALSE)</f>
        <v>0</v>
      </c>
      <c r="P54" s="38">
        <f>VLOOKUP($B54,DATA!$C:$AF,P$1+4,FALSE)</f>
        <v>0</v>
      </c>
      <c r="Q54" s="16">
        <f t="shared" si="0"/>
        <v>0</v>
      </c>
      <c r="R54" s="17">
        <v>0</v>
      </c>
      <c r="S54" s="17">
        <f t="shared" si="1"/>
        <v>0</v>
      </c>
    </row>
    <row r="55" spans="1:19" ht="17.5" thickBot="1">
      <c r="A55" s="11" t="s">
        <v>603</v>
      </c>
      <c r="B55" s="21" t="s">
        <v>95</v>
      </c>
      <c r="C55" s="13" t="s">
        <v>96</v>
      </c>
      <c r="D55" s="14" t="s">
        <v>579</v>
      </c>
      <c r="E55" s="38">
        <f>VLOOKUP($B55,DATA!$C:$AF,E$1+4,FALSE)</f>
        <v>0</v>
      </c>
      <c r="F55" s="38">
        <f>VLOOKUP($B55,DATA!$C:$AF,F$1+4,FALSE)</f>
        <v>0</v>
      </c>
      <c r="G55" s="38">
        <f>VLOOKUP($B55,DATA!$C:$AF,G$1+4,FALSE)</f>
        <v>0</v>
      </c>
      <c r="H55" s="38">
        <f>VLOOKUP($B55,DATA!$C:$AF,H$1+4,FALSE)</f>
        <v>0</v>
      </c>
      <c r="I55" s="38">
        <f>VLOOKUP($B55,DATA!$C:$AF,I$1+4,FALSE)</f>
        <v>0</v>
      </c>
      <c r="J55" s="38">
        <f>VLOOKUP($B55,DATA!$C:$AF,J$1+4,FALSE)</f>
        <v>0</v>
      </c>
      <c r="K55" s="38">
        <f>VLOOKUP($B55,DATA!$C:$AF,K$1+4,FALSE)</f>
        <v>0</v>
      </c>
      <c r="L55" s="38">
        <f>VLOOKUP($B55,DATA!$C:$AF,L$1+4,FALSE)</f>
        <v>0</v>
      </c>
      <c r="M55" s="38">
        <f>VLOOKUP($B55,DATA!$C:$AF,M$1+4,FALSE)</f>
        <v>0</v>
      </c>
      <c r="N55" s="38">
        <f>VLOOKUP($B55,DATA!$C:$AF,N$1+4,FALSE)</f>
        <v>0</v>
      </c>
      <c r="O55" s="38">
        <f>VLOOKUP($B55,DATA!$C:$AF,O$1+4,FALSE)</f>
        <v>0</v>
      </c>
      <c r="P55" s="38">
        <f>VLOOKUP($B55,DATA!$C:$AF,P$1+4,FALSE)</f>
        <v>0</v>
      </c>
      <c r="Q55" s="16">
        <f t="shared" si="0"/>
        <v>0</v>
      </c>
      <c r="R55" s="17">
        <v>0</v>
      </c>
      <c r="S55" s="17">
        <f t="shared" si="1"/>
        <v>0</v>
      </c>
    </row>
    <row r="56" spans="1:19" ht="17.5" thickBot="1">
      <c r="A56" s="11" t="s">
        <v>603</v>
      </c>
      <c r="B56" s="21" t="s">
        <v>97</v>
      </c>
      <c r="C56" s="13" t="s">
        <v>98</v>
      </c>
      <c r="D56" s="14" t="s">
        <v>579</v>
      </c>
      <c r="E56" s="38">
        <f>VLOOKUP($B56,DATA!$C:$AF,E$1+4,FALSE)</f>
        <v>0</v>
      </c>
      <c r="F56" s="38">
        <f>VLOOKUP($B56,DATA!$C:$AF,F$1+4,FALSE)</f>
        <v>0</v>
      </c>
      <c r="G56" s="38">
        <f>VLOOKUP($B56,DATA!$C:$AF,G$1+4,FALSE)</f>
        <v>0</v>
      </c>
      <c r="H56" s="38">
        <f>VLOOKUP($B56,DATA!$C:$AF,H$1+4,FALSE)</f>
        <v>0</v>
      </c>
      <c r="I56" s="38">
        <f>VLOOKUP($B56,DATA!$C:$AF,I$1+4,FALSE)</f>
        <v>0</v>
      </c>
      <c r="J56" s="38">
        <f>VLOOKUP($B56,DATA!$C:$AF,J$1+4,FALSE)</f>
        <v>0</v>
      </c>
      <c r="K56" s="38">
        <f>VLOOKUP($B56,DATA!$C:$AF,K$1+4,FALSE)</f>
        <v>0</v>
      </c>
      <c r="L56" s="38">
        <f>VLOOKUP($B56,DATA!$C:$AF,L$1+4,FALSE)</f>
        <v>0</v>
      </c>
      <c r="M56" s="38">
        <f>VLOOKUP($B56,DATA!$C:$AF,M$1+4,FALSE)</f>
        <v>0</v>
      </c>
      <c r="N56" s="38">
        <f>VLOOKUP($B56,DATA!$C:$AF,N$1+4,FALSE)</f>
        <v>0</v>
      </c>
      <c r="O56" s="38">
        <f>VLOOKUP($B56,DATA!$C:$AF,O$1+4,FALSE)</f>
        <v>0</v>
      </c>
      <c r="P56" s="38">
        <f>VLOOKUP($B56,DATA!$C:$AF,P$1+4,FALSE)</f>
        <v>0</v>
      </c>
      <c r="Q56" s="16">
        <f t="shared" si="0"/>
        <v>0</v>
      </c>
      <c r="R56" s="17">
        <v>0</v>
      </c>
      <c r="S56" s="17">
        <f t="shared" si="1"/>
        <v>0</v>
      </c>
    </row>
    <row r="57" spans="1:19" ht="17.5" thickBot="1">
      <c r="A57" s="11" t="s">
        <v>603</v>
      </c>
      <c r="B57" s="21" t="s">
        <v>99</v>
      </c>
      <c r="C57" s="13" t="s">
        <v>100</v>
      </c>
      <c r="D57" s="14" t="s">
        <v>579</v>
      </c>
      <c r="E57" s="38">
        <f>VLOOKUP($B57,DATA!$C:$AF,E$1+4,FALSE)</f>
        <v>0</v>
      </c>
      <c r="F57" s="38">
        <f>VLOOKUP($B57,DATA!$C:$AF,F$1+4,FALSE)</f>
        <v>0</v>
      </c>
      <c r="G57" s="38">
        <f>VLOOKUP($B57,DATA!$C:$AF,G$1+4,FALSE)</f>
        <v>0</v>
      </c>
      <c r="H57" s="38">
        <f>VLOOKUP($B57,DATA!$C:$AF,H$1+4,FALSE)</f>
        <v>0</v>
      </c>
      <c r="I57" s="38">
        <f>VLOOKUP($B57,DATA!$C:$AF,I$1+4,FALSE)</f>
        <v>0</v>
      </c>
      <c r="J57" s="38">
        <f>VLOOKUP($B57,DATA!$C:$AF,J$1+4,FALSE)</f>
        <v>0</v>
      </c>
      <c r="K57" s="38">
        <f>VLOOKUP($B57,DATA!$C:$AF,K$1+4,FALSE)</f>
        <v>0</v>
      </c>
      <c r="L57" s="38">
        <f>VLOOKUP($B57,DATA!$C:$AF,L$1+4,FALSE)</f>
        <v>0</v>
      </c>
      <c r="M57" s="38">
        <f>VLOOKUP($B57,DATA!$C:$AF,M$1+4,FALSE)</f>
        <v>0</v>
      </c>
      <c r="N57" s="38">
        <f>VLOOKUP($B57,DATA!$C:$AF,N$1+4,FALSE)</f>
        <v>0</v>
      </c>
      <c r="O57" s="38">
        <f>VLOOKUP($B57,DATA!$C:$AF,O$1+4,FALSE)</f>
        <v>0</v>
      </c>
      <c r="P57" s="38">
        <f>VLOOKUP($B57,DATA!$C:$AF,P$1+4,FALSE)</f>
        <v>0</v>
      </c>
      <c r="Q57" s="16">
        <f t="shared" si="0"/>
        <v>0</v>
      </c>
      <c r="R57" s="17">
        <v>0</v>
      </c>
      <c r="S57" s="17">
        <f t="shared" si="1"/>
        <v>0</v>
      </c>
    </row>
    <row r="58" spans="1:19" ht="17.5" thickBot="1">
      <c r="A58" s="11" t="s">
        <v>603</v>
      </c>
      <c r="B58" s="13" t="s">
        <v>101</v>
      </c>
      <c r="C58" s="13" t="s">
        <v>102</v>
      </c>
      <c r="D58" s="14" t="s">
        <v>579</v>
      </c>
      <c r="E58" s="38">
        <f>VLOOKUP($B58,DATA!$C:$AF,E$1+4,FALSE)</f>
        <v>0</v>
      </c>
      <c r="F58" s="38">
        <f>VLOOKUP($B58,DATA!$C:$AF,F$1+4,FALSE)</f>
        <v>0</v>
      </c>
      <c r="G58" s="38">
        <f>VLOOKUP($B58,DATA!$C:$AF,G$1+4,FALSE)</f>
        <v>0</v>
      </c>
      <c r="H58" s="38">
        <f>VLOOKUP($B58,DATA!$C:$AF,H$1+4,FALSE)</f>
        <v>0</v>
      </c>
      <c r="I58" s="38">
        <f>VLOOKUP($B58,DATA!$C:$AF,I$1+4,FALSE)</f>
        <v>0</v>
      </c>
      <c r="J58" s="38">
        <f>VLOOKUP($B58,DATA!$C:$AF,J$1+4,FALSE)</f>
        <v>0</v>
      </c>
      <c r="K58" s="38">
        <f>VLOOKUP($B58,DATA!$C:$AF,K$1+4,FALSE)</f>
        <v>0</v>
      </c>
      <c r="L58" s="38">
        <f>VLOOKUP($B58,DATA!$C:$AF,L$1+4,FALSE)</f>
        <v>0</v>
      </c>
      <c r="M58" s="38">
        <f>VLOOKUP($B58,DATA!$C:$AF,M$1+4,FALSE)</f>
        <v>0</v>
      </c>
      <c r="N58" s="38">
        <f>VLOOKUP($B58,DATA!$C:$AF,N$1+4,FALSE)</f>
        <v>0</v>
      </c>
      <c r="O58" s="38">
        <f>VLOOKUP($B58,DATA!$C:$AF,O$1+4,FALSE)</f>
        <v>0</v>
      </c>
      <c r="P58" s="38">
        <f>VLOOKUP($B58,DATA!$C:$AF,P$1+4,FALSE)</f>
        <v>0</v>
      </c>
      <c r="Q58" s="16">
        <f t="shared" si="0"/>
        <v>0</v>
      </c>
      <c r="R58" s="17">
        <v>0</v>
      </c>
      <c r="S58" s="17">
        <f t="shared" si="1"/>
        <v>0</v>
      </c>
    </row>
    <row r="59" spans="1:19" ht="17.5" thickBot="1">
      <c r="A59" s="11" t="s">
        <v>603</v>
      </c>
      <c r="B59" s="13" t="s">
        <v>105</v>
      </c>
      <c r="C59" s="13" t="s">
        <v>106</v>
      </c>
      <c r="D59" s="14" t="s">
        <v>579</v>
      </c>
      <c r="E59" s="38">
        <f>VLOOKUP($B59,DATA!$C:$AF,E$1+4,FALSE)</f>
        <v>0</v>
      </c>
      <c r="F59" s="38">
        <f>VLOOKUP($B59,DATA!$C:$AF,F$1+4,FALSE)</f>
        <v>0</v>
      </c>
      <c r="G59" s="38">
        <f>VLOOKUP($B59,DATA!$C:$AF,G$1+4,FALSE)</f>
        <v>0</v>
      </c>
      <c r="H59" s="38">
        <f>VLOOKUP($B59,DATA!$C:$AF,H$1+4,FALSE)</f>
        <v>0</v>
      </c>
      <c r="I59" s="38">
        <f>VLOOKUP($B59,DATA!$C:$AF,I$1+4,FALSE)</f>
        <v>0</v>
      </c>
      <c r="J59" s="38">
        <f>VLOOKUP($B59,DATA!$C:$AF,J$1+4,FALSE)</f>
        <v>0</v>
      </c>
      <c r="K59" s="38">
        <f>VLOOKUP($B59,DATA!$C:$AF,K$1+4,FALSE)</f>
        <v>0</v>
      </c>
      <c r="L59" s="38">
        <f>VLOOKUP($B59,DATA!$C:$AF,L$1+4,FALSE)</f>
        <v>0</v>
      </c>
      <c r="M59" s="38">
        <f>VLOOKUP($B59,DATA!$C:$AF,M$1+4,FALSE)</f>
        <v>0</v>
      </c>
      <c r="N59" s="38">
        <f>VLOOKUP($B59,DATA!$C:$AF,N$1+4,FALSE)</f>
        <v>0</v>
      </c>
      <c r="O59" s="38">
        <f>VLOOKUP($B59,DATA!$C:$AF,O$1+4,FALSE)</f>
        <v>0</v>
      </c>
      <c r="P59" s="38">
        <f>VLOOKUP($B59,DATA!$C:$AF,P$1+4,FALSE)</f>
        <v>0</v>
      </c>
      <c r="Q59" s="16">
        <f t="shared" si="0"/>
        <v>0</v>
      </c>
      <c r="R59" s="17">
        <v>0</v>
      </c>
      <c r="S59" s="17">
        <f t="shared" si="1"/>
        <v>0</v>
      </c>
    </row>
    <row r="60" spans="1:19" ht="17.5" thickBot="1">
      <c r="A60" s="11" t="s">
        <v>603</v>
      </c>
      <c r="B60" s="21" t="s">
        <v>107</v>
      </c>
      <c r="C60" s="13" t="s">
        <v>108</v>
      </c>
      <c r="D60" s="14" t="s">
        <v>579</v>
      </c>
      <c r="E60" s="38">
        <f>VLOOKUP($B60,DATA!$C:$AF,E$1+4,FALSE)</f>
        <v>0</v>
      </c>
      <c r="F60" s="38">
        <f>VLOOKUP($B60,DATA!$C:$AF,F$1+4,FALSE)</f>
        <v>0</v>
      </c>
      <c r="G60" s="38">
        <f>VLOOKUP($B60,DATA!$C:$AF,G$1+4,FALSE)</f>
        <v>0</v>
      </c>
      <c r="H60" s="38">
        <f>VLOOKUP($B60,DATA!$C:$AF,H$1+4,FALSE)</f>
        <v>0</v>
      </c>
      <c r="I60" s="38">
        <f>VLOOKUP($B60,DATA!$C:$AF,I$1+4,FALSE)</f>
        <v>0</v>
      </c>
      <c r="J60" s="38">
        <f>VLOOKUP($B60,DATA!$C:$AF,J$1+4,FALSE)</f>
        <v>0</v>
      </c>
      <c r="K60" s="38">
        <f>VLOOKUP($B60,DATA!$C:$AF,K$1+4,FALSE)</f>
        <v>0</v>
      </c>
      <c r="L60" s="38">
        <f>VLOOKUP($B60,DATA!$C:$AF,L$1+4,FALSE)</f>
        <v>0</v>
      </c>
      <c r="M60" s="38">
        <f>VLOOKUP($B60,DATA!$C:$AF,M$1+4,FALSE)</f>
        <v>0</v>
      </c>
      <c r="N60" s="38">
        <f>VLOOKUP($B60,DATA!$C:$AF,N$1+4,FALSE)</f>
        <v>0</v>
      </c>
      <c r="O60" s="38">
        <f>VLOOKUP($B60,DATA!$C:$AF,O$1+4,FALSE)</f>
        <v>0</v>
      </c>
      <c r="P60" s="38">
        <f>VLOOKUP($B60,DATA!$C:$AF,P$1+4,FALSE)</f>
        <v>0</v>
      </c>
      <c r="Q60" s="16">
        <f t="shared" si="0"/>
        <v>0</v>
      </c>
      <c r="R60" s="17">
        <v>0</v>
      </c>
      <c r="S60" s="17">
        <f t="shared" si="1"/>
        <v>0</v>
      </c>
    </row>
    <row r="61" spans="1:19" ht="17.5" thickBot="1">
      <c r="A61" s="11" t="s">
        <v>603</v>
      </c>
      <c r="B61" s="26" t="s">
        <v>523</v>
      </c>
      <c r="C61" s="26" t="s">
        <v>524</v>
      </c>
      <c r="D61" s="14" t="s">
        <v>579</v>
      </c>
      <c r="E61" s="38">
        <f>VLOOKUP($B61,DATA!$C:$AF,E$1+4,FALSE)</f>
        <v>0</v>
      </c>
      <c r="F61" s="38">
        <f>VLOOKUP($B61,DATA!$C:$AF,F$1+4,FALSE)</f>
        <v>0</v>
      </c>
      <c r="G61" s="38">
        <f>VLOOKUP($B61,DATA!$C:$AF,G$1+4,FALSE)</f>
        <v>0</v>
      </c>
      <c r="H61" s="38">
        <f>VLOOKUP($B61,DATA!$C:$AF,H$1+4,FALSE)</f>
        <v>0</v>
      </c>
      <c r="I61" s="38">
        <f>VLOOKUP($B61,DATA!$C:$AF,I$1+4,FALSE)</f>
        <v>0</v>
      </c>
      <c r="J61" s="38">
        <f>VLOOKUP($B61,DATA!$C:$AF,J$1+4,FALSE)</f>
        <v>0</v>
      </c>
      <c r="K61" s="38">
        <f>VLOOKUP($B61,DATA!$C:$AF,K$1+4,FALSE)</f>
        <v>0</v>
      </c>
      <c r="L61" s="38">
        <f>VLOOKUP($B61,DATA!$C:$AF,L$1+4,FALSE)</f>
        <v>0</v>
      </c>
      <c r="M61" s="38">
        <f>VLOOKUP($B61,DATA!$C:$AF,M$1+4,FALSE)</f>
        <v>0</v>
      </c>
      <c r="N61" s="38">
        <f>VLOOKUP($B61,DATA!$C:$AF,N$1+4,FALSE)</f>
        <v>0</v>
      </c>
      <c r="O61" s="38">
        <f>VLOOKUP($B61,DATA!$C:$AF,O$1+4,FALSE)</f>
        <v>0</v>
      </c>
      <c r="P61" s="38">
        <f>VLOOKUP($B61,DATA!$C:$AF,P$1+4,FALSE)</f>
        <v>0</v>
      </c>
      <c r="Q61" s="16">
        <f t="shared" si="0"/>
        <v>0</v>
      </c>
      <c r="R61" s="17">
        <v>0</v>
      </c>
      <c r="S61" s="17">
        <f t="shared" si="1"/>
        <v>0</v>
      </c>
    </row>
    <row r="62" spans="1:19" ht="17.5" thickBot="1">
      <c r="A62" s="11" t="s">
        <v>603</v>
      </c>
      <c r="B62" s="22" t="s">
        <v>534</v>
      </c>
      <c r="C62" s="22" t="s">
        <v>535</v>
      </c>
      <c r="D62" s="14" t="s">
        <v>580</v>
      </c>
      <c r="E62" s="38">
        <f>VLOOKUP($B62,DATA!$C:$AF,E$1+4,FALSE)</f>
        <v>0</v>
      </c>
      <c r="F62" s="38">
        <f>VLOOKUP($B62,DATA!$C:$AF,F$1+4,FALSE)</f>
        <v>0</v>
      </c>
      <c r="G62" s="38">
        <f>VLOOKUP($B62,DATA!$C:$AF,G$1+4,FALSE)</f>
        <v>0</v>
      </c>
      <c r="H62" s="38">
        <f>VLOOKUP($B62,DATA!$C:$AF,H$1+4,FALSE)</f>
        <v>0</v>
      </c>
      <c r="I62" s="38">
        <f>VLOOKUP($B62,DATA!$C:$AF,I$1+4,FALSE)</f>
        <v>0</v>
      </c>
      <c r="J62" s="38">
        <f>VLOOKUP($B62,DATA!$C:$AF,J$1+4,FALSE)</f>
        <v>0</v>
      </c>
      <c r="K62" s="38">
        <f>VLOOKUP($B62,DATA!$C:$AF,K$1+4,FALSE)</f>
        <v>0</v>
      </c>
      <c r="L62" s="38">
        <f>VLOOKUP($B62,DATA!$C:$AF,L$1+4,FALSE)</f>
        <v>0</v>
      </c>
      <c r="M62" s="38">
        <f>VLOOKUP($B62,DATA!$C:$AF,M$1+4,FALSE)</f>
        <v>0</v>
      </c>
      <c r="N62" s="38">
        <f>VLOOKUP($B62,DATA!$C:$AF,N$1+4,FALSE)</f>
        <v>0</v>
      </c>
      <c r="O62" s="38">
        <f>VLOOKUP($B62,DATA!$C:$AF,O$1+4,FALSE)</f>
        <v>0</v>
      </c>
      <c r="P62" s="38">
        <f>VLOOKUP($B62,DATA!$C:$AF,P$1+4,FALSE)</f>
        <v>0</v>
      </c>
      <c r="Q62" s="16">
        <f t="shared" si="0"/>
        <v>0</v>
      </c>
      <c r="R62" s="17">
        <v>0</v>
      </c>
      <c r="S62" s="17">
        <f t="shared" si="1"/>
        <v>0</v>
      </c>
    </row>
    <row r="63" spans="1:19" ht="17.5" thickBot="1">
      <c r="A63" s="11" t="s">
        <v>603</v>
      </c>
      <c r="B63" s="22" t="s">
        <v>109</v>
      </c>
      <c r="C63" s="13" t="s">
        <v>583</v>
      </c>
      <c r="D63" s="14" t="s">
        <v>599</v>
      </c>
      <c r="E63" s="38">
        <f>VLOOKUP($B63,DATA!$C:$AF,E$1+4,FALSE)</f>
        <v>0</v>
      </c>
      <c r="F63" s="38">
        <f>VLOOKUP($B63,DATA!$C:$AF,F$1+4,FALSE)</f>
        <v>0</v>
      </c>
      <c r="G63" s="38">
        <f>VLOOKUP($B63,DATA!$C:$AF,G$1+4,FALSE)</f>
        <v>0</v>
      </c>
      <c r="H63" s="38">
        <f>VLOOKUP($B63,DATA!$C:$AF,H$1+4,FALSE)</f>
        <v>0</v>
      </c>
      <c r="I63" s="38">
        <f>VLOOKUP($B63,DATA!$C:$AF,I$1+4,FALSE)</f>
        <v>0</v>
      </c>
      <c r="J63" s="38">
        <f>VLOOKUP($B63,DATA!$C:$AF,J$1+4,FALSE)</f>
        <v>0</v>
      </c>
      <c r="K63" s="38">
        <f>VLOOKUP($B63,DATA!$C:$AF,K$1+4,FALSE)</f>
        <v>0</v>
      </c>
      <c r="L63" s="38">
        <f>VLOOKUP($B63,DATA!$C:$AF,L$1+4,FALSE)</f>
        <v>0</v>
      </c>
      <c r="M63" s="38">
        <f>VLOOKUP($B63,DATA!$C:$AF,M$1+4,FALSE)</f>
        <v>0</v>
      </c>
      <c r="N63" s="38">
        <f>VLOOKUP($B63,DATA!$C:$AF,N$1+4,FALSE)</f>
        <v>0</v>
      </c>
      <c r="O63" s="38">
        <f>VLOOKUP($B63,DATA!$C:$AF,O$1+4,FALSE)</f>
        <v>0</v>
      </c>
      <c r="P63" s="38">
        <f>VLOOKUP($B63,DATA!$C:$AF,P$1+4,FALSE)</f>
        <v>0</v>
      </c>
      <c r="Q63" s="16">
        <f t="shared" si="0"/>
        <v>0</v>
      </c>
      <c r="R63" s="17">
        <v>0</v>
      </c>
      <c r="S63" s="17">
        <f t="shared" si="1"/>
        <v>0</v>
      </c>
    </row>
    <row r="64" spans="1:19" ht="17.5" thickBot="1">
      <c r="A64" s="11" t="s">
        <v>604</v>
      </c>
      <c r="B64" s="27" t="s">
        <v>110</v>
      </c>
      <c r="C64" s="13" t="s">
        <v>111</v>
      </c>
      <c r="D64" s="14" t="s">
        <v>579</v>
      </c>
      <c r="E64" s="38" t="str">
        <f>VLOOKUP($B64,DATA!$C:$AF,E$1+4,FALSE)</f>
        <v>P</v>
      </c>
      <c r="F64" s="38" t="str">
        <f>VLOOKUP($B64,DATA!$C:$AF,F$1+4,FALSE)</f>
        <v>P</v>
      </c>
      <c r="G64" s="38" t="str">
        <f>VLOOKUP($B64,DATA!$C:$AF,G$1+4,FALSE)</f>
        <v>P</v>
      </c>
      <c r="H64" s="38" t="str">
        <f>VLOOKUP($B64,DATA!$C:$AF,H$1+4,FALSE)</f>
        <v>P</v>
      </c>
      <c r="I64" s="38" t="str">
        <f>VLOOKUP($B64,DATA!$C:$AF,I$1+4,FALSE)</f>
        <v>P</v>
      </c>
      <c r="J64" s="38" t="str">
        <f>VLOOKUP($B64,DATA!$C:$AF,J$1+4,FALSE)</f>
        <v>P</v>
      </c>
      <c r="K64" s="38" t="str">
        <f>VLOOKUP($B64,DATA!$C:$AF,K$1+4,FALSE)</f>
        <v>P</v>
      </c>
      <c r="L64" s="38" t="str">
        <f>VLOOKUP($B64,DATA!$C:$AF,L$1+4,FALSE)</f>
        <v>P</v>
      </c>
      <c r="M64" s="38" t="str">
        <f>VLOOKUP($B64,DATA!$C:$AF,M$1+4,FALSE)</f>
        <v>P</v>
      </c>
      <c r="N64" s="38" t="str">
        <f>VLOOKUP($B64,DATA!$C:$AF,N$1+4,FALSE)</f>
        <v>P</v>
      </c>
      <c r="O64" s="38" t="str">
        <f>VLOOKUP($B64,DATA!$C:$AF,O$1+4,FALSE)</f>
        <v>P</v>
      </c>
      <c r="P64" s="38" t="str">
        <f>VLOOKUP($B64,DATA!$C:$AF,P$1+4,FALSE)</f>
        <v>P</v>
      </c>
      <c r="Q64" s="16">
        <f t="shared" si="0"/>
        <v>12</v>
      </c>
      <c r="R64" s="17">
        <v>6</v>
      </c>
      <c r="S64" s="17">
        <f t="shared" si="1"/>
        <v>15</v>
      </c>
    </row>
    <row r="65" spans="1:19" ht="17.5" thickBot="1">
      <c r="A65" s="11" t="s">
        <v>604</v>
      </c>
      <c r="B65" s="21" t="s">
        <v>112</v>
      </c>
      <c r="C65" s="13" t="s">
        <v>113</v>
      </c>
      <c r="D65" s="14" t="s">
        <v>579</v>
      </c>
      <c r="E65" s="38" t="str">
        <f>VLOOKUP($B65,DATA!$C:$AF,E$1+4,FALSE)</f>
        <v>P</v>
      </c>
      <c r="F65" s="38" t="str">
        <f>VLOOKUP($B65,DATA!$C:$AF,F$1+4,FALSE)</f>
        <v>P</v>
      </c>
      <c r="G65" s="38" t="str">
        <f>VLOOKUP($B65,DATA!$C:$AF,G$1+4,FALSE)</f>
        <v>P</v>
      </c>
      <c r="H65" s="38" t="str">
        <f>VLOOKUP($B65,DATA!$C:$AF,H$1+4,FALSE)</f>
        <v>P</v>
      </c>
      <c r="I65" s="38" t="str">
        <f>VLOOKUP($B65,DATA!$C:$AF,I$1+4,FALSE)</f>
        <v>P</v>
      </c>
      <c r="J65" s="38" t="str">
        <f>VLOOKUP($B65,DATA!$C:$AF,J$1+4,FALSE)</f>
        <v>P</v>
      </c>
      <c r="K65" s="38" t="str">
        <f>VLOOKUP($B65,DATA!$C:$AF,K$1+4,FALSE)</f>
        <v>P</v>
      </c>
      <c r="L65" s="38" t="str">
        <f>VLOOKUP($B65,DATA!$C:$AF,L$1+4,FALSE)</f>
        <v>P</v>
      </c>
      <c r="M65" s="38" t="str">
        <f>VLOOKUP($B65,DATA!$C:$AF,M$1+4,FALSE)</f>
        <v>P</v>
      </c>
      <c r="N65" s="38" t="str">
        <f>VLOOKUP($B65,DATA!$C:$AF,N$1+4,FALSE)</f>
        <v>P</v>
      </c>
      <c r="O65" s="38" t="str">
        <f>VLOOKUP($B65,DATA!$C:$AF,O$1+4,FALSE)</f>
        <v>P</v>
      </c>
      <c r="P65" s="38" t="str">
        <f>VLOOKUP($B65,DATA!$C:$AF,P$1+4,FALSE)</f>
        <v>P</v>
      </c>
      <c r="Q65" s="16">
        <f t="shared" si="0"/>
        <v>12</v>
      </c>
      <c r="R65" s="17">
        <v>7</v>
      </c>
      <c r="S65" s="17">
        <f t="shared" si="1"/>
        <v>15</v>
      </c>
    </row>
    <row r="66" spans="1:19" ht="17.5" thickBot="1">
      <c r="A66" s="11" t="s">
        <v>604</v>
      </c>
      <c r="B66" s="21" t="s">
        <v>114</v>
      </c>
      <c r="C66" s="13" t="s">
        <v>115</v>
      </c>
      <c r="D66" s="14" t="s">
        <v>579</v>
      </c>
      <c r="E66" s="38" t="str">
        <f>VLOOKUP($B66,DATA!$C:$AF,E$1+4,FALSE)</f>
        <v>P</v>
      </c>
      <c r="F66" s="38" t="str">
        <f>VLOOKUP($B66,DATA!$C:$AF,F$1+4,FALSE)</f>
        <v>P</v>
      </c>
      <c r="G66" s="38" t="str">
        <f>VLOOKUP($B66,DATA!$C:$AF,G$1+4,FALSE)</f>
        <v>P</v>
      </c>
      <c r="H66" s="38" t="str">
        <f>VLOOKUP($B66,DATA!$C:$AF,H$1+4,FALSE)</f>
        <v>P</v>
      </c>
      <c r="I66" s="38" t="str">
        <f>VLOOKUP($B66,DATA!$C:$AF,I$1+4,FALSE)</f>
        <v>P</v>
      </c>
      <c r="J66" s="38" t="str">
        <f>VLOOKUP($B66,DATA!$C:$AF,J$1+4,FALSE)</f>
        <v>P</v>
      </c>
      <c r="K66" s="38" t="str">
        <f>VLOOKUP($B66,DATA!$C:$AF,K$1+4,FALSE)</f>
        <v>P</v>
      </c>
      <c r="L66" s="38" t="str">
        <f>VLOOKUP($B66,DATA!$C:$AF,L$1+4,FALSE)</f>
        <v>P</v>
      </c>
      <c r="M66" s="38" t="str">
        <f>VLOOKUP($B66,DATA!$C:$AF,M$1+4,FALSE)</f>
        <v>P</v>
      </c>
      <c r="N66" s="38" t="str">
        <f>VLOOKUP($B66,DATA!$C:$AF,N$1+4,FALSE)</f>
        <v>P</v>
      </c>
      <c r="O66" s="38" t="str">
        <f>VLOOKUP($B66,DATA!$C:$AF,O$1+4,FALSE)</f>
        <v>P</v>
      </c>
      <c r="P66" s="38" t="str">
        <f>VLOOKUP($B66,DATA!$C:$AF,P$1+4,FALSE)</f>
        <v>P</v>
      </c>
      <c r="Q66" s="16">
        <f t="shared" ref="Q66:Q130" si="2">COUNTIF(E66:P66,"P")</f>
        <v>12</v>
      </c>
      <c r="R66" s="17">
        <v>7</v>
      </c>
      <c r="S66" s="17">
        <f t="shared" si="1"/>
        <v>15</v>
      </c>
    </row>
    <row r="67" spans="1:19" ht="17.5" thickBot="1">
      <c r="A67" s="11" t="s">
        <v>604</v>
      </c>
      <c r="B67" s="21" t="s">
        <v>116</v>
      </c>
      <c r="C67" s="13" t="s">
        <v>117</v>
      </c>
      <c r="D67" s="14" t="s">
        <v>579</v>
      </c>
      <c r="E67" s="38" t="str">
        <f>VLOOKUP($B67,DATA!$C:$AF,E$1+4,FALSE)</f>
        <v>P</v>
      </c>
      <c r="F67" s="38" t="str">
        <f>VLOOKUP($B67,DATA!$C:$AF,F$1+4,FALSE)</f>
        <v>P</v>
      </c>
      <c r="G67" s="38" t="str">
        <f>VLOOKUP($B67,DATA!$C:$AF,G$1+4,FALSE)</f>
        <v>P</v>
      </c>
      <c r="H67" s="38" t="str">
        <f>VLOOKUP($B67,DATA!$C:$AF,H$1+4,FALSE)</f>
        <v>P</v>
      </c>
      <c r="I67" s="38" t="str">
        <f>VLOOKUP($B67,DATA!$C:$AF,I$1+4,FALSE)</f>
        <v>P</v>
      </c>
      <c r="J67" s="38" t="str">
        <f>VLOOKUP($B67,DATA!$C:$AF,J$1+4,FALSE)</f>
        <v>P</v>
      </c>
      <c r="K67" s="38" t="str">
        <f>VLOOKUP($B67,DATA!$C:$AF,K$1+4,FALSE)</f>
        <v>P</v>
      </c>
      <c r="L67" s="38" t="str">
        <f>VLOOKUP($B67,DATA!$C:$AF,L$1+4,FALSE)</f>
        <v>P</v>
      </c>
      <c r="M67" s="38" t="str">
        <f>VLOOKUP($B67,DATA!$C:$AF,M$1+4,FALSE)</f>
        <v>P</v>
      </c>
      <c r="N67" s="38" t="str">
        <f>VLOOKUP($B67,DATA!$C:$AF,N$1+4,FALSE)</f>
        <v>P</v>
      </c>
      <c r="O67" s="38" t="str">
        <f>VLOOKUP($B67,DATA!$C:$AF,O$1+4,FALSE)</f>
        <v>P</v>
      </c>
      <c r="P67" s="38" t="str">
        <f>VLOOKUP($B67,DATA!$C:$AF,P$1+4,FALSE)</f>
        <v>P</v>
      </c>
      <c r="Q67" s="16">
        <f t="shared" si="2"/>
        <v>12</v>
      </c>
      <c r="R67" s="17">
        <v>7</v>
      </c>
      <c r="S67" s="17">
        <f t="shared" ref="S67" si="3">IF(R67=0,0,IF(R67&lt;=8,15,10))</f>
        <v>15</v>
      </c>
    </row>
    <row r="68" spans="1:19" ht="17.5" thickBot="1">
      <c r="A68" s="11" t="s">
        <v>604</v>
      </c>
      <c r="B68" s="28" t="s">
        <v>118</v>
      </c>
      <c r="C68" s="28" t="s">
        <v>119</v>
      </c>
      <c r="D68" s="14" t="s">
        <v>579</v>
      </c>
      <c r="E68" s="38" t="str">
        <f>VLOOKUP($B68,DATA!$C:$AF,E$1+4,FALSE)</f>
        <v>P</v>
      </c>
      <c r="F68" s="38" t="str">
        <f>VLOOKUP($B68,DATA!$C:$AF,F$1+4,FALSE)</f>
        <v>P</v>
      </c>
      <c r="G68" s="38" t="str">
        <f>VLOOKUP($B68,DATA!$C:$AF,G$1+4,FALSE)</f>
        <v>P</v>
      </c>
      <c r="H68" s="38" t="str">
        <f>VLOOKUP($B68,DATA!$C:$AF,H$1+4,FALSE)</f>
        <v>P</v>
      </c>
      <c r="I68" s="38" t="str">
        <f>VLOOKUP($B68,DATA!$C:$AF,I$1+4,FALSE)</f>
        <v>P</v>
      </c>
      <c r="J68" s="38" t="str">
        <f>VLOOKUP($B68,DATA!$C:$AF,J$1+4,FALSE)</f>
        <v>P</v>
      </c>
      <c r="K68" s="38" t="str">
        <f>VLOOKUP($B68,DATA!$C:$AF,K$1+4,FALSE)</f>
        <v>P</v>
      </c>
      <c r="L68" s="38" t="str">
        <f>VLOOKUP($B68,DATA!$C:$AF,L$1+4,FALSE)</f>
        <v>P</v>
      </c>
      <c r="M68" s="38" t="str">
        <f>VLOOKUP($B68,DATA!$C:$AF,M$1+4,FALSE)</f>
        <v>P</v>
      </c>
      <c r="N68" s="38" t="str">
        <f>VLOOKUP($B68,DATA!$C:$AF,N$1+4,FALSE)</f>
        <v>P</v>
      </c>
      <c r="O68" s="38" t="str">
        <f>VLOOKUP($B68,DATA!$C:$AF,O$1+4,FALSE)</f>
        <v>P</v>
      </c>
      <c r="P68" s="38" t="str">
        <f>VLOOKUP($B68,DATA!$C:$AF,P$1+4,FALSE)</f>
        <v>P</v>
      </c>
      <c r="Q68" s="16">
        <f t="shared" si="2"/>
        <v>12</v>
      </c>
      <c r="R68" s="17">
        <v>7</v>
      </c>
      <c r="S68" s="17">
        <f>IF(R68=0,0,IF(R68&lt;=8,15,10))</f>
        <v>15</v>
      </c>
    </row>
    <row r="69" spans="1:19" ht="17.5" thickBot="1">
      <c r="A69" s="11" t="s">
        <v>604</v>
      </c>
      <c r="B69" s="21" t="s">
        <v>120</v>
      </c>
      <c r="C69" s="28" t="s">
        <v>121</v>
      </c>
      <c r="D69" s="14" t="s">
        <v>579</v>
      </c>
      <c r="E69" s="38" t="str">
        <f>VLOOKUP($B69,DATA!$C:$AF,E$1+4,FALSE)</f>
        <v>P</v>
      </c>
      <c r="F69" s="38" t="str">
        <f>VLOOKUP($B69,DATA!$C:$AF,F$1+4,FALSE)</f>
        <v>P</v>
      </c>
      <c r="G69" s="38" t="str">
        <f>VLOOKUP($B69,DATA!$C:$AF,G$1+4,FALSE)</f>
        <v>P</v>
      </c>
      <c r="H69" s="38" t="str">
        <f>VLOOKUP($B69,DATA!$C:$AF,H$1+4,FALSE)</f>
        <v>P</v>
      </c>
      <c r="I69" s="38" t="str">
        <f>VLOOKUP($B69,DATA!$C:$AF,I$1+4,FALSE)</f>
        <v>P</v>
      </c>
      <c r="J69" s="38" t="str">
        <f>VLOOKUP($B69,DATA!$C:$AF,J$1+4,FALSE)</f>
        <v>P</v>
      </c>
      <c r="K69" s="38" t="str">
        <f>VLOOKUP($B69,DATA!$C:$AF,K$1+4,FALSE)</f>
        <v>P</v>
      </c>
      <c r="L69" s="38" t="str">
        <f>VLOOKUP($B69,DATA!$C:$AF,L$1+4,FALSE)</f>
        <v>P</v>
      </c>
      <c r="M69" s="38" t="str">
        <f>VLOOKUP($B69,DATA!$C:$AF,M$1+4,FALSE)</f>
        <v>P</v>
      </c>
      <c r="N69" s="38" t="str">
        <f>VLOOKUP($B69,DATA!$C:$AF,N$1+4,FALSE)</f>
        <v>P</v>
      </c>
      <c r="O69" s="38" t="str">
        <f>VLOOKUP($B69,DATA!$C:$AF,O$1+4,FALSE)</f>
        <v>P</v>
      </c>
      <c r="P69" s="38" t="str">
        <f>VLOOKUP($B69,DATA!$C:$AF,P$1+4,FALSE)</f>
        <v>P</v>
      </c>
      <c r="Q69" s="16">
        <f t="shared" si="2"/>
        <v>12</v>
      </c>
      <c r="R69" s="17">
        <v>7</v>
      </c>
      <c r="S69" s="17">
        <f t="shared" ref="S69:S89" si="4">IF(R69=0,0,IF(R69&lt;=8,15,10))</f>
        <v>15</v>
      </c>
    </row>
    <row r="70" spans="1:19" ht="17.5" thickBot="1">
      <c r="A70" s="11" t="s">
        <v>604</v>
      </c>
      <c r="B70" s="22" t="s">
        <v>122</v>
      </c>
      <c r="C70" s="21" t="s">
        <v>123</v>
      </c>
      <c r="D70" s="14" t="s">
        <v>579</v>
      </c>
      <c r="E70" s="38" t="str">
        <f>VLOOKUP($B70,DATA!$C:$AF,E$1+4,FALSE)</f>
        <v>P</v>
      </c>
      <c r="F70" s="38" t="str">
        <f>VLOOKUP($B70,DATA!$C:$AF,F$1+4,FALSE)</f>
        <v>P</v>
      </c>
      <c r="G70" s="38" t="str">
        <f>VLOOKUP($B70,DATA!$C:$AF,G$1+4,FALSE)</f>
        <v>P</v>
      </c>
      <c r="H70" s="38" t="str">
        <f>VLOOKUP($B70,DATA!$C:$AF,H$1+4,FALSE)</f>
        <v>P</v>
      </c>
      <c r="I70" s="38" t="str">
        <f>VLOOKUP($B70,DATA!$C:$AF,I$1+4,FALSE)</f>
        <v>P</v>
      </c>
      <c r="J70" s="38" t="str">
        <f>VLOOKUP($B70,DATA!$C:$AF,J$1+4,FALSE)</f>
        <v>P</v>
      </c>
      <c r="K70" s="38" t="str">
        <f>VLOOKUP($B70,DATA!$C:$AF,K$1+4,FALSE)</f>
        <v>P</v>
      </c>
      <c r="L70" s="38" t="str">
        <f>VLOOKUP($B70,DATA!$C:$AF,L$1+4,FALSE)</f>
        <v>P</v>
      </c>
      <c r="M70" s="38" t="str">
        <f>VLOOKUP($B70,DATA!$C:$AF,M$1+4,FALSE)</f>
        <v>P</v>
      </c>
      <c r="N70" s="38" t="str">
        <f>VLOOKUP($B70,DATA!$C:$AF,N$1+4,FALSE)</f>
        <v>P</v>
      </c>
      <c r="O70" s="38" t="str">
        <f>VLOOKUP($B70,DATA!$C:$AF,O$1+4,FALSE)</f>
        <v>P</v>
      </c>
      <c r="P70" s="38" t="str">
        <f>VLOOKUP($B70,DATA!$C:$AF,P$1+4,FALSE)</f>
        <v>P</v>
      </c>
      <c r="Q70" s="16">
        <f t="shared" si="2"/>
        <v>12</v>
      </c>
      <c r="R70" s="17">
        <v>6</v>
      </c>
      <c r="S70" s="17">
        <f t="shared" si="4"/>
        <v>15</v>
      </c>
    </row>
    <row r="71" spans="1:19" ht="17.5" thickBot="1">
      <c r="A71" s="11" t="s">
        <v>604</v>
      </c>
      <c r="B71" s="21" t="s">
        <v>124</v>
      </c>
      <c r="C71" s="13" t="s">
        <v>125</v>
      </c>
      <c r="D71" s="14" t="s">
        <v>579</v>
      </c>
      <c r="E71" s="38" t="str">
        <f>VLOOKUP($B71,DATA!$C:$AF,E$1+4,FALSE)</f>
        <v>P</v>
      </c>
      <c r="F71" s="38" t="str">
        <f>VLOOKUP($B71,DATA!$C:$AF,F$1+4,FALSE)</f>
        <v>P</v>
      </c>
      <c r="G71" s="38" t="str">
        <f>VLOOKUP($B71,DATA!$C:$AF,G$1+4,FALSE)</f>
        <v>P</v>
      </c>
      <c r="H71" s="38" t="str">
        <f>VLOOKUP($B71,DATA!$C:$AF,H$1+4,FALSE)</f>
        <v>P</v>
      </c>
      <c r="I71" s="38" t="str">
        <f>VLOOKUP($B71,DATA!$C:$AF,I$1+4,FALSE)</f>
        <v>P</v>
      </c>
      <c r="J71" s="38" t="str">
        <f>VLOOKUP($B71,DATA!$C:$AF,J$1+4,FALSE)</f>
        <v>P</v>
      </c>
      <c r="K71" s="38" t="str">
        <f>VLOOKUP($B71,DATA!$C:$AF,K$1+4,FALSE)</f>
        <v>P</v>
      </c>
      <c r="L71" s="38" t="str">
        <f>VLOOKUP($B71,DATA!$C:$AF,L$1+4,FALSE)</f>
        <v>P</v>
      </c>
      <c r="M71" s="38" t="str">
        <f>VLOOKUP($B71,DATA!$C:$AF,M$1+4,FALSE)</f>
        <v>P</v>
      </c>
      <c r="N71" s="38" t="str">
        <f>VLOOKUP($B71,DATA!$C:$AF,N$1+4,FALSE)</f>
        <v>P</v>
      </c>
      <c r="O71" s="38" t="str">
        <f>VLOOKUP($B71,DATA!$C:$AF,O$1+4,FALSE)</f>
        <v>P</v>
      </c>
      <c r="P71" s="38" t="str">
        <f>VLOOKUP($B71,DATA!$C:$AF,P$1+4,FALSE)</f>
        <v>P</v>
      </c>
      <c r="Q71" s="16">
        <f t="shared" si="2"/>
        <v>12</v>
      </c>
      <c r="R71" s="17">
        <v>7</v>
      </c>
      <c r="S71" s="17">
        <f t="shared" si="4"/>
        <v>15</v>
      </c>
    </row>
    <row r="72" spans="1:19" ht="17.5" thickBot="1">
      <c r="A72" s="11" t="s">
        <v>604</v>
      </c>
      <c r="B72" s="21" t="s">
        <v>126</v>
      </c>
      <c r="C72" s="13" t="s">
        <v>127</v>
      </c>
      <c r="D72" s="14" t="s">
        <v>579</v>
      </c>
      <c r="E72" s="38" t="str">
        <f>VLOOKUP($B72,DATA!$C:$AF,E$1+4,FALSE)</f>
        <v>P</v>
      </c>
      <c r="F72" s="38" t="str">
        <f>VLOOKUP($B72,DATA!$C:$AF,F$1+4,FALSE)</f>
        <v>P</v>
      </c>
      <c r="G72" s="38" t="str">
        <f>VLOOKUP($B72,DATA!$C:$AF,G$1+4,FALSE)</f>
        <v>P</v>
      </c>
      <c r="H72" s="38" t="str">
        <f>VLOOKUP($B72,DATA!$C:$AF,H$1+4,FALSE)</f>
        <v>P</v>
      </c>
      <c r="I72" s="38" t="str">
        <f>VLOOKUP($B72,DATA!$C:$AF,I$1+4,FALSE)</f>
        <v>P</v>
      </c>
      <c r="J72" s="38" t="str">
        <f>VLOOKUP($B72,DATA!$C:$AF,J$1+4,FALSE)</f>
        <v>P</v>
      </c>
      <c r="K72" s="38" t="str">
        <f>VLOOKUP($B72,DATA!$C:$AF,K$1+4,FALSE)</f>
        <v>P</v>
      </c>
      <c r="L72" s="38" t="str">
        <f>VLOOKUP($B72,DATA!$C:$AF,L$1+4,FALSE)</f>
        <v>P</v>
      </c>
      <c r="M72" s="38" t="str">
        <f>VLOOKUP($B72,DATA!$C:$AF,M$1+4,FALSE)</f>
        <v>P</v>
      </c>
      <c r="N72" s="38" t="str">
        <f>VLOOKUP($B72,DATA!$C:$AF,N$1+4,FALSE)</f>
        <v>P</v>
      </c>
      <c r="O72" s="38" t="str">
        <f>VLOOKUP($B72,DATA!$C:$AF,O$1+4,FALSE)</f>
        <v>P</v>
      </c>
      <c r="P72" s="38" t="str">
        <f>VLOOKUP($B72,DATA!$C:$AF,P$1+4,FALSE)</f>
        <v>P</v>
      </c>
      <c r="Q72" s="16">
        <f t="shared" si="2"/>
        <v>12</v>
      </c>
      <c r="R72" s="17">
        <v>6</v>
      </c>
      <c r="S72" s="17">
        <f t="shared" si="4"/>
        <v>15</v>
      </c>
    </row>
    <row r="73" spans="1:19" ht="17.5" thickBot="1">
      <c r="A73" s="11" t="s">
        <v>604</v>
      </c>
      <c r="B73" s="21" t="s">
        <v>128</v>
      </c>
      <c r="C73" s="21" t="s">
        <v>129</v>
      </c>
      <c r="D73" s="14" t="s">
        <v>584</v>
      </c>
      <c r="E73" s="38" t="str">
        <f>VLOOKUP($B73,DATA!$C:$AF,E$1+4,FALSE)</f>
        <v>P</v>
      </c>
      <c r="F73" s="38" t="str">
        <f>VLOOKUP($B73,DATA!$C:$AF,F$1+4,FALSE)</f>
        <v>P</v>
      </c>
      <c r="G73" s="38" t="str">
        <f>VLOOKUP($B73,DATA!$C:$AF,G$1+4,FALSE)</f>
        <v>P</v>
      </c>
      <c r="H73" s="38" t="str">
        <f>VLOOKUP($B73,DATA!$C:$AF,H$1+4,FALSE)</f>
        <v>P</v>
      </c>
      <c r="I73" s="38" t="str">
        <f>VLOOKUP($B73,DATA!$C:$AF,I$1+4,FALSE)</f>
        <v>P</v>
      </c>
      <c r="J73" s="38" t="str">
        <f>VLOOKUP($B73,DATA!$C:$AF,J$1+4,FALSE)</f>
        <v>P</v>
      </c>
      <c r="K73" s="38" t="str">
        <f>VLOOKUP($B73,DATA!$C:$AF,K$1+4,FALSE)</f>
        <v>P</v>
      </c>
      <c r="L73" s="38">
        <f>VLOOKUP($B73,DATA!$C:$AF,L$1+4,FALSE)</f>
        <v>0</v>
      </c>
      <c r="M73" s="38">
        <f>VLOOKUP($B73,DATA!$C:$AF,M$1+4,FALSE)</f>
        <v>0</v>
      </c>
      <c r="N73" s="38">
        <f>VLOOKUP($B73,DATA!$C:$AF,N$1+4,FALSE)</f>
        <v>0</v>
      </c>
      <c r="O73" s="38">
        <f>VLOOKUP($B73,DATA!$C:$AF,O$1+4,FALSE)</f>
        <v>0</v>
      </c>
      <c r="P73" s="38">
        <f>VLOOKUP($B73,DATA!$C:$AF,P$1+4,FALSE)</f>
        <v>0</v>
      </c>
      <c r="Q73" s="16">
        <f t="shared" si="2"/>
        <v>7</v>
      </c>
      <c r="R73" s="17">
        <v>7</v>
      </c>
      <c r="S73" s="17">
        <f t="shared" si="4"/>
        <v>15</v>
      </c>
    </row>
    <row r="74" spans="1:19" ht="17.5" thickBot="1">
      <c r="A74" s="11" t="s">
        <v>604</v>
      </c>
      <c r="B74" s="29" t="s">
        <v>527</v>
      </c>
      <c r="C74" s="24" t="s">
        <v>544</v>
      </c>
      <c r="D74" s="14" t="s">
        <v>584</v>
      </c>
      <c r="E74" s="38" t="str">
        <f>VLOOKUP($B74,DATA!$C:$AF,E$1+4,FALSE)</f>
        <v>P</v>
      </c>
      <c r="F74" s="38" t="str">
        <f>VLOOKUP($B74,DATA!$C:$AF,F$1+4,FALSE)</f>
        <v>P</v>
      </c>
      <c r="G74" s="38" t="str">
        <f>VLOOKUP($B74,DATA!$C:$AF,G$1+4,FALSE)</f>
        <v>P</v>
      </c>
      <c r="H74" s="38" t="str">
        <f>VLOOKUP($B74,DATA!$C:$AF,H$1+4,FALSE)</f>
        <v>P</v>
      </c>
      <c r="I74" s="38" t="str">
        <f>VLOOKUP($B74,DATA!$C:$AF,I$1+4,FALSE)</f>
        <v>P</v>
      </c>
      <c r="J74" s="38" t="str">
        <f>VLOOKUP($B74,DATA!$C:$AF,J$1+4,FALSE)</f>
        <v>P</v>
      </c>
      <c r="K74" s="38" t="str">
        <f>VLOOKUP($B74,DATA!$C:$AF,K$1+4,FALSE)</f>
        <v>P</v>
      </c>
      <c r="L74" s="38">
        <f>VLOOKUP($B74,DATA!$C:$AF,L$1+4,FALSE)</f>
        <v>0</v>
      </c>
      <c r="M74" s="38">
        <f>VLOOKUP($B74,DATA!$C:$AF,M$1+4,FALSE)</f>
        <v>0</v>
      </c>
      <c r="N74" s="38">
        <f>VLOOKUP($B74,DATA!$C:$AF,N$1+4,FALSE)</f>
        <v>0</v>
      </c>
      <c r="O74" s="38">
        <f>VLOOKUP($B74,DATA!$C:$AF,O$1+4,FALSE)</f>
        <v>0</v>
      </c>
      <c r="P74" s="38">
        <f>VLOOKUP($B74,DATA!$C:$AF,P$1+4,FALSE)</f>
        <v>0</v>
      </c>
      <c r="Q74" s="16">
        <f t="shared" si="2"/>
        <v>7</v>
      </c>
      <c r="R74" s="17">
        <v>7</v>
      </c>
      <c r="S74" s="17">
        <f t="shared" si="4"/>
        <v>15</v>
      </c>
    </row>
    <row r="75" spans="1:19" ht="17.5" thickBot="1">
      <c r="A75" s="11" t="s">
        <v>604</v>
      </c>
      <c r="B75" s="21" t="s">
        <v>130</v>
      </c>
      <c r="C75" s="21" t="s">
        <v>131</v>
      </c>
      <c r="D75" s="14" t="s">
        <v>584</v>
      </c>
      <c r="E75" s="38" t="str">
        <f>VLOOKUP($B75,DATA!$C:$AF,E$1+4,FALSE)</f>
        <v>P</v>
      </c>
      <c r="F75" s="38" t="str">
        <f>VLOOKUP($B75,DATA!$C:$AF,F$1+4,FALSE)</f>
        <v>P</v>
      </c>
      <c r="G75" s="38" t="str">
        <f>VLOOKUP($B75,DATA!$C:$AF,G$1+4,FALSE)</f>
        <v>P</v>
      </c>
      <c r="H75" s="38" t="str">
        <f>VLOOKUP($B75,DATA!$C:$AF,H$1+4,FALSE)</f>
        <v>P</v>
      </c>
      <c r="I75" s="38" t="str">
        <f>VLOOKUP($B75,DATA!$C:$AF,I$1+4,FALSE)</f>
        <v>P</v>
      </c>
      <c r="J75" s="38" t="str">
        <f>VLOOKUP($B75,DATA!$C:$AF,J$1+4,FALSE)</f>
        <v>P</v>
      </c>
      <c r="K75" s="38" t="str">
        <f>VLOOKUP($B75,DATA!$C:$AF,K$1+4,FALSE)</f>
        <v>P</v>
      </c>
      <c r="L75" s="38">
        <f>VLOOKUP($B75,DATA!$C:$AF,L$1+4,FALSE)</f>
        <v>0</v>
      </c>
      <c r="M75" s="38">
        <f>VLOOKUP($B75,DATA!$C:$AF,M$1+4,FALSE)</f>
        <v>0</v>
      </c>
      <c r="N75" s="38">
        <f>VLOOKUP($B75,DATA!$C:$AF,N$1+4,FALSE)</f>
        <v>0</v>
      </c>
      <c r="O75" s="38">
        <f>VLOOKUP($B75,DATA!$C:$AF,O$1+4,FALSE)</f>
        <v>0</v>
      </c>
      <c r="P75" s="38">
        <f>VLOOKUP($B75,DATA!$C:$AF,P$1+4,FALSE)</f>
        <v>0</v>
      </c>
      <c r="Q75" s="16">
        <f t="shared" si="2"/>
        <v>7</v>
      </c>
      <c r="R75" s="17">
        <v>7</v>
      </c>
      <c r="S75" s="17">
        <f t="shared" si="4"/>
        <v>15</v>
      </c>
    </row>
    <row r="76" spans="1:19" ht="17.5" thickBot="1">
      <c r="A76" s="11" t="s">
        <v>604</v>
      </c>
      <c r="B76" s="22" t="s">
        <v>132</v>
      </c>
      <c r="C76" s="22" t="s">
        <v>133</v>
      </c>
      <c r="D76" s="14" t="s">
        <v>584</v>
      </c>
      <c r="E76" s="38" t="str">
        <f>VLOOKUP($B76,DATA!$C:$AF,E$1+4,FALSE)</f>
        <v>P</v>
      </c>
      <c r="F76" s="38" t="str">
        <f>VLOOKUP($B76,DATA!$C:$AF,F$1+4,FALSE)</f>
        <v>P</v>
      </c>
      <c r="G76" s="38" t="str">
        <f>VLOOKUP($B76,DATA!$C:$AF,G$1+4,FALSE)</f>
        <v>P</v>
      </c>
      <c r="H76" s="38" t="str">
        <f>VLOOKUP($B76,DATA!$C:$AF,H$1+4,FALSE)</f>
        <v>P</v>
      </c>
      <c r="I76" s="38" t="str">
        <f>VLOOKUP($B76,DATA!$C:$AF,I$1+4,FALSE)</f>
        <v>P</v>
      </c>
      <c r="J76" s="38" t="str">
        <f>VLOOKUP($B76,DATA!$C:$AF,J$1+4,FALSE)</f>
        <v>P</v>
      </c>
      <c r="K76" s="38" t="str">
        <f>VLOOKUP($B76,DATA!$C:$AF,K$1+4,FALSE)</f>
        <v>P</v>
      </c>
      <c r="L76" s="38">
        <f>VLOOKUP($B76,DATA!$C:$AF,L$1+4,FALSE)</f>
        <v>0</v>
      </c>
      <c r="M76" s="38">
        <f>VLOOKUP($B76,DATA!$C:$AF,M$1+4,FALSE)</f>
        <v>0</v>
      </c>
      <c r="N76" s="38">
        <f>VLOOKUP($B76,DATA!$C:$AF,N$1+4,FALSE)</f>
        <v>0</v>
      </c>
      <c r="O76" s="38">
        <f>VLOOKUP($B76,DATA!$C:$AF,O$1+4,FALSE)</f>
        <v>0</v>
      </c>
      <c r="P76" s="38">
        <f>VLOOKUP($B76,DATA!$C:$AF,P$1+4,FALSE)</f>
        <v>0</v>
      </c>
      <c r="Q76" s="16">
        <f t="shared" si="2"/>
        <v>7</v>
      </c>
      <c r="R76" s="17">
        <v>6</v>
      </c>
      <c r="S76" s="17">
        <f t="shared" si="4"/>
        <v>15</v>
      </c>
    </row>
    <row r="77" spans="1:19" ht="17.5" thickBot="1">
      <c r="A77" s="11" t="s">
        <v>604</v>
      </c>
      <c r="B77" s="22" t="s">
        <v>150</v>
      </c>
      <c r="C77" s="13" t="s">
        <v>151</v>
      </c>
      <c r="D77" s="14" t="s">
        <v>579</v>
      </c>
      <c r="E77" s="38" t="str">
        <f>VLOOKUP($B77,DATA!$C:$AF,E$1+4,FALSE)</f>
        <v>P</v>
      </c>
      <c r="F77" s="38" t="str">
        <f>VLOOKUP($B77,DATA!$C:$AF,F$1+4,FALSE)</f>
        <v>P</v>
      </c>
      <c r="G77" s="38" t="str">
        <f>VLOOKUP($B77,DATA!$C:$AF,G$1+4,FALSE)</f>
        <v>P</v>
      </c>
      <c r="H77" s="38" t="str">
        <f>VLOOKUP($B77,DATA!$C:$AF,H$1+4,FALSE)</f>
        <v>P</v>
      </c>
      <c r="I77" s="38" t="str">
        <f>VLOOKUP($B77,DATA!$C:$AF,I$1+4,FALSE)</f>
        <v>P</v>
      </c>
      <c r="J77" s="38" t="str">
        <f>VLOOKUP($B77,DATA!$C:$AF,J$1+4,FALSE)</f>
        <v>P</v>
      </c>
      <c r="K77" s="38" t="str">
        <f>VLOOKUP($B77,DATA!$C:$AF,K$1+4,FALSE)</f>
        <v>P</v>
      </c>
      <c r="L77" s="38" t="str">
        <f>VLOOKUP($B77,DATA!$C:$AF,L$1+4,FALSE)</f>
        <v>P</v>
      </c>
      <c r="M77" s="38" t="str">
        <f>VLOOKUP($B77,DATA!$C:$AF,M$1+4,FALSE)</f>
        <v>P</v>
      </c>
      <c r="N77" s="38" t="str">
        <f>VLOOKUP($B77,DATA!$C:$AF,N$1+4,FALSE)</f>
        <v>P</v>
      </c>
      <c r="O77" s="38" t="str">
        <f>VLOOKUP($B77,DATA!$C:$AF,O$1+4,FALSE)</f>
        <v>P</v>
      </c>
      <c r="P77" s="38" t="str">
        <f>VLOOKUP($B77,DATA!$C:$AF,P$1+4,FALSE)</f>
        <v>P</v>
      </c>
      <c r="Q77" s="16">
        <f t="shared" si="2"/>
        <v>12</v>
      </c>
      <c r="R77" s="17">
        <v>6</v>
      </c>
      <c r="S77" s="17">
        <f t="shared" si="4"/>
        <v>15</v>
      </c>
    </row>
    <row r="78" spans="1:19" ht="17.5" thickBot="1">
      <c r="A78" s="11" t="s">
        <v>604</v>
      </c>
      <c r="B78" s="22" t="s">
        <v>152</v>
      </c>
      <c r="C78" s="13" t="s">
        <v>153</v>
      </c>
      <c r="D78" s="14" t="s">
        <v>579</v>
      </c>
      <c r="E78" s="38" t="str">
        <f>VLOOKUP($B78,DATA!$C:$AF,E$1+4,FALSE)</f>
        <v>P</v>
      </c>
      <c r="F78" s="38" t="str">
        <f>VLOOKUP($B78,DATA!$C:$AF,F$1+4,FALSE)</f>
        <v>P</v>
      </c>
      <c r="G78" s="38" t="str">
        <f>VLOOKUP($B78,DATA!$C:$AF,G$1+4,FALSE)</f>
        <v>P</v>
      </c>
      <c r="H78" s="38" t="str">
        <f>VLOOKUP($B78,DATA!$C:$AF,H$1+4,FALSE)</f>
        <v>P</v>
      </c>
      <c r="I78" s="38" t="str">
        <f>VLOOKUP($B78,DATA!$C:$AF,I$1+4,FALSE)</f>
        <v>P</v>
      </c>
      <c r="J78" s="38" t="str">
        <f>VLOOKUP($B78,DATA!$C:$AF,J$1+4,FALSE)</f>
        <v>P</v>
      </c>
      <c r="K78" s="38" t="str">
        <f>VLOOKUP($B78,DATA!$C:$AF,K$1+4,FALSE)</f>
        <v>P</v>
      </c>
      <c r="L78" s="38" t="str">
        <f>VLOOKUP($B78,DATA!$C:$AF,L$1+4,FALSE)</f>
        <v>P</v>
      </c>
      <c r="M78" s="38" t="str">
        <f>VLOOKUP($B78,DATA!$C:$AF,M$1+4,FALSE)</f>
        <v>P</v>
      </c>
      <c r="N78" s="38" t="str">
        <f>VLOOKUP($B78,DATA!$C:$AF,N$1+4,FALSE)</f>
        <v>P</v>
      </c>
      <c r="O78" s="38" t="str">
        <f>VLOOKUP($B78,DATA!$C:$AF,O$1+4,FALSE)</f>
        <v>P</v>
      </c>
      <c r="P78" s="38" t="str">
        <f>VLOOKUP($B78,DATA!$C:$AF,P$1+4,FALSE)</f>
        <v>P</v>
      </c>
      <c r="Q78" s="16">
        <f t="shared" si="2"/>
        <v>12</v>
      </c>
      <c r="R78" s="17">
        <v>6</v>
      </c>
      <c r="S78" s="17">
        <f t="shared" si="4"/>
        <v>15</v>
      </c>
    </row>
    <row r="79" spans="1:19" ht="17.5" thickBot="1">
      <c r="A79" s="11" t="s">
        <v>604</v>
      </c>
      <c r="B79" s="22" t="s">
        <v>154</v>
      </c>
      <c r="C79" s="13" t="s">
        <v>155</v>
      </c>
      <c r="D79" s="14" t="s">
        <v>579</v>
      </c>
      <c r="E79" s="38" t="str">
        <f>VLOOKUP($B79,DATA!$C:$AF,E$1+4,FALSE)</f>
        <v>P</v>
      </c>
      <c r="F79" s="38" t="str">
        <f>VLOOKUP($B79,DATA!$C:$AF,F$1+4,FALSE)</f>
        <v>P</v>
      </c>
      <c r="G79" s="38" t="str">
        <f>VLOOKUP($B79,DATA!$C:$AF,G$1+4,FALSE)</f>
        <v>P</v>
      </c>
      <c r="H79" s="38" t="str">
        <f>VLOOKUP($B79,DATA!$C:$AF,H$1+4,FALSE)</f>
        <v>P</v>
      </c>
      <c r="I79" s="38" t="str">
        <f>VLOOKUP($B79,DATA!$C:$AF,I$1+4,FALSE)</f>
        <v>P</v>
      </c>
      <c r="J79" s="38" t="str">
        <f>VLOOKUP($B79,DATA!$C:$AF,J$1+4,FALSE)</f>
        <v>P</v>
      </c>
      <c r="K79" s="38" t="str">
        <f>VLOOKUP($B79,DATA!$C:$AF,K$1+4,FALSE)</f>
        <v>P</v>
      </c>
      <c r="L79" s="38" t="str">
        <f>VLOOKUP($B79,DATA!$C:$AF,L$1+4,FALSE)</f>
        <v>P</v>
      </c>
      <c r="M79" s="38" t="str">
        <f>VLOOKUP($B79,DATA!$C:$AF,M$1+4,FALSE)</f>
        <v>P</v>
      </c>
      <c r="N79" s="38" t="str">
        <f>VLOOKUP($B79,DATA!$C:$AF,N$1+4,FALSE)</f>
        <v>P</v>
      </c>
      <c r="O79" s="38" t="str">
        <f>VLOOKUP($B79,DATA!$C:$AF,O$1+4,FALSE)</f>
        <v>P</v>
      </c>
      <c r="P79" s="38" t="str">
        <f>VLOOKUP($B79,DATA!$C:$AF,P$1+4,FALSE)</f>
        <v>P</v>
      </c>
      <c r="Q79" s="16">
        <f t="shared" si="2"/>
        <v>12</v>
      </c>
      <c r="R79" s="17">
        <v>6</v>
      </c>
      <c r="S79" s="17">
        <f t="shared" si="4"/>
        <v>15</v>
      </c>
    </row>
    <row r="80" spans="1:19" ht="17.5" thickBot="1">
      <c r="A80" s="11" t="s">
        <v>604</v>
      </c>
      <c r="B80" s="29" t="s">
        <v>525</v>
      </c>
      <c r="C80" s="13" t="s">
        <v>526</v>
      </c>
      <c r="D80" s="14" t="s">
        <v>579</v>
      </c>
      <c r="E80" s="38" t="str">
        <f>VLOOKUP($B80,DATA!$C:$AF,E$1+4,FALSE)</f>
        <v>P</v>
      </c>
      <c r="F80" s="38" t="str">
        <f>VLOOKUP($B80,DATA!$C:$AF,F$1+4,FALSE)</f>
        <v>P</v>
      </c>
      <c r="G80" s="38" t="str">
        <f>VLOOKUP($B80,DATA!$C:$AF,G$1+4,FALSE)</f>
        <v>P</v>
      </c>
      <c r="H80" s="38" t="str">
        <f>VLOOKUP($B80,DATA!$C:$AF,H$1+4,FALSE)</f>
        <v>P</v>
      </c>
      <c r="I80" s="38" t="str">
        <f>VLOOKUP($B80,DATA!$C:$AF,I$1+4,FALSE)</f>
        <v>P</v>
      </c>
      <c r="J80" s="38" t="str">
        <f>VLOOKUP($B80,DATA!$C:$AF,J$1+4,FALSE)</f>
        <v>P</v>
      </c>
      <c r="K80" s="38" t="str">
        <f>VLOOKUP($B80,DATA!$C:$AF,K$1+4,FALSE)</f>
        <v>P</v>
      </c>
      <c r="L80" s="38" t="str">
        <f>VLOOKUP($B80,DATA!$C:$AF,L$1+4,FALSE)</f>
        <v>P</v>
      </c>
      <c r="M80" s="38" t="str">
        <f>VLOOKUP($B80,DATA!$C:$AF,M$1+4,FALSE)</f>
        <v>P</v>
      </c>
      <c r="N80" s="38" t="str">
        <f>VLOOKUP($B80,DATA!$C:$AF,N$1+4,FALSE)</f>
        <v>P</v>
      </c>
      <c r="O80" s="38" t="str">
        <f>VLOOKUP($B80,DATA!$C:$AF,O$1+4,FALSE)</f>
        <v>P</v>
      </c>
      <c r="P80" s="38" t="str">
        <f>VLOOKUP($B80,DATA!$C:$AF,P$1+4,FALSE)</f>
        <v>P</v>
      </c>
      <c r="Q80" s="16">
        <f t="shared" si="2"/>
        <v>12</v>
      </c>
      <c r="R80" s="17">
        <v>6</v>
      </c>
      <c r="S80" s="17">
        <f t="shared" si="4"/>
        <v>15</v>
      </c>
    </row>
    <row r="81" spans="1:19" ht="17.5" thickBot="1">
      <c r="A81" s="11" t="s">
        <v>604</v>
      </c>
      <c r="B81" s="22" t="s">
        <v>156</v>
      </c>
      <c r="C81" s="13" t="s">
        <v>157</v>
      </c>
      <c r="D81" s="14" t="s">
        <v>579</v>
      </c>
      <c r="E81" s="38" t="str">
        <f>VLOOKUP($B81,DATA!$C:$AF,E$1+4,FALSE)</f>
        <v>P</v>
      </c>
      <c r="F81" s="38" t="str">
        <f>VLOOKUP($B81,DATA!$C:$AF,F$1+4,FALSE)</f>
        <v>P</v>
      </c>
      <c r="G81" s="38" t="str">
        <f>VLOOKUP($B81,DATA!$C:$AF,G$1+4,FALSE)</f>
        <v>P</v>
      </c>
      <c r="H81" s="38" t="str">
        <f>VLOOKUP($B81,DATA!$C:$AF,H$1+4,FALSE)</f>
        <v>P</v>
      </c>
      <c r="I81" s="38" t="str">
        <f>VLOOKUP($B81,DATA!$C:$AF,I$1+4,FALSE)</f>
        <v>P</v>
      </c>
      <c r="J81" s="38" t="str">
        <f>VLOOKUP($B81,DATA!$C:$AF,J$1+4,FALSE)</f>
        <v>P</v>
      </c>
      <c r="K81" s="38" t="str">
        <f>VLOOKUP($B81,DATA!$C:$AF,K$1+4,FALSE)</f>
        <v>P</v>
      </c>
      <c r="L81" s="38" t="str">
        <f>VLOOKUP($B81,DATA!$C:$AF,L$1+4,FALSE)</f>
        <v>P</v>
      </c>
      <c r="M81" s="38" t="str">
        <f>VLOOKUP($B81,DATA!$C:$AF,M$1+4,FALSE)</f>
        <v>P</v>
      </c>
      <c r="N81" s="38" t="str">
        <f>VLOOKUP($B81,DATA!$C:$AF,N$1+4,FALSE)</f>
        <v>P</v>
      </c>
      <c r="O81" s="38" t="str">
        <f>VLOOKUP($B81,DATA!$C:$AF,O$1+4,FALSE)</f>
        <v>P</v>
      </c>
      <c r="P81" s="38" t="str">
        <f>VLOOKUP($B81,DATA!$C:$AF,P$1+4,FALSE)</f>
        <v>P</v>
      </c>
      <c r="Q81" s="16">
        <f t="shared" si="2"/>
        <v>12</v>
      </c>
      <c r="R81" s="17">
        <v>6</v>
      </c>
      <c r="S81" s="17">
        <f t="shared" si="4"/>
        <v>15</v>
      </c>
    </row>
    <row r="82" spans="1:19" ht="17.5" thickBot="1">
      <c r="A82" s="11" t="s">
        <v>604</v>
      </c>
      <c r="B82" s="22" t="s">
        <v>158</v>
      </c>
      <c r="C82" s="13" t="s">
        <v>159</v>
      </c>
      <c r="D82" s="14" t="s">
        <v>579</v>
      </c>
      <c r="E82" s="38" t="str">
        <f>VLOOKUP($B82,DATA!$C:$AF,E$1+4,FALSE)</f>
        <v>P</v>
      </c>
      <c r="F82" s="38" t="str">
        <f>VLOOKUP($B82,DATA!$C:$AF,F$1+4,FALSE)</f>
        <v>P</v>
      </c>
      <c r="G82" s="38" t="str">
        <f>VLOOKUP($B82,DATA!$C:$AF,G$1+4,FALSE)</f>
        <v>P</v>
      </c>
      <c r="H82" s="38" t="str">
        <f>VLOOKUP($B82,DATA!$C:$AF,H$1+4,FALSE)</f>
        <v>P</v>
      </c>
      <c r="I82" s="38" t="str">
        <f>VLOOKUP($B82,DATA!$C:$AF,I$1+4,FALSE)</f>
        <v>P</v>
      </c>
      <c r="J82" s="38" t="str">
        <f>VLOOKUP($B82,DATA!$C:$AF,J$1+4,FALSE)</f>
        <v>P</v>
      </c>
      <c r="K82" s="38" t="str">
        <f>VLOOKUP($B82,DATA!$C:$AF,K$1+4,FALSE)</f>
        <v>P</v>
      </c>
      <c r="L82" s="38" t="str">
        <f>VLOOKUP($B82,DATA!$C:$AF,L$1+4,FALSE)</f>
        <v>P</v>
      </c>
      <c r="M82" s="38" t="str">
        <f>VLOOKUP($B82,DATA!$C:$AF,M$1+4,FALSE)</f>
        <v>P</v>
      </c>
      <c r="N82" s="38" t="str">
        <f>VLOOKUP($B82,DATA!$C:$AF,N$1+4,FALSE)</f>
        <v>P</v>
      </c>
      <c r="O82" s="38" t="str">
        <f>VLOOKUP($B82,DATA!$C:$AF,O$1+4,FALSE)</f>
        <v>P</v>
      </c>
      <c r="P82" s="38" t="str">
        <f>VLOOKUP($B82,DATA!$C:$AF,P$1+4,FALSE)</f>
        <v>P</v>
      </c>
      <c r="Q82" s="16">
        <f t="shared" si="2"/>
        <v>12</v>
      </c>
      <c r="R82" s="17">
        <v>6</v>
      </c>
      <c r="S82" s="17">
        <f t="shared" si="4"/>
        <v>15</v>
      </c>
    </row>
    <row r="83" spans="1:19" ht="17.5" thickBot="1">
      <c r="A83" s="11" t="s">
        <v>604</v>
      </c>
      <c r="B83" s="23" t="s">
        <v>160</v>
      </c>
      <c r="C83" s="13" t="s">
        <v>161</v>
      </c>
      <c r="D83" s="14" t="s">
        <v>579</v>
      </c>
      <c r="E83" s="38" t="str">
        <f>VLOOKUP($B83,DATA!$C:$AF,E$1+4,FALSE)</f>
        <v>P</v>
      </c>
      <c r="F83" s="38" t="str">
        <f>VLOOKUP($B83,DATA!$C:$AF,F$1+4,FALSE)</f>
        <v>P</v>
      </c>
      <c r="G83" s="38" t="str">
        <f>VLOOKUP($B83,DATA!$C:$AF,G$1+4,FALSE)</f>
        <v>P</v>
      </c>
      <c r="H83" s="38" t="str">
        <f>VLOOKUP($B83,DATA!$C:$AF,H$1+4,FALSE)</f>
        <v>P</v>
      </c>
      <c r="I83" s="38" t="str">
        <f>VLOOKUP($B83,DATA!$C:$AF,I$1+4,FALSE)</f>
        <v>P</v>
      </c>
      <c r="J83" s="38" t="str">
        <f>VLOOKUP($B83,DATA!$C:$AF,J$1+4,FALSE)</f>
        <v>P</v>
      </c>
      <c r="K83" s="38" t="str">
        <f>VLOOKUP($B83,DATA!$C:$AF,K$1+4,FALSE)</f>
        <v>P</v>
      </c>
      <c r="L83" s="38" t="str">
        <f>VLOOKUP($B83,DATA!$C:$AF,L$1+4,FALSE)</f>
        <v>P</v>
      </c>
      <c r="M83" s="38" t="str">
        <f>VLOOKUP($B83,DATA!$C:$AF,M$1+4,FALSE)</f>
        <v>P</v>
      </c>
      <c r="N83" s="38" t="str">
        <f>VLOOKUP($B83,DATA!$C:$AF,N$1+4,FALSE)</f>
        <v>P</v>
      </c>
      <c r="O83" s="38" t="str">
        <f>VLOOKUP($B83,DATA!$C:$AF,O$1+4,FALSE)</f>
        <v>P</v>
      </c>
      <c r="P83" s="38" t="str">
        <f>VLOOKUP($B83,DATA!$C:$AF,P$1+4,FALSE)</f>
        <v>P</v>
      </c>
      <c r="Q83" s="16">
        <f t="shared" si="2"/>
        <v>12</v>
      </c>
      <c r="R83" s="17">
        <v>6</v>
      </c>
      <c r="S83" s="17">
        <f t="shared" si="4"/>
        <v>15</v>
      </c>
    </row>
    <row r="84" spans="1:19" ht="17.5" thickBot="1">
      <c r="A84" s="11" t="s">
        <v>604</v>
      </c>
      <c r="B84" s="22" t="s">
        <v>162</v>
      </c>
      <c r="C84" s="13" t="s">
        <v>163</v>
      </c>
      <c r="D84" s="14" t="s">
        <v>579</v>
      </c>
      <c r="E84" s="38" t="str">
        <f>VLOOKUP($B84,DATA!$C:$AF,E$1+4,FALSE)</f>
        <v>P</v>
      </c>
      <c r="F84" s="38" t="str">
        <f>VLOOKUP($B84,DATA!$C:$AF,F$1+4,FALSE)</f>
        <v>P</v>
      </c>
      <c r="G84" s="38" t="str">
        <f>VLOOKUP($B84,DATA!$C:$AF,G$1+4,FALSE)</f>
        <v>P</v>
      </c>
      <c r="H84" s="38" t="str">
        <f>VLOOKUP($B84,DATA!$C:$AF,H$1+4,FALSE)</f>
        <v>P</v>
      </c>
      <c r="I84" s="38" t="str">
        <f>VLOOKUP($B84,DATA!$C:$AF,I$1+4,FALSE)</f>
        <v>P</v>
      </c>
      <c r="J84" s="38" t="str">
        <f>VLOOKUP($B84,DATA!$C:$AF,J$1+4,FALSE)</f>
        <v>P</v>
      </c>
      <c r="K84" s="38" t="str">
        <f>VLOOKUP($B84,DATA!$C:$AF,K$1+4,FALSE)</f>
        <v>P</v>
      </c>
      <c r="L84" s="38" t="str">
        <f>VLOOKUP($B84,DATA!$C:$AF,L$1+4,FALSE)</f>
        <v>P</v>
      </c>
      <c r="M84" s="38" t="str">
        <f>VLOOKUP($B84,DATA!$C:$AF,M$1+4,FALSE)</f>
        <v>P</v>
      </c>
      <c r="N84" s="38" t="str">
        <f>VLOOKUP($B84,DATA!$C:$AF,N$1+4,FALSE)</f>
        <v>P</v>
      </c>
      <c r="O84" s="38" t="str">
        <f>VLOOKUP($B84,DATA!$C:$AF,O$1+4,FALSE)</f>
        <v>P</v>
      </c>
      <c r="P84" s="38" t="str">
        <f>VLOOKUP($B84,DATA!$C:$AF,P$1+4,FALSE)</f>
        <v>P</v>
      </c>
      <c r="Q84" s="16">
        <f t="shared" si="2"/>
        <v>12</v>
      </c>
      <c r="R84" s="17">
        <v>6</v>
      </c>
      <c r="S84" s="17">
        <f t="shared" si="4"/>
        <v>15</v>
      </c>
    </row>
    <row r="85" spans="1:19" ht="17.5" thickBot="1">
      <c r="A85" s="11" t="s">
        <v>604</v>
      </c>
      <c r="B85" s="22" t="s">
        <v>164</v>
      </c>
      <c r="C85" s="13" t="s">
        <v>165</v>
      </c>
      <c r="D85" s="14" t="s">
        <v>579</v>
      </c>
      <c r="E85" s="38" t="str">
        <f>VLOOKUP($B85,DATA!$C:$AF,E$1+4,FALSE)</f>
        <v>P</v>
      </c>
      <c r="F85" s="38" t="str">
        <f>VLOOKUP($B85,DATA!$C:$AF,F$1+4,FALSE)</f>
        <v>P</v>
      </c>
      <c r="G85" s="38" t="str">
        <f>VLOOKUP($B85,DATA!$C:$AF,G$1+4,FALSE)</f>
        <v>P</v>
      </c>
      <c r="H85" s="38" t="str">
        <f>VLOOKUP($B85,DATA!$C:$AF,H$1+4,FALSE)</f>
        <v>P</v>
      </c>
      <c r="I85" s="38" t="str">
        <f>VLOOKUP($B85,DATA!$C:$AF,I$1+4,FALSE)</f>
        <v>P</v>
      </c>
      <c r="J85" s="38" t="str">
        <f>VLOOKUP($B85,DATA!$C:$AF,J$1+4,FALSE)</f>
        <v>P</v>
      </c>
      <c r="K85" s="38" t="str">
        <f>VLOOKUP($B85,DATA!$C:$AF,K$1+4,FALSE)</f>
        <v>P</v>
      </c>
      <c r="L85" s="38" t="str">
        <f>VLOOKUP($B85,DATA!$C:$AF,L$1+4,FALSE)</f>
        <v>P</v>
      </c>
      <c r="M85" s="38" t="str">
        <f>VLOOKUP($B85,DATA!$C:$AF,M$1+4,FALSE)</f>
        <v>P</v>
      </c>
      <c r="N85" s="38" t="str">
        <f>VLOOKUP($B85,DATA!$C:$AF,N$1+4,FALSE)</f>
        <v>P</v>
      </c>
      <c r="O85" s="38" t="str">
        <f>VLOOKUP($B85,DATA!$C:$AF,O$1+4,FALSE)</f>
        <v>P</v>
      </c>
      <c r="P85" s="38" t="str">
        <f>VLOOKUP($B85,DATA!$C:$AF,P$1+4,FALSE)</f>
        <v>P</v>
      </c>
      <c r="Q85" s="16">
        <f t="shared" si="2"/>
        <v>12</v>
      </c>
      <c r="R85" s="17">
        <v>6</v>
      </c>
      <c r="S85" s="17">
        <f t="shared" si="4"/>
        <v>15</v>
      </c>
    </row>
    <row r="86" spans="1:19" ht="17.5" thickBot="1">
      <c r="A86" s="11" t="s">
        <v>604</v>
      </c>
      <c r="B86" s="22" t="s">
        <v>166</v>
      </c>
      <c r="C86" s="13" t="s">
        <v>167</v>
      </c>
      <c r="D86" s="14" t="s">
        <v>579</v>
      </c>
      <c r="E86" s="38" t="str">
        <f>VLOOKUP($B86,DATA!$C:$AF,E$1+4,FALSE)</f>
        <v>P</v>
      </c>
      <c r="F86" s="38" t="str">
        <f>VLOOKUP($B86,DATA!$C:$AF,F$1+4,FALSE)</f>
        <v>P</v>
      </c>
      <c r="G86" s="38" t="str">
        <f>VLOOKUP($B86,DATA!$C:$AF,G$1+4,FALSE)</f>
        <v>P</v>
      </c>
      <c r="H86" s="38" t="str">
        <f>VLOOKUP($B86,DATA!$C:$AF,H$1+4,FALSE)</f>
        <v>P</v>
      </c>
      <c r="I86" s="38" t="str">
        <f>VLOOKUP($B86,DATA!$C:$AF,I$1+4,FALSE)</f>
        <v>P</v>
      </c>
      <c r="J86" s="38" t="str">
        <f>VLOOKUP($B86,DATA!$C:$AF,J$1+4,FALSE)</f>
        <v>P</v>
      </c>
      <c r="K86" s="38" t="str">
        <f>VLOOKUP($B86,DATA!$C:$AF,K$1+4,FALSE)</f>
        <v>P</v>
      </c>
      <c r="L86" s="38" t="str">
        <f>VLOOKUP($B86,DATA!$C:$AF,L$1+4,FALSE)</f>
        <v>P</v>
      </c>
      <c r="M86" s="38" t="str">
        <f>VLOOKUP($B86,DATA!$C:$AF,M$1+4,FALSE)</f>
        <v>P</v>
      </c>
      <c r="N86" s="38" t="str">
        <f>VLOOKUP($B86,DATA!$C:$AF,N$1+4,FALSE)</f>
        <v>P</v>
      </c>
      <c r="O86" s="38" t="str">
        <f>VLOOKUP($B86,DATA!$C:$AF,O$1+4,FALSE)</f>
        <v>P</v>
      </c>
      <c r="P86" s="38" t="str">
        <f>VLOOKUP($B86,DATA!$C:$AF,P$1+4,FALSE)</f>
        <v>P</v>
      </c>
      <c r="Q86" s="16">
        <f t="shared" si="2"/>
        <v>12</v>
      </c>
      <c r="R86" s="17">
        <v>6</v>
      </c>
      <c r="S86" s="17">
        <f t="shared" si="4"/>
        <v>15</v>
      </c>
    </row>
    <row r="87" spans="1:19" ht="17.5" thickBot="1">
      <c r="A87" s="11" t="s">
        <v>604</v>
      </c>
      <c r="B87" s="23" t="s">
        <v>170</v>
      </c>
      <c r="C87" s="22" t="s">
        <v>171</v>
      </c>
      <c r="D87" s="14" t="s">
        <v>584</v>
      </c>
      <c r="E87" s="38" t="str">
        <f>VLOOKUP($B87,DATA!$C:$AF,E$1+4,FALSE)</f>
        <v>P</v>
      </c>
      <c r="F87" s="38" t="str">
        <f>VLOOKUP($B87,DATA!$C:$AF,F$1+4,FALSE)</f>
        <v>P</v>
      </c>
      <c r="G87" s="38" t="str">
        <f>VLOOKUP($B87,DATA!$C:$AF,G$1+4,FALSE)</f>
        <v>P</v>
      </c>
      <c r="H87" s="38" t="str">
        <f>VLOOKUP($B87,DATA!$C:$AF,H$1+4,FALSE)</f>
        <v>P</v>
      </c>
      <c r="I87" s="38" t="str">
        <f>VLOOKUP($B87,DATA!$C:$AF,I$1+4,FALSE)</f>
        <v>P</v>
      </c>
      <c r="J87" s="38" t="str">
        <f>VLOOKUP($B87,DATA!$C:$AF,J$1+4,FALSE)</f>
        <v>P</v>
      </c>
      <c r="K87" s="38" t="str">
        <f>VLOOKUP($B87,DATA!$C:$AF,K$1+4,FALSE)</f>
        <v>P</v>
      </c>
      <c r="L87" s="38" t="str">
        <f>VLOOKUP($B87,DATA!$C:$AF,L$1+4,FALSE)</f>
        <v>P</v>
      </c>
      <c r="M87" s="38" t="str">
        <f>VLOOKUP($B87,DATA!$C:$AF,M$1+4,FALSE)</f>
        <v>P</v>
      </c>
      <c r="N87" s="38" t="str">
        <f>VLOOKUP($B87,DATA!$C:$AF,N$1+4,FALSE)</f>
        <v>P</v>
      </c>
      <c r="O87" s="38" t="str">
        <f>VLOOKUP($B87,DATA!$C:$AF,O$1+4,FALSE)</f>
        <v>P</v>
      </c>
      <c r="P87" s="38" t="str">
        <f>VLOOKUP($B87,DATA!$C:$AF,P$1+4,FALSE)</f>
        <v>P</v>
      </c>
      <c r="Q87" s="16">
        <f t="shared" si="2"/>
        <v>12</v>
      </c>
      <c r="R87" s="17">
        <v>6</v>
      </c>
      <c r="S87" s="17">
        <f t="shared" si="4"/>
        <v>15</v>
      </c>
    </row>
    <row r="88" spans="1:19" ht="17.5" thickBot="1">
      <c r="A88" s="11" t="s">
        <v>604</v>
      </c>
      <c r="B88" s="22" t="s">
        <v>134</v>
      </c>
      <c r="C88" s="13" t="s">
        <v>135</v>
      </c>
      <c r="D88" s="14" t="s">
        <v>579</v>
      </c>
      <c r="E88" s="38" t="str">
        <f>VLOOKUP($B88,DATA!$C:$AF,E$1+4,FALSE)</f>
        <v>P</v>
      </c>
      <c r="F88" s="38" t="str">
        <f>VLOOKUP($B88,DATA!$C:$AF,F$1+4,FALSE)</f>
        <v>P</v>
      </c>
      <c r="G88" s="38" t="str">
        <f>VLOOKUP($B88,DATA!$C:$AF,G$1+4,FALSE)</f>
        <v>P</v>
      </c>
      <c r="H88" s="38" t="str">
        <f>VLOOKUP($B88,DATA!$C:$AF,H$1+4,FALSE)</f>
        <v>P</v>
      </c>
      <c r="I88" s="38" t="str">
        <f>VLOOKUP($B88,DATA!$C:$AF,I$1+4,FALSE)</f>
        <v>P</v>
      </c>
      <c r="J88" s="38" t="str">
        <f>VLOOKUP($B88,DATA!$C:$AF,J$1+4,FALSE)</f>
        <v>P</v>
      </c>
      <c r="K88" s="38" t="str">
        <f>VLOOKUP($B88,DATA!$C:$AF,K$1+4,FALSE)</f>
        <v>P</v>
      </c>
      <c r="L88" s="38" t="str">
        <f>VLOOKUP($B88,DATA!$C:$AF,L$1+4,FALSE)</f>
        <v>P</v>
      </c>
      <c r="M88" s="38" t="str">
        <f>VLOOKUP($B88,DATA!$C:$AF,M$1+4,FALSE)</f>
        <v>P</v>
      </c>
      <c r="N88" s="38" t="str">
        <f>VLOOKUP($B88,DATA!$C:$AF,N$1+4,FALSE)</f>
        <v>P</v>
      </c>
      <c r="O88" s="38" t="str">
        <f>VLOOKUP($B88,DATA!$C:$AF,O$1+4,FALSE)</f>
        <v>P</v>
      </c>
      <c r="P88" s="38" t="str">
        <f>VLOOKUP($B88,DATA!$C:$AF,P$1+4,FALSE)</f>
        <v>P</v>
      </c>
      <c r="Q88" s="16">
        <f t="shared" si="2"/>
        <v>12</v>
      </c>
      <c r="R88" s="17">
        <v>6</v>
      </c>
      <c r="S88" s="17">
        <f t="shared" si="4"/>
        <v>15</v>
      </c>
    </row>
    <row r="89" spans="1:19" ht="17.5" thickBot="1">
      <c r="A89" s="11" t="s">
        <v>604</v>
      </c>
      <c r="B89" s="23" t="s">
        <v>136</v>
      </c>
      <c r="C89" s="28" t="s">
        <v>137</v>
      </c>
      <c r="D89" s="14" t="s">
        <v>584</v>
      </c>
      <c r="E89" s="38" t="str">
        <f>VLOOKUP($B89,DATA!$C:$AF,E$1+4,FALSE)</f>
        <v>P</v>
      </c>
      <c r="F89" s="38" t="str">
        <f>VLOOKUP($B89,DATA!$C:$AF,F$1+4,FALSE)</f>
        <v>P</v>
      </c>
      <c r="G89" s="38" t="str">
        <f>VLOOKUP($B89,DATA!$C:$AF,G$1+4,FALSE)</f>
        <v>P</v>
      </c>
      <c r="H89" s="38" t="str">
        <f>VLOOKUP($B89,DATA!$C:$AF,H$1+4,FALSE)</f>
        <v>P</v>
      </c>
      <c r="I89" s="38" t="str">
        <f>VLOOKUP($B89,DATA!$C:$AF,I$1+4,FALSE)</f>
        <v>P</v>
      </c>
      <c r="J89" s="38" t="str">
        <f>VLOOKUP($B89,DATA!$C:$AF,J$1+4,FALSE)</f>
        <v>P</v>
      </c>
      <c r="K89" s="38" t="str">
        <f>VLOOKUP($B89,DATA!$C:$AF,K$1+4,FALSE)</f>
        <v>P</v>
      </c>
      <c r="L89" s="38">
        <f>VLOOKUP($B89,DATA!$C:$AF,L$1+4,FALSE)</f>
        <v>0</v>
      </c>
      <c r="M89" s="38">
        <f>VLOOKUP($B89,DATA!$C:$AF,M$1+4,FALSE)</f>
        <v>0</v>
      </c>
      <c r="N89" s="38">
        <f>VLOOKUP($B89,DATA!$C:$AF,N$1+4,FALSE)</f>
        <v>0</v>
      </c>
      <c r="O89" s="38">
        <f>VLOOKUP($B89,DATA!$C:$AF,O$1+4,FALSE)</f>
        <v>0</v>
      </c>
      <c r="P89" s="38">
        <f>VLOOKUP($B89,DATA!$C:$AF,P$1+4,FALSE)</f>
        <v>0</v>
      </c>
      <c r="Q89" s="16">
        <f t="shared" si="2"/>
        <v>7</v>
      </c>
      <c r="R89" s="17">
        <v>6</v>
      </c>
      <c r="S89" s="17">
        <f t="shared" si="4"/>
        <v>15</v>
      </c>
    </row>
    <row r="90" spans="1:19" ht="17.5" thickBot="1">
      <c r="A90" s="11" t="s">
        <v>604</v>
      </c>
      <c r="B90" s="22" t="s">
        <v>138</v>
      </c>
      <c r="C90" s="13" t="s">
        <v>139</v>
      </c>
      <c r="D90" s="14" t="s">
        <v>579</v>
      </c>
      <c r="E90" s="38" t="str">
        <f>VLOOKUP($B90,DATA!$C:$AF,E$1+4,FALSE)</f>
        <v>P</v>
      </c>
      <c r="F90" s="38" t="str">
        <f>VLOOKUP($B90,DATA!$C:$AF,F$1+4,FALSE)</f>
        <v>P</v>
      </c>
      <c r="G90" s="38" t="str">
        <f>VLOOKUP($B90,DATA!$C:$AF,G$1+4,FALSE)</f>
        <v>P</v>
      </c>
      <c r="H90" s="38" t="str">
        <f>VLOOKUP($B90,DATA!$C:$AF,H$1+4,FALSE)</f>
        <v>P</v>
      </c>
      <c r="I90" s="38" t="str">
        <f>VLOOKUP($B90,DATA!$C:$AF,I$1+4,FALSE)</f>
        <v>P</v>
      </c>
      <c r="J90" s="38" t="str">
        <f>VLOOKUP($B90,DATA!$C:$AF,J$1+4,FALSE)</f>
        <v>P</v>
      </c>
      <c r="K90" s="38" t="str">
        <f>VLOOKUP($B90,DATA!$C:$AF,K$1+4,FALSE)</f>
        <v>P</v>
      </c>
      <c r="L90" s="38" t="str">
        <f>VLOOKUP($B90,DATA!$C:$AF,L$1+4,FALSE)</f>
        <v>P</v>
      </c>
      <c r="M90" s="38" t="str">
        <f>VLOOKUP($B90,DATA!$C:$AF,M$1+4,FALSE)</f>
        <v>P</v>
      </c>
      <c r="N90" s="38" t="str">
        <f>VLOOKUP($B90,DATA!$C:$AF,N$1+4,FALSE)</f>
        <v>P</v>
      </c>
      <c r="O90" s="38" t="str">
        <f>VLOOKUP($B90,DATA!$C:$AF,O$1+4,FALSE)</f>
        <v>P</v>
      </c>
      <c r="P90" s="38" t="str">
        <f>VLOOKUP($B90,DATA!$C:$AF,P$1+4,FALSE)</f>
        <v>P</v>
      </c>
      <c r="Q90" s="16">
        <f t="shared" si="2"/>
        <v>12</v>
      </c>
      <c r="R90" s="17">
        <v>7</v>
      </c>
      <c r="S90" s="17">
        <f>IF(R90=0,0,IF(R90&lt;=8,15,10))</f>
        <v>15</v>
      </c>
    </row>
    <row r="91" spans="1:19" ht="17.5" thickBot="1">
      <c r="A91" s="11" t="s">
        <v>604</v>
      </c>
      <c r="B91" s="22" t="s">
        <v>140</v>
      </c>
      <c r="C91" s="13" t="s">
        <v>141</v>
      </c>
      <c r="D91" s="14" t="s">
        <v>579</v>
      </c>
      <c r="E91" s="38" t="str">
        <f>VLOOKUP($B91,DATA!$C:$AF,E$1+4,FALSE)</f>
        <v>P</v>
      </c>
      <c r="F91" s="38" t="str">
        <f>VLOOKUP($B91,DATA!$C:$AF,F$1+4,FALSE)</f>
        <v>P</v>
      </c>
      <c r="G91" s="38" t="str">
        <f>VLOOKUP($B91,DATA!$C:$AF,G$1+4,FALSE)</f>
        <v>P</v>
      </c>
      <c r="H91" s="38" t="str">
        <f>VLOOKUP($B91,DATA!$C:$AF,H$1+4,FALSE)</f>
        <v>P</v>
      </c>
      <c r="I91" s="38" t="str">
        <f>VLOOKUP($B91,DATA!$C:$AF,I$1+4,FALSE)</f>
        <v>P</v>
      </c>
      <c r="J91" s="38" t="str">
        <f>VLOOKUP($B91,DATA!$C:$AF,J$1+4,FALSE)</f>
        <v>P</v>
      </c>
      <c r="K91" s="38" t="str">
        <f>VLOOKUP($B91,DATA!$C:$AF,K$1+4,FALSE)</f>
        <v>P</v>
      </c>
      <c r="L91" s="38" t="str">
        <f>VLOOKUP($B91,DATA!$C:$AF,L$1+4,FALSE)</f>
        <v>P</v>
      </c>
      <c r="M91" s="38" t="str">
        <f>VLOOKUP($B91,DATA!$C:$AF,M$1+4,FALSE)</f>
        <v>P</v>
      </c>
      <c r="N91" s="38" t="str">
        <f>VLOOKUP($B91,DATA!$C:$AF,N$1+4,FALSE)</f>
        <v>P</v>
      </c>
      <c r="O91" s="38" t="str">
        <f>VLOOKUP($B91,DATA!$C:$AF,O$1+4,FALSE)</f>
        <v>P</v>
      </c>
      <c r="P91" s="38" t="str">
        <f>VLOOKUP($B91,DATA!$C:$AF,P$1+4,FALSE)</f>
        <v>P</v>
      </c>
      <c r="Q91" s="16">
        <f t="shared" si="2"/>
        <v>12</v>
      </c>
      <c r="R91" s="17">
        <v>6</v>
      </c>
      <c r="S91" s="17">
        <f t="shared" ref="S91:S110" si="5">IF(R91=0,0,IF(R91&lt;=8,15,10))</f>
        <v>15</v>
      </c>
    </row>
    <row r="92" spans="1:19" ht="17.5" thickBot="1">
      <c r="A92" s="11" t="s">
        <v>604</v>
      </c>
      <c r="B92" s="23" t="s">
        <v>142</v>
      </c>
      <c r="C92" s="28" t="s">
        <v>143</v>
      </c>
      <c r="D92" s="14" t="s">
        <v>584</v>
      </c>
      <c r="E92" s="38" t="str">
        <f>VLOOKUP($B92,DATA!$C:$AF,E$1+4,FALSE)</f>
        <v>P</v>
      </c>
      <c r="F92" s="38" t="str">
        <f>VLOOKUP($B92,DATA!$C:$AF,F$1+4,FALSE)</f>
        <v>P</v>
      </c>
      <c r="G92" s="38" t="str">
        <f>VLOOKUP($B92,DATA!$C:$AF,G$1+4,FALSE)</f>
        <v>P</v>
      </c>
      <c r="H92" s="38" t="str">
        <f>VLOOKUP($B92,DATA!$C:$AF,H$1+4,FALSE)</f>
        <v>P</v>
      </c>
      <c r="I92" s="38" t="str">
        <f>VLOOKUP($B92,DATA!$C:$AF,I$1+4,FALSE)</f>
        <v>P</v>
      </c>
      <c r="J92" s="38" t="str">
        <f>VLOOKUP($B92,DATA!$C:$AF,J$1+4,FALSE)</f>
        <v>P</v>
      </c>
      <c r="K92" s="38" t="str">
        <f>VLOOKUP($B92,DATA!$C:$AF,K$1+4,FALSE)</f>
        <v>P</v>
      </c>
      <c r="L92" s="38">
        <f>VLOOKUP($B92,DATA!$C:$AF,L$1+4,FALSE)</f>
        <v>0</v>
      </c>
      <c r="M92" s="38">
        <f>VLOOKUP($B92,DATA!$C:$AF,M$1+4,FALSE)</f>
        <v>0</v>
      </c>
      <c r="N92" s="38">
        <f>VLOOKUP($B92,DATA!$C:$AF,N$1+4,FALSE)</f>
        <v>0</v>
      </c>
      <c r="O92" s="38">
        <f>VLOOKUP($B92,DATA!$C:$AF,O$1+4,FALSE)</f>
        <v>0</v>
      </c>
      <c r="P92" s="38">
        <f>VLOOKUP($B92,DATA!$C:$AF,P$1+4,FALSE)</f>
        <v>0</v>
      </c>
      <c r="Q92" s="16">
        <f t="shared" si="2"/>
        <v>7</v>
      </c>
      <c r="R92" s="17">
        <v>7</v>
      </c>
      <c r="S92" s="17">
        <f t="shared" si="5"/>
        <v>15</v>
      </c>
    </row>
    <row r="93" spans="1:19" ht="17.5" thickBot="1">
      <c r="A93" s="11" t="s">
        <v>604</v>
      </c>
      <c r="B93" s="23" t="s">
        <v>168</v>
      </c>
      <c r="C93" s="21" t="s">
        <v>169</v>
      </c>
      <c r="D93" s="14" t="s">
        <v>584</v>
      </c>
      <c r="E93" s="38" t="str">
        <f>VLOOKUP($B93,DATA!$C:$AF,E$1+4,FALSE)</f>
        <v>P</v>
      </c>
      <c r="F93" s="38" t="str">
        <f>VLOOKUP($B93,DATA!$C:$AF,F$1+4,FALSE)</f>
        <v>P</v>
      </c>
      <c r="G93" s="38" t="str">
        <f>VLOOKUP($B93,DATA!$C:$AF,G$1+4,FALSE)</f>
        <v>P</v>
      </c>
      <c r="H93" s="38" t="str">
        <f>VLOOKUP($B93,DATA!$C:$AF,H$1+4,FALSE)</f>
        <v>P</v>
      </c>
      <c r="I93" s="38" t="str">
        <f>VLOOKUP($B93,DATA!$C:$AF,I$1+4,FALSE)</f>
        <v>P</v>
      </c>
      <c r="J93" s="38" t="str">
        <f>VLOOKUP($B93,DATA!$C:$AF,J$1+4,FALSE)</f>
        <v>P</v>
      </c>
      <c r="K93" s="38" t="str">
        <f>VLOOKUP($B93,DATA!$C:$AF,K$1+4,FALSE)</f>
        <v>P</v>
      </c>
      <c r="L93" s="38">
        <f>VLOOKUP($B93,DATA!$C:$AF,L$1+4,FALSE)</f>
        <v>0</v>
      </c>
      <c r="M93" s="38">
        <f>VLOOKUP($B93,DATA!$C:$AF,M$1+4,FALSE)</f>
        <v>0</v>
      </c>
      <c r="N93" s="38">
        <f>VLOOKUP($B93,DATA!$C:$AF,N$1+4,FALSE)</f>
        <v>0</v>
      </c>
      <c r="O93" s="38">
        <f>VLOOKUP($B93,DATA!$C:$AF,O$1+4,FALSE)</f>
        <v>0</v>
      </c>
      <c r="P93" s="38">
        <f>VLOOKUP($B93,DATA!$C:$AF,P$1+4,FALSE)</f>
        <v>0</v>
      </c>
      <c r="Q93" s="16">
        <f t="shared" si="2"/>
        <v>7</v>
      </c>
      <c r="R93" s="17">
        <v>7</v>
      </c>
      <c r="S93" s="17">
        <f t="shared" si="5"/>
        <v>15</v>
      </c>
    </row>
    <row r="94" spans="1:19" ht="17.5" thickBot="1">
      <c r="A94" s="11" t="s">
        <v>604</v>
      </c>
      <c r="B94" s="23" t="s">
        <v>144</v>
      </c>
      <c r="C94" s="28" t="s">
        <v>145</v>
      </c>
      <c r="D94" s="14" t="s">
        <v>579</v>
      </c>
      <c r="E94" s="38" t="str">
        <f>VLOOKUP($B94,DATA!$C:$AF,E$1+4,FALSE)</f>
        <v>P</v>
      </c>
      <c r="F94" s="38" t="str">
        <f>VLOOKUP($B94,DATA!$C:$AF,F$1+4,FALSE)</f>
        <v>P</v>
      </c>
      <c r="G94" s="38" t="str">
        <f>VLOOKUP($B94,DATA!$C:$AF,G$1+4,FALSE)</f>
        <v>P</v>
      </c>
      <c r="H94" s="38" t="str">
        <f>VLOOKUP($B94,DATA!$C:$AF,H$1+4,FALSE)</f>
        <v>P</v>
      </c>
      <c r="I94" s="38" t="str">
        <f>VLOOKUP($B94,DATA!$C:$AF,I$1+4,FALSE)</f>
        <v>P</v>
      </c>
      <c r="J94" s="38" t="str">
        <f>VLOOKUP($B94,DATA!$C:$AF,J$1+4,FALSE)</f>
        <v>P</v>
      </c>
      <c r="K94" s="38" t="str">
        <f>VLOOKUP($B94,DATA!$C:$AF,K$1+4,FALSE)</f>
        <v>P</v>
      </c>
      <c r="L94" s="38" t="str">
        <f>VLOOKUP($B94,DATA!$C:$AF,L$1+4,FALSE)</f>
        <v>P</v>
      </c>
      <c r="M94" s="38" t="str">
        <f>VLOOKUP($B94,DATA!$C:$AF,M$1+4,FALSE)</f>
        <v>P</v>
      </c>
      <c r="N94" s="38" t="str">
        <f>VLOOKUP($B94,DATA!$C:$AF,N$1+4,FALSE)</f>
        <v>P</v>
      </c>
      <c r="O94" s="38" t="str">
        <f>VLOOKUP($B94,DATA!$C:$AF,O$1+4,FALSE)</f>
        <v>P</v>
      </c>
      <c r="P94" s="38" t="str">
        <f>VLOOKUP($B94,DATA!$C:$AF,P$1+4,FALSE)</f>
        <v>P</v>
      </c>
      <c r="Q94" s="16">
        <f t="shared" si="2"/>
        <v>12</v>
      </c>
      <c r="R94" s="17">
        <v>7</v>
      </c>
      <c r="S94" s="17">
        <f t="shared" si="5"/>
        <v>15</v>
      </c>
    </row>
    <row r="95" spans="1:19" ht="17.5" thickBot="1">
      <c r="A95" s="11" t="s">
        <v>604</v>
      </c>
      <c r="B95" s="22" t="s">
        <v>146</v>
      </c>
      <c r="C95" s="22" t="s">
        <v>147</v>
      </c>
      <c r="D95" s="14" t="s">
        <v>579</v>
      </c>
      <c r="E95" s="38" t="str">
        <f>VLOOKUP($B95,DATA!$C:$AF,E$1+4,FALSE)</f>
        <v>P</v>
      </c>
      <c r="F95" s="38" t="str">
        <f>VLOOKUP($B95,DATA!$C:$AF,F$1+4,FALSE)</f>
        <v>P</v>
      </c>
      <c r="G95" s="38" t="str">
        <f>VLOOKUP($B95,DATA!$C:$AF,G$1+4,FALSE)</f>
        <v>P</v>
      </c>
      <c r="H95" s="38" t="str">
        <f>VLOOKUP($B95,DATA!$C:$AF,H$1+4,FALSE)</f>
        <v>P</v>
      </c>
      <c r="I95" s="38" t="str">
        <f>VLOOKUP($B95,DATA!$C:$AF,I$1+4,FALSE)</f>
        <v>P</v>
      </c>
      <c r="J95" s="38" t="str">
        <f>VLOOKUP($B95,DATA!$C:$AF,J$1+4,FALSE)</f>
        <v>P</v>
      </c>
      <c r="K95" s="38" t="str">
        <f>VLOOKUP($B95,DATA!$C:$AF,K$1+4,FALSE)</f>
        <v>P</v>
      </c>
      <c r="L95" s="38" t="str">
        <f>VLOOKUP($B95,DATA!$C:$AF,L$1+4,FALSE)</f>
        <v>P</v>
      </c>
      <c r="M95" s="38" t="str">
        <f>VLOOKUP($B95,DATA!$C:$AF,M$1+4,FALSE)</f>
        <v>P</v>
      </c>
      <c r="N95" s="38" t="str">
        <f>VLOOKUP($B95,DATA!$C:$AF,N$1+4,FALSE)</f>
        <v>P</v>
      </c>
      <c r="O95" s="38" t="str">
        <f>VLOOKUP($B95,DATA!$C:$AF,O$1+4,FALSE)</f>
        <v>P</v>
      </c>
      <c r="P95" s="38" t="str">
        <f>VLOOKUP($B95,DATA!$C:$AF,P$1+4,FALSE)</f>
        <v>P</v>
      </c>
      <c r="Q95" s="16">
        <f t="shared" si="2"/>
        <v>12</v>
      </c>
      <c r="R95" s="17">
        <v>7</v>
      </c>
      <c r="S95" s="17">
        <f t="shared" si="5"/>
        <v>15</v>
      </c>
    </row>
    <row r="96" spans="1:19" ht="17.5" thickBot="1">
      <c r="A96" s="11" t="s">
        <v>604</v>
      </c>
      <c r="B96" s="22" t="s">
        <v>148</v>
      </c>
      <c r="C96" s="13" t="s">
        <v>149</v>
      </c>
      <c r="D96" s="14" t="s">
        <v>579</v>
      </c>
      <c r="E96" s="38" t="str">
        <f>VLOOKUP($B96,DATA!$C:$AF,E$1+4,FALSE)</f>
        <v>P</v>
      </c>
      <c r="F96" s="38" t="str">
        <f>VLOOKUP($B96,DATA!$C:$AF,F$1+4,FALSE)</f>
        <v>P</v>
      </c>
      <c r="G96" s="38" t="str">
        <f>VLOOKUP($B96,DATA!$C:$AF,G$1+4,FALSE)</f>
        <v>P</v>
      </c>
      <c r="H96" s="38" t="str">
        <f>VLOOKUP($B96,DATA!$C:$AF,H$1+4,FALSE)</f>
        <v>P</v>
      </c>
      <c r="I96" s="38" t="str">
        <f>VLOOKUP($B96,DATA!$C:$AF,I$1+4,FALSE)</f>
        <v>P</v>
      </c>
      <c r="J96" s="38" t="str">
        <f>VLOOKUP($B96,DATA!$C:$AF,J$1+4,FALSE)</f>
        <v>P</v>
      </c>
      <c r="K96" s="38" t="str">
        <f>VLOOKUP($B96,DATA!$C:$AF,K$1+4,FALSE)</f>
        <v>P</v>
      </c>
      <c r="L96" s="38" t="str">
        <f>VLOOKUP($B96,DATA!$C:$AF,L$1+4,FALSE)</f>
        <v>P</v>
      </c>
      <c r="M96" s="38" t="str">
        <f>VLOOKUP($B96,DATA!$C:$AF,M$1+4,FALSE)</f>
        <v>P</v>
      </c>
      <c r="N96" s="38" t="str">
        <f>VLOOKUP($B96,DATA!$C:$AF,N$1+4,FALSE)</f>
        <v>P</v>
      </c>
      <c r="O96" s="38" t="str">
        <f>VLOOKUP($B96,DATA!$C:$AF,O$1+4,FALSE)</f>
        <v>P</v>
      </c>
      <c r="P96" s="38" t="str">
        <f>VLOOKUP($B96,DATA!$C:$AF,P$1+4,FALSE)</f>
        <v>P</v>
      </c>
      <c r="Q96" s="16">
        <f t="shared" si="2"/>
        <v>12</v>
      </c>
      <c r="R96" s="17">
        <v>6</v>
      </c>
      <c r="S96" s="17">
        <f t="shared" si="5"/>
        <v>15</v>
      </c>
    </row>
    <row r="97" spans="1:19" ht="17.5" thickBot="1">
      <c r="A97" s="11" t="s">
        <v>604</v>
      </c>
      <c r="B97" s="22" t="s">
        <v>539</v>
      </c>
      <c r="C97" s="13" t="s">
        <v>540</v>
      </c>
      <c r="D97" s="14" t="s">
        <v>584</v>
      </c>
      <c r="E97" s="38" t="str">
        <f>VLOOKUP($B97,DATA!$C:$AF,E$1+4,FALSE)</f>
        <v>P</v>
      </c>
      <c r="F97" s="38" t="str">
        <f>VLOOKUP($B97,DATA!$C:$AF,F$1+4,FALSE)</f>
        <v>P</v>
      </c>
      <c r="G97" s="38" t="str">
        <f>VLOOKUP($B97,DATA!$C:$AF,G$1+4,FALSE)</f>
        <v>P</v>
      </c>
      <c r="H97" s="38" t="str">
        <f>VLOOKUP($B97,DATA!$C:$AF,H$1+4,FALSE)</f>
        <v>P</v>
      </c>
      <c r="I97" s="38" t="str">
        <f>VLOOKUP($B97,DATA!$C:$AF,I$1+4,FALSE)</f>
        <v>P</v>
      </c>
      <c r="J97" s="38" t="str">
        <f>VLOOKUP($B97,DATA!$C:$AF,J$1+4,FALSE)</f>
        <v>P</v>
      </c>
      <c r="K97" s="38" t="str">
        <f>VLOOKUP($B97,DATA!$C:$AF,K$1+4,FALSE)</f>
        <v>P</v>
      </c>
      <c r="L97" s="38">
        <f>VLOOKUP($B97,DATA!$C:$AF,L$1+4,FALSE)</f>
        <v>0</v>
      </c>
      <c r="M97" s="38">
        <f>VLOOKUP($B97,DATA!$C:$AF,M$1+4,FALSE)</f>
        <v>0</v>
      </c>
      <c r="N97" s="38">
        <f>VLOOKUP($B97,DATA!$C:$AF,N$1+4,FALSE)</f>
        <v>0</v>
      </c>
      <c r="O97" s="38">
        <f>VLOOKUP($B97,DATA!$C:$AF,O$1+4,FALSE)</f>
        <v>0</v>
      </c>
      <c r="P97" s="38">
        <f>VLOOKUP($B97,DATA!$C:$AF,P$1+4,FALSE)</f>
        <v>0</v>
      </c>
      <c r="Q97" s="16">
        <f t="shared" si="2"/>
        <v>7</v>
      </c>
      <c r="R97" s="17">
        <v>7</v>
      </c>
      <c r="S97" s="17">
        <f t="shared" si="5"/>
        <v>15</v>
      </c>
    </row>
    <row r="98" spans="1:19" ht="17.5" thickBot="1">
      <c r="A98" s="11" t="s">
        <v>604</v>
      </c>
      <c r="B98" s="22" t="s">
        <v>172</v>
      </c>
      <c r="C98" s="22" t="s">
        <v>585</v>
      </c>
      <c r="D98" s="14" t="s">
        <v>580</v>
      </c>
      <c r="E98" s="38" t="str">
        <f>VLOOKUP($B98,DATA!$C:$AF,E$1+4,FALSE)</f>
        <v>P</v>
      </c>
      <c r="F98" s="38" t="str">
        <f>VLOOKUP($B98,DATA!$C:$AF,F$1+4,FALSE)</f>
        <v>P</v>
      </c>
      <c r="G98" s="38" t="str">
        <f>VLOOKUP($B98,DATA!$C:$AF,G$1+4,FALSE)</f>
        <v>P</v>
      </c>
      <c r="H98" s="38" t="str">
        <f>VLOOKUP($B98,DATA!$C:$AF,H$1+4,FALSE)</f>
        <v>P</v>
      </c>
      <c r="I98" s="38" t="str">
        <f>VLOOKUP($B98,DATA!$C:$AF,I$1+4,FALSE)</f>
        <v>P</v>
      </c>
      <c r="J98" s="38" t="str">
        <f>VLOOKUP($B98,DATA!$C:$AF,J$1+4,FALSE)</f>
        <v>P</v>
      </c>
      <c r="K98" s="38" t="str">
        <f>VLOOKUP($B98,DATA!$C:$AF,K$1+4,FALSE)</f>
        <v>P</v>
      </c>
      <c r="L98" s="38" t="str">
        <f>VLOOKUP($B98,DATA!$C:$AF,L$1+4,FALSE)</f>
        <v>P</v>
      </c>
      <c r="M98" s="38" t="str">
        <f>VLOOKUP($B98,DATA!$C:$AF,M$1+4,FALSE)</f>
        <v>P</v>
      </c>
      <c r="N98" s="38" t="str">
        <f>VLOOKUP($B98,DATA!$C:$AF,N$1+4,FALSE)</f>
        <v>P</v>
      </c>
      <c r="O98" s="38" t="str">
        <f>VLOOKUP($B98,DATA!$C:$AF,O$1+4,FALSE)</f>
        <v>P</v>
      </c>
      <c r="P98" s="38" t="str">
        <f>VLOOKUP($B98,DATA!$C:$AF,P$1+4,FALSE)</f>
        <v>P</v>
      </c>
      <c r="Q98" s="16">
        <f t="shared" si="2"/>
        <v>12</v>
      </c>
      <c r="R98" s="17">
        <v>6</v>
      </c>
      <c r="S98" s="17">
        <f t="shared" si="5"/>
        <v>15</v>
      </c>
    </row>
    <row r="99" spans="1:19" ht="17.5" thickBot="1">
      <c r="A99" s="11" t="s">
        <v>604</v>
      </c>
      <c r="B99" s="22" t="s">
        <v>173</v>
      </c>
      <c r="C99" s="22" t="s">
        <v>586</v>
      </c>
      <c r="D99" s="14" t="s">
        <v>580</v>
      </c>
      <c r="E99" s="38" t="str">
        <f>VLOOKUP($B99,DATA!$C:$AF,E$1+4,FALSE)</f>
        <v>P</v>
      </c>
      <c r="F99" s="38" t="str">
        <f>VLOOKUP($B99,DATA!$C:$AF,F$1+4,FALSE)</f>
        <v>P</v>
      </c>
      <c r="G99" s="38" t="str">
        <f>VLOOKUP($B99,DATA!$C:$AF,G$1+4,FALSE)</f>
        <v>P</v>
      </c>
      <c r="H99" s="38" t="str">
        <f>VLOOKUP($B99,DATA!$C:$AF,H$1+4,FALSE)</f>
        <v>P</v>
      </c>
      <c r="I99" s="38" t="str">
        <f>VLOOKUP($B99,DATA!$C:$AF,I$1+4,FALSE)</f>
        <v>P</v>
      </c>
      <c r="J99" s="38" t="str">
        <f>VLOOKUP($B99,DATA!$C:$AF,J$1+4,FALSE)</f>
        <v>P</v>
      </c>
      <c r="K99" s="38" t="str">
        <f>VLOOKUP($B99,DATA!$C:$AF,K$1+4,FALSE)</f>
        <v>P</v>
      </c>
      <c r="L99" s="38" t="str">
        <f>VLOOKUP($B99,DATA!$C:$AF,L$1+4,FALSE)</f>
        <v>P</v>
      </c>
      <c r="M99" s="38" t="str">
        <f>VLOOKUP($B99,DATA!$C:$AF,M$1+4,FALSE)</f>
        <v>P</v>
      </c>
      <c r="N99" s="38" t="str">
        <f>VLOOKUP($B99,DATA!$C:$AF,N$1+4,FALSE)</f>
        <v>P</v>
      </c>
      <c r="O99" s="38" t="str">
        <f>VLOOKUP($B99,DATA!$C:$AF,O$1+4,FALSE)</f>
        <v>P</v>
      </c>
      <c r="P99" s="38" t="str">
        <f>VLOOKUP($B99,DATA!$C:$AF,P$1+4,FALSE)</f>
        <v>P</v>
      </c>
      <c r="Q99" s="16">
        <f t="shared" si="2"/>
        <v>12</v>
      </c>
      <c r="R99" s="17">
        <v>7</v>
      </c>
      <c r="S99" s="17">
        <f t="shared" si="5"/>
        <v>15</v>
      </c>
    </row>
    <row r="100" spans="1:19" ht="17.5" thickBot="1">
      <c r="A100" s="11" t="s">
        <v>604</v>
      </c>
      <c r="B100" s="22" t="s">
        <v>174</v>
      </c>
      <c r="C100" s="22" t="s">
        <v>587</v>
      </c>
      <c r="D100" s="14" t="s">
        <v>580</v>
      </c>
      <c r="E100" s="38" t="str">
        <f>VLOOKUP($B100,DATA!$C:$AF,E$1+4,FALSE)</f>
        <v>P</v>
      </c>
      <c r="F100" s="38" t="str">
        <f>VLOOKUP($B100,DATA!$C:$AF,F$1+4,FALSE)</f>
        <v>P</v>
      </c>
      <c r="G100" s="38" t="str">
        <f>VLOOKUP($B100,DATA!$C:$AF,G$1+4,FALSE)</f>
        <v>P</v>
      </c>
      <c r="H100" s="38" t="str">
        <f>VLOOKUP($B100,DATA!$C:$AF,H$1+4,FALSE)</f>
        <v>P</v>
      </c>
      <c r="I100" s="38" t="str">
        <f>VLOOKUP($B100,DATA!$C:$AF,I$1+4,FALSE)</f>
        <v>P</v>
      </c>
      <c r="J100" s="38" t="str">
        <f>VLOOKUP($B100,DATA!$C:$AF,J$1+4,FALSE)</f>
        <v>P</v>
      </c>
      <c r="K100" s="38" t="str">
        <f>VLOOKUP($B100,DATA!$C:$AF,K$1+4,FALSE)</f>
        <v>P</v>
      </c>
      <c r="L100" s="38" t="str">
        <f>VLOOKUP($B100,DATA!$C:$AF,L$1+4,FALSE)</f>
        <v>P</v>
      </c>
      <c r="M100" s="38" t="str">
        <f>VLOOKUP($B100,DATA!$C:$AF,M$1+4,FALSE)</f>
        <v>P</v>
      </c>
      <c r="N100" s="38" t="str">
        <f>VLOOKUP($B100,DATA!$C:$AF,N$1+4,FALSE)</f>
        <v>P</v>
      </c>
      <c r="O100" s="38" t="str">
        <f>VLOOKUP($B100,DATA!$C:$AF,O$1+4,FALSE)</f>
        <v>P</v>
      </c>
      <c r="P100" s="38" t="str">
        <f>VLOOKUP($B100,DATA!$C:$AF,P$1+4,FALSE)</f>
        <v>P</v>
      </c>
      <c r="Q100" s="16">
        <f t="shared" si="2"/>
        <v>12</v>
      </c>
      <c r="R100" s="17">
        <v>7</v>
      </c>
      <c r="S100" s="17">
        <f t="shared" si="5"/>
        <v>15</v>
      </c>
    </row>
    <row r="101" spans="1:19" ht="17.5" thickBot="1">
      <c r="A101" s="11" t="s">
        <v>604</v>
      </c>
      <c r="B101" s="23" t="s">
        <v>175</v>
      </c>
      <c r="C101" s="21" t="s">
        <v>588</v>
      </c>
      <c r="D101" s="14" t="s">
        <v>580</v>
      </c>
      <c r="E101" s="38" t="str">
        <f>VLOOKUP($B101,DATA!$C:$AF,E$1+4,FALSE)</f>
        <v>P</v>
      </c>
      <c r="F101" s="38" t="str">
        <f>VLOOKUP($B101,DATA!$C:$AF,F$1+4,FALSE)</f>
        <v>P</v>
      </c>
      <c r="G101" s="38" t="str">
        <f>VLOOKUP($B101,DATA!$C:$AF,G$1+4,FALSE)</f>
        <v>P</v>
      </c>
      <c r="H101" s="38" t="str">
        <f>VLOOKUP($B101,DATA!$C:$AF,H$1+4,FALSE)</f>
        <v>P</v>
      </c>
      <c r="I101" s="38" t="str">
        <f>VLOOKUP($B101,DATA!$C:$AF,I$1+4,FALSE)</f>
        <v>P</v>
      </c>
      <c r="J101" s="38" t="str">
        <f>VLOOKUP($B101,DATA!$C:$AF,J$1+4,FALSE)</f>
        <v>P</v>
      </c>
      <c r="K101" s="38" t="str">
        <f>VLOOKUP($B101,DATA!$C:$AF,K$1+4,FALSE)</f>
        <v>P</v>
      </c>
      <c r="L101" s="38" t="str">
        <f>VLOOKUP($B101,DATA!$C:$AF,L$1+4,FALSE)</f>
        <v>P</v>
      </c>
      <c r="M101" s="38" t="str">
        <f>VLOOKUP($B101,DATA!$C:$AF,M$1+4,FALSE)</f>
        <v>P</v>
      </c>
      <c r="N101" s="38" t="str">
        <f>VLOOKUP($B101,DATA!$C:$AF,N$1+4,FALSE)</f>
        <v>P</v>
      </c>
      <c r="O101" s="38" t="str">
        <f>VLOOKUP($B101,DATA!$C:$AF,O$1+4,FALSE)</f>
        <v>P</v>
      </c>
      <c r="P101" s="38" t="str">
        <f>VLOOKUP($B101,DATA!$C:$AF,P$1+4,FALSE)</f>
        <v>P</v>
      </c>
      <c r="Q101" s="16">
        <f t="shared" si="2"/>
        <v>12</v>
      </c>
      <c r="R101" s="17">
        <v>7</v>
      </c>
      <c r="S101" s="17">
        <f t="shared" si="5"/>
        <v>15</v>
      </c>
    </row>
    <row r="102" spans="1:19" ht="17.5" thickBot="1">
      <c r="A102" s="11" t="s">
        <v>604</v>
      </c>
      <c r="B102" s="13" t="s">
        <v>176</v>
      </c>
      <c r="C102" s="13" t="s">
        <v>177</v>
      </c>
      <c r="D102" s="14" t="s">
        <v>579</v>
      </c>
      <c r="E102" s="38" t="str">
        <f>VLOOKUP($B102,DATA!$C:$AF,E$1+4,FALSE)</f>
        <v>P</v>
      </c>
      <c r="F102" s="38" t="str">
        <f>VLOOKUP($B102,DATA!$C:$AF,F$1+4,FALSE)</f>
        <v>P</v>
      </c>
      <c r="G102" s="38" t="str">
        <f>VLOOKUP($B102,DATA!$C:$AF,G$1+4,FALSE)</f>
        <v>P</v>
      </c>
      <c r="H102" s="38" t="str">
        <f>VLOOKUP($B102,DATA!$C:$AF,H$1+4,FALSE)</f>
        <v>P</v>
      </c>
      <c r="I102" s="38" t="str">
        <f>VLOOKUP($B102,DATA!$C:$AF,I$1+4,FALSE)</f>
        <v>P</v>
      </c>
      <c r="J102" s="38" t="str">
        <f>VLOOKUP($B102,DATA!$C:$AF,J$1+4,FALSE)</f>
        <v>P</v>
      </c>
      <c r="K102" s="38" t="str">
        <f>VLOOKUP($B102,DATA!$C:$AF,K$1+4,FALSE)</f>
        <v>P</v>
      </c>
      <c r="L102" s="38" t="str">
        <f>VLOOKUP($B102,DATA!$C:$AF,L$1+4,FALSE)</f>
        <v>P</v>
      </c>
      <c r="M102" s="38" t="str">
        <f>VLOOKUP($B102,DATA!$C:$AF,M$1+4,FALSE)</f>
        <v>P</v>
      </c>
      <c r="N102" s="38" t="str">
        <f>VLOOKUP($B102,DATA!$C:$AF,N$1+4,FALSE)</f>
        <v>P</v>
      </c>
      <c r="O102" s="38" t="str">
        <f>VLOOKUP($B102,DATA!$C:$AF,O$1+4,FALSE)</f>
        <v>P</v>
      </c>
      <c r="P102" s="38" t="str">
        <f>VLOOKUP($B102,DATA!$C:$AF,P$1+4,FALSE)</f>
        <v>P</v>
      </c>
      <c r="Q102" s="16">
        <f t="shared" si="2"/>
        <v>12</v>
      </c>
      <c r="R102" s="17">
        <v>6</v>
      </c>
      <c r="S102" s="17">
        <f t="shared" si="5"/>
        <v>15</v>
      </c>
    </row>
    <row r="103" spans="1:19" ht="17.5" thickBot="1">
      <c r="A103" s="11" t="s">
        <v>604</v>
      </c>
      <c r="B103" s="21" t="s">
        <v>178</v>
      </c>
      <c r="C103" s="13" t="s">
        <v>179</v>
      </c>
      <c r="D103" s="14" t="s">
        <v>579</v>
      </c>
      <c r="E103" s="38" t="str">
        <f>VLOOKUP($B103,DATA!$C:$AF,E$1+4,FALSE)</f>
        <v>P</v>
      </c>
      <c r="F103" s="38" t="str">
        <f>VLOOKUP($B103,DATA!$C:$AF,F$1+4,FALSE)</f>
        <v>P</v>
      </c>
      <c r="G103" s="38" t="str">
        <f>VLOOKUP($B103,DATA!$C:$AF,G$1+4,FALSE)</f>
        <v>P</v>
      </c>
      <c r="H103" s="38" t="str">
        <f>VLOOKUP($B103,DATA!$C:$AF,H$1+4,FALSE)</f>
        <v>P</v>
      </c>
      <c r="I103" s="38" t="str">
        <f>VLOOKUP($B103,DATA!$C:$AF,I$1+4,FALSE)</f>
        <v>P</v>
      </c>
      <c r="J103" s="38" t="str">
        <f>VLOOKUP($B103,DATA!$C:$AF,J$1+4,FALSE)</f>
        <v>P</v>
      </c>
      <c r="K103" s="38" t="str">
        <f>VLOOKUP($B103,DATA!$C:$AF,K$1+4,FALSE)</f>
        <v>P</v>
      </c>
      <c r="L103" s="38" t="str">
        <f>VLOOKUP($B103,DATA!$C:$AF,L$1+4,FALSE)</f>
        <v>P</v>
      </c>
      <c r="M103" s="38" t="str">
        <f>VLOOKUP($B103,DATA!$C:$AF,M$1+4,FALSE)</f>
        <v>P</v>
      </c>
      <c r="N103" s="38" t="str">
        <f>VLOOKUP($B103,DATA!$C:$AF,N$1+4,FALSE)</f>
        <v>P</v>
      </c>
      <c r="O103" s="38" t="str">
        <f>VLOOKUP($B103,DATA!$C:$AF,O$1+4,FALSE)</f>
        <v>P</v>
      </c>
      <c r="P103" s="38" t="str">
        <f>VLOOKUP($B103,DATA!$C:$AF,P$1+4,FALSE)</f>
        <v>P</v>
      </c>
      <c r="Q103" s="16">
        <f t="shared" si="2"/>
        <v>12</v>
      </c>
      <c r="R103" s="17">
        <v>6</v>
      </c>
      <c r="S103" s="17">
        <f t="shared" si="5"/>
        <v>15</v>
      </c>
    </row>
    <row r="104" spans="1:19" ht="17.5" thickBot="1">
      <c r="A104" s="11" t="s">
        <v>604</v>
      </c>
      <c r="B104" s="19" t="s">
        <v>180</v>
      </c>
      <c r="C104" s="13" t="s">
        <v>181</v>
      </c>
      <c r="D104" s="14" t="s">
        <v>579</v>
      </c>
      <c r="E104" s="38" t="str">
        <f>VLOOKUP($B104,DATA!$C:$AF,E$1+4,FALSE)</f>
        <v>P</v>
      </c>
      <c r="F104" s="38" t="str">
        <f>VLOOKUP($B104,DATA!$C:$AF,F$1+4,FALSE)</f>
        <v>P</v>
      </c>
      <c r="G104" s="38" t="str">
        <f>VLOOKUP($B104,DATA!$C:$AF,G$1+4,FALSE)</f>
        <v>P</v>
      </c>
      <c r="H104" s="38" t="str">
        <f>VLOOKUP($B104,DATA!$C:$AF,H$1+4,FALSE)</f>
        <v>P</v>
      </c>
      <c r="I104" s="38" t="str">
        <f>VLOOKUP($B104,DATA!$C:$AF,I$1+4,FALSE)</f>
        <v>P</v>
      </c>
      <c r="J104" s="38" t="str">
        <f>VLOOKUP($B104,DATA!$C:$AF,J$1+4,FALSE)</f>
        <v>P</v>
      </c>
      <c r="K104" s="38" t="str">
        <f>VLOOKUP($B104,DATA!$C:$AF,K$1+4,FALSE)</f>
        <v>P</v>
      </c>
      <c r="L104" s="38" t="str">
        <f>VLOOKUP($B104,DATA!$C:$AF,L$1+4,FALSE)</f>
        <v>P</v>
      </c>
      <c r="M104" s="38" t="str">
        <f>VLOOKUP($B104,DATA!$C:$AF,M$1+4,FALSE)</f>
        <v>P</v>
      </c>
      <c r="N104" s="38" t="str">
        <f>VLOOKUP($B104,DATA!$C:$AF,N$1+4,FALSE)</f>
        <v>P</v>
      </c>
      <c r="O104" s="38" t="str">
        <f>VLOOKUP($B104,DATA!$C:$AF,O$1+4,FALSE)</f>
        <v>P</v>
      </c>
      <c r="P104" s="38" t="str">
        <f>VLOOKUP($B104,DATA!$C:$AF,P$1+4,FALSE)</f>
        <v>P</v>
      </c>
      <c r="Q104" s="16">
        <f t="shared" si="2"/>
        <v>12</v>
      </c>
      <c r="R104" s="17">
        <v>7</v>
      </c>
      <c r="S104" s="17">
        <f t="shared" si="5"/>
        <v>15</v>
      </c>
    </row>
    <row r="105" spans="1:19" ht="17.5" thickBot="1">
      <c r="A105" s="11" t="s">
        <v>604</v>
      </c>
      <c r="B105" s="21" t="s">
        <v>716</v>
      </c>
      <c r="C105" s="13" t="s">
        <v>717</v>
      </c>
      <c r="D105" s="14" t="s">
        <v>579</v>
      </c>
      <c r="E105" s="38" t="str">
        <f>VLOOKUP($B105,DATA!$C:$AF,E$1+4,FALSE)</f>
        <v>P</v>
      </c>
      <c r="F105" s="38" t="str">
        <f>VLOOKUP($B105,DATA!$C:$AF,F$1+4,FALSE)</f>
        <v>P</v>
      </c>
      <c r="G105" s="38" t="str">
        <f>VLOOKUP($B105,DATA!$C:$AF,G$1+4,FALSE)</f>
        <v>P</v>
      </c>
      <c r="H105" s="38" t="str">
        <f>VLOOKUP($B105,DATA!$C:$AF,H$1+4,FALSE)</f>
        <v>P</v>
      </c>
      <c r="I105" s="38" t="str">
        <f>VLOOKUP($B105,DATA!$C:$AF,I$1+4,FALSE)</f>
        <v>P</v>
      </c>
      <c r="J105" s="38" t="str">
        <f>VLOOKUP($B105,DATA!$C:$AF,J$1+4,FALSE)</f>
        <v>P</v>
      </c>
      <c r="K105" s="38" t="str">
        <f>VLOOKUP($B105,DATA!$C:$AF,K$1+4,FALSE)</f>
        <v>P</v>
      </c>
      <c r="L105" s="38" t="str">
        <f>VLOOKUP($B105,DATA!$C:$AF,L$1+4,FALSE)</f>
        <v>P</v>
      </c>
      <c r="M105" s="38" t="str">
        <f>VLOOKUP($B105,DATA!$C:$AF,M$1+4,FALSE)</f>
        <v>P</v>
      </c>
      <c r="N105" s="38" t="str">
        <f>VLOOKUP($B105,DATA!$C:$AF,N$1+4,FALSE)</f>
        <v>P</v>
      </c>
      <c r="O105" s="38" t="str">
        <f>VLOOKUP($B105,DATA!$C:$AF,O$1+4,FALSE)</f>
        <v>P</v>
      </c>
      <c r="P105" s="38" t="str">
        <f>VLOOKUP($B105,DATA!$C:$AF,P$1+4,FALSE)</f>
        <v>P</v>
      </c>
      <c r="Q105" s="16">
        <f t="shared" ref="Q105" si="6">COUNTIF(E105:P105,"P")</f>
        <v>12</v>
      </c>
      <c r="R105" s="17">
        <v>7</v>
      </c>
      <c r="S105" s="17">
        <f t="shared" ref="S105" si="7">IF(R105=0,0,IF(R105&lt;=8,15,10))</f>
        <v>15</v>
      </c>
    </row>
    <row r="106" spans="1:19" ht="17.5" thickBot="1">
      <c r="A106" s="11" t="s">
        <v>604</v>
      </c>
      <c r="B106" s="21" t="s">
        <v>182</v>
      </c>
      <c r="C106" s="13" t="s">
        <v>183</v>
      </c>
      <c r="D106" s="14" t="s">
        <v>579</v>
      </c>
      <c r="E106" s="38" t="str">
        <f>VLOOKUP($B106,DATA!$C:$AF,E$1+4,FALSE)</f>
        <v>P</v>
      </c>
      <c r="F106" s="38" t="str">
        <f>VLOOKUP($B106,DATA!$C:$AF,F$1+4,FALSE)</f>
        <v>P</v>
      </c>
      <c r="G106" s="38" t="str">
        <f>VLOOKUP($B106,DATA!$C:$AF,G$1+4,FALSE)</f>
        <v>P</v>
      </c>
      <c r="H106" s="38" t="str">
        <f>VLOOKUP($B106,DATA!$C:$AF,H$1+4,FALSE)</f>
        <v>P</v>
      </c>
      <c r="I106" s="38" t="str">
        <f>VLOOKUP($B106,DATA!$C:$AF,I$1+4,FALSE)</f>
        <v>P</v>
      </c>
      <c r="J106" s="38" t="str">
        <f>VLOOKUP($B106,DATA!$C:$AF,J$1+4,FALSE)</f>
        <v>P</v>
      </c>
      <c r="K106" s="38" t="str">
        <f>VLOOKUP($B106,DATA!$C:$AF,K$1+4,FALSE)</f>
        <v>P</v>
      </c>
      <c r="L106" s="38" t="str">
        <f>VLOOKUP($B106,DATA!$C:$AF,L$1+4,FALSE)</f>
        <v>P</v>
      </c>
      <c r="M106" s="38" t="str">
        <f>VLOOKUP($B106,DATA!$C:$AF,M$1+4,FALSE)</f>
        <v>P</v>
      </c>
      <c r="N106" s="38" t="str">
        <f>VLOOKUP($B106,DATA!$C:$AF,N$1+4,FALSE)</f>
        <v>P</v>
      </c>
      <c r="O106" s="38" t="str">
        <f>VLOOKUP($B106,DATA!$C:$AF,O$1+4,FALSE)</f>
        <v>P</v>
      </c>
      <c r="P106" s="38" t="str">
        <f>VLOOKUP($B106,DATA!$C:$AF,P$1+4,FALSE)</f>
        <v>P</v>
      </c>
      <c r="Q106" s="16">
        <f t="shared" si="2"/>
        <v>12</v>
      </c>
      <c r="R106" s="17">
        <v>7</v>
      </c>
      <c r="S106" s="17">
        <f t="shared" si="5"/>
        <v>15</v>
      </c>
    </row>
    <row r="107" spans="1:19" ht="17.5" thickBot="1">
      <c r="A107" s="11" t="s">
        <v>604</v>
      </c>
      <c r="B107" s="13" t="s">
        <v>188</v>
      </c>
      <c r="C107" s="13" t="s">
        <v>189</v>
      </c>
      <c r="D107" s="14" t="s">
        <v>579</v>
      </c>
      <c r="E107" s="38" t="str">
        <f>VLOOKUP($B107,DATA!$C:$AF,E$1+4,FALSE)</f>
        <v>P</v>
      </c>
      <c r="F107" s="38" t="str">
        <f>VLOOKUP($B107,DATA!$C:$AF,F$1+4,FALSE)</f>
        <v>P</v>
      </c>
      <c r="G107" s="38" t="str">
        <f>VLOOKUP($B107,DATA!$C:$AF,G$1+4,FALSE)</f>
        <v>P</v>
      </c>
      <c r="H107" s="38" t="str">
        <f>VLOOKUP($B107,DATA!$C:$AF,H$1+4,FALSE)</f>
        <v>P</v>
      </c>
      <c r="I107" s="38" t="str">
        <f>VLOOKUP($B107,DATA!$C:$AF,I$1+4,FALSE)</f>
        <v>P</v>
      </c>
      <c r="J107" s="38" t="str">
        <f>VLOOKUP($B107,DATA!$C:$AF,J$1+4,FALSE)</f>
        <v>P</v>
      </c>
      <c r="K107" s="38" t="str">
        <f>VLOOKUP($B107,DATA!$C:$AF,K$1+4,FALSE)</f>
        <v>P</v>
      </c>
      <c r="L107" s="38" t="str">
        <f>VLOOKUP($B107,DATA!$C:$AF,L$1+4,FALSE)</f>
        <v>P</v>
      </c>
      <c r="M107" s="38" t="str">
        <f>VLOOKUP($B107,DATA!$C:$AF,M$1+4,FALSE)</f>
        <v>P</v>
      </c>
      <c r="N107" s="38" t="str">
        <f>VLOOKUP($B107,DATA!$C:$AF,N$1+4,FALSE)</f>
        <v>P</v>
      </c>
      <c r="O107" s="38" t="str">
        <f>VLOOKUP($B107,DATA!$C:$AF,O$1+4,FALSE)</f>
        <v>P</v>
      </c>
      <c r="P107" s="38" t="str">
        <f>VLOOKUP($B107,DATA!$C:$AF,P$1+4,FALSE)</f>
        <v>P</v>
      </c>
      <c r="Q107" s="16">
        <f t="shared" si="2"/>
        <v>12</v>
      </c>
      <c r="R107" s="17">
        <v>7</v>
      </c>
      <c r="S107" s="17">
        <f t="shared" si="5"/>
        <v>15</v>
      </c>
    </row>
    <row r="108" spans="1:19" ht="17.5" thickBot="1">
      <c r="A108" s="11" t="s">
        <v>604</v>
      </c>
      <c r="B108" s="21" t="s">
        <v>190</v>
      </c>
      <c r="C108" s="13" t="s">
        <v>191</v>
      </c>
      <c r="D108" s="14" t="s">
        <v>579</v>
      </c>
      <c r="E108" s="38" t="str">
        <f>VLOOKUP($B108,DATA!$C:$AF,E$1+4,FALSE)</f>
        <v>P</v>
      </c>
      <c r="F108" s="38" t="str">
        <f>VLOOKUP($B108,DATA!$C:$AF,F$1+4,FALSE)</f>
        <v>P</v>
      </c>
      <c r="G108" s="38" t="str">
        <f>VLOOKUP($B108,DATA!$C:$AF,G$1+4,FALSE)</f>
        <v>P</v>
      </c>
      <c r="H108" s="38" t="str">
        <f>VLOOKUP($B108,DATA!$C:$AF,H$1+4,FALSE)</f>
        <v>P</v>
      </c>
      <c r="I108" s="38" t="str">
        <f>VLOOKUP($B108,DATA!$C:$AF,I$1+4,FALSE)</f>
        <v>P</v>
      </c>
      <c r="J108" s="38" t="str">
        <f>VLOOKUP($B108,DATA!$C:$AF,J$1+4,FALSE)</f>
        <v>P</v>
      </c>
      <c r="K108" s="38" t="str">
        <f>VLOOKUP($B108,DATA!$C:$AF,K$1+4,FALSE)</f>
        <v>P</v>
      </c>
      <c r="L108" s="38" t="str">
        <f>VLOOKUP($B108,DATA!$C:$AF,L$1+4,FALSE)</f>
        <v>P</v>
      </c>
      <c r="M108" s="38" t="str">
        <f>VLOOKUP($B108,DATA!$C:$AF,M$1+4,FALSE)</f>
        <v>P</v>
      </c>
      <c r="N108" s="38" t="str">
        <f>VLOOKUP($B108,DATA!$C:$AF,N$1+4,FALSE)</f>
        <v>P</v>
      </c>
      <c r="O108" s="38" t="str">
        <f>VLOOKUP($B108,DATA!$C:$AF,O$1+4,FALSE)</f>
        <v>P</v>
      </c>
      <c r="P108" s="38" t="str">
        <f>VLOOKUP($B108,DATA!$C:$AF,P$1+4,FALSE)</f>
        <v>P</v>
      </c>
      <c r="Q108" s="16">
        <f t="shared" si="2"/>
        <v>12</v>
      </c>
      <c r="R108" s="17">
        <v>7</v>
      </c>
      <c r="S108" s="17">
        <f t="shared" si="5"/>
        <v>15</v>
      </c>
    </row>
    <row r="109" spans="1:19" ht="17.5" thickBot="1">
      <c r="A109" s="11" t="s">
        <v>604</v>
      </c>
      <c r="B109" s="21" t="s">
        <v>192</v>
      </c>
      <c r="C109" s="13" t="s">
        <v>193</v>
      </c>
      <c r="D109" s="14" t="s">
        <v>579</v>
      </c>
      <c r="E109" s="38" t="str">
        <f>VLOOKUP($B109,DATA!$C:$AF,E$1+4,FALSE)</f>
        <v>P</v>
      </c>
      <c r="F109" s="38" t="str">
        <f>VLOOKUP($B109,DATA!$C:$AF,F$1+4,FALSE)</f>
        <v>P</v>
      </c>
      <c r="G109" s="38" t="str">
        <f>VLOOKUP($B109,DATA!$C:$AF,G$1+4,FALSE)</f>
        <v>P</v>
      </c>
      <c r="H109" s="38" t="str">
        <f>VLOOKUP($B109,DATA!$C:$AF,H$1+4,FALSE)</f>
        <v>P</v>
      </c>
      <c r="I109" s="38" t="str">
        <f>VLOOKUP($B109,DATA!$C:$AF,I$1+4,FALSE)</f>
        <v>P</v>
      </c>
      <c r="J109" s="38" t="str">
        <f>VLOOKUP($B109,DATA!$C:$AF,J$1+4,FALSE)</f>
        <v>P</v>
      </c>
      <c r="K109" s="38" t="str">
        <f>VLOOKUP($B109,DATA!$C:$AF,K$1+4,FALSE)</f>
        <v>P</v>
      </c>
      <c r="L109" s="38" t="str">
        <f>VLOOKUP($B109,DATA!$C:$AF,L$1+4,FALSE)</f>
        <v>P</v>
      </c>
      <c r="M109" s="38" t="str">
        <f>VLOOKUP($B109,DATA!$C:$AF,M$1+4,FALSE)</f>
        <v>P</v>
      </c>
      <c r="N109" s="38" t="str">
        <f>VLOOKUP($B109,DATA!$C:$AF,N$1+4,FALSE)</f>
        <v>P</v>
      </c>
      <c r="O109" s="38" t="str">
        <f>VLOOKUP($B109,DATA!$C:$AF,O$1+4,FALSE)</f>
        <v>P</v>
      </c>
      <c r="P109" s="38" t="str">
        <f>VLOOKUP($B109,DATA!$C:$AF,P$1+4,FALSE)</f>
        <v>P</v>
      </c>
      <c r="Q109" s="16">
        <f t="shared" si="2"/>
        <v>12</v>
      </c>
      <c r="R109" s="17">
        <v>7</v>
      </c>
      <c r="S109" s="17">
        <f t="shared" si="5"/>
        <v>15</v>
      </c>
    </row>
    <row r="110" spans="1:19" ht="17.5" thickBot="1">
      <c r="A110" s="11" t="s">
        <v>604</v>
      </c>
      <c r="B110" s="21" t="s">
        <v>194</v>
      </c>
      <c r="C110" s="13" t="s">
        <v>195</v>
      </c>
      <c r="D110" s="14" t="s">
        <v>579</v>
      </c>
      <c r="E110" s="38" t="str">
        <f>VLOOKUP($B110,DATA!$C:$AF,E$1+4,FALSE)</f>
        <v>P</v>
      </c>
      <c r="F110" s="38" t="str">
        <f>VLOOKUP($B110,DATA!$C:$AF,F$1+4,FALSE)</f>
        <v>P</v>
      </c>
      <c r="G110" s="38" t="str">
        <f>VLOOKUP($B110,DATA!$C:$AF,G$1+4,FALSE)</f>
        <v>P</v>
      </c>
      <c r="H110" s="38" t="str">
        <f>VLOOKUP($B110,DATA!$C:$AF,H$1+4,FALSE)</f>
        <v>P</v>
      </c>
      <c r="I110" s="38" t="str">
        <f>VLOOKUP($B110,DATA!$C:$AF,I$1+4,FALSE)</f>
        <v>P</v>
      </c>
      <c r="J110" s="38" t="str">
        <f>VLOOKUP($B110,DATA!$C:$AF,J$1+4,FALSE)</f>
        <v>P</v>
      </c>
      <c r="K110" s="38" t="str">
        <f>VLOOKUP($B110,DATA!$C:$AF,K$1+4,FALSE)</f>
        <v>P</v>
      </c>
      <c r="L110" s="38" t="str">
        <f>VLOOKUP($B110,DATA!$C:$AF,L$1+4,FALSE)</f>
        <v>P</v>
      </c>
      <c r="M110" s="38" t="str">
        <f>VLOOKUP($B110,DATA!$C:$AF,M$1+4,FALSE)</f>
        <v>P</v>
      </c>
      <c r="N110" s="38" t="str">
        <f>VLOOKUP($B110,DATA!$C:$AF,N$1+4,FALSE)</f>
        <v>P</v>
      </c>
      <c r="O110" s="38" t="str">
        <f>VLOOKUP($B110,DATA!$C:$AF,O$1+4,FALSE)</f>
        <v>P</v>
      </c>
      <c r="P110" s="38" t="str">
        <f>VLOOKUP($B110,DATA!$C:$AF,P$1+4,FALSE)</f>
        <v>P</v>
      </c>
      <c r="Q110" s="16">
        <f t="shared" si="2"/>
        <v>12</v>
      </c>
      <c r="R110" s="17">
        <v>7</v>
      </c>
      <c r="S110" s="17">
        <f t="shared" si="5"/>
        <v>15</v>
      </c>
    </row>
    <row r="111" spans="1:19" ht="17.5" thickBot="1">
      <c r="A111" s="11" t="s">
        <v>604</v>
      </c>
      <c r="B111" s="21" t="s">
        <v>196</v>
      </c>
      <c r="C111" s="13" t="s">
        <v>197</v>
      </c>
      <c r="D111" s="14" t="s">
        <v>579</v>
      </c>
      <c r="E111" s="38" t="str">
        <f>VLOOKUP($B111,DATA!$C:$AF,E$1+4,FALSE)</f>
        <v>P</v>
      </c>
      <c r="F111" s="38" t="str">
        <f>VLOOKUP($B111,DATA!$C:$AF,F$1+4,FALSE)</f>
        <v>P</v>
      </c>
      <c r="G111" s="38" t="str">
        <f>VLOOKUP($B111,DATA!$C:$AF,G$1+4,FALSE)</f>
        <v>P</v>
      </c>
      <c r="H111" s="38" t="str">
        <f>VLOOKUP($B111,DATA!$C:$AF,H$1+4,FALSE)</f>
        <v>P</v>
      </c>
      <c r="I111" s="38" t="str">
        <f>VLOOKUP($B111,DATA!$C:$AF,I$1+4,FALSE)</f>
        <v>P</v>
      </c>
      <c r="J111" s="38" t="str">
        <f>VLOOKUP($B111,DATA!$C:$AF,J$1+4,FALSE)</f>
        <v>P</v>
      </c>
      <c r="K111" s="38" t="str">
        <f>VLOOKUP($B111,DATA!$C:$AF,K$1+4,FALSE)</f>
        <v>P</v>
      </c>
      <c r="L111" s="38" t="str">
        <f>VLOOKUP($B111,DATA!$C:$AF,L$1+4,FALSE)</f>
        <v>P</v>
      </c>
      <c r="M111" s="38" t="str">
        <f>VLOOKUP($B111,DATA!$C:$AF,M$1+4,FALSE)</f>
        <v>P</v>
      </c>
      <c r="N111" s="38" t="str">
        <f>VLOOKUP($B111,DATA!$C:$AF,N$1+4,FALSE)</f>
        <v>P</v>
      </c>
      <c r="O111" s="38" t="str">
        <f>VLOOKUP($B111,DATA!$C:$AF,O$1+4,FALSE)</f>
        <v>P</v>
      </c>
      <c r="P111" s="38" t="str">
        <f>VLOOKUP($B111,DATA!$C:$AF,P$1+4,FALSE)</f>
        <v>P</v>
      </c>
      <c r="Q111" s="16">
        <f t="shared" si="2"/>
        <v>12</v>
      </c>
      <c r="R111" s="17">
        <v>7</v>
      </c>
      <c r="S111" s="17">
        <f>IF(R111=0,0,IF(R111&lt;=8,15,10))</f>
        <v>15</v>
      </c>
    </row>
    <row r="112" spans="1:19" ht="17.5" thickBot="1">
      <c r="A112" s="11" t="s">
        <v>604</v>
      </c>
      <c r="B112" s="21" t="s">
        <v>198</v>
      </c>
      <c r="C112" s="13" t="s">
        <v>199</v>
      </c>
      <c r="D112" s="14" t="s">
        <v>579</v>
      </c>
      <c r="E112" s="38" t="str">
        <f>VLOOKUP($B112,DATA!$C:$AF,E$1+4,FALSE)</f>
        <v>P</v>
      </c>
      <c r="F112" s="38" t="str">
        <f>VLOOKUP($B112,DATA!$C:$AF,F$1+4,FALSE)</f>
        <v>P</v>
      </c>
      <c r="G112" s="38" t="str">
        <f>VLOOKUP($B112,DATA!$C:$AF,G$1+4,FALSE)</f>
        <v>P</v>
      </c>
      <c r="H112" s="38" t="str">
        <f>VLOOKUP($B112,DATA!$C:$AF,H$1+4,FALSE)</f>
        <v>P</v>
      </c>
      <c r="I112" s="38" t="str">
        <f>VLOOKUP($B112,DATA!$C:$AF,I$1+4,FALSE)</f>
        <v>P</v>
      </c>
      <c r="J112" s="38" t="str">
        <f>VLOOKUP($B112,DATA!$C:$AF,J$1+4,FALSE)</f>
        <v>P</v>
      </c>
      <c r="K112" s="38" t="str">
        <f>VLOOKUP($B112,DATA!$C:$AF,K$1+4,FALSE)</f>
        <v>P</v>
      </c>
      <c r="L112" s="38" t="str">
        <f>VLOOKUP($B112,DATA!$C:$AF,L$1+4,FALSE)</f>
        <v>P</v>
      </c>
      <c r="M112" s="38" t="str">
        <f>VLOOKUP($B112,DATA!$C:$AF,M$1+4,FALSE)</f>
        <v>P</v>
      </c>
      <c r="N112" s="38" t="str">
        <f>VLOOKUP($B112,DATA!$C:$AF,N$1+4,FALSE)</f>
        <v>P</v>
      </c>
      <c r="O112" s="38" t="str">
        <f>VLOOKUP($B112,DATA!$C:$AF,O$1+4,FALSE)</f>
        <v>P</v>
      </c>
      <c r="P112" s="38" t="str">
        <f>VLOOKUP($B112,DATA!$C:$AF,P$1+4,FALSE)</f>
        <v>P</v>
      </c>
      <c r="Q112" s="16">
        <f t="shared" si="2"/>
        <v>12</v>
      </c>
      <c r="R112" s="17">
        <v>7</v>
      </c>
      <c r="S112" s="17">
        <f t="shared" ref="S112:S129" si="8">IF(R112=0,0,IF(R112&lt;=8,15,10))</f>
        <v>15</v>
      </c>
    </row>
    <row r="113" spans="1:19" ht="17.5" thickBot="1">
      <c r="A113" s="11" t="s">
        <v>604</v>
      </c>
      <c r="B113" s="22" t="s">
        <v>200</v>
      </c>
      <c r="C113" s="13" t="s">
        <v>201</v>
      </c>
      <c r="D113" s="14" t="s">
        <v>579</v>
      </c>
      <c r="E113" s="38" t="str">
        <f>VLOOKUP($B113,DATA!$C:$AF,E$1+4,FALSE)</f>
        <v>P</v>
      </c>
      <c r="F113" s="38" t="str">
        <f>VLOOKUP($B113,DATA!$C:$AF,F$1+4,FALSE)</f>
        <v>P</v>
      </c>
      <c r="G113" s="38" t="str">
        <f>VLOOKUP($B113,DATA!$C:$AF,G$1+4,FALSE)</f>
        <v>P</v>
      </c>
      <c r="H113" s="38" t="str">
        <f>VLOOKUP($B113,DATA!$C:$AF,H$1+4,FALSE)</f>
        <v>P</v>
      </c>
      <c r="I113" s="38" t="str">
        <f>VLOOKUP($B113,DATA!$C:$AF,I$1+4,FALSE)</f>
        <v>P</v>
      </c>
      <c r="J113" s="38" t="str">
        <f>VLOOKUP($B113,DATA!$C:$AF,J$1+4,FALSE)</f>
        <v>P</v>
      </c>
      <c r="K113" s="38" t="str">
        <f>VLOOKUP($B113,DATA!$C:$AF,K$1+4,FALSE)</f>
        <v>P</v>
      </c>
      <c r="L113" s="38" t="str">
        <f>VLOOKUP($B113,DATA!$C:$AF,L$1+4,FALSE)</f>
        <v>P</v>
      </c>
      <c r="M113" s="38" t="str">
        <f>VLOOKUP($B113,DATA!$C:$AF,M$1+4,FALSE)</f>
        <v>P</v>
      </c>
      <c r="N113" s="38" t="str">
        <f>VLOOKUP($B113,DATA!$C:$AF,N$1+4,FALSE)</f>
        <v>P</v>
      </c>
      <c r="O113" s="38" t="str">
        <f>VLOOKUP($B113,DATA!$C:$AF,O$1+4,FALSE)</f>
        <v>P</v>
      </c>
      <c r="P113" s="38" t="str">
        <f>VLOOKUP($B113,DATA!$C:$AF,P$1+4,FALSE)</f>
        <v>P</v>
      </c>
      <c r="Q113" s="16">
        <f t="shared" si="2"/>
        <v>12</v>
      </c>
      <c r="R113" s="17">
        <v>7</v>
      </c>
      <c r="S113" s="17">
        <f t="shared" si="8"/>
        <v>15</v>
      </c>
    </row>
    <row r="114" spans="1:19" ht="17.5" thickBot="1">
      <c r="A114" s="11" t="s">
        <v>604</v>
      </c>
      <c r="B114" s="23" t="s">
        <v>206</v>
      </c>
      <c r="C114" s="13" t="s">
        <v>207</v>
      </c>
      <c r="D114" s="14" t="s">
        <v>579</v>
      </c>
      <c r="E114" s="38">
        <f>VLOOKUP($B114,DATA!$C:$AF,E$1+4,FALSE)</f>
        <v>0</v>
      </c>
      <c r="F114" s="38">
        <f>VLOOKUP($B114,DATA!$C:$AF,F$1+4,FALSE)</f>
        <v>0</v>
      </c>
      <c r="G114" s="38">
        <f>VLOOKUP($B114,DATA!$C:$AF,G$1+4,FALSE)</f>
        <v>0</v>
      </c>
      <c r="H114" s="38">
        <f>VLOOKUP($B114,DATA!$C:$AF,H$1+4,FALSE)</f>
        <v>0</v>
      </c>
      <c r="I114" s="38">
        <f>VLOOKUP($B114,DATA!$C:$AF,I$1+4,FALSE)</f>
        <v>0</v>
      </c>
      <c r="J114" s="38">
        <f>VLOOKUP($B114,DATA!$C:$AF,J$1+4,FALSE)</f>
        <v>0</v>
      </c>
      <c r="K114" s="38">
        <f>VLOOKUP($B114,DATA!$C:$AF,K$1+4,FALSE)</f>
        <v>0</v>
      </c>
      <c r="L114" s="38">
        <f>VLOOKUP($B114,DATA!$C:$AF,L$1+4,FALSE)</f>
        <v>0</v>
      </c>
      <c r="M114" s="38">
        <f>VLOOKUP($B114,DATA!$C:$AF,M$1+4,FALSE)</f>
        <v>0</v>
      </c>
      <c r="N114" s="38">
        <f>VLOOKUP($B114,DATA!$C:$AF,N$1+4,FALSE)</f>
        <v>0</v>
      </c>
      <c r="O114" s="38">
        <f>VLOOKUP($B114,DATA!$C:$AF,O$1+4,FALSE)</f>
        <v>0</v>
      </c>
      <c r="P114" s="38">
        <f>VLOOKUP($B114,DATA!$C:$AF,P$1+4,FALSE)</f>
        <v>0</v>
      </c>
      <c r="Q114" s="16">
        <f t="shared" si="2"/>
        <v>0</v>
      </c>
      <c r="R114" s="17">
        <v>0</v>
      </c>
      <c r="S114" s="17">
        <f t="shared" si="8"/>
        <v>0</v>
      </c>
    </row>
    <row r="115" spans="1:19" ht="17.5" thickBot="1">
      <c r="A115" s="11" t="s">
        <v>604</v>
      </c>
      <c r="B115" s="22" t="s">
        <v>208</v>
      </c>
      <c r="C115" s="13" t="s">
        <v>209</v>
      </c>
      <c r="D115" s="14" t="s">
        <v>579</v>
      </c>
      <c r="E115" s="38">
        <f>VLOOKUP($B115,DATA!$C:$AF,E$1+4,FALSE)</f>
        <v>0</v>
      </c>
      <c r="F115" s="38">
        <f>VLOOKUP($B115,DATA!$C:$AF,F$1+4,FALSE)</f>
        <v>0</v>
      </c>
      <c r="G115" s="38">
        <f>VLOOKUP($B115,DATA!$C:$AF,G$1+4,FALSE)</f>
        <v>0</v>
      </c>
      <c r="H115" s="38">
        <f>VLOOKUP($B115,DATA!$C:$AF,H$1+4,FALSE)</f>
        <v>0</v>
      </c>
      <c r="I115" s="38">
        <f>VLOOKUP($B115,DATA!$C:$AF,I$1+4,FALSE)</f>
        <v>0</v>
      </c>
      <c r="J115" s="38">
        <f>VLOOKUP($B115,DATA!$C:$AF,J$1+4,FALSE)</f>
        <v>0</v>
      </c>
      <c r="K115" s="38">
        <f>VLOOKUP($B115,DATA!$C:$AF,K$1+4,FALSE)</f>
        <v>0</v>
      </c>
      <c r="L115" s="38">
        <f>VLOOKUP($B115,DATA!$C:$AF,L$1+4,FALSE)</f>
        <v>0</v>
      </c>
      <c r="M115" s="38">
        <f>VLOOKUP($B115,DATA!$C:$AF,M$1+4,FALSE)</f>
        <v>0</v>
      </c>
      <c r="N115" s="38">
        <f>VLOOKUP($B115,DATA!$C:$AF,N$1+4,FALSE)</f>
        <v>0</v>
      </c>
      <c r="O115" s="38">
        <f>VLOOKUP($B115,DATA!$C:$AF,O$1+4,FALSE)</f>
        <v>0</v>
      </c>
      <c r="P115" s="38">
        <f>VLOOKUP($B115,DATA!$C:$AF,P$1+4,FALSE)</f>
        <v>0</v>
      </c>
      <c r="Q115" s="16">
        <f t="shared" si="2"/>
        <v>0</v>
      </c>
      <c r="R115" s="17">
        <v>0</v>
      </c>
      <c r="S115" s="17">
        <f t="shared" si="8"/>
        <v>0</v>
      </c>
    </row>
    <row r="116" spans="1:19" ht="17.5" thickBot="1">
      <c r="A116" s="11" t="s">
        <v>604</v>
      </c>
      <c r="B116" s="22" t="s">
        <v>210</v>
      </c>
      <c r="C116" s="13" t="s">
        <v>211</v>
      </c>
      <c r="D116" s="14" t="s">
        <v>579</v>
      </c>
      <c r="E116" s="38">
        <f>VLOOKUP($B116,DATA!$C:$AF,E$1+4,FALSE)</f>
        <v>0</v>
      </c>
      <c r="F116" s="38">
        <f>VLOOKUP($B116,DATA!$C:$AF,F$1+4,FALSE)</f>
        <v>0</v>
      </c>
      <c r="G116" s="38">
        <f>VLOOKUP($B116,DATA!$C:$AF,G$1+4,FALSE)</f>
        <v>0</v>
      </c>
      <c r="H116" s="38">
        <f>VLOOKUP($B116,DATA!$C:$AF,H$1+4,FALSE)</f>
        <v>0</v>
      </c>
      <c r="I116" s="38">
        <f>VLOOKUP($B116,DATA!$C:$AF,I$1+4,FALSE)</f>
        <v>0</v>
      </c>
      <c r="J116" s="38">
        <f>VLOOKUP($B116,DATA!$C:$AF,J$1+4,FALSE)</f>
        <v>0</v>
      </c>
      <c r="K116" s="38">
        <f>VLOOKUP($B116,DATA!$C:$AF,K$1+4,FALSE)</f>
        <v>0</v>
      </c>
      <c r="L116" s="38">
        <f>VLOOKUP($B116,DATA!$C:$AF,L$1+4,FALSE)</f>
        <v>0</v>
      </c>
      <c r="M116" s="38">
        <f>VLOOKUP($B116,DATA!$C:$AF,M$1+4,FALSE)</f>
        <v>0</v>
      </c>
      <c r="N116" s="38">
        <f>VLOOKUP($B116,DATA!$C:$AF,N$1+4,FALSE)</f>
        <v>0</v>
      </c>
      <c r="O116" s="38">
        <f>VLOOKUP($B116,DATA!$C:$AF,O$1+4,FALSE)</f>
        <v>0</v>
      </c>
      <c r="P116" s="38">
        <f>VLOOKUP($B116,DATA!$C:$AF,P$1+4,FALSE)</f>
        <v>0</v>
      </c>
      <c r="Q116" s="16">
        <f t="shared" si="2"/>
        <v>0</v>
      </c>
      <c r="R116" s="17">
        <v>0</v>
      </c>
      <c r="S116" s="17">
        <f t="shared" si="8"/>
        <v>0</v>
      </c>
    </row>
    <row r="117" spans="1:19" ht="17.5" thickBot="1">
      <c r="A117" s="11" t="s">
        <v>604</v>
      </c>
      <c r="B117" s="22" t="s">
        <v>212</v>
      </c>
      <c r="C117" s="13" t="s">
        <v>213</v>
      </c>
      <c r="D117" s="14" t="s">
        <v>579</v>
      </c>
      <c r="E117" s="38">
        <f>VLOOKUP($B117,DATA!$C:$AF,E$1+4,FALSE)</f>
        <v>0</v>
      </c>
      <c r="F117" s="38">
        <f>VLOOKUP($B117,DATA!$C:$AF,F$1+4,FALSE)</f>
        <v>0</v>
      </c>
      <c r="G117" s="38">
        <f>VLOOKUP($B117,DATA!$C:$AF,G$1+4,FALSE)</f>
        <v>0</v>
      </c>
      <c r="H117" s="38">
        <f>VLOOKUP($B117,DATA!$C:$AF,H$1+4,FALSE)</f>
        <v>0</v>
      </c>
      <c r="I117" s="38">
        <f>VLOOKUP($B117,DATA!$C:$AF,I$1+4,FALSE)</f>
        <v>0</v>
      </c>
      <c r="J117" s="38">
        <f>VLOOKUP($B117,DATA!$C:$AF,J$1+4,FALSE)</f>
        <v>0</v>
      </c>
      <c r="K117" s="38">
        <f>VLOOKUP($B117,DATA!$C:$AF,K$1+4,FALSE)</f>
        <v>0</v>
      </c>
      <c r="L117" s="38">
        <f>VLOOKUP($B117,DATA!$C:$AF,L$1+4,FALSE)</f>
        <v>0</v>
      </c>
      <c r="M117" s="38">
        <f>VLOOKUP($B117,DATA!$C:$AF,M$1+4,FALSE)</f>
        <v>0</v>
      </c>
      <c r="N117" s="38">
        <f>VLOOKUP($B117,DATA!$C:$AF,N$1+4,FALSE)</f>
        <v>0</v>
      </c>
      <c r="O117" s="38">
        <f>VLOOKUP($B117,DATA!$C:$AF,O$1+4,FALSE)</f>
        <v>0</v>
      </c>
      <c r="P117" s="38">
        <f>VLOOKUP($B117,DATA!$C:$AF,P$1+4,FALSE)</f>
        <v>0</v>
      </c>
      <c r="Q117" s="16">
        <f t="shared" si="2"/>
        <v>0</v>
      </c>
      <c r="R117" s="17">
        <v>0</v>
      </c>
      <c r="S117" s="17">
        <f t="shared" si="8"/>
        <v>0</v>
      </c>
    </row>
    <row r="118" spans="1:19" ht="17.5" thickBot="1">
      <c r="A118" s="11" t="s">
        <v>604</v>
      </c>
      <c r="B118" s="22" t="s">
        <v>214</v>
      </c>
      <c r="C118" s="13" t="s">
        <v>215</v>
      </c>
      <c r="D118" s="14" t="s">
        <v>579</v>
      </c>
      <c r="E118" s="38">
        <f>VLOOKUP($B118,DATA!$C:$AF,E$1+4,FALSE)</f>
        <v>0</v>
      </c>
      <c r="F118" s="38">
        <f>VLOOKUP($B118,DATA!$C:$AF,F$1+4,FALSE)</f>
        <v>0</v>
      </c>
      <c r="G118" s="38">
        <f>VLOOKUP($B118,DATA!$C:$AF,G$1+4,FALSE)</f>
        <v>0</v>
      </c>
      <c r="H118" s="38">
        <f>VLOOKUP($B118,DATA!$C:$AF,H$1+4,FALSE)</f>
        <v>0</v>
      </c>
      <c r="I118" s="38">
        <f>VLOOKUP($B118,DATA!$C:$AF,I$1+4,FALSE)</f>
        <v>0</v>
      </c>
      <c r="J118" s="38">
        <f>VLOOKUP($B118,DATA!$C:$AF,J$1+4,FALSE)</f>
        <v>0</v>
      </c>
      <c r="K118" s="38">
        <f>VLOOKUP($B118,DATA!$C:$AF,K$1+4,FALSE)</f>
        <v>0</v>
      </c>
      <c r="L118" s="38">
        <f>VLOOKUP($B118,DATA!$C:$AF,L$1+4,FALSE)</f>
        <v>0</v>
      </c>
      <c r="M118" s="38">
        <f>VLOOKUP($B118,DATA!$C:$AF,M$1+4,FALSE)</f>
        <v>0</v>
      </c>
      <c r="N118" s="38">
        <f>VLOOKUP($B118,DATA!$C:$AF,N$1+4,FALSE)</f>
        <v>0</v>
      </c>
      <c r="O118" s="38">
        <f>VLOOKUP($B118,DATA!$C:$AF,O$1+4,FALSE)</f>
        <v>0</v>
      </c>
      <c r="P118" s="38">
        <f>VLOOKUP($B118,DATA!$C:$AF,P$1+4,FALSE)</f>
        <v>0</v>
      </c>
      <c r="Q118" s="16">
        <f t="shared" si="2"/>
        <v>0</v>
      </c>
      <c r="R118" s="17">
        <v>0</v>
      </c>
      <c r="S118" s="17">
        <f t="shared" si="8"/>
        <v>0</v>
      </c>
    </row>
    <row r="119" spans="1:19" ht="17.5" thickBot="1">
      <c r="A119" s="11" t="s">
        <v>604</v>
      </c>
      <c r="B119" s="22" t="s">
        <v>216</v>
      </c>
      <c r="C119" s="13" t="s">
        <v>217</v>
      </c>
      <c r="D119" s="14" t="s">
        <v>579</v>
      </c>
      <c r="E119" s="38">
        <f>VLOOKUP($B119,DATA!$C:$AF,E$1+4,FALSE)</f>
        <v>0</v>
      </c>
      <c r="F119" s="38">
        <f>VLOOKUP($B119,DATA!$C:$AF,F$1+4,FALSE)</f>
        <v>0</v>
      </c>
      <c r="G119" s="38">
        <f>VLOOKUP($B119,DATA!$C:$AF,G$1+4,FALSE)</f>
        <v>0</v>
      </c>
      <c r="H119" s="38">
        <f>VLOOKUP($B119,DATA!$C:$AF,H$1+4,FALSE)</f>
        <v>0</v>
      </c>
      <c r="I119" s="38">
        <f>VLOOKUP($B119,DATA!$C:$AF,I$1+4,FALSE)</f>
        <v>0</v>
      </c>
      <c r="J119" s="38">
        <f>VLOOKUP($B119,DATA!$C:$AF,J$1+4,FALSE)</f>
        <v>0</v>
      </c>
      <c r="K119" s="38">
        <f>VLOOKUP($B119,DATA!$C:$AF,K$1+4,FALSE)</f>
        <v>0</v>
      </c>
      <c r="L119" s="38">
        <f>VLOOKUP($B119,DATA!$C:$AF,L$1+4,FALSE)</f>
        <v>0</v>
      </c>
      <c r="M119" s="38">
        <f>VLOOKUP($B119,DATA!$C:$AF,M$1+4,FALSE)</f>
        <v>0</v>
      </c>
      <c r="N119" s="38">
        <f>VLOOKUP($B119,DATA!$C:$AF,N$1+4,FALSE)</f>
        <v>0</v>
      </c>
      <c r="O119" s="38">
        <f>VLOOKUP($B119,DATA!$C:$AF,O$1+4,FALSE)</f>
        <v>0</v>
      </c>
      <c r="P119" s="38">
        <f>VLOOKUP($B119,DATA!$C:$AF,P$1+4,FALSE)</f>
        <v>0</v>
      </c>
      <c r="Q119" s="16">
        <f t="shared" si="2"/>
        <v>0</v>
      </c>
      <c r="R119" s="17">
        <v>0</v>
      </c>
      <c r="S119" s="17">
        <f t="shared" si="8"/>
        <v>0</v>
      </c>
    </row>
    <row r="120" spans="1:19" ht="17.5" thickBot="1">
      <c r="A120" s="11" t="s">
        <v>604</v>
      </c>
      <c r="B120" s="22" t="s">
        <v>218</v>
      </c>
      <c r="C120" s="13" t="s">
        <v>219</v>
      </c>
      <c r="D120" s="14" t="s">
        <v>579</v>
      </c>
      <c r="E120" s="38">
        <f>VLOOKUP($B120,DATA!$C:$AF,E$1+4,FALSE)</f>
        <v>0</v>
      </c>
      <c r="F120" s="38">
        <f>VLOOKUP($B120,DATA!$C:$AF,F$1+4,FALSE)</f>
        <v>0</v>
      </c>
      <c r="G120" s="38">
        <f>VLOOKUP($B120,DATA!$C:$AF,G$1+4,FALSE)</f>
        <v>0</v>
      </c>
      <c r="H120" s="38">
        <f>VLOOKUP($B120,DATA!$C:$AF,H$1+4,FALSE)</f>
        <v>0</v>
      </c>
      <c r="I120" s="38">
        <f>VLOOKUP($B120,DATA!$C:$AF,I$1+4,FALSE)</f>
        <v>0</v>
      </c>
      <c r="J120" s="38">
        <f>VLOOKUP($B120,DATA!$C:$AF,J$1+4,FALSE)</f>
        <v>0</v>
      </c>
      <c r="K120" s="38">
        <f>VLOOKUP($B120,DATA!$C:$AF,K$1+4,FALSE)</f>
        <v>0</v>
      </c>
      <c r="L120" s="38">
        <f>VLOOKUP($B120,DATA!$C:$AF,L$1+4,FALSE)</f>
        <v>0</v>
      </c>
      <c r="M120" s="38">
        <f>VLOOKUP($B120,DATA!$C:$AF,M$1+4,FALSE)</f>
        <v>0</v>
      </c>
      <c r="N120" s="38">
        <f>VLOOKUP($B120,DATA!$C:$AF,N$1+4,FALSE)</f>
        <v>0</v>
      </c>
      <c r="O120" s="38">
        <f>VLOOKUP($B120,DATA!$C:$AF,O$1+4,FALSE)</f>
        <v>0</v>
      </c>
      <c r="P120" s="38">
        <f>VLOOKUP($B120,DATA!$C:$AF,P$1+4,FALSE)</f>
        <v>0</v>
      </c>
      <c r="Q120" s="16">
        <f t="shared" si="2"/>
        <v>0</v>
      </c>
      <c r="R120" s="17">
        <v>0</v>
      </c>
      <c r="S120" s="17">
        <f t="shared" si="8"/>
        <v>0</v>
      </c>
    </row>
    <row r="121" spans="1:19" ht="17.5" thickBot="1">
      <c r="A121" s="11" t="s">
        <v>604</v>
      </c>
      <c r="B121" s="22" t="s">
        <v>220</v>
      </c>
      <c r="C121" s="13" t="s">
        <v>221</v>
      </c>
      <c r="D121" s="14" t="s">
        <v>579</v>
      </c>
      <c r="E121" s="38">
        <f>VLOOKUP($B121,DATA!$C:$AF,E$1+4,FALSE)</f>
        <v>0</v>
      </c>
      <c r="F121" s="38">
        <f>VLOOKUP($B121,DATA!$C:$AF,F$1+4,FALSE)</f>
        <v>0</v>
      </c>
      <c r="G121" s="38">
        <f>VLOOKUP($B121,DATA!$C:$AF,G$1+4,FALSE)</f>
        <v>0</v>
      </c>
      <c r="H121" s="38">
        <f>VLOOKUP($B121,DATA!$C:$AF,H$1+4,FALSE)</f>
        <v>0</v>
      </c>
      <c r="I121" s="38">
        <f>VLOOKUP($B121,DATA!$C:$AF,I$1+4,FALSE)</f>
        <v>0</v>
      </c>
      <c r="J121" s="38">
        <f>VLOOKUP($B121,DATA!$C:$AF,J$1+4,FALSE)</f>
        <v>0</v>
      </c>
      <c r="K121" s="38">
        <f>VLOOKUP($B121,DATA!$C:$AF,K$1+4,FALSE)</f>
        <v>0</v>
      </c>
      <c r="L121" s="38">
        <f>VLOOKUP($B121,DATA!$C:$AF,L$1+4,FALSE)</f>
        <v>0</v>
      </c>
      <c r="M121" s="38">
        <f>VLOOKUP($B121,DATA!$C:$AF,M$1+4,FALSE)</f>
        <v>0</v>
      </c>
      <c r="N121" s="38">
        <f>VLOOKUP($B121,DATA!$C:$AF,N$1+4,FALSE)</f>
        <v>0</v>
      </c>
      <c r="O121" s="38">
        <f>VLOOKUP($B121,DATA!$C:$AF,O$1+4,FALSE)</f>
        <v>0</v>
      </c>
      <c r="P121" s="38">
        <f>VLOOKUP($B121,DATA!$C:$AF,P$1+4,FALSE)</f>
        <v>0</v>
      </c>
      <c r="Q121" s="16">
        <f t="shared" si="2"/>
        <v>0</v>
      </c>
      <c r="R121" s="17">
        <v>0</v>
      </c>
      <c r="S121" s="17">
        <f t="shared" si="8"/>
        <v>0</v>
      </c>
    </row>
    <row r="122" spans="1:19" ht="17.5" thickBot="1">
      <c r="A122" s="11" t="s">
        <v>604</v>
      </c>
      <c r="B122" s="21" t="s">
        <v>222</v>
      </c>
      <c r="C122" s="13" t="s">
        <v>223</v>
      </c>
      <c r="D122" s="14" t="s">
        <v>579</v>
      </c>
      <c r="E122" s="38">
        <f>VLOOKUP($B122,DATA!$C:$AF,E$1+4,FALSE)</f>
        <v>0</v>
      </c>
      <c r="F122" s="38">
        <f>VLOOKUP($B122,DATA!$C:$AF,F$1+4,FALSE)</f>
        <v>0</v>
      </c>
      <c r="G122" s="38">
        <f>VLOOKUP($B122,DATA!$C:$AF,G$1+4,FALSE)</f>
        <v>0</v>
      </c>
      <c r="H122" s="38">
        <f>VLOOKUP($B122,DATA!$C:$AF,H$1+4,FALSE)</f>
        <v>0</v>
      </c>
      <c r="I122" s="38">
        <f>VLOOKUP($B122,DATA!$C:$AF,I$1+4,FALSE)</f>
        <v>0</v>
      </c>
      <c r="J122" s="38">
        <f>VLOOKUP($B122,DATA!$C:$AF,J$1+4,FALSE)</f>
        <v>0</v>
      </c>
      <c r="K122" s="38">
        <f>VLOOKUP($B122,DATA!$C:$AF,K$1+4,FALSE)</f>
        <v>0</v>
      </c>
      <c r="L122" s="38">
        <f>VLOOKUP($B122,DATA!$C:$AF,L$1+4,FALSE)</f>
        <v>0</v>
      </c>
      <c r="M122" s="38">
        <f>VLOOKUP($B122,DATA!$C:$AF,M$1+4,FALSE)</f>
        <v>0</v>
      </c>
      <c r="N122" s="38">
        <f>VLOOKUP($B122,DATA!$C:$AF,N$1+4,FALSE)</f>
        <v>0</v>
      </c>
      <c r="O122" s="38">
        <f>VLOOKUP($B122,DATA!$C:$AF,O$1+4,FALSE)</f>
        <v>0</v>
      </c>
      <c r="P122" s="38">
        <f>VLOOKUP($B122,DATA!$C:$AF,P$1+4,FALSE)</f>
        <v>0</v>
      </c>
      <c r="Q122" s="16">
        <f t="shared" si="2"/>
        <v>0</v>
      </c>
      <c r="R122" s="17">
        <v>0</v>
      </c>
      <c r="S122" s="17">
        <f t="shared" si="8"/>
        <v>0</v>
      </c>
    </row>
    <row r="123" spans="1:19" ht="17.5" thickBot="1">
      <c r="A123" s="11" t="s">
        <v>604</v>
      </c>
      <c r="B123" s="21" t="s">
        <v>184</v>
      </c>
      <c r="C123" s="13" t="s">
        <v>185</v>
      </c>
      <c r="D123" s="14" t="s">
        <v>579</v>
      </c>
      <c r="E123" s="38">
        <f>VLOOKUP($B123,DATA!$C:$AF,E$1+4,FALSE)</f>
        <v>0</v>
      </c>
      <c r="F123" s="38">
        <f>VLOOKUP($B123,DATA!$C:$AF,F$1+4,FALSE)</f>
        <v>0</v>
      </c>
      <c r="G123" s="38">
        <f>VLOOKUP($B123,DATA!$C:$AF,G$1+4,FALSE)</f>
        <v>0</v>
      </c>
      <c r="H123" s="38">
        <f>VLOOKUP($B123,DATA!$C:$AF,H$1+4,FALSE)</f>
        <v>0</v>
      </c>
      <c r="I123" s="38">
        <f>VLOOKUP($B123,DATA!$C:$AF,I$1+4,FALSE)</f>
        <v>0</v>
      </c>
      <c r="J123" s="38">
        <f>VLOOKUP($B123,DATA!$C:$AF,J$1+4,FALSE)</f>
        <v>0</v>
      </c>
      <c r="K123" s="38">
        <f>VLOOKUP($B123,DATA!$C:$AF,K$1+4,FALSE)</f>
        <v>0</v>
      </c>
      <c r="L123" s="38">
        <f>VLOOKUP($B123,DATA!$C:$AF,L$1+4,FALSE)</f>
        <v>0</v>
      </c>
      <c r="M123" s="38">
        <f>VLOOKUP($B123,DATA!$C:$AF,M$1+4,FALSE)</f>
        <v>0</v>
      </c>
      <c r="N123" s="38">
        <f>VLOOKUP($B123,DATA!$C:$AF,N$1+4,FALSE)</f>
        <v>0</v>
      </c>
      <c r="O123" s="38">
        <f>VLOOKUP($B123,DATA!$C:$AF,O$1+4,FALSE)</f>
        <v>0</v>
      </c>
      <c r="P123" s="38">
        <f>VLOOKUP($B123,DATA!$C:$AF,P$1+4,FALSE)</f>
        <v>0</v>
      </c>
      <c r="Q123" s="16">
        <f t="shared" si="2"/>
        <v>0</v>
      </c>
      <c r="R123" s="17">
        <v>0</v>
      </c>
      <c r="S123" s="17">
        <f t="shared" si="8"/>
        <v>0</v>
      </c>
    </row>
    <row r="124" spans="1:19" ht="17.5" thickBot="1">
      <c r="A124" s="11" t="s">
        <v>604</v>
      </c>
      <c r="B124" s="13" t="s">
        <v>186</v>
      </c>
      <c r="C124" s="13" t="s">
        <v>187</v>
      </c>
      <c r="D124" s="14" t="s">
        <v>579</v>
      </c>
      <c r="E124" s="38" t="str">
        <f>VLOOKUP($B124,DATA!$C:$AF,E$1+4,FALSE)</f>
        <v>P</v>
      </c>
      <c r="F124" s="38" t="str">
        <f>VLOOKUP($B124,DATA!$C:$AF,F$1+4,FALSE)</f>
        <v>P</v>
      </c>
      <c r="G124" s="38" t="str">
        <f>VLOOKUP($B124,DATA!$C:$AF,G$1+4,FALSE)</f>
        <v>P</v>
      </c>
      <c r="H124" s="38" t="str">
        <f>VLOOKUP($B124,DATA!$C:$AF,H$1+4,FALSE)</f>
        <v>P</v>
      </c>
      <c r="I124" s="38" t="str">
        <f>VLOOKUP($B124,DATA!$C:$AF,I$1+4,FALSE)</f>
        <v>P</v>
      </c>
      <c r="J124" s="38" t="str">
        <f>VLOOKUP($B124,DATA!$C:$AF,J$1+4,FALSE)</f>
        <v>P</v>
      </c>
      <c r="K124" s="38" t="str">
        <f>VLOOKUP($B124,DATA!$C:$AF,K$1+4,FALSE)</f>
        <v>P</v>
      </c>
      <c r="L124" s="38" t="str">
        <f>VLOOKUP($B124,DATA!$C:$AF,L$1+4,FALSE)</f>
        <v>P</v>
      </c>
      <c r="M124" s="38" t="str">
        <f>VLOOKUP($B124,DATA!$C:$AF,M$1+4,FALSE)</f>
        <v>P</v>
      </c>
      <c r="N124" s="38" t="str">
        <f>VLOOKUP($B124,DATA!$C:$AF,N$1+4,FALSE)</f>
        <v>P</v>
      </c>
      <c r="O124" s="38" t="str">
        <f>VLOOKUP($B124,DATA!$C:$AF,O$1+4,FALSE)</f>
        <v>P</v>
      </c>
      <c r="P124" s="38" t="str">
        <f>VLOOKUP($B124,DATA!$C:$AF,P$1+4,FALSE)</f>
        <v>P</v>
      </c>
      <c r="Q124" s="16">
        <f t="shared" si="2"/>
        <v>12</v>
      </c>
      <c r="R124" s="17">
        <v>6</v>
      </c>
      <c r="S124" s="17">
        <f t="shared" si="8"/>
        <v>15</v>
      </c>
    </row>
    <row r="125" spans="1:19" ht="17.5" thickBot="1">
      <c r="A125" s="11" t="s">
        <v>604</v>
      </c>
      <c r="B125" s="21" t="s">
        <v>224</v>
      </c>
      <c r="C125" s="13" t="s">
        <v>225</v>
      </c>
      <c r="D125" s="14" t="s">
        <v>579</v>
      </c>
      <c r="E125" s="38">
        <f>VLOOKUP($B125,DATA!$C:$AF,E$1+4,FALSE)</f>
        <v>0</v>
      </c>
      <c r="F125" s="38">
        <f>VLOOKUP($B125,DATA!$C:$AF,F$1+4,FALSE)</f>
        <v>0</v>
      </c>
      <c r="G125" s="38">
        <f>VLOOKUP($B125,DATA!$C:$AF,G$1+4,FALSE)</f>
        <v>0</v>
      </c>
      <c r="H125" s="38">
        <f>VLOOKUP($B125,DATA!$C:$AF,H$1+4,FALSE)</f>
        <v>0</v>
      </c>
      <c r="I125" s="38">
        <f>VLOOKUP($B125,DATA!$C:$AF,I$1+4,FALSE)</f>
        <v>0</v>
      </c>
      <c r="J125" s="38">
        <f>VLOOKUP($B125,DATA!$C:$AF,J$1+4,FALSE)</f>
        <v>0</v>
      </c>
      <c r="K125" s="38">
        <f>VLOOKUP($B125,DATA!$C:$AF,K$1+4,FALSE)</f>
        <v>0</v>
      </c>
      <c r="L125" s="38">
        <f>VLOOKUP($B125,DATA!$C:$AF,L$1+4,FALSE)</f>
        <v>0</v>
      </c>
      <c r="M125" s="38">
        <f>VLOOKUP($B125,DATA!$C:$AF,M$1+4,FALSE)</f>
        <v>0</v>
      </c>
      <c r="N125" s="38">
        <f>VLOOKUP($B125,DATA!$C:$AF,N$1+4,FALSE)</f>
        <v>0</v>
      </c>
      <c r="O125" s="38">
        <f>VLOOKUP($B125,DATA!$C:$AF,O$1+4,FALSE)</f>
        <v>0</v>
      </c>
      <c r="P125" s="38">
        <f>VLOOKUP($B125,DATA!$C:$AF,P$1+4,FALSE)</f>
        <v>0</v>
      </c>
      <c r="Q125" s="16">
        <f t="shared" si="2"/>
        <v>0</v>
      </c>
      <c r="R125" s="17">
        <v>0</v>
      </c>
      <c r="S125" s="17">
        <f t="shared" si="8"/>
        <v>0</v>
      </c>
    </row>
    <row r="126" spans="1:19" ht="17.5" thickBot="1">
      <c r="A126" s="11" t="s">
        <v>604</v>
      </c>
      <c r="B126" s="22" t="s">
        <v>226</v>
      </c>
      <c r="C126" s="13" t="s">
        <v>227</v>
      </c>
      <c r="D126" s="14" t="s">
        <v>579</v>
      </c>
      <c r="E126" s="38" t="str">
        <f>VLOOKUP($B126,DATA!$C:$AF,E$1+4,FALSE)</f>
        <v>P</v>
      </c>
      <c r="F126" s="38" t="str">
        <f>VLOOKUP($B126,DATA!$C:$AF,F$1+4,FALSE)</f>
        <v>P</v>
      </c>
      <c r="G126" s="38" t="str">
        <f>VLOOKUP($B126,DATA!$C:$AF,G$1+4,FALSE)</f>
        <v>P</v>
      </c>
      <c r="H126" s="38" t="str">
        <f>VLOOKUP($B126,DATA!$C:$AF,H$1+4,FALSE)</f>
        <v>P</v>
      </c>
      <c r="I126" s="38" t="str">
        <f>VLOOKUP($B126,DATA!$C:$AF,I$1+4,FALSE)</f>
        <v>P</v>
      </c>
      <c r="J126" s="38" t="str">
        <f>VLOOKUP($B126,DATA!$C:$AF,J$1+4,FALSE)</f>
        <v>P</v>
      </c>
      <c r="K126" s="38" t="str">
        <f>VLOOKUP($B126,DATA!$C:$AF,K$1+4,FALSE)</f>
        <v>P</v>
      </c>
      <c r="L126" s="38" t="str">
        <f>VLOOKUP($B126,DATA!$C:$AF,L$1+4,FALSE)</f>
        <v>P</v>
      </c>
      <c r="M126" s="38" t="str">
        <f>VLOOKUP($B126,DATA!$C:$AF,M$1+4,FALSE)</f>
        <v>P</v>
      </c>
      <c r="N126" s="38" t="str">
        <f>VLOOKUP($B126,DATA!$C:$AF,N$1+4,FALSE)</f>
        <v>P</v>
      </c>
      <c r="O126" s="38" t="str">
        <f>VLOOKUP($B126,DATA!$C:$AF,O$1+4,FALSE)</f>
        <v>P</v>
      </c>
      <c r="P126" s="38" t="str">
        <f>VLOOKUP($B126,DATA!$C:$AF,P$1+4,FALSE)</f>
        <v>P</v>
      </c>
      <c r="Q126" s="16">
        <f t="shared" si="2"/>
        <v>12</v>
      </c>
      <c r="R126" s="17">
        <v>6</v>
      </c>
      <c r="S126" s="17">
        <f t="shared" si="8"/>
        <v>15</v>
      </c>
    </row>
    <row r="127" spans="1:19" ht="17.5" thickBot="1">
      <c r="A127" s="11" t="s">
        <v>604</v>
      </c>
      <c r="B127" s="22" t="s">
        <v>228</v>
      </c>
      <c r="C127" s="13" t="s">
        <v>229</v>
      </c>
      <c r="D127" s="14" t="s">
        <v>579</v>
      </c>
      <c r="E127" s="38" t="str">
        <f>VLOOKUP($B127,DATA!$C:$AF,E$1+4,FALSE)</f>
        <v>P</v>
      </c>
      <c r="F127" s="38" t="str">
        <f>VLOOKUP($B127,DATA!$C:$AF,F$1+4,FALSE)</f>
        <v>P</v>
      </c>
      <c r="G127" s="38" t="str">
        <f>VLOOKUP($B127,DATA!$C:$AF,G$1+4,FALSE)</f>
        <v>P</v>
      </c>
      <c r="H127" s="38" t="str">
        <f>VLOOKUP($B127,DATA!$C:$AF,H$1+4,FALSE)</f>
        <v>P</v>
      </c>
      <c r="I127" s="38" t="str">
        <f>VLOOKUP($B127,DATA!$C:$AF,I$1+4,FALSE)</f>
        <v>P</v>
      </c>
      <c r="J127" s="38" t="str">
        <f>VLOOKUP($B127,DATA!$C:$AF,J$1+4,FALSE)</f>
        <v>P</v>
      </c>
      <c r="K127" s="38" t="str">
        <f>VLOOKUP($B127,DATA!$C:$AF,K$1+4,FALSE)</f>
        <v>P</v>
      </c>
      <c r="L127" s="38" t="str">
        <f>VLOOKUP($B127,DATA!$C:$AF,L$1+4,FALSE)</f>
        <v>P</v>
      </c>
      <c r="M127" s="38" t="str">
        <f>VLOOKUP($B127,DATA!$C:$AF,M$1+4,FALSE)</f>
        <v>P</v>
      </c>
      <c r="N127" s="38" t="str">
        <f>VLOOKUP($B127,DATA!$C:$AF,N$1+4,FALSE)</f>
        <v>P</v>
      </c>
      <c r="O127" s="38" t="str">
        <f>VLOOKUP($B127,DATA!$C:$AF,O$1+4,FALSE)</f>
        <v>P</v>
      </c>
      <c r="P127" s="38" t="str">
        <f>VLOOKUP($B127,DATA!$C:$AF,P$1+4,FALSE)</f>
        <v>P</v>
      </c>
      <c r="Q127" s="16">
        <f t="shared" si="2"/>
        <v>12</v>
      </c>
      <c r="R127" s="17">
        <v>6</v>
      </c>
      <c r="S127" s="17">
        <f t="shared" si="8"/>
        <v>15</v>
      </c>
    </row>
    <row r="128" spans="1:19" ht="17.5" thickBot="1">
      <c r="A128" s="11" t="s">
        <v>604</v>
      </c>
      <c r="B128" s="22" t="s">
        <v>202</v>
      </c>
      <c r="C128" s="13" t="s">
        <v>203</v>
      </c>
      <c r="D128" s="14" t="s">
        <v>579</v>
      </c>
      <c r="E128" s="38" t="str">
        <f>VLOOKUP($B128,DATA!$C:$AF,E$1+4,FALSE)</f>
        <v>P</v>
      </c>
      <c r="F128" s="38" t="str">
        <f>VLOOKUP($B128,DATA!$C:$AF,F$1+4,FALSE)</f>
        <v>P</v>
      </c>
      <c r="G128" s="38" t="str">
        <f>VLOOKUP($B128,DATA!$C:$AF,G$1+4,FALSE)</f>
        <v>P</v>
      </c>
      <c r="H128" s="38" t="str">
        <f>VLOOKUP($B128,DATA!$C:$AF,H$1+4,FALSE)</f>
        <v>P</v>
      </c>
      <c r="I128" s="38" t="str">
        <f>VLOOKUP($B128,DATA!$C:$AF,I$1+4,FALSE)</f>
        <v>P</v>
      </c>
      <c r="J128" s="38" t="str">
        <f>VLOOKUP($B128,DATA!$C:$AF,J$1+4,FALSE)</f>
        <v>P</v>
      </c>
      <c r="K128" s="38" t="str">
        <f>VLOOKUP($B128,DATA!$C:$AF,K$1+4,FALSE)</f>
        <v>P</v>
      </c>
      <c r="L128" s="38" t="str">
        <f>VLOOKUP($B128,DATA!$C:$AF,L$1+4,FALSE)</f>
        <v>P</v>
      </c>
      <c r="M128" s="38" t="str">
        <f>VLOOKUP($B128,DATA!$C:$AF,M$1+4,FALSE)</f>
        <v>P</v>
      </c>
      <c r="N128" s="38" t="str">
        <f>VLOOKUP($B128,DATA!$C:$AF,N$1+4,FALSE)</f>
        <v>P</v>
      </c>
      <c r="O128" s="38" t="str">
        <f>VLOOKUP($B128,DATA!$C:$AF,O$1+4,FALSE)</f>
        <v>P</v>
      </c>
      <c r="P128" s="38" t="str">
        <f>VLOOKUP($B128,DATA!$C:$AF,P$1+4,FALSE)</f>
        <v>P</v>
      </c>
      <c r="Q128" s="16">
        <f t="shared" si="2"/>
        <v>12</v>
      </c>
      <c r="R128" s="17">
        <v>6</v>
      </c>
      <c r="S128" s="17">
        <f t="shared" si="8"/>
        <v>15</v>
      </c>
    </row>
    <row r="129" spans="1:19" ht="17.5" thickBot="1">
      <c r="A129" s="11" t="s">
        <v>604</v>
      </c>
      <c r="B129" s="22" t="s">
        <v>230</v>
      </c>
      <c r="C129" s="13" t="s">
        <v>231</v>
      </c>
      <c r="D129" s="14" t="s">
        <v>579</v>
      </c>
      <c r="E129" s="38">
        <f>VLOOKUP($B129,DATA!$C:$AF,E$1+4,FALSE)</f>
        <v>0</v>
      </c>
      <c r="F129" s="38">
        <f>VLOOKUP($B129,DATA!$C:$AF,F$1+4,FALSE)</f>
        <v>0</v>
      </c>
      <c r="G129" s="38">
        <f>VLOOKUP($B129,DATA!$C:$AF,G$1+4,FALSE)</f>
        <v>0</v>
      </c>
      <c r="H129" s="38">
        <f>VLOOKUP($B129,DATA!$C:$AF,H$1+4,FALSE)</f>
        <v>0</v>
      </c>
      <c r="I129" s="38">
        <f>VLOOKUP($B129,DATA!$C:$AF,I$1+4,FALSE)</f>
        <v>0</v>
      </c>
      <c r="J129" s="38">
        <f>VLOOKUP($B129,DATA!$C:$AF,J$1+4,FALSE)</f>
        <v>0</v>
      </c>
      <c r="K129" s="38">
        <f>VLOOKUP($B129,DATA!$C:$AF,K$1+4,FALSE)</f>
        <v>0</v>
      </c>
      <c r="L129" s="38">
        <f>VLOOKUP($B129,DATA!$C:$AF,L$1+4,FALSE)</f>
        <v>0</v>
      </c>
      <c r="M129" s="38">
        <f>VLOOKUP($B129,DATA!$C:$AF,M$1+4,FALSE)</f>
        <v>0</v>
      </c>
      <c r="N129" s="38">
        <f>VLOOKUP($B129,DATA!$C:$AF,N$1+4,FALSE)</f>
        <v>0</v>
      </c>
      <c r="O129" s="38">
        <f>VLOOKUP($B129,DATA!$C:$AF,O$1+4,FALSE)</f>
        <v>0</v>
      </c>
      <c r="P129" s="38">
        <f>VLOOKUP($B129,DATA!$C:$AF,P$1+4,FALSE)</f>
        <v>0</v>
      </c>
      <c r="Q129" s="16">
        <f t="shared" si="2"/>
        <v>0</v>
      </c>
      <c r="R129" s="17">
        <v>0</v>
      </c>
      <c r="S129" s="17">
        <f t="shared" si="8"/>
        <v>0</v>
      </c>
    </row>
    <row r="130" spans="1:19" ht="17.5" thickBot="1">
      <c r="A130" s="11" t="s">
        <v>604</v>
      </c>
      <c r="B130" s="22" t="s">
        <v>232</v>
      </c>
      <c r="C130" s="13" t="s">
        <v>233</v>
      </c>
      <c r="D130" s="14" t="s">
        <v>579</v>
      </c>
      <c r="E130" s="38">
        <f>VLOOKUP($B130,DATA!$C:$AF,E$1+4,FALSE)</f>
        <v>0</v>
      </c>
      <c r="F130" s="38">
        <f>VLOOKUP($B130,DATA!$C:$AF,F$1+4,FALSE)</f>
        <v>0</v>
      </c>
      <c r="G130" s="38">
        <f>VLOOKUP($B130,DATA!$C:$AF,G$1+4,FALSE)</f>
        <v>0</v>
      </c>
      <c r="H130" s="38">
        <f>VLOOKUP($B130,DATA!$C:$AF,H$1+4,FALSE)</f>
        <v>0</v>
      </c>
      <c r="I130" s="38">
        <f>VLOOKUP($B130,DATA!$C:$AF,I$1+4,FALSE)</f>
        <v>0</v>
      </c>
      <c r="J130" s="38">
        <f>VLOOKUP($B130,DATA!$C:$AF,J$1+4,FALSE)</f>
        <v>0</v>
      </c>
      <c r="K130" s="38">
        <f>VLOOKUP($B130,DATA!$C:$AF,K$1+4,FALSE)</f>
        <v>0</v>
      </c>
      <c r="L130" s="38">
        <f>VLOOKUP($B130,DATA!$C:$AF,L$1+4,FALSE)</f>
        <v>0</v>
      </c>
      <c r="M130" s="38">
        <f>VLOOKUP($B130,DATA!$C:$AF,M$1+4,FALSE)</f>
        <v>0</v>
      </c>
      <c r="N130" s="38">
        <f>VLOOKUP($B130,DATA!$C:$AF,N$1+4,FALSE)</f>
        <v>0</v>
      </c>
      <c r="O130" s="38">
        <f>VLOOKUP($B130,DATA!$C:$AF,O$1+4,FALSE)</f>
        <v>0</v>
      </c>
      <c r="P130" s="38">
        <f>VLOOKUP($B130,DATA!$C:$AF,P$1+4,FALSE)</f>
        <v>0</v>
      </c>
      <c r="Q130" s="16">
        <f t="shared" si="2"/>
        <v>0</v>
      </c>
      <c r="R130" s="17">
        <v>0</v>
      </c>
      <c r="S130" s="17">
        <f>IF(R130=0,0,IF(R130&lt;=8,15,10))</f>
        <v>0</v>
      </c>
    </row>
    <row r="131" spans="1:19" ht="17.5" thickBot="1">
      <c r="A131" s="11" t="s">
        <v>604</v>
      </c>
      <c r="B131" s="22" t="s">
        <v>234</v>
      </c>
      <c r="C131" s="13" t="s">
        <v>235</v>
      </c>
      <c r="D131" s="14" t="s">
        <v>584</v>
      </c>
      <c r="E131" s="38">
        <f>VLOOKUP($B131,DATA!$C:$AF,E$1+4,FALSE)</f>
        <v>0</v>
      </c>
      <c r="F131" s="38">
        <f>VLOOKUP($B131,DATA!$C:$AF,F$1+4,FALSE)</f>
        <v>0</v>
      </c>
      <c r="G131" s="38">
        <f>VLOOKUP($B131,DATA!$C:$AF,G$1+4,FALSE)</f>
        <v>0</v>
      </c>
      <c r="H131" s="38">
        <f>VLOOKUP($B131,DATA!$C:$AF,H$1+4,FALSE)</f>
        <v>0</v>
      </c>
      <c r="I131" s="38">
        <f>VLOOKUP($B131,DATA!$C:$AF,I$1+4,FALSE)</f>
        <v>0</v>
      </c>
      <c r="J131" s="38">
        <f>VLOOKUP($B131,DATA!$C:$AF,J$1+4,FALSE)</f>
        <v>0</v>
      </c>
      <c r="K131" s="38">
        <f>VLOOKUP($B131,DATA!$C:$AF,K$1+4,FALSE)</f>
        <v>0</v>
      </c>
      <c r="L131" s="38">
        <f>VLOOKUP($B131,DATA!$C:$AF,L$1+4,FALSE)</f>
        <v>0</v>
      </c>
      <c r="M131" s="38">
        <f>VLOOKUP($B131,DATA!$C:$AF,M$1+4,FALSE)</f>
        <v>0</v>
      </c>
      <c r="N131" s="38">
        <f>VLOOKUP($B131,DATA!$C:$AF,N$1+4,FALSE)</f>
        <v>0</v>
      </c>
      <c r="O131" s="38">
        <f>VLOOKUP($B131,DATA!$C:$AF,O$1+4,FALSE)</f>
        <v>0</v>
      </c>
      <c r="P131" s="38">
        <f>VLOOKUP($B131,DATA!$C:$AF,P$1+4,FALSE)</f>
        <v>0</v>
      </c>
      <c r="Q131" s="16">
        <f t="shared" ref="Q131:Q169" si="9">COUNTIF(E131:P131,"P")</f>
        <v>0</v>
      </c>
      <c r="R131" s="17">
        <v>0</v>
      </c>
      <c r="S131" s="17">
        <f t="shared" ref="S131:S149" si="10">IF(R131=0,0,IF(R131&lt;=8,15,10))</f>
        <v>0</v>
      </c>
    </row>
    <row r="132" spans="1:19" ht="17.5" thickBot="1">
      <c r="A132" s="11" t="s">
        <v>604</v>
      </c>
      <c r="B132" s="22" t="s">
        <v>236</v>
      </c>
      <c r="C132" s="13" t="s">
        <v>237</v>
      </c>
      <c r="D132" s="14" t="s">
        <v>579</v>
      </c>
      <c r="E132" s="38">
        <f>VLOOKUP($B132,DATA!$C:$AF,E$1+4,FALSE)</f>
        <v>0</v>
      </c>
      <c r="F132" s="38">
        <f>VLOOKUP($B132,DATA!$C:$AF,F$1+4,FALSE)</f>
        <v>0</v>
      </c>
      <c r="G132" s="38">
        <f>VLOOKUP($B132,DATA!$C:$AF,G$1+4,FALSE)</f>
        <v>0</v>
      </c>
      <c r="H132" s="38">
        <f>VLOOKUP($B132,DATA!$C:$AF,H$1+4,FALSE)</f>
        <v>0</v>
      </c>
      <c r="I132" s="38">
        <f>VLOOKUP($B132,DATA!$C:$AF,I$1+4,FALSE)</f>
        <v>0</v>
      </c>
      <c r="J132" s="38">
        <f>VLOOKUP($B132,DATA!$C:$AF,J$1+4,FALSE)</f>
        <v>0</v>
      </c>
      <c r="K132" s="38">
        <f>VLOOKUP($B132,DATA!$C:$AF,K$1+4,FALSE)</f>
        <v>0</v>
      </c>
      <c r="L132" s="38">
        <f>VLOOKUP($B132,DATA!$C:$AF,L$1+4,FALSE)</f>
        <v>0</v>
      </c>
      <c r="M132" s="38">
        <f>VLOOKUP($B132,DATA!$C:$AF,M$1+4,FALSE)</f>
        <v>0</v>
      </c>
      <c r="N132" s="38">
        <f>VLOOKUP($B132,DATA!$C:$AF,N$1+4,FALSE)</f>
        <v>0</v>
      </c>
      <c r="O132" s="38">
        <f>VLOOKUP($B132,DATA!$C:$AF,O$1+4,FALSE)</f>
        <v>0</v>
      </c>
      <c r="P132" s="38">
        <f>VLOOKUP($B132,DATA!$C:$AF,P$1+4,FALSE)</f>
        <v>0</v>
      </c>
      <c r="Q132" s="16">
        <f t="shared" si="9"/>
        <v>0</v>
      </c>
      <c r="R132" s="17">
        <v>0</v>
      </c>
      <c r="S132" s="17">
        <f t="shared" si="10"/>
        <v>0</v>
      </c>
    </row>
    <row r="133" spans="1:19" ht="17.5" thickBot="1">
      <c r="A133" s="11" t="s">
        <v>604</v>
      </c>
      <c r="B133" s="22" t="s">
        <v>204</v>
      </c>
      <c r="C133" s="13" t="s">
        <v>205</v>
      </c>
      <c r="D133" s="14" t="s">
        <v>579</v>
      </c>
      <c r="E133" s="38">
        <f>VLOOKUP($B133,DATA!$C:$AF,E$1+4,FALSE)</f>
        <v>0</v>
      </c>
      <c r="F133" s="38">
        <f>VLOOKUP($B133,DATA!$C:$AF,F$1+4,FALSE)</f>
        <v>0</v>
      </c>
      <c r="G133" s="38">
        <f>VLOOKUP($B133,DATA!$C:$AF,G$1+4,FALSE)</f>
        <v>0</v>
      </c>
      <c r="H133" s="38">
        <f>VLOOKUP($B133,DATA!$C:$AF,H$1+4,FALSE)</f>
        <v>0</v>
      </c>
      <c r="I133" s="38">
        <f>VLOOKUP($B133,DATA!$C:$AF,I$1+4,FALSE)</f>
        <v>0</v>
      </c>
      <c r="J133" s="38">
        <f>VLOOKUP($B133,DATA!$C:$AF,J$1+4,FALSE)</f>
        <v>0</v>
      </c>
      <c r="K133" s="38">
        <f>VLOOKUP($B133,DATA!$C:$AF,K$1+4,FALSE)</f>
        <v>0</v>
      </c>
      <c r="L133" s="38">
        <f>VLOOKUP($B133,DATA!$C:$AF,L$1+4,FALSE)</f>
        <v>0</v>
      </c>
      <c r="M133" s="38">
        <f>VLOOKUP($B133,DATA!$C:$AF,M$1+4,FALSE)</f>
        <v>0</v>
      </c>
      <c r="N133" s="38">
        <f>VLOOKUP($B133,DATA!$C:$AF,N$1+4,FALSE)</f>
        <v>0</v>
      </c>
      <c r="O133" s="38">
        <f>VLOOKUP($B133,DATA!$C:$AF,O$1+4,FALSE)</f>
        <v>0</v>
      </c>
      <c r="P133" s="38">
        <f>VLOOKUP($B133,DATA!$C:$AF,P$1+4,FALSE)</f>
        <v>0</v>
      </c>
      <c r="Q133" s="16">
        <f t="shared" si="9"/>
        <v>0</v>
      </c>
      <c r="R133" s="17">
        <v>0</v>
      </c>
      <c r="S133" s="17">
        <f t="shared" si="10"/>
        <v>0</v>
      </c>
    </row>
    <row r="134" spans="1:19" ht="17.5" thickBot="1">
      <c r="A134" s="11" t="s">
        <v>604</v>
      </c>
      <c r="B134" s="22" t="s">
        <v>238</v>
      </c>
      <c r="C134" s="13" t="s">
        <v>239</v>
      </c>
      <c r="D134" s="14" t="s">
        <v>579</v>
      </c>
      <c r="E134" s="38">
        <f>VLOOKUP($B134,DATA!$C:$AF,E$1+4,FALSE)</f>
        <v>0</v>
      </c>
      <c r="F134" s="38">
        <f>VLOOKUP($B134,DATA!$C:$AF,F$1+4,FALSE)</f>
        <v>0</v>
      </c>
      <c r="G134" s="38">
        <f>VLOOKUP($B134,DATA!$C:$AF,G$1+4,FALSE)</f>
        <v>0</v>
      </c>
      <c r="H134" s="38">
        <f>VLOOKUP($B134,DATA!$C:$AF,H$1+4,FALSE)</f>
        <v>0</v>
      </c>
      <c r="I134" s="38">
        <f>VLOOKUP($B134,DATA!$C:$AF,I$1+4,FALSE)</f>
        <v>0</v>
      </c>
      <c r="J134" s="38">
        <f>VLOOKUP($B134,DATA!$C:$AF,J$1+4,FALSE)</f>
        <v>0</v>
      </c>
      <c r="K134" s="38">
        <f>VLOOKUP($B134,DATA!$C:$AF,K$1+4,FALSE)</f>
        <v>0</v>
      </c>
      <c r="L134" s="38">
        <f>VLOOKUP($B134,DATA!$C:$AF,L$1+4,FALSE)</f>
        <v>0</v>
      </c>
      <c r="M134" s="38">
        <f>VLOOKUP($B134,DATA!$C:$AF,M$1+4,FALSE)</f>
        <v>0</v>
      </c>
      <c r="N134" s="38">
        <f>VLOOKUP($B134,DATA!$C:$AF,N$1+4,FALSE)</f>
        <v>0</v>
      </c>
      <c r="O134" s="38">
        <f>VLOOKUP($B134,DATA!$C:$AF,O$1+4,FALSE)</f>
        <v>0</v>
      </c>
      <c r="P134" s="38">
        <f>VLOOKUP($B134,DATA!$C:$AF,P$1+4,FALSE)</f>
        <v>0</v>
      </c>
      <c r="Q134" s="16">
        <f t="shared" si="9"/>
        <v>0</v>
      </c>
      <c r="R134" s="17">
        <v>0</v>
      </c>
      <c r="S134" s="17">
        <f t="shared" si="10"/>
        <v>0</v>
      </c>
    </row>
    <row r="135" spans="1:19" ht="17.5" thickBot="1">
      <c r="A135" s="11" t="s">
        <v>604</v>
      </c>
      <c r="B135" s="22" t="s">
        <v>240</v>
      </c>
      <c r="C135" s="13" t="s">
        <v>241</v>
      </c>
      <c r="D135" s="14" t="s">
        <v>584</v>
      </c>
      <c r="E135" s="38">
        <f>VLOOKUP($B135,DATA!$C:$AF,E$1+4,FALSE)</f>
        <v>0</v>
      </c>
      <c r="F135" s="38">
        <f>VLOOKUP($B135,DATA!$C:$AF,F$1+4,FALSE)</f>
        <v>0</v>
      </c>
      <c r="G135" s="38">
        <f>VLOOKUP($B135,DATA!$C:$AF,G$1+4,FALSE)</f>
        <v>0</v>
      </c>
      <c r="H135" s="38">
        <f>VLOOKUP($B135,DATA!$C:$AF,H$1+4,FALSE)</f>
        <v>0</v>
      </c>
      <c r="I135" s="38">
        <f>VLOOKUP($B135,DATA!$C:$AF,I$1+4,FALSE)</f>
        <v>0</v>
      </c>
      <c r="J135" s="38">
        <f>VLOOKUP($B135,DATA!$C:$AF,J$1+4,FALSE)</f>
        <v>0</v>
      </c>
      <c r="K135" s="38">
        <f>VLOOKUP($B135,DATA!$C:$AF,K$1+4,FALSE)</f>
        <v>0</v>
      </c>
      <c r="L135" s="38">
        <f>VLOOKUP($B135,DATA!$C:$AF,L$1+4,FALSE)</f>
        <v>0</v>
      </c>
      <c r="M135" s="38">
        <f>VLOOKUP($B135,DATA!$C:$AF,M$1+4,FALSE)</f>
        <v>0</v>
      </c>
      <c r="N135" s="38">
        <f>VLOOKUP($B135,DATA!$C:$AF,N$1+4,FALSE)</f>
        <v>0</v>
      </c>
      <c r="O135" s="38">
        <f>VLOOKUP($B135,DATA!$C:$AF,O$1+4,FALSE)</f>
        <v>0</v>
      </c>
      <c r="P135" s="38">
        <f>VLOOKUP($B135,DATA!$C:$AF,P$1+4,FALSE)</f>
        <v>0</v>
      </c>
      <c r="Q135" s="16">
        <f t="shared" si="9"/>
        <v>0</v>
      </c>
      <c r="R135" s="17">
        <v>0</v>
      </c>
      <c r="S135" s="17">
        <f t="shared" si="10"/>
        <v>0</v>
      </c>
    </row>
    <row r="136" spans="1:19" ht="17.5" thickBot="1">
      <c r="A136" s="11" t="s">
        <v>605</v>
      </c>
      <c r="B136" s="27" t="s">
        <v>242</v>
      </c>
      <c r="C136" s="13" t="s">
        <v>243</v>
      </c>
      <c r="D136" s="14" t="s">
        <v>579</v>
      </c>
      <c r="E136" s="38">
        <f>VLOOKUP($B136,DATA!$C:$AF,E$1+4,FALSE)</f>
        <v>0</v>
      </c>
      <c r="F136" s="38">
        <f>VLOOKUP($B136,DATA!$C:$AF,F$1+4,FALSE)</f>
        <v>0</v>
      </c>
      <c r="G136" s="38">
        <f>VLOOKUP($B136,DATA!$C:$AF,G$1+4,FALSE)</f>
        <v>0</v>
      </c>
      <c r="H136" s="38">
        <f>VLOOKUP($B136,DATA!$C:$AF,H$1+4,FALSE)</f>
        <v>0</v>
      </c>
      <c r="I136" s="38">
        <f>VLOOKUP($B136,DATA!$C:$AF,I$1+4,FALSE)</f>
        <v>0</v>
      </c>
      <c r="J136" s="38">
        <f>VLOOKUP($B136,DATA!$C:$AF,J$1+4,FALSE)</f>
        <v>0</v>
      </c>
      <c r="K136" s="38">
        <f>VLOOKUP($B136,DATA!$C:$AF,K$1+4,FALSE)</f>
        <v>0</v>
      </c>
      <c r="L136" s="38">
        <f>VLOOKUP($B136,DATA!$C:$AF,L$1+4,FALSE)</f>
        <v>0</v>
      </c>
      <c r="M136" s="38">
        <f>VLOOKUP($B136,DATA!$C:$AF,M$1+4,FALSE)</f>
        <v>0</v>
      </c>
      <c r="N136" s="38">
        <f>VLOOKUP($B136,DATA!$C:$AF,N$1+4,FALSE)</f>
        <v>0</v>
      </c>
      <c r="O136" s="38">
        <f>VLOOKUP($B136,DATA!$C:$AF,O$1+4,FALSE)</f>
        <v>0</v>
      </c>
      <c r="P136" s="38">
        <f>VLOOKUP($B136,DATA!$C:$AF,P$1+4,FALSE)</f>
        <v>0</v>
      </c>
      <c r="Q136" s="16">
        <f t="shared" si="9"/>
        <v>0</v>
      </c>
      <c r="R136" s="17">
        <v>0</v>
      </c>
      <c r="S136" s="17">
        <f t="shared" si="10"/>
        <v>0</v>
      </c>
    </row>
    <row r="137" spans="1:19" ht="17.5" thickBot="1">
      <c r="A137" s="11" t="s">
        <v>605</v>
      </c>
      <c r="B137" s="23" t="s">
        <v>244</v>
      </c>
      <c r="C137" s="13" t="s">
        <v>245</v>
      </c>
      <c r="D137" s="14" t="s">
        <v>579</v>
      </c>
      <c r="E137" s="38" t="str">
        <f>VLOOKUP($B137,DATA!$C:$AF,E$1+4,FALSE)</f>
        <v>P</v>
      </c>
      <c r="F137" s="38" t="str">
        <f>VLOOKUP($B137,DATA!$C:$AF,F$1+4,FALSE)</f>
        <v>P</v>
      </c>
      <c r="G137" s="38" t="str">
        <f>VLOOKUP($B137,DATA!$C:$AF,G$1+4,FALSE)</f>
        <v>P</v>
      </c>
      <c r="H137" s="38" t="str">
        <f>VLOOKUP($B137,DATA!$C:$AF,H$1+4,FALSE)</f>
        <v>P</v>
      </c>
      <c r="I137" s="38" t="str">
        <f>VLOOKUP($B137,DATA!$C:$AF,I$1+4,FALSE)</f>
        <v>P</v>
      </c>
      <c r="J137" s="38" t="str">
        <f>VLOOKUP($B137,DATA!$C:$AF,J$1+4,FALSE)</f>
        <v>P</v>
      </c>
      <c r="K137" s="38" t="str">
        <f>VLOOKUP($B137,DATA!$C:$AF,K$1+4,FALSE)</f>
        <v>P</v>
      </c>
      <c r="L137" s="38" t="str">
        <f>VLOOKUP($B137,DATA!$C:$AF,L$1+4,FALSE)</f>
        <v>P</v>
      </c>
      <c r="M137" s="38" t="str">
        <f>VLOOKUP($B137,DATA!$C:$AF,M$1+4,FALSE)</f>
        <v>P</v>
      </c>
      <c r="N137" s="38" t="str">
        <f>VLOOKUP($B137,DATA!$C:$AF,N$1+4,FALSE)</f>
        <v>P</v>
      </c>
      <c r="O137" s="38" t="str">
        <f>VLOOKUP($B137,DATA!$C:$AF,O$1+4,FALSE)</f>
        <v>P</v>
      </c>
      <c r="P137" s="38" t="str">
        <f>VLOOKUP($B137,DATA!$C:$AF,P$1+4,FALSE)</f>
        <v>P</v>
      </c>
      <c r="Q137" s="16">
        <f t="shared" si="9"/>
        <v>12</v>
      </c>
      <c r="R137" s="17">
        <v>8</v>
      </c>
      <c r="S137" s="17">
        <f t="shared" si="10"/>
        <v>15</v>
      </c>
    </row>
    <row r="138" spans="1:19" ht="17.5" thickBot="1">
      <c r="A138" s="11" t="s">
        <v>605</v>
      </c>
      <c r="B138" s="21" t="s">
        <v>246</v>
      </c>
      <c r="C138" s="13" t="s">
        <v>247</v>
      </c>
      <c r="D138" s="14" t="s">
        <v>579</v>
      </c>
      <c r="E138" s="38" t="str">
        <f>VLOOKUP($B138,DATA!$C:$AF,E$1+4,FALSE)</f>
        <v>P</v>
      </c>
      <c r="F138" s="38" t="str">
        <f>VLOOKUP($B138,DATA!$C:$AF,F$1+4,FALSE)</f>
        <v>P</v>
      </c>
      <c r="G138" s="38" t="str">
        <f>VLOOKUP($B138,DATA!$C:$AF,G$1+4,FALSE)</f>
        <v>P</v>
      </c>
      <c r="H138" s="38" t="str">
        <f>VLOOKUP($B138,DATA!$C:$AF,H$1+4,FALSE)</f>
        <v>P</v>
      </c>
      <c r="I138" s="38" t="str">
        <f>VLOOKUP($B138,DATA!$C:$AF,I$1+4,FALSE)</f>
        <v>P</v>
      </c>
      <c r="J138" s="38" t="str">
        <f>VLOOKUP($B138,DATA!$C:$AF,J$1+4,FALSE)</f>
        <v>P</v>
      </c>
      <c r="K138" s="38" t="str">
        <f>VLOOKUP($B138,DATA!$C:$AF,K$1+4,FALSE)</f>
        <v>P</v>
      </c>
      <c r="L138" s="38" t="str">
        <f>VLOOKUP($B138,DATA!$C:$AF,L$1+4,FALSE)</f>
        <v>P</v>
      </c>
      <c r="M138" s="38" t="str">
        <f>VLOOKUP($B138,DATA!$C:$AF,M$1+4,FALSE)</f>
        <v>P</v>
      </c>
      <c r="N138" s="38" t="str">
        <f>VLOOKUP($B138,DATA!$C:$AF,N$1+4,FALSE)</f>
        <v>P</v>
      </c>
      <c r="O138" s="38" t="str">
        <f>VLOOKUP($B138,DATA!$C:$AF,O$1+4,FALSE)</f>
        <v>P</v>
      </c>
      <c r="P138" s="38" t="str">
        <f>VLOOKUP($B138,DATA!$C:$AF,P$1+4,FALSE)</f>
        <v>P</v>
      </c>
      <c r="Q138" s="16">
        <f t="shared" si="9"/>
        <v>12</v>
      </c>
      <c r="R138" s="17">
        <v>8</v>
      </c>
      <c r="S138" s="17">
        <f t="shared" si="10"/>
        <v>15</v>
      </c>
    </row>
    <row r="139" spans="1:19" ht="17.5" thickBot="1">
      <c r="A139" s="11" t="s">
        <v>605</v>
      </c>
      <c r="B139" s="21" t="s">
        <v>248</v>
      </c>
      <c r="C139" s="13" t="s">
        <v>249</v>
      </c>
      <c r="D139" s="14" t="s">
        <v>579</v>
      </c>
      <c r="E139" s="38" t="str">
        <f>VLOOKUP($B139,DATA!$C:$AF,E$1+4,FALSE)</f>
        <v>P</v>
      </c>
      <c r="F139" s="38" t="str">
        <f>VLOOKUP($B139,DATA!$C:$AF,F$1+4,FALSE)</f>
        <v>P</v>
      </c>
      <c r="G139" s="38" t="str">
        <f>VLOOKUP($B139,DATA!$C:$AF,G$1+4,FALSE)</f>
        <v>P</v>
      </c>
      <c r="H139" s="38" t="str">
        <f>VLOOKUP($B139,DATA!$C:$AF,H$1+4,FALSE)</f>
        <v>P</v>
      </c>
      <c r="I139" s="38" t="str">
        <f>VLOOKUP($B139,DATA!$C:$AF,I$1+4,FALSE)</f>
        <v>P</v>
      </c>
      <c r="J139" s="38" t="str">
        <f>VLOOKUP($B139,DATA!$C:$AF,J$1+4,FALSE)</f>
        <v>P</v>
      </c>
      <c r="K139" s="38" t="str">
        <f>VLOOKUP($B139,DATA!$C:$AF,K$1+4,FALSE)</f>
        <v>P</v>
      </c>
      <c r="L139" s="38" t="str">
        <f>VLOOKUP($B139,DATA!$C:$AF,L$1+4,FALSE)</f>
        <v>P</v>
      </c>
      <c r="M139" s="38" t="str">
        <f>VLOOKUP($B139,DATA!$C:$AF,M$1+4,FALSE)</f>
        <v>P</v>
      </c>
      <c r="N139" s="38" t="str">
        <f>VLOOKUP($B139,DATA!$C:$AF,N$1+4,FALSE)</f>
        <v>P</v>
      </c>
      <c r="O139" s="38" t="str">
        <f>VLOOKUP($B139,DATA!$C:$AF,O$1+4,FALSE)</f>
        <v>P</v>
      </c>
      <c r="P139" s="38" t="str">
        <f>VLOOKUP($B139,DATA!$C:$AF,P$1+4,FALSE)</f>
        <v>P</v>
      </c>
      <c r="Q139" s="16">
        <f t="shared" si="9"/>
        <v>12</v>
      </c>
      <c r="R139" s="17">
        <v>8</v>
      </c>
      <c r="S139" s="17">
        <f t="shared" si="10"/>
        <v>15</v>
      </c>
    </row>
    <row r="140" spans="1:19" ht="17.5" thickBot="1">
      <c r="A140" s="11" t="s">
        <v>605</v>
      </c>
      <c r="B140" s="21" t="s">
        <v>250</v>
      </c>
      <c r="C140" s="13" t="s">
        <v>251</v>
      </c>
      <c r="D140" s="14" t="s">
        <v>579</v>
      </c>
      <c r="E140" s="38" t="str">
        <f>VLOOKUP($B140,DATA!$C:$AF,E$1+4,FALSE)</f>
        <v>P</v>
      </c>
      <c r="F140" s="38" t="str">
        <f>VLOOKUP($B140,DATA!$C:$AF,F$1+4,FALSE)</f>
        <v>P</v>
      </c>
      <c r="G140" s="38" t="str">
        <f>VLOOKUP($B140,DATA!$C:$AF,G$1+4,FALSE)</f>
        <v>P</v>
      </c>
      <c r="H140" s="38" t="str">
        <f>VLOOKUP($B140,DATA!$C:$AF,H$1+4,FALSE)</f>
        <v>P</v>
      </c>
      <c r="I140" s="38" t="str">
        <f>VLOOKUP($B140,DATA!$C:$AF,I$1+4,FALSE)</f>
        <v>P</v>
      </c>
      <c r="J140" s="38" t="str">
        <f>VLOOKUP($B140,DATA!$C:$AF,J$1+4,FALSE)</f>
        <v>P</v>
      </c>
      <c r="K140" s="38" t="str">
        <f>VLOOKUP($B140,DATA!$C:$AF,K$1+4,FALSE)</f>
        <v>P</v>
      </c>
      <c r="L140" s="38" t="str">
        <f>VLOOKUP($B140,DATA!$C:$AF,L$1+4,FALSE)</f>
        <v>P</v>
      </c>
      <c r="M140" s="38" t="str">
        <f>VLOOKUP($B140,DATA!$C:$AF,M$1+4,FALSE)</f>
        <v>P</v>
      </c>
      <c r="N140" s="38" t="str">
        <f>VLOOKUP($B140,DATA!$C:$AF,N$1+4,FALSE)</f>
        <v>P</v>
      </c>
      <c r="O140" s="38" t="str">
        <f>VLOOKUP($B140,DATA!$C:$AF,O$1+4,FALSE)</f>
        <v>P</v>
      </c>
      <c r="P140" s="38" t="str">
        <f>VLOOKUP($B140,DATA!$C:$AF,P$1+4,FALSE)</f>
        <v>P</v>
      </c>
      <c r="Q140" s="16">
        <f t="shared" si="9"/>
        <v>12</v>
      </c>
      <c r="R140" s="17">
        <v>8</v>
      </c>
      <c r="S140" s="17">
        <f t="shared" si="10"/>
        <v>15</v>
      </c>
    </row>
    <row r="141" spans="1:19" ht="17.5" thickBot="1">
      <c r="A141" s="11" t="s">
        <v>605</v>
      </c>
      <c r="B141" s="21" t="s">
        <v>252</v>
      </c>
      <c r="C141" s="13" t="s">
        <v>253</v>
      </c>
      <c r="D141" s="14" t="s">
        <v>579</v>
      </c>
      <c r="E141" s="38" t="str">
        <f>VLOOKUP($B141,DATA!$C:$AF,E$1+4,FALSE)</f>
        <v>P</v>
      </c>
      <c r="F141" s="38" t="str">
        <f>VLOOKUP($B141,DATA!$C:$AF,F$1+4,FALSE)</f>
        <v>P</v>
      </c>
      <c r="G141" s="38" t="str">
        <f>VLOOKUP($B141,DATA!$C:$AF,G$1+4,FALSE)</f>
        <v>P</v>
      </c>
      <c r="H141" s="38" t="str">
        <f>VLOOKUP($B141,DATA!$C:$AF,H$1+4,FALSE)</f>
        <v>P</v>
      </c>
      <c r="I141" s="38" t="str">
        <f>VLOOKUP($B141,DATA!$C:$AF,I$1+4,FALSE)</f>
        <v>P</v>
      </c>
      <c r="J141" s="38" t="str">
        <f>VLOOKUP($B141,DATA!$C:$AF,J$1+4,FALSE)</f>
        <v>P</v>
      </c>
      <c r="K141" s="38" t="str">
        <f>VLOOKUP($B141,DATA!$C:$AF,K$1+4,FALSE)</f>
        <v>P</v>
      </c>
      <c r="L141" s="38" t="str">
        <f>VLOOKUP($B141,DATA!$C:$AF,L$1+4,FALSE)</f>
        <v>P</v>
      </c>
      <c r="M141" s="38" t="str">
        <f>VLOOKUP($B141,DATA!$C:$AF,M$1+4,FALSE)</f>
        <v>P</v>
      </c>
      <c r="N141" s="38" t="str">
        <f>VLOOKUP($B141,DATA!$C:$AF,N$1+4,FALSE)</f>
        <v>P</v>
      </c>
      <c r="O141" s="38" t="str">
        <f>VLOOKUP($B141,DATA!$C:$AF,O$1+4,FALSE)</f>
        <v>P</v>
      </c>
      <c r="P141" s="38" t="str">
        <f>VLOOKUP($B141,DATA!$C:$AF,P$1+4,FALSE)</f>
        <v>P</v>
      </c>
      <c r="Q141" s="16">
        <f t="shared" si="9"/>
        <v>12</v>
      </c>
      <c r="R141" s="17">
        <v>8</v>
      </c>
      <c r="S141" s="17">
        <f t="shared" si="10"/>
        <v>15</v>
      </c>
    </row>
    <row r="142" spans="1:19" ht="17.5" thickBot="1">
      <c r="A142" s="11" t="s">
        <v>605</v>
      </c>
      <c r="B142" s="21" t="s">
        <v>254</v>
      </c>
      <c r="C142" s="13" t="s">
        <v>255</v>
      </c>
      <c r="D142" s="14" t="s">
        <v>579</v>
      </c>
      <c r="E142" s="38" t="str">
        <f>VLOOKUP($B142,DATA!$C:$AF,E$1+4,FALSE)</f>
        <v>P</v>
      </c>
      <c r="F142" s="38" t="str">
        <f>VLOOKUP($B142,DATA!$C:$AF,F$1+4,FALSE)</f>
        <v>P</v>
      </c>
      <c r="G142" s="38" t="str">
        <f>VLOOKUP($B142,DATA!$C:$AF,G$1+4,FALSE)</f>
        <v>P</v>
      </c>
      <c r="H142" s="38" t="str">
        <f>VLOOKUP($B142,DATA!$C:$AF,H$1+4,FALSE)</f>
        <v>P</v>
      </c>
      <c r="I142" s="38" t="str">
        <f>VLOOKUP($B142,DATA!$C:$AF,I$1+4,FALSE)</f>
        <v>P</v>
      </c>
      <c r="J142" s="38" t="str">
        <f>VLOOKUP($B142,DATA!$C:$AF,J$1+4,FALSE)</f>
        <v>P</v>
      </c>
      <c r="K142" s="38" t="str">
        <f>VLOOKUP($B142,DATA!$C:$AF,K$1+4,FALSE)</f>
        <v>P</v>
      </c>
      <c r="L142" s="38" t="str">
        <f>VLOOKUP($B142,DATA!$C:$AF,L$1+4,FALSE)</f>
        <v>P</v>
      </c>
      <c r="M142" s="38" t="str">
        <f>VLOOKUP($B142,DATA!$C:$AF,M$1+4,FALSE)</f>
        <v>P</v>
      </c>
      <c r="N142" s="38" t="str">
        <f>VLOOKUP($B142,DATA!$C:$AF,N$1+4,FALSE)</f>
        <v>P</v>
      </c>
      <c r="O142" s="38" t="str">
        <f>VLOOKUP($B142,DATA!$C:$AF,O$1+4,FALSE)</f>
        <v>P</v>
      </c>
      <c r="P142" s="38" t="str">
        <f>VLOOKUP($B142,DATA!$C:$AF,P$1+4,FALSE)</f>
        <v>P</v>
      </c>
      <c r="Q142" s="16">
        <f t="shared" si="9"/>
        <v>12</v>
      </c>
      <c r="R142" s="17">
        <v>8</v>
      </c>
      <c r="S142" s="17">
        <f t="shared" si="10"/>
        <v>15</v>
      </c>
    </row>
    <row r="143" spans="1:19" ht="17.5" thickBot="1">
      <c r="A143" s="11" t="s">
        <v>605</v>
      </c>
      <c r="B143" s="21" t="s">
        <v>256</v>
      </c>
      <c r="C143" s="13" t="s">
        <v>257</v>
      </c>
      <c r="D143" s="14" t="s">
        <v>579</v>
      </c>
      <c r="E143" s="38" t="str">
        <f>VLOOKUP($B143,DATA!$C:$AF,E$1+4,FALSE)</f>
        <v>P</v>
      </c>
      <c r="F143" s="38" t="str">
        <f>VLOOKUP($B143,DATA!$C:$AF,F$1+4,FALSE)</f>
        <v>P</v>
      </c>
      <c r="G143" s="38" t="str">
        <f>VLOOKUP($B143,DATA!$C:$AF,G$1+4,FALSE)</f>
        <v>P</v>
      </c>
      <c r="H143" s="38" t="str">
        <f>VLOOKUP($B143,DATA!$C:$AF,H$1+4,FALSE)</f>
        <v>P</v>
      </c>
      <c r="I143" s="38" t="str">
        <f>VLOOKUP($B143,DATA!$C:$AF,I$1+4,FALSE)</f>
        <v>P</v>
      </c>
      <c r="J143" s="38" t="str">
        <f>VLOOKUP($B143,DATA!$C:$AF,J$1+4,FALSE)</f>
        <v>P</v>
      </c>
      <c r="K143" s="38" t="str">
        <f>VLOOKUP($B143,DATA!$C:$AF,K$1+4,FALSE)</f>
        <v>P</v>
      </c>
      <c r="L143" s="38" t="str">
        <f>VLOOKUP($B143,DATA!$C:$AF,L$1+4,FALSE)</f>
        <v>P</v>
      </c>
      <c r="M143" s="38" t="str">
        <f>VLOOKUP($B143,DATA!$C:$AF,M$1+4,FALSE)</f>
        <v>P</v>
      </c>
      <c r="N143" s="38" t="str">
        <f>VLOOKUP($B143,DATA!$C:$AF,N$1+4,FALSE)</f>
        <v>P</v>
      </c>
      <c r="O143" s="38" t="str">
        <f>VLOOKUP($B143,DATA!$C:$AF,O$1+4,FALSE)</f>
        <v>P</v>
      </c>
      <c r="P143" s="38" t="str">
        <f>VLOOKUP($B143,DATA!$C:$AF,P$1+4,FALSE)</f>
        <v>P</v>
      </c>
      <c r="Q143" s="16">
        <f t="shared" si="9"/>
        <v>12</v>
      </c>
      <c r="R143" s="17">
        <v>8</v>
      </c>
      <c r="S143" s="17">
        <f t="shared" si="10"/>
        <v>15</v>
      </c>
    </row>
    <row r="144" spans="1:19" ht="17.5" thickBot="1">
      <c r="A144" s="11" t="s">
        <v>605</v>
      </c>
      <c r="B144" s="22" t="s">
        <v>258</v>
      </c>
      <c r="C144" s="22" t="s">
        <v>259</v>
      </c>
      <c r="D144" s="14" t="s">
        <v>579</v>
      </c>
      <c r="E144" s="38" t="str">
        <f>VLOOKUP($B144,DATA!$C:$AF,E$1+4,FALSE)</f>
        <v>P</v>
      </c>
      <c r="F144" s="38" t="str">
        <f>VLOOKUP($B144,DATA!$C:$AF,F$1+4,FALSE)</f>
        <v>P</v>
      </c>
      <c r="G144" s="38" t="str">
        <f>VLOOKUP($B144,DATA!$C:$AF,G$1+4,FALSE)</f>
        <v>P</v>
      </c>
      <c r="H144" s="38" t="str">
        <f>VLOOKUP($B144,DATA!$C:$AF,H$1+4,FALSE)</f>
        <v>P</v>
      </c>
      <c r="I144" s="38" t="str">
        <f>VLOOKUP($B144,DATA!$C:$AF,I$1+4,FALSE)</f>
        <v>P</v>
      </c>
      <c r="J144" s="38" t="str">
        <f>VLOOKUP($B144,DATA!$C:$AF,J$1+4,FALSE)</f>
        <v>P</v>
      </c>
      <c r="K144" s="38" t="str">
        <f>VLOOKUP($B144,DATA!$C:$AF,K$1+4,FALSE)</f>
        <v>P</v>
      </c>
      <c r="L144" s="38" t="str">
        <f>VLOOKUP($B144,DATA!$C:$AF,L$1+4,FALSE)</f>
        <v>P</v>
      </c>
      <c r="M144" s="38" t="str">
        <f>VLOOKUP($B144,DATA!$C:$AF,M$1+4,FALSE)</f>
        <v>P</v>
      </c>
      <c r="N144" s="38" t="str">
        <f>VLOOKUP($B144,DATA!$C:$AF,N$1+4,FALSE)</f>
        <v>P</v>
      </c>
      <c r="O144" s="38" t="str">
        <f>VLOOKUP($B144,DATA!$C:$AF,O$1+4,FALSE)</f>
        <v>P</v>
      </c>
      <c r="P144" s="38" t="str">
        <f>VLOOKUP($B144,DATA!$C:$AF,P$1+4,FALSE)</f>
        <v>P</v>
      </c>
      <c r="Q144" s="16">
        <f t="shared" si="9"/>
        <v>12</v>
      </c>
      <c r="R144" s="17">
        <v>8</v>
      </c>
      <c r="S144" s="17">
        <f t="shared" si="10"/>
        <v>15</v>
      </c>
    </row>
    <row r="145" spans="1:19" ht="17.5" thickBot="1">
      <c r="A145" s="11" t="s">
        <v>605</v>
      </c>
      <c r="B145" s="22" t="s">
        <v>542</v>
      </c>
      <c r="C145" s="22" t="s">
        <v>541</v>
      </c>
      <c r="D145" s="14" t="s">
        <v>579</v>
      </c>
      <c r="E145" s="38" t="str">
        <f>VLOOKUP($B145,DATA!$C:$AF,E$1+4,FALSE)</f>
        <v>P</v>
      </c>
      <c r="F145" s="38" t="str">
        <f>VLOOKUP($B145,DATA!$C:$AF,F$1+4,FALSE)</f>
        <v>P</v>
      </c>
      <c r="G145" s="38" t="str">
        <f>VLOOKUP($B145,DATA!$C:$AF,G$1+4,FALSE)</f>
        <v>P</v>
      </c>
      <c r="H145" s="38" t="str">
        <f>VLOOKUP($B145,DATA!$C:$AF,H$1+4,FALSE)</f>
        <v>P</v>
      </c>
      <c r="I145" s="38" t="str">
        <f>VLOOKUP($B145,DATA!$C:$AF,I$1+4,FALSE)</f>
        <v>P</v>
      </c>
      <c r="J145" s="38" t="str">
        <f>VLOOKUP($B145,DATA!$C:$AF,J$1+4,FALSE)</f>
        <v>P</v>
      </c>
      <c r="K145" s="38" t="str">
        <f>VLOOKUP($B145,DATA!$C:$AF,K$1+4,FALSE)</f>
        <v>P</v>
      </c>
      <c r="L145" s="38" t="str">
        <f>VLOOKUP($B145,DATA!$C:$AF,L$1+4,FALSE)</f>
        <v>P</v>
      </c>
      <c r="M145" s="38" t="str">
        <f>VLOOKUP($B145,DATA!$C:$AF,M$1+4,FALSE)</f>
        <v>P</v>
      </c>
      <c r="N145" s="38" t="str">
        <f>VLOOKUP($B145,DATA!$C:$AF,N$1+4,FALSE)</f>
        <v>P</v>
      </c>
      <c r="O145" s="38" t="str">
        <f>VLOOKUP($B145,DATA!$C:$AF,O$1+4,FALSE)</f>
        <v>P</v>
      </c>
      <c r="P145" s="38" t="str">
        <f>VLOOKUP($B145,DATA!$C:$AF,P$1+4,FALSE)</f>
        <v>P</v>
      </c>
      <c r="Q145" s="16">
        <f t="shared" si="9"/>
        <v>12</v>
      </c>
      <c r="R145" s="17">
        <v>8</v>
      </c>
      <c r="S145" s="17">
        <f t="shared" si="10"/>
        <v>15</v>
      </c>
    </row>
    <row r="146" spans="1:19" ht="17.5" thickBot="1">
      <c r="A146" s="11" t="s">
        <v>605</v>
      </c>
      <c r="B146" s="22" t="s">
        <v>553</v>
      </c>
      <c r="C146" s="22" t="s">
        <v>543</v>
      </c>
      <c r="D146" s="14" t="s">
        <v>579</v>
      </c>
      <c r="E146" s="38">
        <f>VLOOKUP($B146,DATA!$C:$AF,E$1+4,FALSE)</f>
        <v>0</v>
      </c>
      <c r="F146" s="38">
        <f>VLOOKUP($B146,DATA!$C:$AF,F$1+4,FALSE)</f>
        <v>0</v>
      </c>
      <c r="G146" s="38">
        <f>VLOOKUP($B146,DATA!$C:$AF,G$1+4,FALSE)</f>
        <v>0</v>
      </c>
      <c r="H146" s="38">
        <f>VLOOKUP($B146,DATA!$C:$AF,H$1+4,FALSE)</f>
        <v>0</v>
      </c>
      <c r="I146" s="38">
        <f>VLOOKUP($B146,DATA!$C:$AF,I$1+4,FALSE)</f>
        <v>0</v>
      </c>
      <c r="J146" s="38">
        <f>VLOOKUP($B146,DATA!$C:$AF,J$1+4,FALSE)</f>
        <v>0</v>
      </c>
      <c r="K146" s="38">
        <f>VLOOKUP($B146,DATA!$C:$AF,K$1+4,FALSE)</f>
        <v>0</v>
      </c>
      <c r="L146" s="38">
        <f>VLOOKUP($B146,DATA!$C:$AF,L$1+4,FALSE)</f>
        <v>0</v>
      </c>
      <c r="M146" s="38">
        <f>VLOOKUP($B146,DATA!$C:$AF,M$1+4,FALSE)</f>
        <v>0</v>
      </c>
      <c r="N146" s="38">
        <f>VLOOKUP($B146,DATA!$C:$AF,N$1+4,FALSE)</f>
        <v>0</v>
      </c>
      <c r="O146" s="38">
        <f>VLOOKUP($B146,DATA!$C:$AF,O$1+4,FALSE)</f>
        <v>0</v>
      </c>
      <c r="P146" s="38">
        <f>VLOOKUP($B146,DATA!$C:$AF,P$1+4,FALSE)</f>
        <v>0</v>
      </c>
      <c r="Q146" s="16">
        <f t="shared" si="9"/>
        <v>0</v>
      </c>
      <c r="R146" s="17">
        <v>0</v>
      </c>
      <c r="S146" s="17">
        <f t="shared" si="10"/>
        <v>0</v>
      </c>
    </row>
    <row r="147" spans="1:19" ht="17.5" thickBot="1">
      <c r="A147" s="11" t="s">
        <v>605</v>
      </c>
      <c r="B147" s="21" t="s">
        <v>260</v>
      </c>
      <c r="C147" s="13" t="s">
        <v>261</v>
      </c>
      <c r="D147" s="14" t="s">
        <v>579</v>
      </c>
      <c r="E147" s="38">
        <f>VLOOKUP($B147,DATA!$C:$AF,E$1+4,FALSE)</f>
        <v>0</v>
      </c>
      <c r="F147" s="38">
        <f>VLOOKUP($B147,DATA!$C:$AF,F$1+4,FALSE)</f>
        <v>0</v>
      </c>
      <c r="G147" s="38">
        <f>VLOOKUP($B147,DATA!$C:$AF,G$1+4,FALSE)</f>
        <v>0</v>
      </c>
      <c r="H147" s="38">
        <f>VLOOKUP($B147,DATA!$C:$AF,H$1+4,FALSE)</f>
        <v>0</v>
      </c>
      <c r="I147" s="38">
        <f>VLOOKUP($B147,DATA!$C:$AF,I$1+4,FALSE)</f>
        <v>0</v>
      </c>
      <c r="J147" s="38">
        <f>VLOOKUP($B147,DATA!$C:$AF,J$1+4,FALSE)</f>
        <v>0</v>
      </c>
      <c r="K147" s="38">
        <f>VLOOKUP($B147,DATA!$C:$AF,K$1+4,FALSE)</f>
        <v>0</v>
      </c>
      <c r="L147" s="38">
        <f>VLOOKUP($B147,DATA!$C:$AF,L$1+4,FALSE)</f>
        <v>0</v>
      </c>
      <c r="M147" s="38">
        <f>VLOOKUP($B147,DATA!$C:$AF,M$1+4,FALSE)</f>
        <v>0</v>
      </c>
      <c r="N147" s="38">
        <f>VLOOKUP($B147,DATA!$C:$AF,N$1+4,FALSE)</f>
        <v>0</v>
      </c>
      <c r="O147" s="38">
        <f>VLOOKUP($B147,DATA!$C:$AF,O$1+4,FALSE)</f>
        <v>0</v>
      </c>
      <c r="P147" s="38">
        <f>VLOOKUP($B147,DATA!$C:$AF,P$1+4,FALSE)</f>
        <v>0</v>
      </c>
      <c r="Q147" s="16">
        <f t="shared" si="9"/>
        <v>0</v>
      </c>
      <c r="R147" s="17">
        <v>0</v>
      </c>
      <c r="S147" s="17">
        <f t="shared" si="10"/>
        <v>0</v>
      </c>
    </row>
    <row r="148" spans="1:19" ht="17.5" thickBot="1">
      <c r="A148" s="11" t="s">
        <v>605</v>
      </c>
      <c r="B148" s="21" t="s">
        <v>262</v>
      </c>
      <c r="C148" s="13" t="s">
        <v>263</v>
      </c>
      <c r="D148" s="14" t="s">
        <v>579</v>
      </c>
      <c r="E148" s="38">
        <f>VLOOKUP($B148,DATA!$C:$AF,E$1+4,FALSE)</f>
        <v>0</v>
      </c>
      <c r="F148" s="38">
        <f>VLOOKUP($B148,DATA!$C:$AF,F$1+4,FALSE)</f>
        <v>0</v>
      </c>
      <c r="G148" s="38">
        <f>VLOOKUP($B148,DATA!$C:$AF,G$1+4,FALSE)</f>
        <v>0</v>
      </c>
      <c r="H148" s="38">
        <f>VLOOKUP($B148,DATA!$C:$AF,H$1+4,FALSE)</f>
        <v>0</v>
      </c>
      <c r="I148" s="38">
        <f>VLOOKUP($B148,DATA!$C:$AF,I$1+4,FALSE)</f>
        <v>0</v>
      </c>
      <c r="J148" s="38">
        <f>VLOOKUP($B148,DATA!$C:$AF,J$1+4,FALSE)</f>
        <v>0</v>
      </c>
      <c r="K148" s="38">
        <f>VLOOKUP($B148,DATA!$C:$AF,K$1+4,FALSE)</f>
        <v>0</v>
      </c>
      <c r="L148" s="38">
        <f>VLOOKUP($B148,DATA!$C:$AF,L$1+4,FALSE)</f>
        <v>0</v>
      </c>
      <c r="M148" s="38">
        <f>VLOOKUP($B148,DATA!$C:$AF,M$1+4,FALSE)</f>
        <v>0</v>
      </c>
      <c r="N148" s="38">
        <f>VLOOKUP($B148,DATA!$C:$AF,N$1+4,FALSE)</f>
        <v>0</v>
      </c>
      <c r="O148" s="38">
        <f>VLOOKUP($B148,DATA!$C:$AF,O$1+4,FALSE)</f>
        <v>0</v>
      </c>
      <c r="P148" s="38">
        <f>VLOOKUP($B148,DATA!$C:$AF,P$1+4,FALSE)</f>
        <v>0</v>
      </c>
      <c r="Q148" s="16">
        <f t="shared" si="9"/>
        <v>0</v>
      </c>
      <c r="R148" s="17">
        <v>0</v>
      </c>
      <c r="S148" s="17">
        <f t="shared" si="10"/>
        <v>0</v>
      </c>
    </row>
    <row r="149" spans="1:19" ht="17.5" thickBot="1">
      <c r="A149" s="11" t="s">
        <v>605</v>
      </c>
      <c r="B149" s="22" t="s">
        <v>266</v>
      </c>
      <c r="C149" s="13" t="s">
        <v>267</v>
      </c>
      <c r="D149" s="14" t="s">
        <v>579</v>
      </c>
      <c r="E149" s="38" t="str">
        <f>VLOOKUP($B149,DATA!$C:$AF,E$1+4,FALSE)</f>
        <v>P</v>
      </c>
      <c r="F149" s="38" t="str">
        <f>VLOOKUP($B149,DATA!$C:$AF,F$1+4,FALSE)</f>
        <v>P</v>
      </c>
      <c r="G149" s="38" t="str">
        <f>VLOOKUP($B149,DATA!$C:$AF,G$1+4,FALSE)</f>
        <v>P</v>
      </c>
      <c r="H149" s="38" t="str">
        <f>VLOOKUP($B149,DATA!$C:$AF,H$1+4,FALSE)</f>
        <v>P</v>
      </c>
      <c r="I149" s="38" t="str">
        <f>VLOOKUP($B149,DATA!$C:$AF,I$1+4,FALSE)</f>
        <v>P</v>
      </c>
      <c r="J149" s="38" t="str">
        <f>VLOOKUP($B149,DATA!$C:$AF,J$1+4,FALSE)</f>
        <v>P</v>
      </c>
      <c r="K149" s="38" t="str">
        <f>VLOOKUP($B149,DATA!$C:$AF,K$1+4,FALSE)</f>
        <v>P</v>
      </c>
      <c r="L149" s="38" t="str">
        <f>VLOOKUP($B149,DATA!$C:$AF,L$1+4,FALSE)</f>
        <v>P</v>
      </c>
      <c r="M149" s="38" t="str">
        <f>VLOOKUP($B149,DATA!$C:$AF,M$1+4,FALSE)</f>
        <v>P</v>
      </c>
      <c r="N149" s="38" t="str">
        <f>VLOOKUP($B149,DATA!$C:$AF,N$1+4,FALSE)</f>
        <v>P</v>
      </c>
      <c r="O149" s="38" t="str">
        <f>VLOOKUP($B149,DATA!$C:$AF,O$1+4,FALSE)</f>
        <v>P</v>
      </c>
      <c r="P149" s="38" t="str">
        <f>VLOOKUP($B149,DATA!$C:$AF,P$1+4,FALSE)</f>
        <v>P</v>
      </c>
      <c r="Q149" s="16">
        <f t="shared" si="9"/>
        <v>12</v>
      </c>
      <c r="R149" s="17">
        <v>8</v>
      </c>
      <c r="S149" s="17">
        <f t="shared" si="10"/>
        <v>15</v>
      </c>
    </row>
    <row r="150" spans="1:19" ht="17.5" thickBot="1">
      <c r="A150" s="11" t="s">
        <v>605</v>
      </c>
      <c r="B150" s="22" t="s">
        <v>268</v>
      </c>
      <c r="C150" s="22" t="s">
        <v>269</v>
      </c>
      <c r="D150" s="14" t="s">
        <v>579</v>
      </c>
      <c r="E150" s="38" t="str">
        <f>VLOOKUP($B150,DATA!$C:$AF,E$1+4,FALSE)</f>
        <v>P</v>
      </c>
      <c r="F150" s="38" t="str">
        <f>VLOOKUP($B150,DATA!$C:$AF,F$1+4,FALSE)</f>
        <v>P</v>
      </c>
      <c r="G150" s="38" t="str">
        <f>VLOOKUP($B150,DATA!$C:$AF,G$1+4,FALSE)</f>
        <v>P</v>
      </c>
      <c r="H150" s="38" t="str">
        <f>VLOOKUP($B150,DATA!$C:$AF,H$1+4,FALSE)</f>
        <v>P</v>
      </c>
      <c r="I150" s="38" t="str">
        <f>VLOOKUP($B150,DATA!$C:$AF,I$1+4,FALSE)</f>
        <v>P</v>
      </c>
      <c r="J150" s="38" t="str">
        <f>VLOOKUP($B150,DATA!$C:$AF,J$1+4,FALSE)</f>
        <v>P</v>
      </c>
      <c r="K150" s="38" t="str">
        <f>VLOOKUP($B150,DATA!$C:$AF,K$1+4,FALSE)</f>
        <v>P</v>
      </c>
      <c r="L150" s="38" t="str">
        <f>VLOOKUP($B150,DATA!$C:$AF,L$1+4,FALSE)</f>
        <v>P</v>
      </c>
      <c r="M150" s="38" t="str">
        <f>VLOOKUP($B150,DATA!$C:$AF,M$1+4,FALSE)</f>
        <v>P</v>
      </c>
      <c r="N150" s="38" t="str">
        <f>VLOOKUP($B150,DATA!$C:$AF,N$1+4,FALSE)</f>
        <v>P</v>
      </c>
      <c r="O150" s="38" t="str">
        <f>VLOOKUP($B150,DATA!$C:$AF,O$1+4,FALSE)</f>
        <v>P</v>
      </c>
      <c r="P150" s="38" t="str">
        <f>VLOOKUP($B150,DATA!$C:$AF,P$1+4,FALSE)</f>
        <v>P</v>
      </c>
      <c r="Q150" s="16">
        <f t="shared" si="9"/>
        <v>12</v>
      </c>
      <c r="R150" s="17">
        <v>7</v>
      </c>
      <c r="S150" s="17">
        <f>IF(R150=0,0,IF(R150&lt;=8,15,10))</f>
        <v>15</v>
      </c>
    </row>
    <row r="151" spans="1:19" ht="17.5" thickBot="1">
      <c r="A151" s="11" t="s">
        <v>605</v>
      </c>
      <c r="B151" s="22" t="s">
        <v>270</v>
      </c>
      <c r="C151" s="13" t="s">
        <v>271</v>
      </c>
      <c r="D151" s="14" t="s">
        <v>579</v>
      </c>
      <c r="E151" s="38" t="str">
        <f>VLOOKUP($B151,DATA!$C:$AF,E$1+4,FALSE)</f>
        <v>P</v>
      </c>
      <c r="F151" s="38" t="str">
        <f>VLOOKUP($B151,DATA!$C:$AF,F$1+4,FALSE)</f>
        <v>P</v>
      </c>
      <c r="G151" s="38" t="str">
        <f>VLOOKUP($B151,DATA!$C:$AF,G$1+4,FALSE)</f>
        <v>P</v>
      </c>
      <c r="H151" s="38" t="str">
        <f>VLOOKUP($B151,DATA!$C:$AF,H$1+4,FALSE)</f>
        <v>P</v>
      </c>
      <c r="I151" s="38" t="str">
        <f>VLOOKUP($B151,DATA!$C:$AF,I$1+4,FALSE)</f>
        <v>P</v>
      </c>
      <c r="J151" s="38" t="str">
        <f>VLOOKUP($B151,DATA!$C:$AF,J$1+4,FALSE)</f>
        <v>P</v>
      </c>
      <c r="K151" s="38" t="str">
        <f>VLOOKUP($B151,DATA!$C:$AF,K$1+4,FALSE)</f>
        <v>P</v>
      </c>
      <c r="L151" s="38" t="str">
        <f>VLOOKUP($B151,DATA!$C:$AF,L$1+4,FALSE)</f>
        <v>P</v>
      </c>
      <c r="M151" s="38" t="str">
        <f>VLOOKUP($B151,DATA!$C:$AF,M$1+4,FALSE)</f>
        <v>P</v>
      </c>
      <c r="N151" s="38" t="str">
        <f>VLOOKUP($B151,DATA!$C:$AF,N$1+4,FALSE)</f>
        <v>P</v>
      </c>
      <c r="O151" s="38" t="str">
        <f>VLOOKUP($B151,DATA!$C:$AF,O$1+4,FALSE)</f>
        <v>P</v>
      </c>
      <c r="P151" s="38" t="str">
        <f>VLOOKUP($B151,DATA!$C:$AF,P$1+4,FALSE)</f>
        <v>P</v>
      </c>
      <c r="Q151" s="16">
        <f t="shared" si="9"/>
        <v>12</v>
      </c>
      <c r="R151" s="17">
        <v>8</v>
      </c>
      <c r="S151" s="17">
        <f t="shared" ref="S151:S178" si="11">IF(R151=0,0,IF(R151&lt;=8,15,10))</f>
        <v>15</v>
      </c>
    </row>
    <row r="152" spans="1:19" ht="17.5" thickBot="1">
      <c r="A152" s="11" t="s">
        <v>605</v>
      </c>
      <c r="B152" s="13" t="s">
        <v>272</v>
      </c>
      <c r="C152" s="13" t="s">
        <v>273</v>
      </c>
      <c r="D152" s="14" t="s">
        <v>579</v>
      </c>
      <c r="E152" s="38" t="str">
        <f>VLOOKUP($B152,DATA!$C:$AF,E$1+4,FALSE)</f>
        <v>P</v>
      </c>
      <c r="F152" s="38" t="str">
        <f>VLOOKUP($B152,DATA!$C:$AF,F$1+4,FALSE)</f>
        <v>P</v>
      </c>
      <c r="G152" s="38" t="str">
        <f>VLOOKUP($B152,DATA!$C:$AF,G$1+4,FALSE)</f>
        <v>P</v>
      </c>
      <c r="H152" s="38" t="str">
        <f>VLOOKUP($B152,DATA!$C:$AF,H$1+4,FALSE)</f>
        <v>P</v>
      </c>
      <c r="I152" s="38" t="str">
        <f>VLOOKUP($B152,DATA!$C:$AF,I$1+4,FALSE)</f>
        <v>P</v>
      </c>
      <c r="J152" s="38" t="str">
        <f>VLOOKUP($B152,DATA!$C:$AF,J$1+4,FALSE)</f>
        <v>P</v>
      </c>
      <c r="K152" s="38" t="str">
        <f>VLOOKUP($B152,DATA!$C:$AF,K$1+4,FALSE)</f>
        <v>P</v>
      </c>
      <c r="L152" s="38" t="str">
        <f>VLOOKUP($B152,DATA!$C:$AF,L$1+4,FALSE)</f>
        <v>P</v>
      </c>
      <c r="M152" s="38" t="str">
        <f>VLOOKUP($B152,DATA!$C:$AF,M$1+4,FALSE)</f>
        <v>P</v>
      </c>
      <c r="N152" s="38" t="str">
        <f>VLOOKUP($B152,DATA!$C:$AF,N$1+4,FALSE)</f>
        <v>P</v>
      </c>
      <c r="O152" s="38" t="str">
        <f>VLOOKUP($B152,DATA!$C:$AF,O$1+4,FALSE)</f>
        <v>P</v>
      </c>
      <c r="P152" s="38" t="str">
        <f>VLOOKUP($B152,DATA!$C:$AF,P$1+4,FALSE)</f>
        <v>P</v>
      </c>
      <c r="Q152" s="16">
        <f t="shared" si="9"/>
        <v>12</v>
      </c>
      <c r="R152" s="17">
        <v>7</v>
      </c>
      <c r="S152" s="17">
        <f t="shared" si="11"/>
        <v>15</v>
      </c>
    </row>
    <row r="153" spans="1:19" ht="17.5" thickBot="1">
      <c r="A153" s="11" t="s">
        <v>605</v>
      </c>
      <c r="B153" s="23" t="s">
        <v>276</v>
      </c>
      <c r="C153" s="13" t="s">
        <v>277</v>
      </c>
      <c r="D153" s="14" t="s">
        <v>579</v>
      </c>
      <c r="E153" s="38">
        <f>VLOOKUP($B153,DATA!$C:$AF,E$1+4,FALSE)</f>
        <v>0</v>
      </c>
      <c r="F153" s="38">
        <f>VLOOKUP($B153,DATA!$C:$AF,F$1+4,FALSE)</f>
        <v>0</v>
      </c>
      <c r="G153" s="38">
        <f>VLOOKUP($B153,DATA!$C:$AF,G$1+4,FALSE)</f>
        <v>0</v>
      </c>
      <c r="H153" s="38">
        <f>VLOOKUP($B153,DATA!$C:$AF,H$1+4,FALSE)</f>
        <v>0</v>
      </c>
      <c r="I153" s="38">
        <f>VLOOKUP($B153,DATA!$C:$AF,I$1+4,FALSE)</f>
        <v>0</v>
      </c>
      <c r="J153" s="38">
        <f>VLOOKUP($B153,DATA!$C:$AF,J$1+4,FALSE)</f>
        <v>0</v>
      </c>
      <c r="K153" s="38">
        <f>VLOOKUP($B153,DATA!$C:$AF,K$1+4,FALSE)</f>
        <v>0</v>
      </c>
      <c r="L153" s="38">
        <f>VLOOKUP($B153,DATA!$C:$AF,L$1+4,FALSE)</f>
        <v>0</v>
      </c>
      <c r="M153" s="38">
        <f>VLOOKUP($B153,DATA!$C:$AF,M$1+4,FALSE)</f>
        <v>0</v>
      </c>
      <c r="N153" s="38">
        <f>VLOOKUP($B153,DATA!$C:$AF,N$1+4,FALSE)</f>
        <v>0</v>
      </c>
      <c r="O153" s="38">
        <f>VLOOKUP($B153,DATA!$C:$AF,O$1+4,FALSE)</f>
        <v>0</v>
      </c>
      <c r="P153" s="38">
        <f>VLOOKUP($B153,DATA!$C:$AF,P$1+4,FALSE)</f>
        <v>0</v>
      </c>
      <c r="Q153" s="16">
        <f t="shared" si="9"/>
        <v>0</v>
      </c>
      <c r="R153" s="17">
        <v>0</v>
      </c>
      <c r="S153" s="17">
        <f t="shared" si="11"/>
        <v>0</v>
      </c>
    </row>
    <row r="154" spans="1:19" ht="17.5" thickBot="1">
      <c r="A154" s="11" t="s">
        <v>605</v>
      </c>
      <c r="B154" s="21" t="s">
        <v>280</v>
      </c>
      <c r="C154" s="13" t="s">
        <v>281</v>
      </c>
      <c r="D154" s="14" t="s">
        <v>579</v>
      </c>
      <c r="E154" s="38">
        <f>VLOOKUP($B154,DATA!$C:$AF,E$1+4,FALSE)</f>
        <v>0</v>
      </c>
      <c r="F154" s="38">
        <f>VLOOKUP($B154,DATA!$C:$AF,F$1+4,FALSE)</f>
        <v>0</v>
      </c>
      <c r="G154" s="38">
        <f>VLOOKUP($B154,DATA!$C:$AF,G$1+4,FALSE)</f>
        <v>0</v>
      </c>
      <c r="H154" s="38">
        <f>VLOOKUP($B154,DATA!$C:$AF,H$1+4,FALSE)</f>
        <v>0</v>
      </c>
      <c r="I154" s="38">
        <f>VLOOKUP($B154,DATA!$C:$AF,I$1+4,FALSE)</f>
        <v>0</v>
      </c>
      <c r="J154" s="38">
        <f>VLOOKUP($B154,DATA!$C:$AF,J$1+4,FALSE)</f>
        <v>0</v>
      </c>
      <c r="K154" s="38">
        <f>VLOOKUP($B154,DATA!$C:$AF,K$1+4,FALSE)</f>
        <v>0</v>
      </c>
      <c r="L154" s="38">
        <f>VLOOKUP($B154,DATA!$C:$AF,L$1+4,FALSE)</f>
        <v>0</v>
      </c>
      <c r="M154" s="38">
        <f>VLOOKUP($B154,DATA!$C:$AF,M$1+4,FALSE)</f>
        <v>0</v>
      </c>
      <c r="N154" s="38">
        <f>VLOOKUP($B154,DATA!$C:$AF,N$1+4,FALSE)</f>
        <v>0</v>
      </c>
      <c r="O154" s="38">
        <f>VLOOKUP($B154,DATA!$C:$AF,O$1+4,FALSE)</f>
        <v>0</v>
      </c>
      <c r="P154" s="38">
        <f>VLOOKUP($B154,DATA!$C:$AF,P$1+4,FALSE)</f>
        <v>0</v>
      </c>
      <c r="Q154" s="16">
        <f t="shared" si="9"/>
        <v>0</v>
      </c>
      <c r="R154" s="17">
        <v>0</v>
      </c>
      <c r="S154" s="17">
        <f t="shared" si="11"/>
        <v>0</v>
      </c>
    </row>
    <row r="155" spans="1:19" ht="17.5" thickBot="1">
      <c r="A155" s="11" t="s">
        <v>605</v>
      </c>
      <c r="B155" s="27" t="s">
        <v>283</v>
      </c>
      <c r="C155" s="13" t="s">
        <v>284</v>
      </c>
      <c r="D155" s="14" t="s">
        <v>579</v>
      </c>
      <c r="E155" s="38" t="str">
        <f>VLOOKUP($B155,DATA!$C:$AF,E$1+4,FALSE)</f>
        <v>P</v>
      </c>
      <c r="F155" s="38" t="str">
        <f>VLOOKUP($B155,DATA!$C:$AF,F$1+4,FALSE)</f>
        <v>P</v>
      </c>
      <c r="G155" s="38" t="str">
        <f>VLOOKUP($B155,DATA!$C:$AF,G$1+4,FALSE)</f>
        <v>P</v>
      </c>
      <c r="H155" s="38" t="str">
        <f>VLOOKUP($B155,DATA!$C:$AF,H$1+4,FALSE)</f>
        <v>P</v>
      </c>
      <c r="I155" s="38" t="str">
        <f>VLOOKUP($B155,DATA!$C:$AF,I$1+4,FALSE)</f>
        <v>P</v>
      </c>
      <c r="J155" s="38" t="str">
        <f>VLOOKUP($B155,DATA!$C:$AF,J$1+4,FALSE)</f>
        <v>P</v>
      </c>
      <c r="K155" s="38" t="str">
        <f>VLOOKUP($B155,DATA!$C:$AF,K$1+4,FALSE)</f>
        <v>P</v>
      </c>
      <c r="L155" s="38" t="str">
        <f>VLOOKUP($B155,DATA!$C:$AF,L$1+4,FALSE)</f>
        <v>P</v>
      </c>
      <c r="M155" s="38" t="str">
        <f>VLOOKUP($B155,DATA!$C:$AF,M$1+4,FALSE)</f>
        <v>P</v>
      </c>
      <c r="N155" s="38" t="str">
        <f>VLOOKUP($B155,DATA!$C:$AF,N$1+4,FALSE)</f>
        <v>P</v>
      </c>
      <c r="O155" s="38" t="str">
        <f>VLOOKUP($B155,DATA!$C:$AF,O$1+4,FALSE)</f>
        <v>P</v>
      </c>
      <c r="P155" s="38" t="str">
        <f>VLOOKUP($B155,DATA!$C:$AF,P$1+4,FALSE)</f>
        <v>P</v>
      </c>
      <c r="Q155" s="16">
        <f t="shared" si="9"/>
        <v>12</v>
      </c>
      <c r="R155" s="17">
        <v>6</v>
      </c>
      <c r="S155" s="17">
        <f t="shared" si="11"/>
        <v>15</v>
      </c>
    </row>
    <row r="156" spans="1:19" ht="17.5" thickBot="1">
      <c r="A156" s="11" t="s">
        <v>605</v>
      </c>
      <c r="B156" s="21" t="s">
        <v>285</v>
      </c>
      <c r="C156" s="13" t="s">
        <v>286</v>
      </c>
      <c r="D156" s="14" t="s">
        <v>579</v>
      </c>
      <c r="E156" s="38" t="str">
        <f>VLOOKUP($B156,DATA!$C:$AF,E$1+4,FALSE)</f>
        <v>P</v>
      </c>
      <c r="F156" s="38" t="str">
        <f>VLOOKUP($B156,DATA!$C:$AF,F$1+4,FALSE)</f>
        <v>P</v>
      </c>
      <c r="G156" s="38" t="str">
        <f>VLOOKUP($B156,DATA!$C:$AF,G$1+4,FALSE)</f>
        <v>P</v>
      </c>
      <c r="H156" s="38" t="str">
        <f>VLOOKUP($B156,DATA!$C:$AF,H$1+4,FALSE)</f>
        <v>P</v>
      </c>
      <c r="I156" s="38" t="str">
        <f>VLOOKUP($B156,DATA!$C:$AF,I$1+4,FALSE)</f>
        <v>P</v>
      </c>
      <c r="J156" s="38" t="str">
        <f>VLOOKUP($B156,DATA!$C:$AF,J$1+4,FALSE)</f>
        <v>P</v>
      </c>
      <c r="K156" s="38" t="str">
        <f>VLOOKUP($B156,DATA!$C:$AF,K$1+4,FALSE)</f>
        <v>P</v>
      </c>
      <c r="L156" s="38" t="str">
        <f>VLOOKUP($B156,DATA!$C:$AF,L$1+4,FALSE)</f>
        <v>P</v>
      </c>
      <c r="M156" s="38" t="str">
        <f>VLOOKUP($B156,DATA!$C:$AF,M$1+4,FALSE)</f>
        <v>P</v>
      </c>
      <c r="N156" s="38" t="str">
        <f>VLOOKUP($B156,DATA!$C:$AF,N$1+4,FALSE)</f>
        <v>P</v>
      </c>
      <c r="O156" s="38" t="str">
        <f>VLOOKUP($B156,DATA!$C:$AF,O$1+4,FALSE)</f>
        <v>P</v>
      </c>
      <c r="P156" s="38" t="str">
        <f>VLOOKUP($B156,DATA!$C:$AF,P$1+4,FALSE)</f>
        <v>P</v>
      </c>
      <c r="Q156" s="16">
        <f t="shared" si="9"/>
        <v>12</v>
      </c>
      <c r="R156" s="17">
        <v>7</v>
      </c>
      <c r="S156" s="17">
        <f t="shared" si="11"/>
        <v>15</v>
      </c>
    </row>
    <row r="157" spans="1:19" ht="17.5" thickBot="1">
      <c r="A157" s="11" t="s">
        <v>605</v>
      </c>
      <c r="B157" s="23" t="s">
        <v>287</v>
      </c>
      <c r="C157" s="13" t="s">
        <v>288</v>
      </c>
      <c r="D157" s="14" t="s">
        <v>579</v>
      </c>
      <c r="E157" s="38">
        <f>VLOOKUP($B157,DATA!$C:$AF,E$1+4,FALSE)</f>
        <v>0</v>
      </c>
      <c r="F157" s="38">
        <f>VLOOKUP($B157,DATA!$C:$AF,F$1+4,FALSE)</f>
        <v>0</v>
      </c>
      <c r="G157" s="38">
        <f>VLOOKUP($B157,DATA!$C:$AF,G$1+4,FALSE)</f>
        <v>0</v>
      </c>
      <c r="H157" s="38">
        <f>VLOOKUP($B157,DATA!$C:$AF,H$1+4,FALSE)</f>
        <v>0</v>
      </c>
      <c r="I157" s="38">
        <f>VLOOKUP($B157,DATA!$C:$AF,I$1+4,FALSE)</f>
        <v>0</v>
      </c>
      <c r="J157" s="38">
        <f>VLOOKUP($B157,DATA!$C:$AF,J$1+4,FALSE)</f>
        <v>0</v>
      </c>
      <c r="K157" s="38">
        <f>VLOOKUP($B157,DATA!$C:$AF,K$1+4,FALSE)</f>
        <v>0</v>
      </c>
      <c r="L157" s="38">
        <f>VLOOKUP($B157,DATA!$C:$AF,L$1+4,FALSE)</f>
        <v>0</v>
      </c>
      <c r="M157" s="38">
        <f>VLOOKUP($B157,DATA!$C:$AF,M$1+4,FALSE)</f>
        <v>0</v>
      </c>
      <c r="N157" s="38">
        <f>VLOOKUP($B157,DATA!$C:$AF,N$1+4,FALSE)</f>
        <v>0</v>
      </c>
      <c r="O157" s="38">
        <f>VLOOKUP($B157,DATA!$C:$AF,O$1+4,FALSE)</f>
        <v>0</v>
      </c>
      <c r="P157" s="38">
        <f>VLOOKUP($B157,DATA!$C:$AF,P$1+4,FALSE)</f>
        <v>0</v>
      </c>
      <c r="Q157" s="16">
        <f t="shared" si="9"/>
        <v>0</v>
      </c>
      <c r="R157" s="17">
        <v>0</v>
      </c>
      <c r="S157" s="17">
        <f t="shared" si="11"/>
        <v>0</v>
      </c>
    </row>
    <row r="158" spans="1:19" ht="17.5" thickBot="1">
      <c r="A158" s="11" t="s">
        <v>605</v>
      </c>
      <c r="B158" s="19" t="s">
        <v>289</v>
      </c>
      <c r="C158" s="13" t="s">
        <v>290</v>
      </c>
      <c r="D158" s="14" t="s">
        <v>579</v>
      </c>
      <c r="E158" s="38">
        <f>VLOOKUP($B158,DATA!$C:$AF,E$1+4,FALSE)</f>
        <v>0</v>
      </c>
      <c r="F158" s="38">
        <f>VLOOKUP($B158,DATA!$C:$AF,F$1+4,FALSE)</f>
        <v>0</v>
      </c>
      <c r="G158" s="38">
        <f>VLOOKUP($B158,DATA!$C:$AF,G$1+4,FALSE)</f>
        <v>0</v>
      </c>
      <c r="H158" s="38">
        <f>VLOOKUP($B158,DATA!$C:$AF,H$1+4,FALSE)</f>
        <v>0</v>
      </c>
      <c r="I158" s="38">
        <f>VLOOKUP($B158,DATA!$C:$AF,I$1+4,FALSE)</f>
        <v>0</v>
      </c>
      <c r="J158" s="38">
        <f>VLOOKUP($B158,DATA!$C:$AF,J$1+4,FALSE)</f>
        <v>0</v>
      </c>
      <c r="K158" s="38">
        <f>VLOOKUP($B158,DATA!$C:$AF,K$1+4,FALSE)</f>
        <v>0</v>
      </c>
      <c r="L158" s="38">
        <f>VLOOKUP($B158,DATA!$C:$AF,L$1+4,FALSE)</f>
        <v>0</v>
      </c>
      <c r="M158" s="38">
        <f>VLOOKUP($B158,DATA!$C:$AF,M$1+4,FALSE)</f>
        <v>0</v>
      </c>
      <c r="N158" s="38">
        <f>VLOOKUP($B158,DATA!$C:$AF,N$1+4,FALSE)</f>
        <v>0</v>
      </c>
      <c r="O158" s="38">
        <f>VLOOKUP($B158,DATA!$C:$AF,O$1+4,FALSE)</f>
        <v>0</v>
      </c>
      <c r="P158" s="38">
        <f>VLOOKUP($B158,DATA!$C:$AF,P$1+4,FALSE)</f>
        <v>0</v>
      </c>
      <c r="Q158" s="16">
        <f t="shared" si="9"/>
        <v>0</v>
      </c>
      <c r="R158" s="17">
        <v>0</v>
      </c>
      <c r="S158" s="17">
        <f t="shared" si="11"/>
        <v>0</v>
      </c>
    </row>
    <row r="159" spans="1:19" ht="17.5" thickBot="1">
      <c r="A159" s="11" t="s">
        <v>605</v>
      </c>
      <c r="B159" s="21" t="s">
        <v>264</v>
      </c>
      <c r="C159" s="30" t="s">
        <v>265</v>
      </c>
      <c r="D159" s="14" t="s">
        <v>579</v>
      </c>
      <c r="E159" s="38" t="str">
        <f>VLOOKUP($B159,DATA!$C:$AF,E$1+4,FALSE)</f>
        <v>P</v>
      </c>
      <c r="F159" s="38" t="str">
        <f>VLOOKUP($B159,DATA!$C:$AF,F$1+4,FALSE)</f>
        <v>P</v>
      </c>
      <c r="G159" s="38" t="str">
        <f>VLOOKUP($B159,DATA!$C:$AF,G$1+4,FALSE)</f>
        <v>P</v>
      </c>
      <c r="H159" s="38" t="str">
        <f>VLOOKUP($B159,DATA!$C:$AF,H$1+4,FALSE)</f>
        <v>P</v>
      </c>
      <c r="I159" s="38" t="str">
        <f>VLOOKUP($B159,DATA!$C:$AF,I$1+4,FALSE)</f>
        <v>P</v>
      </c>
      <c r="J159" s="38" t="str">
        <f>VLOOKUP($B159,DATA!$C:$AF,J$1+4,FALSE)</f>
        <v>P</v>
      </c>
      <c r="K159" s="38" t="str">
        <f>VLOOKUP($B159,DATA!$C:$AF,K$1+4,FALSE)</f>
        <v>P</v>
      </c>
      <c r="L159" s="38" t="str">
        <f>VLOOKUP($B159,DATA!$C:$AF,L$1+4,FALSE)</f>
        <v>P</v>
      </c>
      <c r="M159" s="38" t="str">
        <f>VLOOKUP($B159,DATA!$C:$AF,M$1+4,FALSE)</f>
        <v>P</v>
      </c>
      <c r="N159" s="38" t="str">
        <f>VLOOKUP($B159,DATA!$C:$AF,N$1+4,FALSE)</f>
        <v>P</v>
      </c>
      <c r="O159" s="38" t="str">
        <f>VLOOKUP($B159,DATA!$C:$AF,O$1+4,FALSE)</f>
        <v>P</v>
      </c>
      <c r="P159" s="38" t="str">
        <f>VLOOKUP($B159,DATA!$C:$AF,P$1+4,FALSE)</f>
        <v>P</v>
      </c>
      <c r="Q159" s="16">
        <f t="shared" si="9"/>
        <v>12</v>
      </c>
      <c r="R159" s="17">
        <v>7</v>
      </c>
      <c r="S159" s="17">
        <f t="shared" si="11"/>
        <v>15</v>
      </c>
    </row>
    <row r="160" spans="1:19" ht="17.5" thickBot="1">
      <c r="A160" s="11" t="s">
        <v>605</v>
      </c>
      <c r="B160" s="21" t="s">
        <v>274</v>
      </c>
      <c r="C160" s="13" t="s">
        <v>275</v>
      </c>
      <c r="D160" s="14" t="s">
        <v>579</v>
      </c>
      <c r="E160" s="38" t="str">
        <f>VLOOKUP($B160,DATA!$C:$AF,E$1+4,FALSE)</f>
        <v>P</v>
      </c>
      <c r="F160" s="38" t="str">
        <f>VLOOKUP($B160,DATA!$C:$AF,F$1+4,FALSE)</f>
        <v>P</v>
      </c>
      <c r="G160" s="38" t="str">
        <f>VLOOKUP($B160,DATA!$C:$AF,G$1+4,FALSE)</f>
        <v>P</v>
      </c>
      <c r="H160" s="38" t="str">
        <f>VLOOKUP($B160,DATA!$C:$AF,H$1+4,FALSE)</f>
        <v>P</v>
      </c>
      <c r="I160" s="38" t="str">
        <f>VLOOKUP($B160,DATA!$C:$AF,I$1+4,FALSE)</f>
        <v>P</v>
      </c>
      <c r="J160" s="38" t="str">
        <f>VLOOKUP($B160,DATA!$C:$AF,J$1+4,FALSE)</f>
        <v>P</v>
      </c>
      <c r="K160" s="38" t="str">
        <f>VLOOKUP($B160,DATA!$C:$AF,K$1+4,FALSE)</f>
        <v>P</v>
      </c>
      <c r="L160" s="38" t="str">
        <f>VLOOKUP($B160,DATA!$C:$AF,L$1+4,FALSE)</f>
        <v>P</v>
      </c>
      <c r="M160" s="38" t="str">
        <f>VLOOKUP($B160,DATA!$C:$AF,M$1+4,FALSE)</f>
        <v>P</v>
      </c>
      <c r="N160" s="38" t="str">
        <f>VLOOKUP($B160,DATA!$C:$AF,N$1+4,FALSE)</f>
        <v>P</v>
      </c>
      <c r="O160" s="38" t="str">
        <f>VLOOKUP($B160,DATA!$C:$AF,O$1+4,FALSE)</f>
        <v>P</v>
      </c>
      <c r="P160" s="38" t="str">
        <f>VLOOKUP($B160,DATA!$C:$AF,P$1+4,FALSE)</f>
        <v>P</v>
      </c>
      <c r="Q160" s="16">
        <f t="shared" si="9"/>
        <v>12</v>
      </c>
      <c r="R160" s="17">
        <v>6</v>
      </c>
      <c r="S160" s="17">
        <f t="shared" si="11"/>
        <v>15</v>
      </c>
    </row>
    <row r="161" spans="1:19" ht="17.5" thickBot="1">
      <c r="A161" s="11" t="s">
        <v>605</v>
      </c>
      <c r="B161" s="23" t="s">
        <v>291</v>
      </c>
      <c r="C161" s="13" t="s">
        <v>292</v>
      </c>
      <c r="D161" s="14" t="s">
        <v>579</v>
      </c>
      <c r="E161" s="38" t="str">
        <f>VLOOKUP($B161,DATA!$C:$AF,E$1+4,FALSE)</f>
        <v>P</v>
      </c>
      <c r="F161" s="38" t="str">
        <f>VLOOKUP($B161,DATA!$C:$AF,F$1+4,FALSE)</f>
        <v>P</v>
      </c>
      <c r="G161" s="38" t="str">
        <f>VLOOKUP($B161,DATA!$C:$AF,G$1+4,FALSE)</f>
        <v>P</v>
      </c>
      <c r="H161" s="38" t="str">
        <f>VLOOKUP($B161,DATA!$C:$AF,H$1+4,FALSE)</f>
        <v>P</v>
      </c>
      <c r="I161" s="38" t="str">
        <f>VLOOKUP($B161,DATA!$C:$AF,I$1+4,FALSE)</f>
        <v>P</v>
      </c>
      <c r="J161" s="38" t="str">
        <f>VLOOKUP($B161,DATA!$C:$AF,J$1+4,FALSE)</f>
        <v>P</v>
      </c>
      <c r="K161" s="38" t="str">
        <f>VLOOKUP($B161,DATA!$C:$AF,K$1+4,FALSE)</f>
        <v>P</v>
      </c>
      <c r="L161" s="38" t="str">
        <f>VLOOKUP($B161,DATA!$C:$AF,L$1+4,FALSE)</f>
        <v>P</v>
      </c>
      <c r="M161" s="38" t="str">
        <f>VLOOKUP($B161,DATA!$C:$AF,M$1+4,FALSE)</f>
        <v>P</v>
      </c>
      <c r="N161" s="38" t="str">
        <f>VLOOKUP($B161,DATA!$C:$AF,N$1+4,FALSE)</f>
        <v>P</v>
      </c>
      <c r="O161" s="38" t="str">
        <f>VLOOKUP($B161,DATA!$C:$AF,O$1+4,FALSE)</f>
        <v>P</v>
      </c>
      <c r="P161" s="38" t="str">
        <f>VLOOKUP($B161,DATA!$C:$AF,P$1+4,FALSE)</f>
        <v>P</v>
      </c>
      <c r="Q161" s="16">
        <f t="shared" si="9"/>
        <v>12</v>
      </c>
      <c r="R161" s="17">
        <v>6</v>
      </c>
      <c r="S161" s="17">
        <f t="shared" si="11"/>
        <v>15</v>
      </c>
    </row>
    <row r="162" spans="1:19" ht="17.5" thickBot="1">
      <c r="A162" s="11" t="s">
        <v>605</v>
      </c>
      <c r="B162" s="22" t="s">
        <v>293</v>
      </c>
      <c r="C162" s="13" t="s">
        <v>294</v>
      </c>
      <c r="D162" s="14" t="s">
        <v>579</v>
      </c>
      <c r="E162" s="38" t="str">
        <f>VLOOKUP($B162,DATA!$C:$AF,E$1+4,FALSE)</f>
        <v>P</v>
      </c>
      <c r="F162" s="38" t="str">
        <f>VLOOKUP($B162,DATA!$C:$AF,F$1+4,FALSE)</f>
        <v>P</v>
      </c>
      <c r="G162" s="38" t="str">
        <f>VLOOKUP($B162,DATA!$C:$AF,G$1+4,FALSE)</f>
        <v>P</v>
      </c>
      <c r="H162" s="38" t="str">
        <f>VLOOKUP($B162,DATA!$C:$AF,H$1+4,FALSE)</f>
        <v>P</v>
      </c>
      <c r="I162" s="38" t="str">
        <f>VLOOKUP($B162,DATA!$C:$AF,I$1+4,FALSE)</f>
        <v>P</v>
      </c>
      <c r="J162" s="38" t="str">
        <f>VLOOKUP($B162,DATA!$C:$AF,J$1+4,FALSE)</f>
        <v>P</v>
      </c>
      <c r="K162" s="38" t="str">
        <f>VLOOKUP($B162,DATA!$C:$AF,K$1+4,FALSE)</f>
        <v>P</v>
      </c>
      <c r="L162" s="38" t="str">
        <f>VLOOKUP($B162,DATA!$C:$AF,L$1+4,FALSE)</f>
        <v>P</v>
      </c>
      <c r="M162" s="38" t="str">
        <f>VLOOKUP($B162,DATA!$C:$AF,M$1+4,FALSE)</f>
        <v>P</v>
      </c>
      <c r="N162" s="38" t="str">
        <f>VLOOKUP($B162,DATA!$C:$AF,N$1+4,FALSE)</f>
        <v>P</v>
      </c>
      <c r="O162" s="38" t="str">
        <f>VLOOKUP($B162,DATA!$C:$AF,O$1+4,FALSE)</f>
        <v>P</v>
      </c>
      <c r="P162" s="38" t="str">
        <f>VLOOKUP($B162,DATA!$C:$AF,P$1+4,FALSE)</f>
        <v>P</v>
      </c>
      <c r="Q162" s="16">
        <f t="shared" si="9"/>
        <v>12</v>
      </c>
      <c r="R162" s="17">
        <v>7</v>
      </c>
      <c r="S162" s="17">
        <f t="shared" si="11"/>
        <v>15</v>
      </c>
    </row>
    <row r="163" spans="1:19" ht="17.5" thickBot="1">
      <c r="A163" s="11" t="s">
        <v>605</v>
      </c>
      <c r="B163" s="22" t="s">
        <v>295</v>
      </c>
      <c r="C163" s="13" t="s">
        <v>296</v>
      </c>
      <c r="D163" s="14" t="s">
        <v>579</v>
      </c>
      <c r="E163" s="38" t="str">
        <f>VLOOKUP($B163,DATA!$C:$AF,E$1+4,FALSE)</f>
        <v>P</v>
      </c>
      <c r="F163" s="38" t="str">
        <f>VLOOKUP($B163,DATA!$C:$AF,F$1+4,FALSE)</f>
        <v>P</v>
      </c>
      <c r="G163" s="38" t="str">
        <f>VLOOKUP($B163,DATA!$C:$AF,G$1+4,FALSE)</f>
        <v>P</v>
      </c>
      <c r="H163" s="38" t="str">
        <f>VLOOKUP($B163,DATA!$C:$AF,H$1+4,FALSE)</f>
        <v>P</v>
      </c>
      <c r="I163" s="38" t="str">
        <f>VLOOKUP($B163,DATA!$C:$AF,I$1+4,FALSE)</f>
        <v>P</v>
      </c>
      <c r="J163" s="38" t="str">
        <f>VLOOKUP($B163,DATA!$C:$AF,J$1+4,FALSE)</f>
        <v>P</v>
      </c>
      <c r="K163" s="38" t="str">
        <f>VLOOKUP($B163,DATA!$C:$AF,K$1+4,FALSE)</f>
        <v>P</v>
      </c>
      <c r="L163" s="38" t="str">
        <f>VLOOKUP($B163,DATA!$C:$AF,L$1+4,FALSE)</f>
        <v>P</v>
      </c>
      <c r="M163" s="38" t="str">
        <f>VLOOKUP($B163,DATA!$C:$AF,M$1+4,FALSE)</f>
        <v>P</v>
      </c>
      <c r="N163" s="38" t="str">
        <f>VLOOKUP($B163,DATA!$C:$AF,N$1+4,FALSE)</f>
        <v>P</v>
      </c>
      <c r="O163" s="38" t="str">
        <f>VLOOKUP($B163,DATA!$C:$AF,O$1+4,FALSE)</f>
        <v>P</v>
      </c>
      <c r="P163" s="38" t="str">
        <f>VLOOKUP($B163,DATA!$C:$AF,P$1+4,FALSE)</f>
        <v>P</v>
      </c>
      <c r="Q163" s="16">
        <f t="shared" si="9"/>
        <v>12</v>
      </c>
      <c r="R163" s="17">
        <v>7</v>
      </c>
      <c r="S163" s="17">
        <f t="shared" si="11"/>
        <v>15</v>
      </c>
    </row>
    <row r="164" spans="1:19" ht="17.5" thickBot="1">
      <c r="A164" s="11" t="s">
        <v>605</v>
      </c>
      <c r="B164" s="22" t="s">
        <v>297</v>
      </c>
      <c r="C164" s="21" t="s">
        <v>298</v>
      </c>
      <c r="D164" s="14" t="s">
        <v>579</v>
      </c>
      <c r="E164" s="38" t="str">
        <f>VLOOKUP($B164,DATA!$C:$AF,E$1+4,FALSE)</f>
        <v>P</v>
      </c>
      <c r="F164" s="38" t="str">
        <f>VLOOKUP($B164,DATA!$C:$AF,F$1+4,FALSE)</f>
        <v>P</v>
      </c>
      <c r="G164" s="38" t="str">
        <f>VLOOKUP($B164,DATA!$C:$AF,G$1+4,FALSE)</f>
        <v>P</v>
      </c>
      <c r="H164" s="38" t="str">
        <f>VLOOKUP($B164,DATA!$C:$AF,H$1+4,FALSE)</f>
        <v>P</v>
      </c>
      <c r="I164" s="38" t="str">
        <f>VLOOKUP($B164,DATA!$C:$AF,I$1+4,FALSE)</f>
        <v>P</v>
      </c>
      <c r="J164" s="38" t="str">
        <f>VLOOKUP($B164,DATA!$C:$AF,J$1+4,FALSE)</f>
        <v>P</v>
      </c>
      <c r="K164" s="38" t="str">
        <f>VLOOKUP($B164,DATA!$C:$AF,K$1+4,FALSE)</f>
        <v>P</v>
      </c>
      <c r="L164" s="38" t="str">
        <f>VLOOKUP($B164,DATA!$C:$AF,L$1+4,FALSE)</f>
        <v>P</v>
      </c>
      <c r="M164" s="38" t="str">
        <f>VLOOKUP($B164,DATA!$C:$AF,M$1+4,FALSE)</f>
        <v>P</v>
      </c>
      <c r="N164" s="38" t="str">
        <f>VLOOKUP($B164,DATA!$C:$AF,N$1+4,FALSE)</f>
        <v>P</v>
      </c>
      <c r="O164" s="38" t="str">
        <f>VLOOKUP($B164,DATA!$C:$AF,O$1+4,FALSE)</f>
        <v>P</v>
      </c>
      <c r="P164" s="38" t="str">
        <f>VLOOKUP($B164,DATA!$C:$AF,P$1+4,FALSE)</f>
        <v>P</v>
      </c>
      <c r="Q164" s="16">
        <f t="shared" si="9"/>
        <v>12</v>
      </c>
      <c r="R164" s="17">
        <v>7</v>
      </c>
      <c r="S164" s="17">
        <f t="shared" si="11"/>
        <v>15</v>
      </c>
    </row>
    <row r="165" spans="1:19" ht="17.5" thickBot="1">
      <c r="A165" s="11" t="s">
        <v>605</v>
      </c>
      <c r="B165" s="21" t="s">
        <v>299</v>
      </c>
      <c r="C165" s="13" t="s">
        <v>300</v>
      </c>
      <c r="D165" s="14" t="s">
        <v>579</v>
      </c>
      <c r="E165" s="38" t="str">
        <f>VLOOKUP($B165,DATA!$C:$AF,E$1+4,FALSE)</f>
        <v>P</v>
      </c>
      <c r="F165" s="38" t="str">
        <f>VLOOKUP($B165,DATA!$C:$AF,F$1+4,FALSE)</f>
        <v>P</v>
      </c>
      <c r="G165" s="38" t="str">
        <f>VLOOKUP($B165,DATA!$C:$AF,G$1+4,FALSE)</f>
        <v>P</v>
      </c>
      <c r="H165" s="38" t="str">
        <f>VLOOKUP($B165,DATA!$C:$AF,H$1+4,FALSE)</f>
        <v>P</v>
      </c>
      <c r="I165" s="38" t="str">
        <f>VLOOKUP($B165,DATA!$C:$AF,I$1+4,FALSE)</f>
        <v>P</v>
      </c>
      <c r="J165" s="38" t="str">
        <f>VLOOKUP($B165,DATA!$C:$AF,J$1+4,FALSE)</f>
        <v>P</v>
      </c>
      <c r="K165" s="38" t="str">
        <f>VLOOKUP($B165,DATA!$C:$AF,K$1+4,FALSE)</f>
        <v>P</v>
      </c>
      <c r="L165" s="38" t="str">
        <f>VLOOKUP($B165,DATA!$C:$AF,L$1+4,FALSE)</f>
        <v>P</v>
      </c>
      <c r="M165" s="38" t="str">
        <f>VLOOKUP($B165,DATA!$C:$AF,M$1+4,FALSE)</f>
        <v>P</v>
      </c>
      <c r="N165" s="38" t="str">
        <f>VLOOKUP($B165,DATA!$C:$AF,N$1+4,FALSE)</f>
        <v>P</v>
      </c>
      <c r="O165" s="38" t="str">
        <f>VLOOKUP($B165,DATA!$C:$AF,O$1+4,FALSE)</f>
        <v>P</v>
      </c>
      <c r="P165" s="38" t="str">
        <f>VLOOKUP($B165,DATA!$C:$AF,P$1+4,FALSE)</f>
        <v>P</v>
      </c>
      <c r="Q165" s="16">
        <f t="shared" si="9"/>
        <v>12</v>
      </c>
      <c r="R165" s="17">
        <v>7</v>
      </c>
      <c r="S165" s="17">
        <f t="shared" si="11"/>
        <v>15</v>
      </c>
    </row>
    <row r="166" spans="1:19" ht="17.5" thickBot="1">
      <c r="A166" s="11" t="s">
        <v>605</v>
      </c>
      <c r="B166" s="21" t="s">
        <v>301</v>
      </c>
      <c r="C166" s="13" t="s">
        <v>302</v>
      </c>
      <c r="D166" s="14" t="s">
        <v>579</v>
      </c>
      <c r="E166" s="38" t="str">
        <f>VLOOKUP($B166,DATA!$C:$AF,E$1+4,FALSE)</f>
        <v>P</v>
      </c>
      <c r="F166" s="38" t="str">
        <f>VLOOKUP($B166,DATA!$C:$AF,F$1+4,FALSE)</f>
        <v>P</v>
      </c>
      <c r="G166" s="38" t="str">
        <f>VLOOKUP($B166,DATA!$C:$AF,G$1+4,FALSE)</f>
        <v>P</v>
      </c>
      <c r="H166" s="38" t="str">
        <f>VLOOKUP($B166,DATA!$C:$AF,H$1+4,FALSE)</f>
        <v>P</v>
      </c>
      <c r="I166" s="38" t="str">
        <f>VLOOKUP($B166,DATA!$C:$AF,I$1+4,FALSE)</f>
        <v>P</v>
      </c>
      <c r="J166" s="38" t="str">
        <f>VLOOKUP($B166,DATA!$C:$AF,J$1+4,FALSE)</f>
        <v>P</v>
      </c>
      <c r="K166" s="38" t="str">
        <f>VLOOKUP($B166,DATA!$C:$AF,K$1+4,FALSE)</f>
        <v>P</v>
      </c>
      <c r="L166" s="38" t="str">
        <f>VLOOKUP($B166,DATA!$C:$AF,L$1+4,FALSE)</f>
        <v>P</v>
      </c>
      <c r="M166" s="38" t="str">
        <f>VLOOKUP($B166,DATA!$C:$AF,M$1+4,FALSE)</f>
        <v>P</v>
      </c>
      <c r="N166" s="38" t="str">
        <f>VLOOKUP($B166,DATA!$C:$AF,N$1+4,FALSE)</f>
        <v>P</v>
      </c>
      <c r="O166" s="38" t="str">
        <f>VLOOKUP($B166,DATA!$C:$AF,O$1+4,FALSE)</f>
        <v>P</v>
      </c>
      <c r="P166" s="38" t="str">
        <f>VLOOKUP($B166,DATA!$C:$AF,P$1+4,FALSE)</f>
        <v>P</v>
      </c>
      <c r="Q166" s="16">
        <f t="shared" si="9"/>
        <v>12</v>
      </c>
      <c r="R166" s="17">
        <v>8</v>
      </c>
      <c r="S166" s="17">
        <f t="shared" si="11"/>
        <v>15</v>
      </c>
    </row>
    <row r="167" spans="1:19" ht="17.5" thickBot="1">
      <c r="A167" s="11" t="s">
        <v>605</v>
      </c>
      <c r="B167" s="21" t="s">
        <v>303</v>
      </c>
      <c r="C167" s="13" t="s">
        <v>304</v>
      </c>
      <c r="D167" s="14" t="s">
        <v>579</v>
      </c>
      <c r="E167" s="38" t="str">
        <f>VLOOKUP($B167,DATA!$C:$AF,E$1+4,FALSE)</f>
        <v>P</v>
      </c>
      <c r="F167" s="38" t="str">
        <f>VLOOKUP($B167,DATA!$C:$AF,F$1+4,FALSE)</f>
        <v>P</v>
      </c>
      <c r="G167" s="38" t="str">
        <f>VLOOKUP($B167,DATA!$C:$AF,G$1+4,FALSE)</f>
        <v>P</v>
      </c>
      <c r="H167" s="38" t="str">
        <f>VLOOKUP($B167,DATA!$C:$AF,H$1+4,FALSE)</f>
        <v>P</v>
      </c>
      <c r="I167" s="38" t="str">
        <f>VLOOKUP($B167,DATA!$C:$AF,I$1+4,FALSE)</f>
        <v>P</v>
      </c>
      <c r="J167" s="38" t="str">
        <f>VLOOKUP($B167,DATA!$C:$AF,J$1+4,FALSE)</f>
        <v>P</v>
      </c>
      <c r="K167" s="38" t="str">
        <f>VLOOKUP($B167,DATA!$C:$AF,K$1+4,FALSE)</f>
        <v>P</v>
      </c>
      <c r="L167" s="38" t="str">
        <f>VLOOKUP($B167,DATA!$C:$AF,L$1+4,FALSE)</f>
        <v>P</v>
      </c>
      <c r="M167" s="38" t="str">
        <f>VLOOKUP($B167,DATA!$C:$AF,M$1+4,FALSE)</f>
        <v>P</v>
      </c>
      <c r="N167" s="38" t="str">
        <f>VLOOKUP($B167,DATA!$C:$AF,N$1+4,FALSE)</f>
        <v>P</v>
      </c>
      <c r="O167" s="38" t="str">
        <f>VLOOKUP($B167,DATA!$C:$AF,O$1+4,FALSE)</f>
        <v>P</v>
      </c>
      <c r="P167" s="38" t="str">
        <f>VLOOKUP($B167,DATA!$C:$AF,P$1+4,FALSE)</f>
        <v>P</v>
      </c>
      <c r="Q167" s="16">
        <f t="shared" si="9"/>
        <v>12</v>
      </c>
      <c r="R167" s="17">
        <v>6</v>
      </c>
      <c r="S167" s="17">
        <f t="shared" si="11"/>
        <v>15</v>
      </c>
    </row>
    <row r="168" spans="1:19" ht="17.5" thickBot="1">
      <c r="A168" s="11" t="s">
        <v>605</v>
      </c>
      <c r="B168" s="21" t="s">
        <v>305</v>
      </c>
      <c r="C168" s="13" t="s">
        <v>306</v>
      </c>
      <c r="D168" s="14" t="s">
        <v>579</v>
      </c>
      <c r="E168" s="38" t="str">
        <f>VLOOKUP($B168,DATA!$C:$AF,E$1+4,FALSE)</f>
        <v>P</v>
      </c>
      <c r="F168" s="38" t="str">
        <f>VLOOKUP($B168,DATA!$C:$AF,F$1+4,FALSE)</f>
        <v>P</v>
      </c>
      <c r="G168" s="38" t="str">
        <f>VLOOKUP($B168,DATA!$C:$AF,G$1+4,FALSE)</f>
        <v>P</v>
      </c>
      <c r="H168" s="38" t="str">
        <f>VLOOKUP($B168,DATA!$C:$AF,H$1+4,FALSE)</f>
        <v>P</v>
      </c>
      <c r="I168" s="38" t="str">
        <f>VLOOKUP($B168,DATA!$C:$AF,I$1+4,FALSE)</f>
        <v>P</v>
      </c>
      <c r="J168" s="38" t="str">
        <f>VLOOKUP($B168,DATA!$C:$AF,J$1+4,FALSE)</f>
        <v>P</v>
      </c>
      <c r="K168" s="38" t="str">
        <f>VLOOKUP($B168,DATA!$C:$AF,K$1+4,FALSE)</f>
        <v>P</v>
      </c>
      <c r="L168" s="38" t="str">
        <f>VLOOKUP($B168,DATA!$C:$AF,L$1+4,FALSE)</f>
        <v>P</v>
      </c>
      <c r="M168" s="38" t="str">
        <f>VLOOKUP($B168,DATA!$C:$AF,M$1+4,FALSE)</f>
        <v>P</v>
      </c>
      <c r="N168" s="38" t="str">
        <f>VLOOKUP($B168,DATA!$C:$AF,N$1+4,FALSE)</f>
        <v>P</v>
      </c>
      <c r="O168" s="38" t="str">
        <f>VLOOKUP($B168,DATA!$C:$AF,O$1+4,FALSE)</f>
        <v>P</v>
      </c>
      <c r="P168" s="38" t="str">
        <f>VLOOKUP($B168,DATA!$C:$AF,P$1+4,FALSE)</f>
        <v>P</v>
      </c>
      <c r="Q168" s="16">
        <f t="shared" si="9"/>
        <v>12</v>
      </c>
      <c r="R168" s="17">
        <v>6</v>
      </c>
      <c r="S168" s="17">
        <f t="shared" si="11"/>
        <v>15</v>
      </c>
    </row>
    <row r="169" spans="1:19" ht="17.5" thickBot="1">
      <c r="A169" s="11" t="s">
        <v>605</v>
      </c>
      <c r="B169" s="22" t="s">
        <v>307</v>
      </c>
      <c r="C169" s="26" t="s">
        <v>308</v>
      </c>
      <c r="D169" s="14" t="s">
        <v>579</v>
      </c>
      <c r="E169" s="38" t="str">
        <f>VLOOKUP($B169,DATA!$C:$AF,E$1+4,FALSE)</f>
        <v>P</v>
      </c>
      <c r="F169" s="38" t="str">
        <f>VLOOKUP($B169,DATA!$C:$AF,F$1+4,FALSE)</f>
        <v>P</v>
      </c>
      <c r="G169" s="38" t="str">
        <f>VLOOKUP($B169,DATA!$C:$AF,G$1+4,FALSE)</f>
        <v>P</v>
      </c>
      <c r="H169" s="38" t="str">
        <f>VLOOKUP($B169,DATA!$C:$AF,H$1+4,FALSE)</f>
        <v>P</v>
      </c>
      <c r="I169" s="38" t="str">
        <f>VLOOKUP($B169,DATA!$C:$AF,I$1+4,FALSE)</f>
        <v>P</v>
      </c>
      <c r="J169" s="38" t="str">
        <f>VLOOKUP($B169,DATA!$C:$AF,J$1+4,FALSE)</f>
        <v>P</v>
      </c>
      <c r="K169" s="38" t="str">
        <f>VLOOKUP($B169,DATA!$C:$AF,K$1+4,FALSE)</f>
        <v>P</v>
      </c>
      <c r="L169" s="38" t="str">
        <f>VLOOKUP($B169,DATA!$C:$AF,L$1+4,FALSE)</f>
        <v>P</v>
      </c>
      <c r="M169" s="38" t="str">
        <f>VLOOKUP($B169,DATA!$C:$AF,M$1+4,FALSE)</f>
        <v>P</v>
      </c>
      <c r="N169" s="38" t="str">
        <f>VLOOKUP($B169,DATA!$C:$AF,N$1+4,FALSE)</f>
        <v>P</v>
      </c>
      <c r="O169" s="38" t="str">
        <f>VLOOKUP($B169,DATA!$C:$AF,O$1+4,FALSE)</f>
        <v>P</v>
      </c>
      <c r="P169" s="38" t="str">
        <f>VLOOKUP($B169,DATA!$C:$AF,P$1+4,FALSE)</f>
        <v>P</v>
      </c>
      <c r="Q169" s="16">
        <f t="shared" si="9"/>
        <v>12</v>
      </c>
      <c r="R169" s="17">
        <v>6</v>
      </c>
      <c r="S169" s="17">
        <f t="shared" si="11"/>
        <v>15</v>
      </c>
    </row>
    <row r="170" spans="1:19" ht="17.5" thickBot="1">
      <c r="A170" s="11" t="s">
        <v>605</v>
      </c>
      <c r="B170" s="21" t="s">
        <v>309</v>
      </c>
      <c r="C170" s="13" t="s">
        <v>310</v>
      </c>
      <c r="D170" s="14" t="s">
        <v>579</v>
      </c>
      <c r="E170" s="38" t="str">
        <f>VLOOKUP($B170,DATA!$C:$AF,E$1+4,FALSE)</f>
        <v>P</v>
      </c>
      <c r="F170" s="38" t="str">
        <f>VLOOKUP($B170,DATA!$C:$AF,F$1+4,FALSE)</f>
        <v>P</v>
      </c>
      <c r="G170" s="38" t="str">
        <f>VLOOKUP($B170,DATA!$C:$AF,G$1+4,FALSE)</f>
        <v>P</v>
      </c>
      <c r="H170" s="38" t="str">
        <f>VLOOKUP($B170,DATA!$C:$AF,H$1+4,FALSE)</f>
        <v>P</v>
      </c>
      <c r="I170" s="38" t="str">
        <f>VLOOKUP($B170,DATA!$C:$AF,I$1+4,FALSE)</f>
        <v>P</v>
      </c>
      <c r="J170" s="38" t="str">
        <f>VLOOKUP($B170,DATA!$C:$AF,J$1+4,FALSE)</f>
        <v>P</v>
      </c>
      <c r="K170" s="38" t="str">
        <f>VLOOKUP($B170,DATA!$C:$AF,K$1+4,FALSE)</f>
        <v>P</v>
      </c>
      <c r="L170" s="38" t="str">
        <f>VLOOKUP($B170,DATA!$C:$AF,L$1+4,FALSE)</f>
        <v>P</v>
      </c>
      <c r="M170" s="38" t="str">
        <f>VLOOKUP($B170,DATA!$C:$AF,M$1+4,FALSE)</f>
        <v>P</v>
      </c>
      <c r="N170" s="38" t="str">
        <f>VLOOKUP($B170,DATA!$C:$AF,N$1+4,FALSE)</f>
        <v>P</v>
      </c>
      <c r="O170" s="38" t="str">
        <f>VLOOKUP($B170,DATA!$C:$AF,O$1+4,FALSE)</f>
        <v>P</v>
      </c>
      <c r="P170" s="38" t="str">
        <f>VLOOKUP($B170,DATA!$C:$AF,P$1+4,FALSE)</f>
        <v>P</v>
      </c>
      <c r="Q170" s="16">
        <f t="shared" ref="Q170" si="12">COUNTIF(E170:P170,"P")</f>
        <v>12</v>
      </c>
      <c r="R170" s="17">
        <v>8</v>
      </c>
      <c r="S170" s="17">
        <f t="shared" si="11"/>
        <v>15</v>
      </c>
    </row>
    <row r="171" spans="1:19" ht="17.5" thickBot="1">
      <c r="A171" s="11" t="s">
        <v>605</v>
      </c>
      <c r="B171" s="22" t="s">
        <v>311</v>
      </c>
      <c r="C171" s="13" t="s">
        <v>312</v>
      </c>
      <c r="D171" s="14" t="s">
        <v>580</v>
      </c>
      <c r="E171" s="38">
        <f>VLOOKUP($B171,DATA!$C:$AF,E$1+4,FALSE)</f>
        <v>0</v>
      </c>
      <c r="F171" s="38">
        <f>VLOOKUP($B171,DATA!$C:$AF,F$1+4,FALSE)</f>
        <v>0</v>
      </c>
      <c r="G171" s="38">
        <f>VLOOKUP($B171,DATA!$C:$AF,G$1+4,FALSE)</f>
        <v>0</v>
      </c>
      <c r="H171" s="38">
        <f>VLOOKUP($B171,DATA!$C:$AF,H$1+4,FALSE)</f>
        <v>0</v>
      </c>
      <c r="I171" s="38">
        <f>VLOOKUP($B171,DATA!$C:$AF,I$1+4,FALSE)</f>
        <v>0</v>
      </c>
      <c r="J171" s="38">
        <f>VLOOKUP($B171,DATA!$C:$AF,J$1+4,FALSE)</f>
        <v>0</v>
      </c>
      <c r="K171" s="38">
        <f>VLOOKUP($B171,DATA!$C:$AF,K$1+4,FALSE)</f>
        <v>0</v>
      </c>
      <c r="L171" s="38">
        <f>VLOOKUP($B171,DATA!$C:$AF,L$1+4,FALSE)</f>
        <v>0</v>
      </c>
      <c r="M171" s="38">
        <f>VLOOKUP($B171,DATA!$C:$AF,M$1+4,FALSE)</f>
        <v>0</v>
      </c>
      <c r="N171" s="38">
        <f>VLOOKUP($B171,DATA!$C:$AF,N$1+4,FALSE)</f>
        <v>0</v>
      </c>
      <c r="O171" s="38">
        <f>VLOOKUP($B171,DATA!$C:$AF,O$1+4,FALSE)</f>
        <v>0</v>
      </c>
      <c r="P171" s="38">
        <f>VLOOKUP($B171,DATA!$C:$AF,P$1+4,FALSE)</f>
        <v>0</v>
      </c>
      <c r="Q171" s="16">
        <f t="shared" ref="Q171:Q234" si="13">COUNTIF(E171:P171,"P")</f>
        <v>0</v>
      </c>
      <c r="R171" s="17">
        <v>0</v>
      </c>
      <c r="S171" s="17">
        <f t="shared" si="11"/>
        <v>0</v>
      </c>
    </row>
    <row r="172" spans="1:19" ht="17.5" thickBot="1">
      <c r="A172" s="11" t="s">
        <v>605</v>
      </c>
      <c r="B172" s="22" t="s">
        <v>313</v>
      </c>
      <c r="C172" s="21" t="s">
        <v>589</v>
      </c>
      <c r="D172" s="14" t="s">
        <v>580</v>
      </c>
      <c r="E172" s="38">
        <f>VLOOKUP($B172,DATA!$C:$AF,E$1+4,FALSE)</f>
        <v>0</v>
      </c>
      <c r="F172" s="38">
        <f>VLOOKUP($B172,DATA!$C:$AF,F$1+4,FALSE)</f>
        <v>0</v>
      </c>
      <c r="G172" s="38">
        <f>VLOOKUP($B172,DATA!$C:$AF,G$1+4,FALSE)</f>
        <v>0</v>
      </c>
      <c r="H172" s="38">
        <f>VLOOKUP($B172,DATA!$C:$AF,H$1+4,FALSE)</f>
        <v>0</v>
      </c>
      <c r="I172" s="38">
        <f>VLOOKUP($B172,DATA!$C:$AF,I$1+4,FALSE)</f>
        <v>0</v>
      </c>
      <c r="J172" s="38">
        <f>VLOOKUP($B172,DATA!$C:$AF,J$1+4,FALSE)</f>
        <v>0</v>
      </c>
      <c r="K172" s="38">
        <f>VLOOKUP($B172,DATA!$C:$AF,K$1+4,FALSE)</f>
        <v>0</v>
      </c>
      <c r="L172" s="38">
        <f>VLOOKUP($B172,DATA!$C:$AF,L$1+4,FALSE)</f>
        <v>0</v>
      </c>
      <c r="M172" s="38">
        <f>VLOOKUP($B172,DATA!$C:$AF,M$1+4,FALSE)</f>
        <v>0</v>
      </c>
      <c r="N172" s="38">
        <f>VLOOKUP($B172,DATA!$C:$AF,N$1+4,FALSE)</f>
        <v>0</v>
      </c>
      <c r="O172" s="38">
        <f>VLOOKUP($B172,DATA!$C:$AF,O$1+4,FALSE)</f>
        <v>0</v>
      </c>
      <c r="P172" s="38">
        <f>VLOOKUP($B172,DATA!$C:$AF,P$1+4,FALSE)</f>
        <v>0</v>
      </c>
      <c r="Q172" s="16">
        <f t="shared" si="13"/>
        <v>0</v>
      </c>
      <c r="R172" s="17">
        <v>0</v>
      </c>
      <c r="S172" s="17">
        <f t="shared" si="11"/>
        <v>0</v>
      </c>
    </row>
    <row r="173" spans="1:19" ht="17.5" thickBot="1">
      <c r="A173" s="11" t="s">
        <v>605</v>
      </c>
      <c r="B173" s="22" t="s">
        <v>314</v>
      </c>
      <c r="C173" s="21" t="s">
        <v>590</v>
      </c>
      <c r="D173" s="14" t="s">
        <v>580</v>
      </c>
      <c r="E173" s="38">
        <f>VLOOKUP($B173,DATA!$C:$AF,E$1+4,FALSE)</f>
        <v>0</v>
      </c>
      <c r="F173" s="38">
        <f>VLOOKUP($B173,DATA!$C:$AF,F$1+4,FALSE)</f>
        <v>0</v>
      </c>
      <c r="G173" s="38">
        <f>VLOOKUP($B173,DATA!$C:$AF,G$1+4,FALSE)</f>
        <v>0</v>
      </c>
      <c r="H173" s="38">
        <f>VLOOKUP($B173,DATA!$C:$AF,H$1+4,FALSE)</f>
        <v>0</v>
      </c>
      <c r="I173" s="38">
        <f>VLOOKUP($B173,DATA!$C:$AF,I$1+4,FALSE)</f>
        <v>0</v>
      </c>
      <c r="J173" s="38">
        <f>VLOOKUP($B173,DATA!$C:$AF,J$1+4,FALSE)</f>
        <v>0</v>
      </c>
      <c r="K173" s="38">
        <f>VLOOKUP($B173,DATA!$C:$AF,K$1+4,FALSE)</f>
        <v>0</v>
      </c>
      <c r="L173" s="38">
        <f>VLOOKUP($B173,DATA!$C:$AF,L$1+4,FALSE)</f>
        <v>0</v>
      </c>
      <c r="M173" s="38">
        <f>VLOOKUP($B173,DATA!$C:$AF,M$1+4,FALSE)</f>
        <v>0</v>
      </c>
      <c r="N173" s="38">
        <f>VLOOKUP($B173,DATA!$C:$AF,N$1+4,FALSE)</f>
        <v>0</v>
      </c>
      <c r="O173" s="38">
        <f>VLOOKUP($B173,DATA!$C:$AF,O$1+4,FALSE)</f>
        <v>0</v>
      </c>
      <c r="P173" s="38">
        <f>VLOOKUP($B173,DATA!$C:$AF,P$1+4,FALSE)</f>
        <v>0</v>
      </c>
      <c r="Q173" s="16">
        <f t="shared" si="13"/>
        <v>0</v>
      </c>
      <c r="R173" s="17">
        <v>0</v>
      </c>
      <c r="S173" s="17">
        <f t="shared" si="11"/>
        <v>0</v>
      </c>
    </row>
    <row r="174" spans="1:19" ht="17.5" thickBot="1">
      <c r="A174" s="11" t="s">
        <v>605</v>
      </c>
      <c r="B174" s="22" t="s">
        <v>315</v>
      </c>
      <c r="C174" s="21" t="s">
        <v>591</v>
      </c>
      <c r="D174" s="14" t="s">
        <v>580</v>
      </c>
      <c r="E174" s="38">
        <f>VLOOKUP($B174,DATA!$C:$AF,E$1+4,FALSE)</f>
        <v>0</v>
      </c>
      <c r="F174" s="38">
        <f>VLOOKUP($B174,DATA!$C:$AF,F$1+4,FALSE)</f>
        <v>0</v>
      </c>
      <c r="G174" s="38">
        <f>VLOOKUP($B174,DATA!$C:$AF,G$1+4,FALSE)</f>
        <v>0</v>
      </c>
      <c r="H174" s="38">
        <f>VLOOKUP($B174,DATA!$C:$AF,H$1+4,FALSE)</f>
        <v>0</v>
      </c>
      <c r="I174" s="38">
        <f>VLOOKUP($B174,DATA!$C:$AF,I$1+4,FALSE)</f>
        <v>0</v>
      </c>
      <c r="J174" s="38">
        <f>VLOOKUP($B174,DATA!$C:$AF,J$1+4,FALSE)</f>
        <v>0</v>
      </c>
      <c r="K174" s="38">
        <f>VLOOKUP($B174,DATA!$C:$AF,K$1+4,FALSE)</f>
        <v>0</v>
      </c>
      <c r="L174" s="38">
        <f>VLOOKUP($B174,DATA!$C:$AF,L$1+4,FALSE)</f>
        <v>0</v>
      </c>
      <c r="M174" s="38">
        <f>VLOOKUP($B174,DATA!$C:$AF,M$1+4,FALSE)</f>
        <v>0</v>
      </c>
      <c r="N174" s="38">
        <f>VLOOKUP($B174,DATA!$C:$AF,N$1+4,FALSE)</f>
        <v>0</v>
      </c>
      <c r="O174" s="38">
        <f>VLOOKUP($B174,DATA!$C:$AF,O$1+4,FALSE)</f>
        <v>0</v>
      </c>
      <c r="P174" s="38">
        <f>VLOOKUP($B174,DATA!$C:$AF,P$1+4,FALSE)</f>
        <v>0</v>
      </c>
      <c r="Q174" s="16">
        <f t="shared" si="13"/>
        <v>0</v>
      </c>
      <c r="R174" s="17">
        <v>0</v>
      </c>
      <c r="S174" s="17">
        <f t="shared" si="11"/>
        <v>0</v>
      </c>
    </row>
    <row r="175" spans="1:19" ht="17.5" thickBot="1">
      <c r="A175" s="11" t="s">
        <v>605</v>
      </c>
      <c r="B175" s="22" t="s">
        <v>316</v>
      </c>
      <c r="C175" s="21" t="s">
        <v>592</v>
      </c>
      <c r="D175" s="14" t="s">
        <v>580</v>
      </c>
      <c r="E175" s="38">
        <f>VLOOKUP($B175,DATA!$C:$AF,E$1+4,FALSE)</f>
        <v>0</v>
      </c>
      <c r="F175" s="38">
        <f>VLOOKUP($B175,DATA!$C:$AF,F$1+4,FALSE)</f>
        <v>0</v>
      </c>
      <c r="G175" s="38">
        <f>VLOOKUP($B175,DATA!$C:$AF,G$1+4,FALSE)</f>
        <v>0</v>
      </c>
      <c r="H175" s="38">
        <f>VLOOKUP($B175,DATA!$C:$AF,H$1+4,FALSE)</f>
        <v>0</v>
      </c>
      <c r="I175" s="38">
        <f>VLOOKUP($B175,DATA!$C:$AF,I$1+4,FALSE)</f>
        <v>0</v>
      </c>
      <c r="J175" s="38">
        <f>VLOOKUP($B175,DATA!$C:$AF,J$1+4,FALSE)</f>
        <v>0</v>
      </c>
      <c r="K175" s="38">
        <f>VLOOKUP($B175,DATA!$C:$AF,K$1+4,FALSE)</f>
        <v>0</v>
      </c>
      <c r="L175" s="38">
        <f>VLOOKUP($B175,DATA!$C:$AF,L$1+4,FALSE)</f>
        <v>0</v>
      </c>
      <c r="M175" s="38">
        <f>VLOOKUP($B175,DATA!$C:$AF,M$1+4,FALSE)</f>
        <v>0</v>
      </c>
      <c r="N175" s="38">
        <f>VLOOKUP($B175,DATA!$C:$AF,N$1+4,FALSE)</f>
        <v>0</v>
      </c>
      <c r="O175" s="38">
        <f>VLOOKUP($B175,DATA!$C:$AF,O$1+4,FALSE)</f>
        <v>0</v>
      </c>
      <c r="P175" s="38">
        <f>VLOOKUP($B175,DATA!$C:$AF,P$1+4,FALSE)</f>
        <v>0</v>
      </c>
      <c r="Q175" s="16">
        <f t="shared" si="13"/>
        <v>0</v>
      </c>
      <c r="R175" s="17">
        <v>0</v>
      </c>
      <c r="S175" s="17">
        <f t="shared" si="11"/>
        <v>0</v>
      </c>
    </row>
    <row r="176" spans="1:19" ht="17.5" thickBot="1">
      <c r="A176" s="11" t="s">
        <v>605</v>
      </c>
      <c r="B176" s="23" t="s">
        <v>317</v>
      </c>
      <c r="C176" s="21" t="s">
        <v>593</v>
      </c>
      <c r="D176" s="14" t="s">
        <v>580</v>
      </c>
      <c r="E176" s="38">
        <f>VLOOKUP($B176,DATA!$C:$AF,E$1+4,FALSE)</f>
        <v>0</v>
      </c>
      <c r="F176" s="38">
        <f>VLOOKUP($B176,DATA!$C:$AF,F$1+4,FALSE)</f>
        <v>0</v>
      </c>
      <c r="G176" s="38">
        <f>VLOOKUP($B176,DATA!$C:$AF,G$1+4,FALSE)</f>
        <v>0</v>
      </c>
      <c r="H176" s="38">
        <f>VLOOKUP($B176,DATA!$C:$AF,H$1+4,FALSE)</f>
        <v>0</v>
      </c>
      <c r="I176" s="38">
        <f>VLOOKUP($B176,DATA!$C:$AF,I$1+4,FALSE)</f>
        <v>0</v>
      </c>
      <c r="J176" s="38">
        <f>VLOOKUP($B176,DATA!$C:$AF,J$1+4,FALSE)</f>
        <v>0</v>
      </c>
      <c r="K176" s="38">
        <f>VLOOKUP($B176,DATA!$C:$AF,K$1+4,FALSE)</f>
        <v>0</v>
      </c>
      <c r="L176" s="38">
        <f>VLOOKUP($B176,DATA!$C:$AF,L$1+4,FALSE)</f>
        <v>0</v>
      </c>
      <c r="M176" s="38">
        <f>VLOOKUP($B176,DATA!$C:$AF,M$1+4,FALSE)</f>
        <v>0</v>
      </c>
      <c r="N176" s="38">
        <f>VLOOKUP($B176,DATA!$C:$AF,N$1+4,FALSE)</f>
        <v>0</v>
      </c>
      <c r="O176" s="38">
        <f>VLOOKUP($B176,DATA!$C:$AF,O$1+4,FALSE)</f>
        <v>0</v>
      </c>
      <c r="P176" s="38">
        <f>VLOOKUP($B176,DATA!$C:$AF,P$1+4,FALSE)</f>
        <v>0</v>
      </c>
      <c r="Q176" s="16">
        <f t="shared" si="13"/>
        <v>0</v>
      </c>
      <c r="R176" s="17">
        <v>0</v>
      </c>
      <c r="S176" s="17">
        <f t="shared" si="11"/>
        <v>0</v>
      </c>
    </row>
    <row r="177" spans="1:19" ht="17.5" thickBot="1">
      <c r="A177" s="11" t="s">
        <v>605</v>
      </c>
      <c r="B177" s="23" t="s">
        <v>318</v>
      </c>
      <c r="C177" s="21" t="s">
        <v>594</v>
      </c>
      <c r="D177" s="14" t="s">
        <v>580</v>
      </c>
      <c r="E177" s="38">
        <f>VLOOKUP($B177,DATA!$C:$AF,E$1+4,FALSE)</f>
        <v>0</v>
      </c>
      <c r="F177" s="38">
        <f>VLOOKUP($B177,DATA!$C:$AF,F$1+4,FALSE)</f>
        <v>0</v>
      </c>
      <c r="G177" s="38">
        <f>VLOOKUP($B177,DATA!$C:$AF,G$1+4,FALSE)</f>
        <v>0</v>
      </c>
      <c r="H177" s="38">
        <f>VLOOKUP($B177,DATA!$C:$AF,H$1+4,FALSE)</f>
        <v>0</v>
      </c>
      <c r="I177" s="38">
        <f>VLOOKUP($B177,DATA!$C:$AF,I$1+4,FALSE)</f>
        <v>0</v>
      </c>
      <c r="J177" s="38">
        <f>VLOOKUP($B177,DATA!$C:$AF,J$1+4,FALSE)</f>
        <v>0</v>
      </c>
      <c r="K177" s="38">
        <f>VLOOKUP($B177,DATA!$C:$AF,K$1+4,FALSE)</f>
        <v>0</v>
      </c>
      <c r="L177" s="38">
        <f>VLOOKUP($B177,DATA!$C:$AF,L$1+4,FALSE)</f>
        <v>0</v>
      </c>
      <c r="M177" s="38">
        <f>VLOOKUP($B177,DATA!$C:$AF,M$1+4,FALSE)</f>
        <v>0</v>
      </c>
      <c r="N177" s="38">
        <f>VLOOKUP($B177,DATA!$C:$AF,N$1+4,FALSE)</f>
        <v>0</v>
      </c>
      <c r="O177" s="38">
        <f>VLOOKUP($B177,DATA!$C:$AF,O$1+4,FALSE)</f>
        <v>0</v>
      </c>
      <c r="P177" s="38">
        <f>VLOOKUP($B177,DATA!$C:$AF,P$1+4,FALSE)</f>
        <v>0</v>
      </c>
      <c r="Q177" s="16">
        <f t="shared" si="13"/>
        <v>0</v>
      </c>
      <c r="R177" s="17">
        <v>0</v>
      </c>
      <c r="S177" s="17">
        <f t="shared" si="11"/>
        <v>0</v>
      </c>
    </row>
    <row r="178" spans="1:19" ht="17.5" thickBot="1">
      <c r="A178" s="11" t="s">
        <v>605</v>
      </c>
      <c r="B178" s="21" t="s">
        <v>319</v>
      </c>
      <c r="C178" s="13" t="s">
        <v>320</v>
      </c>
      <c r="D178" s="14" t="s">
        <v>580</v>
      </c>
      <c r="E178" s="38" t="str">
        <f>VLOOKUP($B178,DATA!$C:$AF,E$1+4,FALSE)</f>
        <v>P</v>
      </c>
      <c r="F178" s="38" t="str">
        <f>VLOOKUP($B178,DATA!$C:$AF,F$1+4,FALSE)</f>
        <v>P</v>
      </c>
      <c r="G178" s="38" t="str">
        <f>VLOOKUP($B178,DATA!$C:$AF,G$1+4,FALSE)</f>
        <v>P</v>
      </c>
      <c r="H178" s="38" t="str">
        <f>VLOOKUP($B178,DATA!$C:$AF,H$1+4,FALSE)</f>
        <v>P</v>
      </c>
      <c r="I178" s="38" t="str">
        <f>VLOOKUP($B178,DATA!$C:$AF,I$1+4,FALSE)</f>
        <v>P</v>
      </c>
      <c r="J178" s="38" t="str">
        <f>VLOOKUP($B178,DATA!$C:$AF,J$1+4,FALSE)</f>
        <v>P</v>
      </c>
      <c r="K178" s="38" t="str">
        <f>VLOOKUP($B178,DATA!$C:$AF,K$1+4,FALSE)</f>
        <v>P</v>
      </c>
      <c r="L178" s="38" t="str">
        <f>VLOOKUP($B178,DATA!$C:$AF,L$1+4,FALSE)</f>
        <v>P</v>
      </c>
      <c r="M178" s="38" t="str">
        <f>VLOOKUP($B178,DATA!$C:$AF,M$1+4,FALSE)</f>
        <v>P</v>
      </c>
      <c r="N178" s="38" t="str">
        <f>VLOOKUP($B178,DATA!$C:$AF,N$1+4,FALSE)</f>
        <v>P</v>
      </c>
      <c r="O178" s="38" t="str">
        <f>VLOOKUP($B178,DATA!$C:$AF,O$1+4,FALSE)</f>
        <v>P</v>
      </c>
      <c r="P178" s="38" t="str">
        <f>VLOOKUP($B178,DATA!$C:$AF,P$1+4,FALSE)</f>
        <v>P</v>
      </c>
      <c r="Q178" s="16">
        <f t="shared" si="13"/>
        <v>12</v>
      </c>
      <c r="R178" s="17">
        <v>8</v>
      </c>
      <c r="S178" s="17">
        <f t="shared" si="11"/>
        <v>15</v>
      </c>
    </row>
    <row r="179" spans="1:19" ht="17.5" thickBot="1">
      <c r="A179" s="11" t="s">
        <v>605</v>
      </c>
      <c r="B179" s="13" t="s">
        <v>321</v>
      </c>
      <c r="C179" s="21" t="s">
        <v>322</v>
      </c>
      <c r="D179" s="14" t="s">
        <v>580</v>
      </c>
      <c r="E179" s="38">
        <f>VLOOKUP($B179,DATA!$C:$AF,E$1+4,FALSE)</f>
        <v>0</v>
      </c>
      <c r="F179" s="38">
        <f>VLOOKUP($B179,DATA!$C:$AF,F$1+4,FALSE)</f>
        <v>0</v>
      </c>
      <c r="G179" s="38">
        <f>VLOOKUP($B179,DATA!$C:$AF,G$1+4,FALSE)</f>
        <v>0</v>
      </c>
      <c r="H179" s="38">
        <f>VLOOKUP($B179,DATA!$C:$AF,H$1+4,FALSE)</f>
        <v>0</v>
      </c>
      <c r="I179" s="38">
        <f>VLOOKUP($B179,DATA!$C:$AF,I$1+4,FALSE)</f>
        <v>0</v>
      </c>
      <c r="J179" s="38">
        <f>VLOOKUP($B179,DATA!$C:$AF,J$1+4,FALSE)</f>
        <v>0</v>
      </c>
      <c r="K179" s="38">
        <f>VLOOKUP($B179,DATA!$C:$AF,K$1+4,FALSE)</f>
        <v>0</v>
      </c>
      <c r="L179" s="38">
        <f>VLOOKUP($B179,DATA!$C:$AF,L$1+4,FALSE)</f>
        <v>0</v>
      </c>
      <c r="M179" s="38">
        <f>VLOOKUP($B179,DATA!$C:$AF,M$1+4,FALSE)</f>
        <v>0</v>
      </c>
      <c r="N179" s="38">
        <f>VLOOKUP($B179,DATA!$C:$AF,N$1+4,FALSE)</f>
        <v>0</v>
      </c>
      <c r="O179" s="38">
        <f>VLOOKUP($B179,DATA!$C:$AF,O$1+4,FALSE)</f>
        <v>0</v>
      </c>
      <c r="P179" s="38">
        <f>VLOOKUP($B179,DATA!$C:$AF,P$1+4,FALSE)</f>
        <v>0</v>
      </c>
      <c r="Q179" s="16">
        <f t="shared" si="13"/>
        <v>0</v>
      </c>
      <c r="R179" s="17">
        <v>0</v>
      </c>
      <c r="S179" s="17">
        <f>IF(R179=0,0,IF(R179&lt;=8,15,10))</f>
        <v>0</v>
      </c>
    </row>
    <row r="180" spans="1:19" ht="17.5" thickBot="1">
      <c r="A180" s="11" t="s">
        <v>605</v>
      </c>
      <c r="B180" s="13" t="s">
        <v>323</v>
      </c>
      <c r="C180" s="21" t="s">
        <v>595</v>
      </c>
      <c r="D180" s="14" t="s">
        <v>580</v>
      </c>
      <c r="E180" s="38">
        <f>VLOOKUP($B180,DATA!$C:$AF,E$1+4,FALSE)</f>
        <v>0</v>
      </c>
      <c r="F180" s="38">
        <f>VLOOKUP($B180,DATA!$C:$AF,F$1+4,FALSE)</f>
        <v>0</v>
      </c>
      <c r="G180" s="38">
        <f>VLOOKUP($B180,DATA!$C:$AF,G$1+4,FALSE)</f>
        <v>0</v>
      </c>
      <c r="H180" s="38">
        <f>VLOOKUP($B180,DATA!$C:$AF,H$1+4,FALSE)</f>
        <v>0</v>
      </c>
      <c r="I180" s="38">
        <f>VLOOKUP($B180,DATA!$C:$AF,I$1+4,FALSE)</f>
        <v>0</v>
      </c>
      <c r="J180" s="38">
        <f>VLOOKUP($B180,DATA!$C:$AF,J$1+4,FALSE)</f>
        <v>0</v>
      </c>
      <c r="K180" s="38">
        <f>VLOOKUP($B180,DATA!$C:$AF,K$1+4,FALSE)</f>
        <v>0</v>
      </c>
      <c r="L180" s="38">
        <f>VLOOKUP($B180,DATA!$C:$AF,L$1+4,FALSE)</f>
        <v>0</v>
      </c>
      <c r="M180" s="38">
        <f>VLOOKUP($B180,DATA!$C:$AF,M$1+4,FALSE)</f>
        <v>0</v>
      </c>
      <c r="N180" s="38">
        <f>VLOOKUP($B180,DATA!$C:$AF,N$1+4,FALSE)</f>
        <v>0</v>
      </c>
      <c r="O180" s="38">
        <f>VLOOKUP($B180,DATA!$C:$AF,O$1+4,FALSE)</f>
        <v>0</v>
      </c>
      <c r="P180" s="38">
        <f>VLOOKUP($B180,DATA!$C:$AF,P$1+4,FALSE)</f>
        <v>0</v>
      </c>
      <c r="Q180" s="16">
        <f t="shared" si="13"/>
        <v>0</v>
      </c>
      <c r="R180" s="17">
        <v>0</v>
      </c>
      <c r="S180" s="17">
        <f t="shared" ref="S180:S243" si="14">IF(R180=0,0,IF(R180&lt;=8,15,10))</f>
        <v>0</v>
      </c>
    </row>
    <row r="181" spans="1:19" ht="17.5" thickBot="1">
      <c r="A181" s="11" t="s">
        <v>605</v>
      </c>
      <c r="B181" s="27" t="s">
        <v>324</v>
      </c>
      <c r="C181" s="13" t="s">
        <v>325</v>
      </c>
      <c r="D181" s="14" t="s">
        <v>579</v>
      </c>
      <c r="E181" s="38">
        <f>VLOOKUP($B181,DATA!$C:$AF,E$1+4,FALSE)</f>
        <v>0</v>
      </c>
      <c r="F181" s="38">
        <f>VLOOKUP($B181,DATA!$C:$AF,F$1+4,FALSE)</f>
        <v>0</v>
      </c>
      <c r="G181" s="38">
        <f>VLOOKUP($B181,DATA!$C:$AF,G$1+4,FALSE)</f>
        <v>0</v>
      </c>
      <c r="H181" s="38">
        <f>VLOOKUP($B181,DATA!$C:$AF,H$1+4,FALSE)</f>
        <v>0</v>
      </c>
      <c r="I181" s="38">
        <f>VLOOKUP($B181,DATA!$C:$AF,I$1+4,FALSE)</f>
        <v>0</v>
      </c>
      <c r="J181" s="38">
        <f>VLOOKUP($B181,DATA!$C:$AF,J$1+4,FALSE)</f>
        <v>0</v>
      </c>
      <c r="K181" s="38">
        <f>VLOOKUP($B181,DATA!$C:$AF,K$1+4,FALSE)</f>
        <v>0</v>
      </c>
      <c r="L181" s="38">
        <f>VLOOKUP($B181,DATA!$C:$AF,L$1+4,FALSE)</f>
        <v>0</v>
      </c>
      <c r="M181" s="38">
        <f>VLOOKUP($B181,DATA!$C:$AF,M$1+4,FALSE)</f>
        <v>0</v>
      </c>
      <c r="N181" s="38">
        <f>VLOOKUP($B181,DATA!$C:$AF,N$1+4,FALSE)</f>
        <v>0</v>
      </c>
      <c r="O181" s="38">
        <f>VLOOKUP($B181,DATA!$C:$AF,O$1+4,FALSE)</f>
        <v>0</v>
      </c>
      <c r="P181" s="38">
        <f>VLOOKUP($B181,DATA!$C:$AF,P$1+4,FALSE)</f>
        <v>0</v>
      </c>
      <c r="Q181" s="16">
        <f t="shared" si="13"/>
        <v>0</v>
      </c>
      <c r="R181" s="17">
        <v>0</v>
      </c>
      <c r="S181" s="17">
        <f t="shared" si="14"/>
        <v>0</v>
      </c>
    </row>
    <row r="182" spans="1:19" ht="17.5" thickBot="1">
      <c r="A182" s="11" t="s">
        <v>605</v>
      </c>
      <c r="B182" s="21" t="s">
        <v>326</v>
      </c>
      <c r="C182" s="13" t="s">
        <v>327</v>
      </c>
      <c r="D182" s="14" t="s">
        <v>579</v>
      </c>
      <c r="E182" s="38">
        <f>VLOOKUP($B182,DATA!$C:$AF,E$1+4,FALSE)</f>
        <v>0</v>
      </c>
      <c r="F182" s="38">
        <f>VLOOKUP($B182,DATA!$C:$AF,F$1+4,FALSE)</f>
        <v>0</v>
      </c>
      <c r="G182" s="38">
        <f>VLOOKUP($B182,DATA!$C:$AF,G$1+4,FALSE)</f>
        <v>0</v>
      </c>
      <c r="H182" s="38">
        <f>VLOOKUP($B182,DATA!$C:$AF,H$1+4,FALSE)</f>
        <v>0</v>
      </c>
      <c r="I182" s="38">
        <f>VLOOKUP($B182,DATA!$C:$AF,I$1+4,FALSE)</f>
        <v>0</v>
      </c>
      <c r="J182" s="38">
        <f>VLOOKUP($B182,DATA!$C:$AF,J$1+4,FALSE)</f>
        <v>0</v>
      </c>
      <c r="K182" s="38">
        <f>VLOOKUP($B182,DATA!$C:$AF,K$1+4,FALSE)</f>
        <v>0</v>
      </c>
      <c r="L182" s="38">
        <f>VLOOKUP($B182,DATA!$C:$AF,L$1+4,FALSE)</f>
        <v>0</v>
      </c>
      <c r="M182" s="38">
        <f>VLOOKUP($B182,DATA!$C:$AF,M$1+4,FALSE)</f>
        <v>0</v>
      </c>
      <c r="N182" s="38">
        <f>VLOOKUP($B182,DATA!$C:$AF,N$1+4,FALSE)</f>
        <v>0</v>
      </c>
      <c r="O182" s="38">
        <f>VLOOKUP($B182,DATA!$C:$AF,O$1+4,FALSE)</f>
        <v>0</v>
      </c>
      <c r="P182" s="38">
        <f>VLOOKUP($B182,DATA!$C:$AF,P$1+4,FALSE)</f>
        <v>0</v>
      </c>
      <c r="Q182" s="16">
        <f t="shared" si="13"/>
        <v>0</v>
      </c>
      <c r="R182" s="17">
        <v>0</v>
      </c>
      <c r="S182" s="17">
        <f t="shared" si="14"/>
        <v>0</v>
      </c>
    </row>
    <row r="183" spans="1:19" ht="17.5" thickBot="1">
      <c r="A183" s="11" t="s">
        <v>605</v>
      </c>
      <c r="B183" s="21" t="s">
        <v>328</v>
      </c>
      <c r="C183" s="13" t="s">
        <v>329</v>
      </c>
      <c r="D183" s="14" t="s">
        <v>584</v>
      </c>
      <c r="E183" s="38">
        <f>VLOOKUP($B183,DATA!$C:$AF,E$1+4,FALSE)</f>
        <v>0</v>
      </c>
      <c r="F183" s="38">
        <f>VLOOKUP($B183,DATA!$C:$AF,F$1+4,FALSE)</f>
        <v>0</v>
      </c>
      <c r="G183" s="38">
        <f>VLOOKUP($B183,DATA!$C:$AF,G$1+4,FALSE)</f>
        <v>0</v>
      </c>
      <c r="H183" s="38">
        <f>VLOOKUP($B183,DATA!$C:$AF,H$1+4,FALSE)</f>
        <v>0</v>
      </c>
      <c r="I183" s="38">
        <f>VLOOKUP($B183,DATA!$C:$AF,I$1+4,FALSE)</f>
        <v>0</v>
      </c>
      <c r="J183" s="38">
        <f>VLOOKUP($B183,DATA!$C:$AF,J$1+4,FALSE)</f>
        <v>0</v>
      </c>
      <c r="K183" s="38">
        <f>VLOOKUP($B183,DATA!$C:$AF,K$1+4,FALSE)</f>
        <v>0</v>
      </c>
      <c r="L183" s="38">
        <f>VLOOKUP($B183,DATA!$C:$AF,L$1+4,FALSE)</f>
        <v>0</v>
      </c>
      <c r="M183" s="38">
        <f>VLOOKUP($B183,DATA!$C:$AF,M$1+4,FALSE)</f>
        <v>0</v>
      </c>
      <c r="N183" s="38">
        <f>VLOOKUP($B183,DATA!$C:$AF,N$1+4,FALSE)</f>
        <v>0</v>
      </c>
      <c r="O183" s="38">
        <f>VLOOKUP($B183,DATA!$C:$AF,O$1+4,FALSE)</f>
        <v>0</v>
      </c>
      <c r="P183" s="38">
        <f>VLOOKUP($B183,DATA!$C:$AF,P$1+4,FALSE)</f>
        <v>0</v>
      </c>
      <c r="Q183" s="16">
        <f t="shared" si="13"/>
        <v>0</v>
      </c>
      <c r="R183" s="17">
        <v>0</v>
      </c>
      <c r="S183" s="17">
        <f t="shared" si="14"/>
        <v>0</v>
      </c>
    </row>
    <row r="184" spans="1:19" ht="17.5" thickBot="1">
      <c r="A184" s="11" t="s">
        <v>605</v>
      </c>
      <c r="B184" s="19" t="s">
        <v>330</v>
      </c>
      <c r="C184" s="13" t="s">
        <v>331</v>
      </c>
      <c r="D184" s="14" t="s">
        <v>579</v>
      </c>
      <c r="E184" s="38" t="str">
        <f>VLOOKUP($B184,DATA!$C:$AF,E$1+4,FALSE)</f>
        <v>P</v>
      </c>
      <c r="F184" s="38" t="str">
        <f>VLOOKUP($B184,DATA!$C:$AF,F$1+4,FALSE)</f>
        <v>P</v>
      </c>
      <c r="G184" s="38" t="str">
        <f>VLOOKUP($B184,DATA!$C:$AF,G$1+4,FALSE)</f>
        <v>P</v>
      </c>
      <c r="H184" s="38" t="str">
        <f>VLOOKUP($B184,DATA!$C:$AF,H$1+4,FALSE)</f>
        <v>P</v>
      </c>
      <c r="I184" s="38" t="str">
        <f>VLOOKUP($B184,DATA!$C:$AF,I$1+4,FALSE)</f>
        <v>P</v>
      </c>
      <c r="J184" s="38" t="str">
        <f>VLOOKUP($B184,DATA!$C:$AF,J$1+4,FALSE)</f>
        <v>P</v>
      </c>
      <c r="K184" s="38" t="str">
        <f>VLOOKUP($B184,DATA!$C:$AF,K$1+4,FALSE)</f>
        <v>P</v>
      </c>
      <c r="L184" s="38" t="str">
        <f>VLOOKUP($B184,DATA!$C:$AF,L$1+4,FALSE)</f>
        <v>P</v>
      </c>
      <c r="M184" s="38" t="str">
        <f>VLOOKUP($B184,DATA!$C:$AF,M$1+4,FALSE)</f>
        <v>P</v>
      </c>
      <c r="N184" s="38" t="str">
        <f>VLOOKUP($B184,DATA!$C:$AF,N$1+4,FALSE)</f>
        <v>P</v>
      </c>
      <c r="O184" s="38" t="str">
        <f>VLOOKUP($B184,DATA!$C:$AF,O$1+4,FALSE)</f>
        <v>P</v>
      </c>
      <c r="P184" s="38" t="str">
        <f>VLOOKUP($B184,DATA!$C:$AF,P$1+4,FALSE)</f>
        <v>P</v>
      </c>
      <c r="Q184" s="16">
        <f t="shared" si="13"/>
        <v>12</v>
      </c>
      <c r="R184" s="17">
        <v>8</v>
      </c>
      <c r="S184" s="17">
        <f t="shared" si="14"/>
        <v>15</v>
      </c>
    </row>
    <row r="185" spans="1:19" ht="17.5" thickBot="1">
      <c r="A185" s="11" t="s">
        <v>605</v>
      </c>
      <c r="B185" s="21" t="s">
        <v>332</v>
      </c>
      <c r="C185" s="13" t="s">
        <v>333</v>
      </c>
      <c r="D185" s="14" t="s">
        <v>579</v>
      </c>
      <c r="E185" s="38">
        <f>VLOOKUP($B185,DATA!$C:$AF,E$1+4,FALSE)</f>
        <v>0</v>
      </c>
      <c r="F185" s="38">
        <f>VLOOKUP($B185,DATA!$C:$AF,F$1+4,FALSE)</f>
        <v>0</v>
      </c>
      <c r="G185" s="38">
        <f>VLOOKUP($B185,DATA!$C:$AF,G$1+4,FALSE)</f>
        <v>0</v>
      </c>
      <c r="H185" s="38">
        <f>VLOOKUP($B185,DATA!$C:$AF,H$1+4,FALSE)</f>
        <v>0</v>
      </c>
      <c r="I185" s="38">
        <f>VLOOKUP($B185,DATA!$C:$AF,I$1+4,FALSE)</f>
        <v>0</v>
      </c>
      <c r="J185" s="38">
        <f>VLOOKUP($B185,DATA!$C:$AF,J$1+4,FALSE)</f>
        <v>0</v>
      </c>
      <c r="K185" s="38">
        <f>VLOOKUP($B185,DATA!$C:$AF,K$1+4,FALSE)</f>
        <v>0</v>
      </c>
      <c r="L185" s="38">
        <f>VLOOKUP($B185,DATA!$C:$AF,L$1+4,FALSE)</f>
        <v>0</v>
      </c>
      <c r="M185" s="38">
        <f>VLOOKUP($B185,DATA!$C:$AF,M$1+4,FALSE)</f>
        <v>0</v>
      </c>
      <c r="N185" s="38">
        <f>VLOOKUP($B185,DATA!$C:$AF,N$1+4,FALSE)</f>
        <v>0</v>
      </c>
      <c r="O185" s="38">
        <f>VLOOKUP($B185,DATA!$C:$AF,O$1+4,FALSE)</f>
        <v>0</v>
      </c>
      <c r="P185" s="38">
        <f>VLOOKUP($B185,DATA!$C:$AF,P$1+4,FALSE)</f>
        <v>0</v>
      </c>
      <c r="Q185" s="16">
        <f t="shared" si="13"/>
        <v>0</v>
      </c>
      <c r="R185" s="17">
        <v>0</v>
      </c>
      <c r="S185" s="17">
        <f t="shared" si="14"/>
        <v>0</v>
      </c>
    </row>
    <row r="186" spans="1:19" ht="17.5" thickBot="1">
      <c r="A186" s="11" t="s">
        <v>605</v>
      </c>
      <c r="B186" s="21" t="s">
        <v>334</v>
      </c>
      <c r="C186" s="21" t="s">
        <v>335</v>
      </c>
      <c r="D186" s="14" t="s">
        <v>579</v>
      </c>
      <c r="E186" s="38">
        <f>VLOOKUP($B186,DATA!$C:$AF,E$1+4,FALSE)</f>
        <v>0</v>
      </c>
      <c r="F186" s="38">
        <f>VLOOKUP($B186,DATA!$C:$AF,F$1+4,FALSE)</f>
        <v>0</v>
      </c>
      <c r="G186" s="38">
        <f>VLOOKUP($B186,DATA!$C:$AF,G$1+4,FALSE)</f>
        <v>0</v>
      </c>
      <c r="H186" s="38">
        <f>VLOOKUP($B186,DATA!$C:$AF,H$1+4,FALSE)</f>
        <v>0</v>
      </c>
      <c r="I186" s="38">
        <f>VLOOKUP($B186,DATA!$C:$AF,I$1+4,FALSE)</f>
        <v>0</v>
      </c>
      <c r="J186" s="38">
        <f>VLOOKUP($B186,DATA!$C:$AF,J$1+4,FALSE)</f>
        <v>0</v>
      </c>
      <c r="K186" s="38">
        <f>VLOOKUP($B186,DATA!$C:$AF,K$1+4,FALSE)</f>
        <v>0</v>
      </c>
      <c r="L186" s="38">
        <f>VLOOKUP($B186,DATA!$C:$AF,L$1+4,FALSE)</f>
        <v>0</v>
      </c>
      <c r="M186" s="38">
        <f>VLOOKUP($B186,DATA!$C:$AF,M$1+4,FALSE)</f>
        <v>0</v>
      </c>
      <c r="N186" s="38">
        <f>VLOOKUP($B186,DATA!$C:$AF,N$1+4,FALSE)</f>
        <v>0</v>
      </c>
      <c r="O186" s="38">
        <f>VLOOKUP($B186,DATA!$C:$AF,O$1+4,FALSE)</f>
        <v>0</v>
      </c>
      <c r="P186" s="38">
        <f>VLOOKUP($B186,DATA!$C:$AF,P$1+4,FALSE)</f>
        <v>0</v>
      </c>
      <c r="Q186" s="16">
        <f t="shared" si="13"/>
        <v>0</v>
      </c>
      <c r="R186" s="17">
        <v>0</v>
      </c>
      <c r="S186" s="17">
        <f t="shared" si="14"/>
        <v>0</v>
      </c>
    </row>
    <row r="187" spans="1:19" ht="17.5" thickBot="1">
      <c r="A187" s="11" t="s">
        <v>605</v>
      </c>
      <c r="B187" s="21" t="s">
        <v>336</v>
      </c>
      <c r="C187" s="21" t="s">
        <v>337</v>
      </c>
      <c r="D187" s="14" t="s">
        <v>579</v>
      </c>
      <c r="E187" s="38">
        <f>VLOOKUP($B187,DATA!$C:$AF,E$1+4,FALSE)</f>
        <v>0</v>
      </c>
      <c r="F187" s="38">
        <f>VLOOKUP($B187,DATA!$C:$AF,F$1+4,FALSE)</f>
        <v>0</v>
      </c>
      <c r="G187" s="38">
        <f>VLOOKUP($B187,DATA!$C:$AF,G$1+4,FALSE)</f>
        <v>0</v>
      </c>
      <c r="H187" s="38">
        <f>VLOOKUP($B187,DATA!$C:$AF,H$1+4,FALSE)</f>
        <v>0</v>
      </c>
      <c r="I187" s="38">
        <f>VLOOKUP($B187,DATA!$C:$AF,I$1+4,FALSE)</f>
        <v>0</v>
      </c>
      <c r="J187" s="38">
        <f>VLOOKUP($B187,DATA!$C:$AF,J$1+4,FALSE)</f>
        <v>0</v>
      </c>
      <c r="K187" s="38">
        <f>VLOOKUP($B187,DATA!$C:$AF,K$1+4,FALSE)</f>
        <v>0</v>
      </c>
      <c r="L187" s="38">
        <f>VLOOKUP($B187,DATA!$C:$AF,L$1+4,FALSE)</f>
        <v>0</v>
      </c>
      <c r="M187" s="38">
        <f>VLOOKUP($B187,DATA!$C:$AF,M$1+4,FALSE)</f>
        <v>0</v>
      </c>
      <c r="N187" s="38">
        <f>VLOOKUP($B187,DATA!$C:$AF,N$1+4,FALSE)</f>
        <v>0</v>
      </c>
      <c r="O187" s="38">
        <f>VLOOKUP($B187,DATA!$C:$AF,O$1+4,FALSE)</f>
        <v>0</v>
      </c>
      <c r="P187" s="38">
        <f>VLOOKUP($B187,DATA!$C:$AF,P$1+4,FALSE)</f>
        <v>0</v>
      </c>
      <c r="Q187" s="16">
        <f t="shared" si="13"/>
        <v>0</v>
      </c>
      <c r="R187" s="17">
        <v>0</v>
      </c>
      <c r="S187" s="17">
        <f t="shared" si="14"/>
        <v>0</v>
      </c>
    </row>
    <row r="188" spans="1:19" ht="17.5" thickBot="1">
      <c r="A188" s="11" t="s">
        <v>605</v>
      </c>
      <c r="B188" s="21" t="s">
        <v>339</v>
      </c>
      <c r="C188" s="13" t="s">
        <v>340</v>
      </c>
      <c r="D188" s="14" t="s">
        <v>579</v>
      </c>
      <c r="E188" s="38">
        <f>VLOOKUP($B188,DATA!$C:$AF,E$1+4,FALSE)</f>
        <v>0</v>
      </c>
      <c r="F188" s="38">
        <f>VLOOKUP($B188,DATA!$C:$AF,F$1+4,FALSE)</f>
        <v>0</v>
      </c>
      <c r="G188" s="38">
        <f>VLOOKUP($B188,DATA!$C:$AF,G$1+4,FALSE)</f>
        <v>0</v>
      </c>
      <c r="H188" s="38">
        <f>VLOOKUP($B188,DATA!$C:$AF,H$1+4,FALSE)</f>
        <v>0</v>
      </c>
      <c r="I188" s="38">
        <f>VLOOKUP($B188,DATA!$C:$AF,I$1+4,FALSE)</f>
        <v>0</v>
      </c>
      <c r="J188" s="38">
        <f>VLOOKUP($B188,DATA!$C:$AF,J$1+4,FALSE)</f>
        <v>0</v>
      </c>
      <c r="K188" s="38">
        <f>VLOOKUP($B188,DATA!$C:$AF,K$1+4,FALSE)</f>
        <v>0</v>
      </c>
      <c r="L188" s="38">
        <f>VLOOKUP($B188,DATA!$C:$AF,L$1+4,FALSE)</f>
        <v>0</v>
      </c>
      <c r="M188" s="38">
        <f>VLOOKUP($B188,DATA!$C:$AF,M$1+4,FALSE)</f>
        <v>0</v>
      </c>
      <c r="N188" s="38">
        <f>VLOOKUP($B188,DATA!$C:$AF,N$1+4,FALSE)</f>
        <v>0</v>
      </c>
      <c r="O188" s="38">
        <f>VLOOKUP($B188,DATA!$C:$AF,O$1+4,FALSE)</f>
        <v>0</v>
      </c>
      <c r="P188" s="38">
        <f>VLOOKUP($B188,DATA!$C:$AF,P$1+4,FALSE)</f>
        <v>0</v>
      </c>
      <c r="Q188" s="16">
        <f t="shared" si="13"/>
        <v>0</v>
      </c>
      <c r="R188" s="17">
        <v>0</v>
      </c>
      <c r="S188" s="17">
        <f t="shared" si="14"/>
        <v>0</v>
      </c>
    </row>
    <row r="189" spans="1:19" ht="17.5" thickBot="1">
      <c r="A189" s="11" t="s">
        <v>605</v>
      </c>
      <c r="B189" s="21" t="s">
        <v>341</v>
      </c>
      <c r="C189" s="21" t="s">
        <v>342</v>
      </c>
      <c r="D189" s="14" t="s">
        <v>579</v>
      </c>
      <c r="E189" s="38" t="str">
        <f>VLOOKUP($B189,DATA!$C:$AF,E$1+4,FALSE)</f>
        <v>P</v>
      </c>
      <c r="F189" s="38" t="str">
        <f>VLOOKUP($B189,DATA!$C:$AF,F$1+4,FALSE)</f>
        <v>P</v>
      </c>
      <c r="G189" s="38" t="str">
        <f>VLOOKUP($B189,DATA!$C:$AF,G$1+4,FALSE)</f>
        <v>P</v>
      </c>
      <c r="H189" s="38" t="str">
        <f>VLOOKUP($B189,DATA!$C:$AF,H$1+4,FALSE)</f>
        <v>P</v>
      </c>
      <c r="I189" s="38" t="str">
        <f>VLOOKUP($B189,DATA!$C:$AF,I$1+4,FALSE)</f>
        <v>P</v>
      </c>
      <c r="J189" s="38" t="str">
        <f>VLOOKUP($B189,DATA!$C:$AF,J$1+4,FALSE)</f>
        <v>P</v>
      </c>
      <c r="K189" s="38" t="str">
        <f>VLOOKUP($B189,DATA!$C:$AF,K$1+4,FALSE)</f>
        <v>P</v>
      </c>
      <c r="L189" s="38" t="str">
        <f>VLOOKUP($B189,DATA!$C:$AF,L$1+4,FALSE)</f>
        <v>P</v>
      </c>
      <c r="M189" s="38" t="str">
        <f>VLOOKUP($B189,DATA!$C:$AF,M$1+4,FALSE)</f>
        <v>P</v>
      </c>
      <c r="N189" s="38" t="str">
        <f>VLOOKUP($B189,DATA!$C:$AF,N$1+4,FALSE)</f>
        <v>P</v>
      </c>
      <c r="O189" s="38" t="str">
        <f>VLOOKUP($B189,DATA!$C:$AF,O$1+4,FALSE)</f>
        <v>P</v>
      </c>
      <c r="P189" s="38" t="str">
        <f>VLOOKUP($B189,DATA!$C:$AF,P$1+4,FALSE)</f>
        <v>P</v>
      </c>
      <c r="Q189" s="16">
        <f t="shared" si="13"/>
        <v>12</v>
      </c>
      <c r="R189" s="17">
        <v>8</v>
      </c>
      <c r="S189" s="17">
        <f t="shared" si="14"/>
        <v>15</v>
      </c>
    </row>
    <row r="190" spans="1:19" ht="17.5" thickBot="1">
      <c r="A190" s="11" t="s">
        <v>605</v>
      </c>
      <c r="B190" s="19" t="s">
        <v>343</v>
      </c>
      <c r="C190" s="13" t="s">
        <v>344</v>
      </c>
      <c r="D190" s="14" t="s">
        <v>579</v>
      </c>
      <c r="E190" s="38">
        <f>VLOOKUP($B190,DATA!$C:$AF,E$1+4,FALSE)</f>
        <v>0</v>
      </c>
      <c r="F190" s="38">
        <f>VLOOKUP($B190,DATA!$C:$AF,F$1+4,FALSE)</f>
        <v>0</v>
      </c>
      <c r="G190" s="38">
        <f>VLOOKUP($B190,DATA!$C:$AF,G$1+4,FALSE)</f>
        <v>0</v>
      </c>
      <c r="H190" s="38">
        <f>VLOOKUP($B190,DATA!$C:$AF,H$1+4,FALSE)</f>
        <v>0</v>
      </c>
      <c r="I190" s="38">
        <f>VLOOKUP($B190,DATA!$C:$AF,I$1+4,FALSE)</f>
        <v>0</v>
      </c>
      <c r="J190" s="38">
        <f>VLOOKUP($B190,DATA!$C:$AF,J$1+4,FALSE)</f>
        <v>0</v>
      </c>
      <c r="K190" s="38">
        <f>VLOOKUP($B190,DATA!$C:$AF,K$1+4,FALSE)</f>
        <v>0</v>
      </c>
      <c r="L190" s="38">
        <f>VLOOKUP($B190,DATA!$C:$AF,L$1+4,FALSE)</f>
        <v>0</v>
      </c>
      <c r="M190" s="38">
        <f>VLOOKUP($B190,DATA!$C:$AF,M$1+4,FALSE)</f>
        <v>0</v>
      </c>
      <c r="N190" s="38">
        <f>VLOOKUP($B190,DATA!$C:$AF,N$1+4,FALSE)</f>
        <v>0</v>
      </c>
      <c r="O190" s="38">
        <f>VLOOKUP($B190,DATA!$C:$AF,O$1+4,FALSE)</f>
        <v>0</v>
      </c>
      <c r="P190" s="38">
        <f>VLOOKUP($B190,DATA!$C:$AF,P$1+4,FALSE)</f>
        <v>0</v>
      </c>
      <c r="Q190" s="16">
        <f t="shared" si="13"/>
        <v>0</v>
      </c>
      <c r="R190" s="17">
        <v>0</v>
      </c>
      <c r="S190" s="17">
        <f t="shared" si="14"/>
        <v>0</v>
      </c>
    </row>
    <row r="191" spans="1:19" ht="17.5" thickBot="1">
      <c r="A191" s="11" t="s">
        <v>605</v>
      </c>
      <c r="B191" s="27" t="s">
        <v>345</v>
      </c>
      <c r="C191" s="13" t="s">
        <v>346</v>
      </c>
      <c r="D191" s="14" t="s">
        <v>579</v>
      </c>
      <c r="E191" s="38" t="str">
        <f>VLOOKUP($B191,DATA!$C:$AF,E$1+4,FALSE)</f>
        <v>P</v>
      </c>
      <c r="F191" s="38" t="str">
        <f>VLOOKUP($B191,DATA!$C:$AF,F$1+4,FALSE)</f>
        <v>P</v>
      </c>
      <c r="G191" s="38" t="str">
        <f>VLOOKUP($B191,DATA!$C:$AF,G$1+4,FALSE)</f>
        <v>P</v>
      </c>
      <c r="H191" s="38" t="str">
        <f>VLOOKUP($B191,DATA!$C:$AF,H$1+4,FALSE)</f>
        <v>P</v>
      </c>
      <c r="I191" s="38" t="str">
        <f>VLOOKUP($B191,DATA!$C:$AF,I$1+4,FALSE)</f>
        <v>P</v>
      </c>
      <c r="J191" s="38" t="str">
        <f>VLOOKUP($B191,DATA!$C:$AF,J$1+4,FALSE)</f>
        <v>P</v>
      </c>
      <c r="K191" s="38" t="str">
        <f>VLOOKUP($B191,DATA!$C:$AF,K$1+4,FALSE)</f>
        <v>P</v>
      </c>
      <c r="L191" s="38" t="str">
        <f>VLOOKUP($B191,DATA!$C:$AF,L$1+4,FALSE)</f>
        <v>P</v>
      </c>
      <c r="M191" s="38" t="str">
        <f>VLOOKUP($B191,DATA!$C:$AF,M$1+4,FALSE)</f>
        <v>P</v>
      </c>
      <c r="N191" s="38" t="str">
        <f>VLOOKUP($B191,DATA!$C:$AF,N$1+4,FALSE)</f>
        <v>P</v>
      </c>
      <c r="O191" s="38" t="str">
        <f>VLOOKUP($B191,DATA!$C:$AF,O$1+4,FALSE)</f>
        <v>P</v>
      </c>
      <c r="P191" s="38" t="str">
        <f>VLOOKUP($B191,DATA!$C:$AF,P$1+4,FALSE)</f>
        <v>P</v>
      </c>
      <c r="Q191" s="16">
        <f t="shared" si="13"/>
        <v>12</v>
      </c>
      <c r="R191" s="17">
        <v>7</v>
      </c>
      <c r="S191" s="17">
        <f t="shared" si="14"/>
        <v>15</v>
      </c>
    </row>
    <row r="192" spans="1:19" ht="17.5" thickBot="1">
      <c r="A192" s="11" t="s">
        <v>605</v>
      </c>
      <c r="B192" s="21" t="s">
        <v>347</v>
      </c>
      <c r="C192" s="13" t="s">
        <v>348</v>
      </c>
      <c r="D192" s="14" t="s">
        <v>579</v>
      </c>
      <c r="E192" s="38" t="str">
        <f>VLOOKUP($B192,DATA!$C:$AF,E$1+4,FALSE)</f>
        <v>P</v>
      </c>
      <c r="F192" s="38" t="str">
        <f>VLOOKUP($B192,DATA!$C:$AF,F$1+4,FALSE)</f>
        <v>P</v>
      </c>
      <c r="G192" s="38" t="str">
        <f>VLOOKUP($B192,DATA!$C:$AF,G$1+4,FALSE)</f>
        <v>P</v>
      </c>
      <c r="H192" s="38" t="str">
        <f>VLOOKUP($B192,DATA!$C:$AF,H$1+4,FALSE)</f>
        <v>P</v>
      </c>
      <c r="I192" s="38" t="str">
        <f>VLOOKUP($B192,DATA!$C:$AF,I$1+4,FALSE)</f>
        <v>P</v>
      </c>
      <c r="J192" s="38" t="str">
        <f>VLOOKUP($B192,DATA!$C:$AF,J$1+4,FALSE)</f>
        <v>P</v>
      </c>
      <c r="K192" s="38" t="str">
        <f>VLOOKUP($B192,DATA!$C:$AF,K$1+4,FALSE)</f>
        <v>P</v>
      </c>
      <c r="L192" s="38" t="str">
        <f>VLOOKUP($B192,DATA!$C:$AF,L$1+4,FALSE)</f>
        <v>P</v>
      </c>
      <c r="M192" s="38" t="str">
        <f>VLOOKUP($B192,DATA!$C:$AF,M$1+4,FALSE)</f>
        <v>P</v>
      </c>
      <c r="N192" s="38" t="str">
        <f>VLOOKUP($B192,DATA!$C:$AF,N$1+4,FALSE)</f>
        <v>P</v>
      </c>
      <c r="O192" s="38" t="str">
        <f>VLOOKUP($B192,DATA!$C:$AF,O$1+4,FALSE)</f>
        <v>P</v>
      </c>
      <c r="P192" s="38" t="str">
        <f>VLOOKUP($B192,DATA!$C:$AF,P$1+4,FALSE)</f>
        <v>P</v>
      </c>
      <c r="Q192" s="16">
        <f t="shared" si="13"/>
        <v>12</v>
      </c>
      <c r="R192" s="17">
        <v>6</v>
      </c>
      <c r="S192" s="17">
        <f t="shared" si="14"/>
        <v>15</v>
      </c>
    </row>
    <row r="193" spans="1:19" ht="17.5" thickBot="1">
      <c r="A193" s="11" t="s">
        <v>605</v>
      </c>
      <c r="B193" s="22" t="s">
        <v>349</v>
      </c>
      <c r="C193" s="21" t="s">
        <v>350</v>
      </c>
      <c r="D193" s="14" t="s">
        <v>579</v>
      </c>
      <c r="E193" s="38" t="str">
        <f>VLOOKUP($B193,DATA!$C:$AF,E$1+4,FALSE)</f>
        <v>P</v>
      </c>
      <c r="F193" s="38" t="str">
        <f>VLOOKUP($B193,DATA!$C:$AF,F$1+4,FALSE)</f>
        <v>P</v>
      </c>
      <c r="G193" s="38" t="str">
        <f>VLOOKUP($B193,DATA!$C:$AF,G$1+4,FALSE)</f>
        <v>P</v>
      </c>
      <c r="H193" s="38" t="str">
        <f>VLOOKUP($B193,DATA!$C:$AF,H$1+4,FALSE)</f>
        <v>P</v>
      </c>
      <c r="I193" s="38" t="str">
        <f>VLOOKUP($B193,DATA!$C:$AF,I$1+4,FALSE)</f>
        <v>P</v>
      </c>
      <c r="J193" s="38" t="str">
        <f>VLOOKUP($B193,DATA!$C:$AF,J$1+4,FALSE)</f>
        <v>P</v>
      </c>
      <c r="K193" s="38" t="str">
        <f>VLOOKUP($B193,DATA!$C:$AF,K$1+4,FALSE)</f>
        <v>P</v>
      </c>
      <c r="L193" s="38" t="str">
        <f>VLOOKUP($B193,DATA!$C:$AF,L$1+4,FALSE)</f>
        <v>P</v>
      </c>
      <c r="M193" s="38" t="str">
        <f>VLOOKUP($B193,DATA!$C:$AF,M$1+4,FALSE)</f>
        <v>P</v>
      </c>
      <c r="N193" s="38" t="str">
        <f>VLOOKUP($B193,DATA!$C:$AF,N$1+4,FALSE)</f>
        <v>P</v>
      </c>
      <c r="O193" s="38" t="str">
        <f>VLOOKUP($B193,DATA!$C:$AF,O$1+4,FALSE)</f>
        <v>P</v>
      </c>
      <c r="P193" s="38" t="str">
        <f>VLOOKUP($B193,DATA!$C:$AF,P$1+4,FALSE)</f>
        <v>P</v>
      </c>
      <c r="Q193" s="16">
        <f t="shared" si="13"/>
        <v>12</v>
      </c>
      <c r="R193" s="17">
        <v>7</v>
      </c>
      <c r="S193" s="17">
        <f t="shared" si="14"/>
        <v>15</v>
      </c>
    </row>
    <row r="194" spans="1:19" ht="17.5" thickBot="1">
      <c r="A194" s="11" t="s">
        <v>605</v>
      </c>
      <c r="B194" s="19" t="s">
        <v>351</v>
      </c>
      <c r="C194" s="22" t="s">
        <v>352</v>
      </c>
      <c r="D194" s="14" t="s">
        <v>579</v>
      </c>
      <c r="E194" s="38" t="str">
        <f>VLOOKUP($B194,DATA!$C:$AF,E$1+4,FALSE)</f>
        <v>P</v>
      </c>
      <c r="F194" s="38" t="str">
        <f>VLOOKUP($B194,DATA!$C:$AF,F$1+4,FALSE)</f>
        <v>P</v>
      </c>
      <c r="G194" s="38" t="str">
        <f>VLOOKUP($B194,DATA!$C:$AF,G$1+4,FALSE)</f>
        <v>P</v>
      </c>
      <c r="H194" s="38" t="str">
        <f>VLOOKUP($B194,DATA!$C:$AF,H$1+4,FALSE)</f>
        <v>P</v>
      </c>
      <c r="I194" s="38" t="str">
        <f>VLOOKUP($B194,DATA!$C:$AF,I$1+4,FALSE)</f>
        <v>P</v>
      </c>
      <c r="J194" s="38" t="str">
        <f>VLOOKUP($B194,DATA!$C:$AF,J$1+4,FALSE)</f>
        <v>P</v>
      </c>
      <c r="K194" s="38" t="str">
        <f>VLOOKUP($B194,DATA!$C:$AF,K$1+4,FALSE)</f>
        <v>P</v>
      </c>
      <c r="L194" s="38" t="str">
        <f>VLOOKUP($B194,DATA!$C:$AF,L$1+4,FALSE)</f>
        <v>P</v>
      </c>
      <c r="M194" s="38" t="str">
        <f>VLOOKUP($B194,DATA!$C:$AF,M$1+4,FALSE)</f>
        <v>P</v>
      </c>
      <c r="N194" s="38" t="str">
        <f>VLOOKUP($B194,DATA!$C:$AF,N$1+4,FALSE)</f>
        <v>P</v>
      </c>
      <c r="O194" s="38" t="str">
        <f>VLOOKUP($B194,DATA!$C:$AF,O$1+4,FALSE)</f>
        <v>P</v>
      </c>
      <c r="P194" s="38" t="str">
        <f>VLOOKUP($B194,DATA!$C:$AF,P$1+4,FALSE)</f>
        <v>P</v>
      </c>
      <c r="Q194" s="16">
        <f t="shared" si="13"/>
        <v>12</v>
      </c>
      <c r="R194" s="17">
        <v>7</v>
      </c>
      <c r="S194" s="17">
        <f t="shared" si="14"/>
        <v>15</v>
      </c>
    </row>
    <row r="195" spans="1:19" ht="17.5" thickBot="1">
      <c r="A195" s="11" t="s">
        <v>605</v>
      </c>
      <c r="B195" s="21" t="s">
        <v>353</v>
      </c>
      <c r="C195" s="13" t="s">
        <v>354</v>
      </c>
      <c r="D195" s="14" t="s">
        <v>579</v>
      </c>
      <c r="E195" s="38" t="str">
        <f>VLOOKUP($B195,DATA!$C:$AF,E$1+4,FALSE)</f>
        <v>P</v>
      </c>
      <c r="F195" s="38" t="str">
        <f>VLOOKUP($B195,DATA!$C:$AF,F$1+4,FALSE)</f>
        <v>P</v>
      </c>
      <c r="G195" s="38" t="str">
        <f>VLOOKUP($B195,DATA!$C:$AF,G$1+4,FALSE)</f>
        <v>P</v>
      </c>
      <c r="H195" s="38" t="str">
        <f>VLOOKUP($B195,DATA!$C:$AF,H$1+4,FALSE)</f>
        <v>P</v>
      </c>
      <c r="I195" s="38" t="str">
        <f>VLOOKUP($B195,DATA!$C:$AF,I$1+4,FALSE)</f>
        <v>P</v>
      </c>
      <c r="J195" s="38" t="str">
        <f>VLOOKUP($B195,DATA!$C:$AF,J$1+4,FALSE)</f>
        <v>P</v>
      </c>
      <c r="K195" s="38" t="str">
        <f>VLOOKUP($B195,DATA!$C:$AF,K$1+4,FALSE)</f>
        <v>P</v>
      </c>
      <c r="L195" s="38" t="str">
        <f>VLOOKUP($B195,DATA!$C:$AF,L$1+4,FALSE)</f>
        <v>P</v>
      </c>
      <c r="M195" s="38" t="str">
        <f>VLOOKUP($B195,DATA!$C:$AF,M$1+4,FALSE)</f>
        <v>P</v>
      </c>
      <c r="N195" s="38" t="str">
        <f>VLOOKUP($B195,DATA!$C:$AF,N$1+4,FALSE)</f>
        <v>P</v>
      </c>
      <c r="O195" s="38" t="str">
        <f>VLOOKUP($B195,DATA!$C:$AF,O$1+4,FALSE)</f>
        <v>P</v>
      </c>
      <c r="P195" s="38" t="str">
        <f>VLOOKUP($B195,DATA!$C:$AF,P$1+4,FALSE)</f>
        <v>P</v>
      </c>
      <c r="Q195" s="16">
        <f t="shared" si="13"/>
        <v>12</v>
      </c>
      <c r="R195" s="17">
        <v>7</v>
      </c>
      <c r="S195" s="17">
        <f t="shared" si="14"/>
        <v>15</v>
      </c>
    </row>
    <row r="196" spans="1:19" ht="17.5" thickBot="1">
      <c r="A196" s="11" t="s">
        <v>605</v>
      </c>
      <c r="B196" s="19" t="s">
        <v>355</v>
      </c>
      <c r="C196" s="13" t="s">
        <v>356</v>
      </c>
      <c r="D196" s="14" t="s">
        <v>579</v>
      </c>
      <c r="E196" s="38" t="str">
        <f>VLOOKUP($B196,DATA!$C:$AF,E$1+4,FALSE)</f>
        <v>P</v>
      </c>
      <c r="F196" s="38" t="str">
        <f>VLOOKUP($B196,DATA!$C:$AF,F$1+4,FALSE)</f>
        <v>P</v>
      </c>
      <c r="G196" s="38" t="str">
        <f>VLOOKUP($B196,DATA!$C:$AF,G$1+4,FALSE)</f>
        <v>P</v>
      </c>
      <c r="H196" s="38" t="str">
        <f>VLOOKUP($B196,DATA!$C:$AF,H$1+4,FALSE)</f>
        <v>P</v>
      </c>
      <c r="I196" s="38" t="str">
        <f>VLOOKUP($B196,DATA!$C:$AF,I$1+4,FALSE)</f>
        <v>P</v>
      </c>
      <c r="J196" s="38" t="str">
        <f>VLOOKUP($B196,DATA!$C:$AF,J$1+4,FALSE)</f>
        <v>P</v>
      </c>
      <c r="K196" s="38" t="str">
        <f>VLOOKUP($B196,DATA!$C:$AF,K$1+4,FALSE)</f>
        <v>P</v>
      </c>
      <c r="L196" s="38" t="str">
        <f>VLOOKUP($B196,DATA!$C:$AF,L$1+4,FALSE)</f>
        <v>P</v>
      </c>
      <c r="M196" s="38" t="str">
        <f>VLOOKUP($B196,DATA!$C:$AF,M$1+4,FALSE)</f>
        <v>P</v>
      </c>
      <c r="N196" s="38" t="str">
        <f>VLOOKUP($B196,DATA!$C:$AF,N$1+4,FALSE)</f>
        <v>P</v>
      </c>
      <c r="O196" s="38" t="str">
        <f>VLOOKUP($B196,DATA!$C:$AF,O$1+4,FALSE)</f>
        <v>P</v>
      </c>
      <c r="P196" s="38" t="str">
        <f>VLOOKUP($B196,DATA!$C:$AF,P$1+4,FALSE)</f>
        <v>P</v>
      </c>
      <c r="Q196" s="16">
        <f t="shared" si="13"/>
        <v>12</v>
      </c>
      <c r="R196" s="17">
        <v>6</v>
      </c>
      <c r="S196" s="17">
        <f t="shared" si="14"/>
        <v>15</v>
      </c>
    </row>
    <row r="197" spans="1:19" ht="17.5" thickBot="1">
      <c r="A197" s="11" t="s">
        <v>605</v>
      </c>
      <c r="B197" s="19" t="s">
        <v>547</v>
      </c>
      <c r="C197" s="31" t="s">
        <v>546</v>
      </c>
      <c r="D197" s="14" t="s">
        <v>579</v>
      </c>
      <c r="E197" s="38" t="str">
        <f>VLOOKUP($B197,DATA!$C:$AF,E$1+4,FALSE)</f>
        <v>P</v>
      </c>
      <c r="F197" s="38" t="str">
        <f>VLOOKUP($B197,DATA!$C:$AF,F$1+4,FALSE)</f>
        <v>P</v>
      </c>
      <c r="G197" s="38" t="str">
        <f>VLOOKUP($B197,DATA!$C:$AF,G$1+4,FALSE)</f>
        <v>P</v>
      </c>
      <c r="H197" s="38" t="str">
        <f>VLOOKUP($B197,DATA!$C:$AF,H$1+4,FALSE)</f>
        <v>P</v>
      </c>
      <c r="I197" s="38" t="str">
        <f>VLOOKUP($B197,DATA!$C:$AF,I$1+4,FALSE)</f>
        <v>P</v>
      </c>
      <c r="J197" s="38" t="str">
        <f>VLOOKUP($B197,DATA!$C:$AF,J$1+4,FALSE)</f>
        <v>P</v>
      </c>
      <c r="K197" s="38" t="str">
        <f>VLOOKUP($B197,DATA!$C:$AF,K$1+4,FALSE)</f>
        <v>P</v>
      </c>
      <c r="L197" s="38" t="str">
        <f>VLOOKUP($B197,DATA!$C:$AF,L$1+4,FALSE)</f>
        <v>P</v>
      </c>
      <c r="M197" s="38" t="str">
        <f>VLOOKUP($B197,DATA!$C:$AF,M$1+4,FALSE)</f>
        <v>P</v>
      </c>
      <c r="N197" s="38" t="str">
        <f>VLOOKUP($B197,DATA!$C:$AF,N$1+4,FALSE)</f>
        <v>P</v>
      </c>
      <c r="O197" s="38" t="str">
        <f>VLOOKUP($B197,DATA!$C:$AF,O$1+4,FALSE)</f>
        <v>P</v>
      </c>
      <c r="P197" s="38" t="str">
        <f>VLOOKUP($B197,DATA!$C:$AF,P$1+4,FALSE)</f>
        <v>P</v>
      </c>
      <c r="Q197" s="16">
        <f t="shared" si="13"/>
        <v>12</v>
      </c>
      <c r="R197" s="17">
        <v>6</v>
      </c>
      <c r="S197" s="17">
        <f t="shared" si="14"/>
        <v>15</v>
      </c>
    </row>
    <row r="198" spans="1:19" ht="17.5" thickBot="1">
      <c r="A198" s="11" t="s">
        <v>605</v>
      </c>
      <c r="B198" s="19" t="s">
        <v>357</v>
      </c>
      <c r="C198" s="22" t="s">
        <v>358</v>
      </c>
      <c r="D198" s="14" t="s">
        <v>584</v>
      </c>
      <c r="E198" s="38" t="str">
        <f>VLOOKUP($B198,DATA!$C:$AF,E$1+4,FALSE)</f>
        <v>P</v>
      </c>
      <c r="F198" s="38" t="str">
        <f>VLOOKUP($B198,DATA!$C:$AF,F$1+4,FALSE)</f>
        <v>P</v>
      </c>
      <c r="G198" s="38" t="str">
        <f>VLOOKUP($B198,DATA!$C:$AF,G$1+4,FALSE)</f>
        <v>P</v>
      </c>
      <c r="H198" s="38" t="str">
        <f>VLOOKUP($B198,DATA!$C:$AF,H$1+4,FALSE)</f>
        <v>P</v>
      </c>
      <c r="I198" s="38" t="str">
        <f>VLOOKUP($B198,DATA!$C:$AF,I$1+4,FALSE)</f>
        <v>P</v>
      </c>
      <c r="J198" s="38" t="str">
        <f>VLOOKUP($B198,DATA!$C:$AF,J$1+4,FALSE)</f>
        <v>P</v>
      </c>
      <c r="K198" s="38" t="str">
        <f>VLOOKUP($B198,DATA!$C:$AF,K$1+4,FALSE)</f>
        <v>P</v>
      </c>
      <c r="L198" s="38">
        <f>VLOOKUP($B198,DATA!$C:$AF,L$1+4,FALSE)</f>
        <v>0</v>
      </c>
      <c r="M198" s="38">
        <f>VLOOKUP($B198,DATA!$C:$AF,M$1+4,FALSE)</f>
        <v>0</v>
      </c>
      <c r="N198" s="38">
        <f>VLOOKUP($B198,DATA!$C:$AF,N$1+4,FALSE)</f>
        <v>0</v>
      </c>
      <c r="O198" s="38">
        <f>VLOOKUP($B198,DATA!$C:$AF,O$1+4,FALSE)</f>
        <v>0</v>
      </c>
      <c r="P198" s="38">
        <f>VLOOKUP($B198,DATA!$C:$AF,P$1+4,FALSE)</f>
        <v>0</v>
      </c>
      <c r="Q198" s="16">
        <f t="shared" si="13"/>
        <v>7</v>
      </c>
      <c r="R198" s="17">
        <v>7</v>
      </c>
      <c r="S198" s="17">
        <f t="shared" si="14"/>
        <v>15</v>
      </c>
    </row>
    <row r="199" spans="1:19" ht="17.5" thickBot="1">
      <c r="A199" s="11" t="s">
        <v>605</v>
      </c>
      <c r="B199" s="19" t="s">
        <v>359</v>
      </c>
      <c r="C199" s="21" t="s">
        <v>360</v>
      </c>
      <c r="D199" s="14" t="s">
        <v>584</v>
      </c>
      <c r="E199" s="38" t="str">
        <f>VLOOKUP($B199,DATA!$C:$AF,E$1+4,FALSE)</f>
        <v>P</v>
      </c>
      <c r="F199" s="38" t="str">
        <f>VLOOKUP($B199,DATA!$C:$AF,F$1+4,FALSE)</f>
        <v>P</v>
      </c>
      <c r="G199" s="38" t="str">
        <f>VLOOKUP($B199,DATA!$C:$AF,G$1+4,FALSE)</f>
        <v>P</v>
      </c>
      <c r="H199" s="38" t="str">
        <f>VLOOKUP($B199,DATA!$C:$AF,H$1+4,FALSE)</f>
        <v>P</v>
      </c>
      <c r="I199" s="38" t="str">
        <f>VLOOKUP($B199,DATA!$C:$AF,I$1+4,FALSE)</f>
        <v>P</v>
      </c>
      <c r="J199" s="38" t="str">
        <f>VLOOKUP($B199,DATA!$C:$AF,J$1+4,FALSE)</f>
        <v>P</v>
      </c>
      <c r="K199" s="38" t="str">
        <f>VLOOKUP($B199,DATA!$C:$AF,K$1+4,FALSE)</f>
        <v>P</v>
      </c>
      <c r="L199" s="38">
        <f>VLOOKUP($B199,DATA!$C:$AF,L$1+4,FALSE)</f>
        <v>0</v>
      </c>
      <c r="M199" s="38">
        <f>VLOOKUP($B199,DATA!$C:$AF,M$1+4,FALSE)</f>
        <v>0</v>
      </c>
      <c r="N199" s="38">
        <f>VLOOKUP($B199,DATA!$C:$AF,N$1+4,FALSE)</f>
        <v>0</v>
      </c>
      <c r="O199" s="38">
        <f>VLOOKUP($B199,DATA!$C:$AF,O$1+4,FALSE)</f>
        <v>0</v>
      </c>
      <c r="P199" s="38">
        <f>VLOOKUP($B199,DATA!$C:$AF,P$1+4,FALSE)</f>
        <v>0</v>
      </c>
      <c r="Q199" s="16">
        <f t="shared" si="13"/>
        <v>7</v>
      </c>
      <c r="R199" s="17">
        <v>7</v>
      </c>
      <c r="S199" s="17">
        <f t="shared" si="14"/>
        <v>15</v>
      </c>
    </row>
    <row r="200" spans="1:19" ht="17.5" thickBot="1">
      <c r="A200" s="11" t="s">
        <v>605</v>
      </c>
      <c r="B200" s="23" t="s">
        <v>361</v>
      </c>
      <c r="C200" s="13" t="s">
        <v>362</v>
      </c>
      <c r="D200" s="14" t="s">
        <v>579</v>
      </c>
      <c r="E200" s="38" t="str">
        <f>VLOOKUP($B200,DATA!$C:$AF,E$1+4,FALSE)</f>
        <v>P</v>
      </c>
      <c r="F200" s="38" t="str">
        <f>VLOOKUP($B200,DATA!$C:$AF,F$1+4,FALSE)</f>
        <v>P</v>
      </c>
      <c r="G200" s="38" t="str">
        <f>VLOOKUP($B200,DATA!$C:$AF,G$1+4,FALSE)</f>
        <v>P</v>
      </c>
      <c r="H200" s="38" t="str">
        <f>VLOOKUP($B200,DATA!$C:$AF,H$1+4,FALSE)</f>
        <v>P</v>
      </c>
      <c r="I200" s="38" t="str">
        <f>VLOOKUP($B200,DATA!$C:$AF,I$1+4,FALSE)</f>
        <v>P</v>
      </c>
      <c r="J200" s="38" t="str">
        <f>VLOOKUP($B200,DATA!$C:$AF,J$1+4,FALSE)</f>
        <v>P</v>
      </c>
      <c r="K200" s="38" t="str">
        <f>VLOOKUP($B200,DATA!$C:$AF,K$1+4,FALSE)</f>
        <v>P</v>
      </c>
      <c r="L200" s="38" t="str">
        <f>VLOOKUP($B200,DATA!$C:$AF,L$1+4,FALSE)</f>
        <v>P</v>
      </c>
      <c r="M200" s="38" t="str">
        <f>VLOOKUP($B200,DATA!$C:$AF,M$1+4,FALSE)</f>
        <v>P</v>
      </c>
      <c r="N200" s="38" t="str">
        <f>VLOOKUP($B200,DATA!$C:$AF,N$1+4,FALSE)</f>
        <v>P</v>
      </c>
      <c r="O200" s="38" t="str">
        <f>VLOOKUP($B200,DATA!$C:$AF,O$1+4,FALSE)</f>
        <v>P</v>
      </c>
      <c r="P200" s="38" t="str">
        <f>VLOOKUP($B200,DATA!$C:$AF,P$1+4,FALSE)</f>
        <v>P</v>
      </c>
      <c r="Q200" s="16">
        <f t="shared" si="13"/>
        <v>12</v>
      </c>
      <c r="R200" s="17">
        <v>7</v>
      </c>
      <c r="S200" s="17">
        <f t="shared" si="14"/>
        <v>15</v>
      </c>
    </row>
    <row r="201" spans="1:19" ht="17.5" thickBot="1">
      <c r="A201" s="11" t="s">
        <v>605</v>
      </c>
      <c r="B201" s="21" t="s">
        <v>363</v>
      </c>
      <c r="C201" s="13" t="s">
        <v>364</v>
      </c>
      <c r="D201" s="14" t="s">
        <v>579</v>
      </c>
      <c r="E201" s="38" t="str">
        <f>VLOOKUP($B201,DATA!$C:$AF,E$1+4,FALSE)</f>
        <v>P</v>
      </c>
      <c r="F201" s="38" t="str">
        <f>VLOOKUP($B201,DATA!$C:$AF,F$1+4,FALSE)</f>
        <v>P</v>
      </c>
      <c r="G201" s="38" t="str">
        <f>VLOOKUP($B201,DATA!$C:$AF,G$1+4,FALSE)</f>
        <v>P</v>
      </c>
      <c r="H201" s="38" t="str">
        <f>VLOOKUP($B201,DATA!$C:$AF,H$1+4,FALSE)</f>
        <v>P</v>
      </c>
      <c r="I201" s="38" t="str">
        <f>VLOOKUP($B201,DATA!$C:$AF,I$1+4,FALSE)</f>
        <v>P</v>
      </c>
      <c r="J201" s="38" t="str">
        <f>VLOOKUP($B201,DATA!$C:$AF,J$1+4,FALSE)</f>
        <v>P</v>
      </c>
      <c r="K201" s="38" t="str">
        <f>VLOOKUP($B201,DATA!$C:$AF,K$1+4,FALSE)</f>
        <v>P</v>
      </c>
      <c r="L201" s="38" t="str">
        <f>VLOOKUP($B201,DATA!$C:$AF,L$1+4,FALSE)</f>
        <v>P</v>
      </c>
      <c r="M201" s="38" t="str">
        <f>VLOOKUP($B201,DATA!$C:$AF,M$1+4,FALSE)</f>
        <v>P</v>
      </c>
      <c r="N201" s="38" t="str">
        <f>VLOOKUP($B201,DATA!$C:$AF,N$1+4,FALSE)</f>
        <v>P</v>
      </c>
      <c r="O201" s="38" t="str">
        <f>VLOOKUP($B201,DATA!$C:$AF,O$1+4,FALSE)</f>
        <v>P</v>
      </c>
      <c r="P201" s="38" t="str">
        <f>VLOOKUP($B201,DATA!$C:$AF,P$1+4,FALSE)</f>
        <v>P</v>
      </c>
      <c r="Q201" s="16">
        <f t="shared" si="13"/>
        <v>12</v>
      </c>
      <c r="R201" s="17">
        <v>7</v>
      </c>
      <c r="S201" s="17">
        <f t="shared" si="14"/>
        <v>15</v>
      </c>
    </row>
    <row r="202" spans="1:19" ht="17.5" thickBot="1">
      <c r="A202" s="11" t="s">
        <v>605</v>
      </c>
      <c r="B202" s="21" t="s">
        <v>365</v>
      </c>
      <c r="C202" s="13" t="s">
        <v>366</v>
      </c>
      <c r="D202" s="14" t="s">
        <v>579</v>
      </c>
      <c r="E202" s="38" t="str">
        <f>VLOOKUP($B202,DATA!$C:$AF,E$1+4,FALSE)</f>
        <v>P</v>
      </c>
      <c r="F202" s="38" t="str">
        <f>VLOOKUP($B202,DATA!$C:$AF,F$1+4,FALSE)</f>
        <v>P</v>
      </c>
      <c r="G202" s="38" t="str">
        <f>VLOOKUP($B202,DATA!$C:$AF,G$1+4,FALSE)</f>
        <v>P</v>
      </c>
      <c r="H202" s="38" t="str">
        <f>VLOOKUP($B202,DATA!$C:$AF,H$1+4,FALSE)</f>
        <v>P</v>
      </c>
      <c r="I202" s="38" t="str">
        <f>VLOOKUP($B202,DATA!$C:$AF,I$1+4,FALSE)</f>
        <v>P</v>
      </c>
      <c r="J202" s="38" t="str">
        <f>VLOOKUP($B202,DATA!$C:$AF,J$1+4,FALSE)</f>
        <v>P</v>
      </c>
      <c r="K202" s="38" t="str">
        <f>VLOOKUP($B202,DATA!$C:$AF,K$1+4,FALSE)</f>
        <v>P</v>
      </c>
      <c r="L202" s="38" t="str">
        <f>VLOOKUP($B202,DATA!$C:$AF,L$1+4,FALSE)</f>
        <v>P</v>
      </c>
      <c r="M202" s="38" t="str">
        <f>VLOOKUP($B202,DATA!$C:$AF,M$1+4,FALSE)</f>
        <v>P</v>
      </c>
      <c r="N202" s="38" t="str">
        <f>VLOOKUP($B202,DATA!$C:$AF,N$1+4,FALSE)</f>
        <v>P</v>
      </c>
      <c r="O202" s="38" t="str">
        <f>VLOOKUP($B202,DATA!$C:$AF,O$1+4,FALSE)</f>
        <v>P</v>
      </c>
      <c r="P202" s="38" t="str">
        <f>VLOOKUP($B202,DATA!$C:$AF,P$1+4,FALSE)</f>
        <v>P</v>
      </c>
      <c r="Q202" s="16">
        <f t="shared" si="13"/>
        <v>12</v>
      </c>
      <c r="R202" s="17">
        <v>7</v>
      </c>
      <c r="S202" s="17">
        <f t="shared" si="14"/>
        <v>15</v>
      </c>
    </row>
    <row r="203" spans="1:19" ht="17.5" thickBot="1">
      <c r="A203" s="11" t="s">
        <v>605</v>
      </c>
      <c r="B203" s="27" t="s">
        <v>367</v>
      </c>
      <c r="C203" s="21" t="s">
        <v>368</v>
      </c>
      <c r="D203" s="14" t="s">
        <v>580</v>
      </c>
      <c r="E203" s="38">
        <f>VLOOKUP($B203,DATA!$C:$AF,E$1+4,FALSE)</f>
        <v>0</v>
      </c>
      <c r="F203" s="38">
        <f>VLOOKUP($B203,DATA!$C:$AF,F$1+4,FALSE)</f>
        <v>0</v>
      </c>
      <c r="G203" s="38">
        <f>VLOOKUP($B203,DATA!$C:$AF,G$1+4,FALSE)</f>
        <v>0</v>
      </c>
      <c r="H203" s="38">
        <f>VLOOKUP($B203,DATA!$C:$AF,H$1+4,FALSE)</f>
        <v>0</v>
      </c>
      <c r="I203" s="38">
        <f>VLOOKUP($B203,DATA!$C:$AF,I$1+4,FALSE)</f>
        <v>0</v>
      </c>
      <c r="J203" s="38">
        <f>VLOOKUP($B203,DATA!$C:$AF,J$1+4,FALSE)</f>
        <v>0</v>
      </c>
      <c r="K203" s="38">
        <f>VLOOKUP($B203,DATA!$C:$AF,K$1+4,FALSE)</f>
        <v>0</v>
      </c>
      <c r="L203" s="38">
        <f>VLOOKUP($B203,DATA!$C:$AF,L$1+4,FALSE)</f>
        <v>0</v>
      </c>
      <c r="M203" s="38">
        <f>VLOOKUP($B203,DATA!$C:$AF,M$1+4,FALSE)</f>
        <v>0</v>
      </c>
      <c r="N203" s="38">
        <f>VLOOKUP($B203,DATA!$C:$AF,N$1+4,FALSE)</f>
        <v>0</v>
      </c>
      <c r="O203" s="38">
        <f>VLOOKUP($B203,DATA!$C:$AF,O$1+4,FALSE)</f>
        <v>0</v>
      </c>
      <c r="P203" s="38">
        <f>VLOOKUP($B203,DATA!$C:$AF,P$1+4,FALSE)</f>
        <v>0</v>
      </c>
      <c r="Q203" s="16">
        <f t="shared" si="13"/>
        <v>0</v>
      </c>
      <c r="R203" s="17">
        <v>0</v>
      </c>
      <c r="S203" s="17">
        <f t="shared" si="14"/>
        <v>0</v>
      </c>
    </row>
    <row r="204" spans="1:19" ht="17.5" thickBot="1">
      <c r="A204" s="11" t="s">
        <v>605</v>
      </c>
      <c r="B204" s="21" t="s">
        <v>369</v>
      </c>
      <c r="C204" s="21" t="s">
        <v>596</v>
      </c>
      <c r="D204" s="14" t="s">
        <v>580</v>
      </c>
      <c r="E204" s="38">
        <f>VLOOKUP($B204,DATA!$C:$AF,E$1+4,FALSE)</f>
        <v>0</v>
      </c>
      <c r="F204" s="38">
        <f>VLOOKUP($B204,DATA!$C:$AF,F$1+4,FALSE)</f>
        <v>0</v>
      </c>
      <c r="G204" s="38">
        <f>VLOOKUP($B204,DATA!$C:$AF,G$1+4,FALSE)</f>
        <v>0</v>
      </c>
      <c r="H204" s="38">
        <f>VLOOKUP($B204,DATA!$C:$AF,H$1+4,FALSE)</f>
        <v>0</v>
      </c>
      <c r="I204" s="38">
        <f>VLOOKUP($B204,DATA!$C:$AF,I$1+4,FALSE)</f>
        <v>0</v>
      </c>
      <c r="J204" s="38">
        <f>VLOOKUP($B204,DATA!$C:$AF,J$1+4,FALSE)</f>
        <v>0</v>
      </c>
      <c r="K204" s="38">
        <f>VLOOKUP($B204,DATA!$C:$AF,K$1+4,FALSE)</f>
        <v>0</v>
      </c>
      <c r="L204" s="38">
        <f>VLOOKUP($B204,DATA!$C:$AF,L$1+4,FALSE)</f>
        <v>0</v>
      </c>
      <c r="M204" s="38">
        <f>VLOOKUP($B204,DATA!$C:$AF,M$1+4,FALSE)</f>
        <v>0</v>
      </c>
      <c r="N204" s="38">
        <f>VLOOKUP($B204,DATA!$C:$AF,N$1+4,FALSE)</f>
        <v>0</v>
      </c>
      <c r="O204" s="38">
        <f>VLOOKUP($B204,DATA!$C:$AF,O$1+4,FALSE)</f>
        <v>0</v>
      </c>
      <c r="P204" s="38">
        <f>VLOOKUP($B204,DATA!$C:$AF,P$1+4,FALSE)</f>
        <v>0</v>
      </c>
      <c r="Q204" s="16">
        <f t="shared" si="13"/>
        <v>0</v>
      </c>
      <c r="R204" s="17">
        <v>0</v>
      </c>
      <c r="S204" s="17">
        <f t="shared" si="14"/>
        <v>0</v>
      </c>
    </row>
    <row r="205" spans="1:19" ht="17.5" thickBot="1">
      <c r="A205" s="11" t="s">
        <v>605</v>
      </c>
      <c r="B205" s="19" t="s">
        <v>370</v>
      </c>
      <c r="C205" s="13" t="s">
        <v>371</v>
      </c>
      <c r="D205" s="14" t="s">
        <v>580</v>
      </c>
      <c r="E205" s="38" t="str">
        <f>VLOOKUP($B205,DATA!$C:$AF,E$1+4,FALSE)</f>
        <v>P</v>
      </c>
      <c r="F205" s="38" t="str">
        <f>VLOOKUP($B205,DATA!$C:$AF,F$1+4,FALSE)</f>
        <v>P</v>
      </c>
      <c r="G205" s="38" t="str">
        <f>VLOOKUP($B205,DATA!$C:$AF,G$1+4,FALSE)</f>
        <v>P</v>
      </c>
      <c r="H205" s="38" t="str">
        <f>VLOOKUP($B205,DATA!$C:$AF,H$1+4,FALSE)</f>
        <v>P</v>
      </c>
      <c r="I205" s="38" t="str">
        <f>VLOOKUP($B205,DATA!$C:$AF,I$1+4,FALSE)</f>
        <v>P</v>
      </c>
      <c r="J205" s="38" t="str">
        <f>VLOOKUP($B205,DATA!$C:$AF,J$1+4,FALSE)</f>
        <v>P</v>
      </c>
      <c r="K205" s="38" t="str">
        <f>VLOOKUP($B205,DATA!$C:$AF,K$1+4,FALSE)</f>
        <v>P</v>
      </c>
      <c r="L205" s="38" t="str">
        <f>VLOOKUP($B205,DATA!$C:$AF,L$1+4,FALSE)</f>
        <v>P</v>
      </c>
      <c r="M205" s="38" t="str">
        <f>VLOOKUP($B205,DATA!$C:$AF,M$1+4,FALSE)</f>
        <v>P</v>
      </c>
      <c r="N205" s="38" t="str">
        <f>VLOOKUP($B205,DATA!$C:$AF,N$1+4,FALSE)</f>
        <v>P</v>
      </c>
      <c r="O205" s="38" t="str">
        <f>VLOOKUP($B205,DATA!$C:$AF,O$1+4,FALSE)</f>
        <v>P</v>
      </c>
      <c r="P205" s="38" t="str">
        <f>VLOOKUP($B205,DATA!$C:$AF,P$1+4,FALSE)</f>
        <v>P</v>
      </c>
      <c r="Q205" s="16">
        <f t="shared" si="13"/>
        <v>12</v>
      </c>
      <c r="R205" s="17">
        <v>8</v>
      </c>
      <c r="S205" s="17">
        <f t="shared" si="14"/>
        <v>15</v>
      </c>
    </row>
    <row r="206" spans="1:19" ht="17.5" thickBot="1">
      <c r="A206" s="11" t="s">
        <v>605</v>
      </c>
      <c r="B206" s="19" t="s">
        <v>338</v>
      </c>
      <c r="C206" s="22" t="s">
        <v>597</v>
      </c>
      <c r="D206" s="14" t="s">
        <v>580</v>
      </c>
      <c r="E206" s="38">
        <f>VLOOKUP($B206,DATA!$C:$AF,E$1+4,FALSE)</f>
        <v>0</v>
      </c>
      <c r="F206" s="38">
        <f>VLOOKUP($B206,DATA!$C:$AF,F$1+4,FALSE)</f>
        <v>0</v>
      </c>
      <c r="G206" s="38">
        <f>VLOOKUP($B206,DATA!$C:$AF,G$1+4,FALSE)</f>
        <v>0</v>
      </c>
      <c r="H206" s="38">
        <f>VLOOKUP($B206,DATA!$C:$AF,H$1+4,FALSE)</f>
        <v>0</v>
      </c>
      <c r="I206" s="38">
        <f>VLOOKUP($B206,DATA!$C:$AF,I$1+4,FALSE)</f>
        <v>0</v>
      </c>
      <c r="J206" s="38">
        <f>VLOOKUP($B206,DATA!$C:$AF,J$1+4,FALSE)</f>
        <v>0</v>
      </c>
      <c r="K206" s="38">
        <f>VLOOKUP($B206,DATA!$C:$AF,K$1+4,FALSE)</f>
        <v>0</v>
      </c>
      <c r="L206" s="38">
        <f>VLOOKUP($B206,DATA!$C:$AF,L$1+4,FALSE)</f>
        <v>0</v>
      </c>
      <c r="M206" s="38">
        <f>VLOOKUP($B206,DATA!$C:$AF,M$1+4,FALSE)</f>
        <v>0</v>
      </c>
      <c r="N206" s="38">
        <f>VLOOKUP($B206,DATA!$C:$AF,N$1+4,FALSE)</f>
        <v>0</v>
      </c>
      <c r="O206" s="38">
        <f>VLOOKUP($B206,DATA!$C:$AF,O$1+4,FALSE)</f>
        <v>0</v>
      </c>
      <c r="P206" s="38">
        <f>VLOOKUP($B206,DATA!$C:$AF,P$1+4,FALSE)</f>
        <v>0</v>
      </c>
      <c r="Q206" s="16">
        <f t="shared" si="13"/>
        <v>0</v>
      </c>
      <c r="R206" s="17">
        <v>0</v>
      </c>
      <c r="S206" s="17">
        <f t="shared" si="14"/>
        <v>0</v>
      </c>
    </row>
    <row r="207" spans="1:19" ht="17.5" thickBot="1">
      <c r="A207" s="11" t="s">
        <v>605</v>
      </c>
      <c r="B207" s="19" t="s">
        <v>372</v>
      </c>
      <c r="C207" s="13" t="s">
        <v>373</v>
      </c>
      <c r="D207" s="14" t="s">
        <v>580</v>
      </c>
      <c r="E207" s="38" t="str">
        <f>VLOOKUP($B207,DATA!$C:$AF,E$1+4,FALSE)</f>
        <v>P</v>
      </c>
      <c r="F207" s="38" t="str">
        <f>VLOOKUP($B207,DATA!$C:$AF,F$1+4,FALSE)</f>
        <v>P</v>
      </c>
      <c r="G207" s="38" t="str">
        <f>VLOOKUP($B207,DATA!$C:$AF,G$1+4,FALSE)</f>
        <v>P</v>
      </c>
      <c r="H207" s="38" t="str">
        <f>VLOOKUP($B207,DATA!$C:$AF,H$1+4,FALSE)</f>
        <v>P</v>
      </c>
      <c r="I207" s="38" t="str">
        <f>VLOOKUP($B207,DATA!$C:$AF,I$1+4,FALSE)</f>
        <v>P</v>
      </c>
      <c r="J207" s="38" t="str">
        <f>VLOOKUP($B207,DATA!$C:$AF,J$1+4,FALSE)</f>
        <v>P</v>
      </c>
      <c r="K207" s="38" t="str">
        <f>VLOOKUP($B207,DATA!$C:$AF,K$1+4,FALSE)</f>
        <v>P</v>
      </c>
      <c r="L207" s="38" t="str">
        <f>VLOOKUP($B207,DATA!$C:$AF,L$1+4,FALSE)</f>
        <v>P</v>
      </c>
      <c r="M207" s="38" t="str">
        <f>VLOOKUP($B207,DATA!$C:$AF,M$1+4,FALSE)</f>
        <v>P</v>
      </c>
      <c r="N207" s="38" t="str">
        <f>VLOOKUP($B207,DATA!$C:$AF,N$1+4,FALSE)</f>
        <v>P</v>
      </c>
      <c r="O207" s="38" t="str">
        <f>VLOOKUP($B207,DATA!$C:$AF,O$1+4,FALSE)</f>
        <v>P</v>
      </c>
      <c r="P207" s="38" t="str">
        <f>VLOOKUP($B207,DATA!$C:$AF,P$1+4,FALSE)</f>
        <v>P</v>
      </c>
      <c r="Q207" s="16">
        <f t="shared" si="13"/>
        <v>12</v>
      </c>
      <c r="R207" s="17">
        <v>8</v>
      </c>
      <c r="S207" s="17">
        <f t="shared" si="14"/>
        <v>15</v>
      </c>
    </row>
    <row r="208" spans="1:19" ht="17.5" thickBot="1">
      <c r="A208" s="11" t="s">
        <v>605</v>
      </c>
      <c r="B208" s="19" t="s">
        <v>374</v>
      </c>
      <c r="C208" s="13" t="s">
        <v>375</v>
      </c>
      <c r="D208" s="14" t="s">
        <v>580</v>
      </c>
      <c r="E208" s="38" t="str">
        <f>VLOOKUP($B208,DATA!$C:$AF,E$1+4,FALSE)</f>
        <v>P</v>
      </c>
      <c r="F208" s="38" t="str">
        <f>VLOOKUP($B208,DATA!$C:$AF,F$1+4,FALSE)</f>
        <v>P</v>
      </c>
      <c r="G208" s="38" t="str">
        <f>VLOOKUP($B208,DATA!$C:$AF,G$1+4,FALSE)</f>
        <v>P</v>
      </c>
      <c r="H208" s="38" t="str">
        <f>VLOOKUP($B208,DATA!$C:$AF,H$1+4,FALSE)</f>
        <v>P</v>
      </c>
      <c r="I208" s="38" t="str">
        <f>VLOOKUP($B208,DATA!$C:$AF,I$1+4,FALSE)</f>
        <v>P</v>
      </c>
      <c r="J208" s="38" t="str">
        <f>VLOOKUP($B208,DATA!$C:$AF,J$1+4,FALSE)</f>
        <v>P</v>
      </c>
      <c r="K208" s="38" t="str">
        <f>VLOOKUP($B208,DATA!$C:$AF,K$1+4,FALSE)</f>
        <v>P</v>
      </c>
      <c r="L208" s="38" t="str">
        <f>VLOOKUP($B208,DATA!$C:$AF,L$1+4,FALSE)</f>
        <v>P</v>
      </c>
      <c r="M208" s="38" t="str">
        <f>VLOOKUP($B208,DATA!$C:$AF,M$1+4,FALSE)</f>
        <v>P</v>
      </c>
      <c r="N208" s="38" t="str">
        <f>VLOOKUP($B208,DATA!$C:$AF,N$1+4,FALSE)</f>
        <v>P</v>
      </c>
      <c r="O208" s="38" t="str">
        <f>VLOOKUP($B208,DATA!$C:$AF,O$1+4,FALSE)</f>
        <v>P</v>
      </c>
      <c r="P208" s="38" t="str">
        <f>VLOOKUP($B208,DATA!$C:$AF,P$1+4,FALSE)</f>
        <v>P</v>
      </c>
      <c r="Q208" s="16">
        <f t="shared" si="13"/>
        <v>12</v>
      </c>
      <c r="R208" s="17">
        <v>8</v>
      </c>
      <c r="S208" s="17">
        <f t="shared" si="14"/>
        <v>15</v>
      </c>
    </row>
    <row r="209" spans="1:19" ht="17.5" thickBot="1">
      <c r="A209" s="11" t="s">
        <v>605</v>
      </c>
      <c r="B209" s="19" t="s">
        <v>376</v>
      </c>
      <c r="C209" s="31" t="s">
        <v>377</v>
      </c>
      <c r="D209" s="14" t="s">
        <v>580</v>
      </c>
      <c r="E209" s="38">
        <f>VLOOKUP($B209,DATA!$C:$AF,E$1+4,FALSE)</f>
        <v>0</v>
      </c>
      <c r="F209" s="38">
        <f>VLOOKUP($B209,DATA!$C:$AF,F$1+4,FALSE)</f>
        <v>0</v>
      </c>
      <c r="G209" s="38">
        <f>VLOOKUP($B209,DATA!$C:$AF,G$1+4,FALSE)</f>
        <v>0</v>
      </c>
      <c r="H209" s="38">
        <f>VLOOKUP($B209,DATA!$C:$AF,H$1+4,FALSE)</f>
        <v>0</v>
      </c>
      <c r="I209" s="38">
        <f>VLOOKUP($B209,DATA!$C:$AF,I$1+4,FALSE)</f>
        <v>0</v>
      </c>
      <c r="J209" s="38">
        <f>VLOOKUP($B209,DATA!$C:$AF,J$1+4,FALSE)</f>
        <v>0</v>
      </c>
      <c r="K209" s="38">
        <f>VLOOKUP($B209,DATA!$C:$AF,K$1+4,FALSE)</f>
        <v>0</v>
      </c>
      <c r="L209" s="38">
        <f>VLOOKUP($B209,DATA!$C:$AF,L$1+4,FALSE)</f>
        <v>0</v>
      </c>
      <c r="M209" s="38">
        <f>VLOOKUP($B209,DATA!$C:$AF,M$1+4,FALSE)</f>
        <v>0</v>
      </c>
      <c r="N209" s="38">
        <f>VLOOKUP($B209,DATA!$C:$AF,N$1+4,FALSE)</f>
        <v>0</v>
      </c>
      <c r="O209" s="38">
        <f>VLOOKUP($B209,DATA!$C:$AF,O$1+4,FALSE)</f>
        <v>0</v>
      </c>
      <c r="P209" s="38">
        <f>VLOOKUP($B209,DATA!$C:$AF,P$1+4,FALSE)</f>
        <v>0</v>
      </c>
      <c r="Q209" s="16">
        <f t="shared" si="13"/>
        <v>0</v>
      </c>
      <c r="R209" s="17">
        <v>0</v>
      </c>
      <c r="S209" s="17">
        <f t="shared" si="14"/>
        <v>0</v>
      </c>
    </row>
    <row r="210" spans="1:19" ht="17.5" thickBot="1">
      <c r="A210" s="11" t="s">
        <v>605</v>
      </c>
      <c r="B210" s="27" t="s">
        <v>378</v>
      </c>
      <c r="C210" s="13" t="s">
        <v>379</v>
      </c>
      <c r="D210" s="14" t="s">
        <v>579</v>
      </c>
      <c r="E210" s="38" t="str">
        <f>VLOOKUP($B210,DATA!$C:$AF,E$1+4,FALSE)</f>
        <v>P</v>
      </c>
      <c r="F210" s="38" t="str">
        <f>VLOOKUP($B210,DATA!$C:$AF,F$1+4,FALSE)</f>
        <v>P</v>
      </c>
      <c r="G210" s="38" t="str">
        <f>VLOOKUP($B210,DATA!$C:$AF,G$1+4,FALSE)</f>
        <v>P</v>
      </c>
      <c r="H210" s="38" t="str">
        <f>VLOOKUP($B210,DATA!$C:$AF,H$1+4,FALSE)</f>
        <v>P</v>
      </c>
      <c r="I210" s="38" t="str">
        <f>VLOOKUP($B210,DATA!$C:$AF,I$1+4,FALSE)</f>
        <v>P</v>
      </c>
      <c r="J210" s="38" t="str">
        <f>VLOOKUP($B210,DATA!$C:$AF,J$1+4,FALSE)</f>
        <v>P</v>
      </c>
      <c r="K210" s="38" t="str">
        <f>VLOOKUP($B210,DATA!$C:$AF,K$1+4,FALSE)</f>
        <v>P</v>
      </c>
      <c r="L210" s="38" t="str">
        <f>VLOOKUP($B210,DATA!$C:$AF,L$1+4,FALSE)</f>
        <v>P</v>
      </c>
      <c r="M210" s="38" t="str">
        <f>VLOOKUP($B210,DATA!$C:$AF,M$1+4,FALSE)</f>
        <v>P</v>
      </c>
      <c r="N210" s="38" t="str">
        <f>VLOOKUP($B210,DATA!$C:$AF,N$1+4,FALSE)</f>
        <v>P</v>
      </c>
      <c r="O210" s="38" t="str">
        <f>VLOOKUP($B210,DATA!$C:$AF,O$1+4,FALSE)</f>
        <v>P</v>
      </c>
      <c r="P210" s="38" t="str">
        <f>VLOOKUP($B210,DATA!$C:$AF,P$1+4,FALSE)</f>
        <v>P</v>
      </c>
      <c r="Q210" s="16">
        <f t="shared" si="13"/>
        <v>12</v>
      </c>
      <c r="R210" s="17">
        <v>8</v>
      </c>
      <c r="S210" s="17">
        <f t="shared" si="14"/>
        <v>15</v>
      </c>
    </row>
    <row r="211" spans="1:19" ht="17.5" thickBot="1">
      <c r="A211" s="11" t="s">
        <v>605</v>
      </c>
      <c r="B211" s="21" t="s">
        <v>381</v>
      </c>
      <c r="C211" s="13" t="s">
        <v>382</v>
      </c>
      <c r="D211" s="14" t="s">
        <v>579</v>
      </c>
      <c r="E211" s="38">
        <f>VLOOKUP($B211,DATA!$C:$AF,E$1+4,FALSE)</f>
        <v>0</v>
      </c>
      <c r="F211" s="38">
        <f>VLOOKUP($B211,DATA!$C:$AF,F$1+4,FALSE)</f>
        <v>0</v>
      </c>
      <c r="G211" s="38">
        <f>VLOOKUP($B211,DATA!$C:$AF,G$1+4,FALSE)</f>
        <v>0</v>
      </c>
      <c r="H211" s="38">
        <f>VLOOKUP($B211,DATA!$C:$AF,H$1+4,FALSE)</f>
        <v>0</v>
      </c>
      <c r="I211" s="38">
        <f>VLOOKUP($B211,DATA!$C:$AF,I$1+4,FALSE)</f>
        <v>0</v>
      </c>
      <c r="J211" s="38">
        <f>VLOOKUP($B211,DATA!$C:$AF,J$1+4,FALSE)</f>
        <v>0</v>
      </c>
      <c r="K211" s="38">
        <f>VLOOKUP($B211,DATA!$C:$AF,K$1+4,FALSE)</f>
        <v>0</v>
      </c>
      <c r="L211" s="38">
        <f>VLOOKUP($B211,DATA!$C:$AF,L$1+4,FALSE)</f>
        <v>0</v>
      </c>
      <c r="M211" s="38">
        <f>VLOOKUP($B211,DATA!$C:$AF,M$1+4,FALSE)</f>
        <v>0</v>
      </c>
      <c r="N211" s="38">
        <f>VLOOKUP($B211,DATA!$C:$AF,N$1+4,FALSE)</f>
        <v>0</v>
      </c>
      <c r="O211" s="38">
        <f>VLOOKUP($B211,DATA!$C:$AF,O$1+4,FALSE)</f>
        <v>0</v>
      </c>
      <c r="P211" s="38">
        <f>VLOOKUP($B211,DATA!$C:$AF,P$1+4,FALSE)</f>
        <v>0</v>
      </c>
      <c r="Q211" s="16">
        <f t="shared" si="13"/>
        <v>0</v>
      </c>
      <c r="R211" s="17">
        <v>0</v>
      </c>
      <c r="S211" s="17">
        <f t="shared" si="14"/>
        <v>0</v>
      </c>
    </row>
    <row r="212" spans="1:19" ht="17.5" thickBot="1">
      <c r="A212" s="11" t="s">
        <v>605</v>
      </c>
      <c r="B212" s="21" t="s">
        <v>384</v>
      </c>
      <c r="C212" s="13" t="s">
        <v>282</v>
      </c>
      <c r="D212" s="14" t="s">
        <v>579</v>
      </c>
      <c r="E212" s="38">
        <f>VLOOKUP($B212,DATA!$C:$AF,E$1+4,FALSE)</f>
        <v>0</v>
      </c>
      <c r="F212" s="38">
        <f>VLOOKUP($B212,DATA!$C:$AF,F$1+4,FALSE)</f>
        <v>0</v>
      </c>
      <c r="G212" s="38">
        <f>VLOOKUP($B212,DATA!$C:$AF,G$1+4,FALSE)</f>
        <v>0</v>
      </c>
      <c r="H212" s="38">
        <f>VLOOKUP($B212,DATA!$C:$AF,H$1+4,FALSE)</f>
        <v>0</v>
      </c>
      <c r="I212" s="38">
        <f>VLOOKUP($B212,DATA!$C:$AF,I$1+4,FALSE)</f>
        <v>0</v>
      </c>
      <c r="J212" s="38">
        <f>VLOOKUP($B212,DATA!$C:$AF,J$1+4,FALSE)</f>
        <v>0</v>
      </c>
      <c r="K212" s="38">
        <f>VLOOKUP($B212,DATA!$C:$AF,K$1+4,FALSE)</f>
        <v>0</v>
      </c>
      <c r="L212" s="38">
        <f>VLOOKUP($B212,DATA!$C:$AF,L$1+4,FALSE)</f>
        <v>0</v>
      </c>
      <c r="M212" s="38">
        <f>VLOOKUP($B212,DATA!$C:$AF,M$1+4,FALSE)</f>
        <v>0</v>
      </c>
      <c r="N212" s="38">
        <f>VLOOKUP($B212,DATA!$C:$AF,N$1+4,FALSE)</f>
        <v>0</v>
      </c>
      <c r="O212" s="38">
        <f>VLOOKUP($B212,DATA!$C:$AF,O$1+4,FALSE)</f>
        <v>0</v>
      </c>
      <c r="P212" s="38">
        <f>VLOOKUP($B212,DATA!$C:$AF,P$1+4,FALSE)</f>
        <v>0</v>
      </c>
      <c r="Q212" s="16">
        <f t="shared" si="13"/>
        <v>0</v>
      </c>
      <c r="R212" s="17">
        <v>0</v>
      </c>
      <c r="S212" s="17">
        <f t="shared" si="14"/>
        <v>0</v>
      </c>
    </row>
    <row r="213" spans="1:19" ht="17.5" thickBot="1">
      <c r="A213" s="11" t="s">
        <v>605</v>
      </c>
      <c r="B213" s="21" t="s">
        <v>385</v>
      </c>
      <c r="C213" s="13" t="s">
        <v>386</v>
      </c>
      <c r="D213" s="14" t="s">
        <v>579</v>
      </c>
      <c r="E213" s="38" t="str">
        <f>VLOOKUP($B213,DATA!$C:$AF,E$1+4,FALSE)</f>
        <v>P</v>
      </c>
      <c r="F213" s="38" t="str">
        <f>VLOOKUP($B213,DATA!$C:$AF,F$1+4,FALSE)</f>
        <v>P</v>
      </c>
      <c r="G213" s="38" t="str">
        <f>VLOOKUP($B213,DATA!$C:$AF,G$1+4,FALSE)</f>
        <v>P</v>
      </c>
      <c r="H213" s="38" t="str">
        <f>VLOOKUP($B213,DATA!$C:$AF,H$1+4,FALSE)</f>
        <v>P</v>
      </c>
      <c r="I213" s="38" t="str">
        <f>VLOOKUP($B213,DATA!$C:$AF,I$1+4,FALSE)</f>
        <v>P</v>
      </c>
      <c r="J213" s="38" t="str">
        <f>VLOOKUP($B213,DATA!$C:$AF,J$1+4,FALSE)</f>
        <v>P</v>
      </c>
      <c r="K213" s="38" t="str">
        <f>VLOOKUP($B213,DATA!$C:$AF,K$1+4,FALSE)</f>
        <v>P</v>
      </c>
      <c r="L213" s="38" t="str">
        <f>VLOOKUP($B213,DATA!$C:$AF,L$1+4,FALSE)</f>
        <v>P</v>
      </c>
      <c r="M213" s="38" t="str">
        <f>VLOOKUP($B213,DATA!$C:$AF,M$1+4,FALSE)</f>
        <v>P</v>
      </c>
      <c r="N213" s="38" t="str">
        <f>VLOOKUP($B213,DATA!$C:$AF,N$1+4,FALSE)</f>
        <v>P</v>
      </c>
      <c r="O213" s="38" t="str">
        <f>VLOOKUP($B213,DATA!$C:$AF,O$1+4,FALSE)</f>
        <v>P</v>
      </c>
      <c r="P213" s="38" t="str">
        <f>VLOOKUP($B213,DATA!$C:$AF,P$1+4,FALSE)</f>
        <v>P</v>
      </c>
      <c r="Q213" s="16">
        <f t="shared" si="13"/>
        <v>12</v>
      </c>
      <c r="R213" s="17">
        <v>8</v>
      </c>
      <c r="S213" s="17">
        <f t="shared" si="14"/>
        <v>15</v>
      </c>
    </row>
    <row r="214" spans="1:19" ht="17.5" thickBot="1">
      <c r="A214" s="11" t="s">
        <v>605</v>
      </c>
      <c r="B214" s="21" t="s">
        <v>387</v>
      </c>
      <c r="C214" s="13" t="s">
        <v>388</v>
      </c>
      <c r="D214" s="14" t="s">
        <v>579</v>
      </c>
      <c r="E214" s="38">
        <f>VLOOKUP($B214,DATA!$C:$AF,E$1+4,FALSE)</f>
        <v>0</v>
      </c>
      <c r="F214" s="38">
        <f>VLOOKUP($B214,DATA!$C:$AF,F$1+4,FALSE)</f>
        <v>0</v>
      </c>
      <c r="G214" s="38">
        <f>VLOOKUP($B214,DATA!$C:$AF,G$1+4,FALSE)</f>
        <v>0</v>
      </c>
      <c r="H214" s="38">
        <f>VLOOKUP($B214,DATA!$C:$AF,H$1+4,FALSE)</f>
        <v>0</v>
      </c>
      <c r="I214" s="38">
        <f>VLOOKUP($B214,DATA!$C:$AF,I$1+4,FALSE)</f>
        <v>0</v>
      </c>
      <c r="J214" s="38">
        <f>VLOOKUP($B214,DATA!$C:$AF,J$1+4,FALSE)</f>
        <v>0</v>
      </c>
      <c r="K214" s="38">
        <f>VLOOKUP($B214,DATA!$C:$AF,K$1+4,FALSE)</f>
        <v>0</v>
      </c>
      <c r="L214" s="38">
        <f>VLOOKUP($B214,DATA!$C:$AF,L$1+4,FALSE)</f>
        <v>0</v>
      </c>
      <c r="M214" s="38">
        <f>VLOOKUP($B214,DATA!$C:$AF,M$1+4,FALSE)</f>
        <v>0</v>
      </c>
      <c r="N214" s="38">
        <f>VLOOKUP($B214,DATA!$C:$AF,N$1+4,FALSE)</f>
        <v>0</v>
      </c>
      <c r="O214" s="38">
        <f>VLOOKUP($B214,DATA!$C:$AF,O$1+4,FALSE)</f>
        <v>0</v>
      </c>
      <c r="P214" s="38">
        <f>VLOOKUP($B214,DATA!$C:$AF,P$1+4,FALSE)</f>
        <v>0</v>
      </c>
      <c r="Q214" s="16">
        <f t="shared" si="13"/>
        <v>0</v>
      </c>
      <c r="R214" s="17">
        <v>0</v>
      </c>
      <c r="S214" s="17">
        <f t="shared" si="14"/>
        <v>0</v>
      </c>
    </row>
    <row r="215" spans="1:19" ht="17.5" thickBot="1">
      <c r="A215" s="11" t="s">
        <v>605</v>
      </c>
      <c r="B215" s="23" t="s">
        <v>278</v>
      </c>
      <c r="C215" s="13" t="s">
        <v>279</v>
      </c>
      <c r="D215" s="14" t="s">
        <v>579</v>
      </c>
      <c r="E215" s="38" t="str">
        <f>VLOOKUP($B215,DATA!$C:$AF,E$1+4,FALSE)</f>
        <v>P</v>
      </c>
      <c r="F215" s="38" t="str">
        <f>VLOOKUP($B215,DATA!$C:$AF,F$1+4,FALSE)</f>
        <v>P</v>
      </c>
      <c r="G215" s="38" t="str">
        <f>VLOOKUP($B215,DATA!$C:$AF,G$1+4,FALSE)</f>
        <v>P</v>
      </c>
      <c r="H215" s="38" t="str">
        <f>VLOOKUP($B215,DATA!$C:$AF,H$1+4,FALSE)</f>
        <v>P</v>
      </c>
      <c r="I215" s="38" t="str">
        <f>VLOOKUP($B215,DATA!$C:$AF,I$1+4,FALSE)</f>
        <v>P</v>
      </c>
      <c r="J215" s="38" t="str">
        <f>VLOOKUP($B215,DATA!$C:$AF,J$1+4,FALSE)</f>
        <v>P</v>
      </c>
      <c r="K215" s="38" t="str">
        <f>VLOOKUP($B215,DATA!$C:$AF,K$1+4,FALSE)</f>
        <v>P</v>
      </c>
      <c r="L215" s="38" t="str">
        <f>VLOOKUP($B215,DATA!$C:$AF,L$1+4,FALSE)</f>
        <v>P</v>
      </c>
      <c r="M215" s="38" t="str">
        <f>VLOOKUP($B215,DATA!$C:$AF,M$1+4,FALSE)</f>
        <v>P</v>
      </c>
      <c r="N215" s="38" t="str">
        <f>VLOOKUP($B215,DATA!$C:$AF,N$1+4,FALSE)</f>
        <v>P</v>
      </c>
      <c r="O215" s="38" t="str">
        <f>VLOOKUP($B215,DATA!$C:$AF,O$1+4,FALSE)</f>
        <v>P</v>
      </c>
      <c r="P215" s="38" t="str">
        <f>VLOOKUP($B215,DATA!$C:$AF,P$1+4,FALSE)</f>
        <v>P</v>
      </c>
      <c r="Q215" s="16">
        <f t="shared" si="13"/>
        <v>12</v>
      </c>
      <c r="R215" s="17">
        <v>8</v>
      </c>
      <c r="S215" s="17">
        <f t="shared" si="14"/>
        <v>15</v>
      </c>
    </row>
    <row r="216" spans="1:19" ht="17.5" thickBot="1">
      <c r="A216" s="11" t="s">
        <v>605</v>
      </c>
      <c r="B216" s="19" t="s">
        <v>389</v>
      </c>
      <c r="C216" s="31" t="s">
        <v>390</v>
      </c>
      <c r="D216" s="14" t="s">
        <v>580</v>
      </c>
      <c r="E216" s="38">
        <f>VLOOKUP($B216,DATA!$C:$AF,E$1+4,FALSE)</f>
        <v>0</v>
      </c>
      <c r="F216" s="38">
        <f>VLOOKUP($B216,DATA!$C:$AF,F$1+4,FALSE)</f>
        <v>0</v>
      </c>
      <c r="G216" s="38">
        <f>VLOOKUP($B216,DATA!$C:$AF,G$1+4,FALSE)</f>
        <v>0</v>
      </c>
      <c r="H216" s="38">
        <f>VLOOKUP($B216,DATA!$C:$AF,H$1+4,FALSE)</f>
        <v>0</v>
      </c>
      <c r="I216" s="38">
        <f>VLOOKUP($B216,DATA!$C:$AF,I$1+4,FALSE)</f>
        <v>0</v>
      </c>
      <c r="J216" s="38">
        <f>VLOOKUP($B216,DATA!$C:$AF,J$1+4,FALSE)</f>
        <v>0</v>
      </c>
      <c r="K216" s="38">
        <f>VLOOKUP($B216,DATA!$C:$AF,K$1+4,FALSE)</f>
        <v>0</v>
      </c>
      <c r="L216" s="38">
        <f>VLOOKUP($B216,DATA!$C:$AF,L$1+4,FALSE)</f>
        <v>0</v>
      </c>
      <c r="M216" s="38">
        <f>VLOOKUP($B216,DATA!$C:$AF,M$1+4,FALSE)</f>
        <v>0</v>
      </c>
      <c r="N216" s="38">
        <f>VLOOKUP($B216,DATA!$C:$AF,N$1+4,FALSE)</f>
        <v>0</v>
      </c>
      <c r="O216" s="38">
        <f>VLOOKUP($B216,DATA!$C:$AF,O$1+4,FALSE)</f>
        <v>0</v>
      </c>
      <c r="P216" s="38">
        <f>VLOOKUP($B216,DATA!$C:$AF,P$1+4,FALSE)</f>
        <v>0</v>
      </c>
      <c r="Q216" s="16">
        <f t="shared" si="13"/>
        <v>0</v>
      </c>
      <c r="R216" s="17">
        <v>0</v>
      </c>
      <c r="S216" s="17">
        <f t="shared" si="14"/>
        <v>0</v>
      </c>
    </row>
    <row r="217" spans="1:19" ht="17.5" thickBot="1">
      <c r="A217" s="11" t="s">
        <v>605</v>
      </c>
      <c r="B217" s="27" t="s">
        <v>391</v>
      </c>
      <c r="C217" s="13" t="s">
        <v>380</v>
      </c>
      <c r="D217" s="14" t="s">
        <v>579</v>
      </c>
      <c r="E217" s="38">
        <f>VLOOKUP($B217,DATA!$C:$AF,E$1+4,FALSE)</f>
        <v>0</v>
      </c>
      <c r="F217" s="38">
        <f>VLOOKUP($B217,DATA!$C:$AF,F$1+4,FALSE)</f>
        <v>0</v>
      </c>
      <c r="G217" s="38">
        <f>VLOOKUP($B217,DATA!$C:$AF,G$1+4,FALSE)</f>
        <v>0</v>
      </c>
      <c r="H217" s="38">
        <f>VLOOKUP($B217,DATA!$C:$AF,H$1+4,FALSE)</f>
        <v>0</v>
      </c>
      <c r="I217" s="38">
        <f>VLOOKUP($B217,DATA!$C:$AF,I$1+4,FALSE)</f>
        <v>0</v>
      </c>
      <c r="J217" s="38">
        <f>VLOOKUP($B217,DATA!$C:$AF,J$1+4,FALSE)</f>
        <v>0</v>
      </c>
      <c r="K217" s="38">
        <f>VLOOKUP($B217,DATA!$C:$AF,K$1+4,FALSE)</f>
        <v>0</v>
      </c>
      <c r="L217" s="38">
        <f>VLOOKUP($B217,DATA!$C:$AF,L$1+4,FALSE)</f>
        <v>0</v>
      </c>
      <c r="M217" s="38">
        <f>VLOOKUP($B217,DATA!$C:$AF,M$1+4,FALSE)</f>
        <v>0</v>
      </c>
      <c r="N217" s="38">
        <f>VLOOKUP($B217,DATA!$C:$AF,N$1+4,FALSE)</f>
        <v>0</v>
      </c>
      <c r="O217" s="38">
        <f>VLOOKUP($B217,DATA!$C:$AF,O$1+4,FALSE)</f>
        <v>0</v>
      </c>
      <c r="P217" s="38">
        <f>VLOOKUP($B217,DATA!$C:$AF,P$1+4,FALSE)</f>
        <v>0</v>
      </c>
      <c r="Q217" s="16">
        <f t="shared" si="13"/>
        <v>0</v>
      </c>
      <c r="R217" s="17">
        <v>0</v>
      </c>
      <c r="S217" s="17">
        <f t="shared" si="14"/>
        <v>0</v>
      </c>
    </row>
    <row r="218" spans="1:19" ht="17.5" thickBot="1">
      <c r="A218" s="11" t="s">
        <v>605</v>
      </c>
      <c r="B218" s="21" t="s">
        <v>392</v>
      </c>
      <c r="C218" s="13" t="s">
        <v>383</v>
      </c>
      <c r="D218" s="14" t="s">
        <v>579</v>
      </c>
      <c r="E218" s="38" t="str">
        <f>VLOOKUP($B218,DATA!$C:$AF,E$1+4,FALSE)</f>
        <v>P</v>
      </c>
      <c r="F218" s="38" t="str">
        <f>VLOOKUP($B218,DATA!$C:$AF,F$1+4,FALSE)</f>
        <v>P</v>
      </c>
      <c r="G218" s="38" t="str">
        <f>VLOOKUP($B218,DATA!$C:$AF,G$1+4,FALSE)</f>
        <v>P</v>
      </c>
      <c r="H218" s="38" t="str">
        <f>VLOOKUP($B218,DATA!$C:$AF,H$1+4,FALSE)</f>
        <v>P</v>
      </c>
      <c r="I218" s="38" t="str">
        <f>VLOOKUP($B218,DATA!$C:$AF,I$1+4,FALSE)</f>
        <v>P</v>
      </c>
      <c r="J218" s="38" t="str">
        <f>VLOOKUP($B218,DATA!$C:$AF,J$1+4,FALSE)</f>
        <v>P</v>
      </c>
      <c r="K218" s="38" t="str">
        <f>VLOOKUP($B218,DATA!$C:$AF,K$1+4,FALSE)</f>
        <v>P</v>
      </c>
      <c r="L218" s="38" t="str">
        <f>VLOOKUP($B218,DATA!$C:$AF,L$1+4,FALSE)</f>
        <v>P</v>
      </c>
      <c r="M218" s="38" t="str">
        <f>VLOOKUP($B218,DATA!$C:$AF,M$1+4,FALSE)</f>
        <v>P</v>
      </c>
      <c r="N218" s="38" t="str">
        <f>VLOOKUP($B218,DATA!$C:$AF,N$1+4,FALSE)</f>
        <v>P</v>
      </c>
      <c r="O218" s="38" t="str">
        <f>VLOOKUP($B218,DATA!$C:$AF,O$1+4,FALSE)</f>
        <v>P</v>
      </c>
      <c r="P218" s="38" t="str">
        <f>VLOOKUP($B218,DATA!$C:$AF,P$1+4,FALSE)</f>
        <v>P</v>
      </c>
      <c r="Q218" s="16">
        <f t="shared" si="13"/>
        <v>12</v>
      </c>
      <c r="R218" s="17">
        <v>8</v>
      </c>
      <c r="S218" s="17">
        <f t="shared" si="14"/>
        <v>15</v>
      </c>
    </row>
    <row r="219" spans="1:19" ht="17.5" thickBot="1">
      <c r="A219" s="11" t="s">
        <v>605</v>
      </c>
      <c r="B219" s="22" t="s">
        <v>393</v>
      </c>
      <c r="C219" s="13" t="s">
        <v>394</v>
      </c>
      <c r="D219" s="14" t="s">
        <v>579</v>
      </c>
      <c r="E219" s="38">
        <f>VLOOKUP($B219,DATA!$C:$AF,E$1+4,FALSE)</f>
        <v>0</v>
      </c>
      <c r="F219" s="38">
        <f>VLOOKUP($B219,DATA!$C:$AF,F$1+4,FALSE)</f>
        <v>0</v>
      </c>
      <c r="G219" s="38">
        <f>VLOOKUP($B219,DATA!$C:$AF,G$1+4,FALSE)</f>
        <v>0</v>
      </c>
      <c r="H219" s="38">
        <f>VLOOKUP($B219,DATA!$C:$AF,H$1+4,FALSE)</f>
        <v>0</v>
      </c>
      <c r="I219" s="38">
        <f>VLOOKUP($B219,DATA!$C:$AF,I$1+4,FALSE)</f>
        <v>0</v>
      </c>
      <c r="J219" s="38">
        <f>VLOOKUP($B219,DATA!$C:$AF,J$1+4,FALSE)</f>
        <v>0</v>
      </c>
      <c r="K219" s="38">
        <f>VLOOKUP($B219,DATA!$C:$AF,K$1+4,FALSE)</f>
        <v>0</v>
      </c>
      <c r="L219" s="38">
        <f>VLOOKUP($B219,DATA!$C:$AF,L$1+4,FALSE)</f>
        <v>0</v>
      </c>
      <c r="M219" s="38">
        <f>VLOOKUP($B219,DATA!$C:$AF,M$1+4,FALSE)</f>
        <v>0</v>
      </c>
      <c r="N219" s="38">
        <f>VLOOKUP($B219,DATA!$C:$AF,N$1+4,FALSE)</f>
        <v>0</v>
      </c>
      <c r="O219" s="38">
        <f>VLOOKUP($B219,DATA!$C:$AF,O$1+4,FALSE)</f>
        <v>0</v>
      </c>
      <c r="P219" s="38">
        <f>VLOOKUP($B219,DATA!$C:$AF,P$1+4,FALSE)</f>
        <v>0</v>
      </c>
      <c r="Q219" s="16">
        <f t="shared" si="13"/>
        <v>0</v>
      </c>
      <c r="R219" s="17">
        <v>0</v>
      </c>
      <c r="S219" s="17">
        <f>IF(R219=0,0,IF(R219&lt;=8,15,10))</f>
        <v>0</v>
      </c>
    </row>
    <row r="220" spans="1:19" ht="17.5" thickBot="1">
      <c r="A220" s="11" t="s">
        <v>605</v>
      </c>
      <c r="B220" s="22" t="s">
        <v>395</v>
      </c>
      <c r="C220" s="13" t="s">
        <v>396</v>
      </c>
      <c r="D220" s="14" t="s">
        <v>579</v>
      </c>
      <c r="E220" s="38">
        <f>VLOOKUP($B220,DATA!$C:$AF,E$1+4,FALSE)</f>
        <v>0</v>
      </c>
      <c r="F220" s="38">
        <f>VLOOKUP($B220,DATA!$C:$AF,F$1+4,FALSE)</f>
        <v>0</v>
      </c>
      <c r="G220" s="38">
        <f>VLOOKUP($B220,DATA!$C:$AF,G$1+4,FALSE)</f>
        <v>0</v>
      </c>
      <c r="H220" s="38">
        <f>VLOOKUP($B220,DATA!$C:$AF,H$1+4,FALSE)</f>
        <v>0</v>
      </c>
      <c r="I220" s="38">
        <f>VLOOKUP($B220,DATA!$C:$AF,I$1+4,FALSE)</f>
        <v>0</v>
      </c>
      <c r="J220" s="38">
        <f>VLOOKUP($B220,DATA!$C:$AF,J$1+4,FALSE)</f>
        <v>0</v>
      </c>
      <c r="K220" s="38">
        <f>VLOOKUP($B220,DATA!$C:$AF,K$1+4,FALSE)</f>
        <v>0</v>
      </c>
      <c r="L220" s="38">
        <f>VLOOKUP($B220,DATA!$C:$AF,L$1+4,FALSE)</f>
        <v>0</v>
      </c>
      <c r="M220" s="38">
        <f>VLOOKUP($B220,DATA!$C:$AF,M$1+4,FALSE)</f>
        <v>0</v>
      </c>
      <c r="N220" s="38">
        <f>VLOOKUP($B220,DATA!$C:$AF,N$1+4,FALSE)</f>
        <v>0</v>
      </c>
      <c r="O220" s="38">
        <f>VLOOKUP($B220,DATA!$C:$AF,O$1+4,FALSE)</f>
        <v>0</v>
      </c>
      <c r="P220" s="38">
        <f>VLOOKUP($B220,DATA!$C:$AF,P$1+4,FALSE)</f>
        <v>0</v>
      </c>
      <c r="Q220" s="16">
        <f t="shared" si="13"/>
        <v>0</v>
      </c>
      <c r="R220" s="17">
        <v>0</v>
      </c>
      <c r="S220" s="17">
        <f t="shared" si="14"/>
        <v>0</v>
      </c>
    </row>
    <row r="221" spans="1:19" ht="17.5" thickBot="1">
      <c r="A221" s="11" t="s">
        <v>605</v>
      </c>
      <c r="B221" s="13" t="s">
        <v>397</v>
      </c>
      <c r="C221" s="13" t="s">
        <v>398</v>
      </c>
      <c r="D221" s="14" t="s">
        <v>579</v>
      </c>
      <c r="E221" s="38">
        <f>VLOOKUP($B221,DATA!$C:$AF,E$1+4,FALSE)</f>
        <v>0</v>
      </c>
      <c r="F221" s="38">
        <f>VLOOKUP($B221,DATA!$C:$AF,F$1+4,FALSE)</f>
        <v>0</v>
      </c>
      <c r="G221" s="38">
        <f>VLOOKUP($B221,DATA!$C:$AF,G$1+4,FALSE)</f>
        <v>0</v>
      </c>
      <c r="H221" s="38">
        <f>VLOOKUP($B221,DATA!$C:$AF,H$1+4,FALSE)</f>
        <v>0</v>
      </c>
      <c r="I221" s="38">
        <f>VLOOKUP($B221,DATA!$C:$AF,I$1+4,FALSE)</f>
        <v>0</v>
      </c>
      <c r="J221" s="38">
        <f>VLOOKUP($B221,DATA!$C:$AF,J$1+4,FALSE)</f>
        <v>0</v>
      </c>
      <c r="K221" s="38">
        <f>VLOOKUP($B221,DATA!$C:$AF,K$1+4,FALSE)</f>
        <v>0</v>
      </c>
      <c r="L221" s="38">
        <f>VLOOKUP($B221,DATA!$C:$AF,L$1+4,FALSE)</f>
        <v>0</v>
      </c>
      <c r="M221" s="38">
        <f>VLOOKUP($B221,DATA!$C:$AF,M$1+4,FALSE)</f>
        <v>0</v>
      </c>
      <c r="N221" s="38">
        <f>VLOOKUP($B221,DATA!$C:$AF,N$1+4,FALSE)</f>
        <v>0</v>
      </c>
      <c r="O221" s="38">
        <f>VLOOKUP($B221,DATA!$C:$AF,O$1+4,FALSE)</f>
        <v>0</v>
      </c>
      <c r="P221" s="38">
        <f>VLOOKUP($B221,DATA!$C:$AF,P$1+4,FALSE)</f>
        <v>0</v>
      </c>
      <c r="Q221" s="16">
        <f t="shared" si="13"/>
        <v>0</v>
      </c>
      <c r="R221" s="17">
        <v>0</v>
      </c>
      <c r="S221" s="17">
        <f t="shared" si="14"/>
        <v>0</v>
      </c>
    </row>
    <row r="222" spans="1:19" ht="17.5" thickBot="1">
      <c r="A222" s="11" t="s">
        <v>605</v>
      </c>
      <c r="B222" s="13" t="s">
        <v>399</v>
      </c>
      <c r="C222" s="13" t="s">
        <v>400</v>
      </c>
      <c r="D222" s="14" t="s">
        <v>579</v>
      </c>
      <c r="E222" s="38">
        <f>VLOOKUP($B222,DATA!$C:$AF,E$1+4,FALSE)</f>
        <v>0</v>
      </c>
      <c r="F222" s="38">
        <f>VLOOKUP($B222,DATA!$C:$AF,F$1+4,FALSE)</f>
        <v>0</v>
      </c>
      <c r="G222" s="38">
        <f>VLOOKUP($B222,DATA!$C:$AF,G$1+4,FALSE)</f>
        <v>0</v>
      </c>
      <c r="H222" s="38">
        <f>VLOOKUP($B222,DATA!$C:$AF,H$1+4,FALSE)</f>
        <v>0</v>
      </c>
      <c r="I222" s="38">
        <f>VLOOKUP($B222,DATA!$C:$AF,I$1+4,FALSE)</f>
        <v>0</v>
      </c>
      <c r="J222" s="38">
        <f>VLOOKUP($B222,DATA!$C:$AF,J$1+4,FALSE)</f>
        <v>0</v>
      </c>
      <c r="K222" s="38">
        <f>VLOOKUP($B222,DATA!$C:$AF,K$1+4,FALSE)</f>
        <v>0</v>
      </c>
      <c r="L222" s="38">
        <f>VLOOKUP($B222,DATA!$C:$AF,L$1+4,FALSE)</f>
        <v>0</v>
      </c>
      <c r="M222" s="38">
        <f>VLOOKUP($B222,DATA!$C:$AF,M$1+4,FALSE)</f>
        <v>0</v>
      </c>
      <c r="N222" s="38">
        <f>VLOOKUP($B222,DATA!$C:$AF,N$1+4,FALSE)</f>
        <v>0</v>
      </c>
      <c r="O222" s="38">
        <f>VLOOKUP($B222,DATA!$C:$AF,O$1+4,FALSE)</f>
        <v>0</v>
      </c>
      <c r="P222" s="38">
        <f>VLOOKUP($B222,DATA!$C:$AF,P$1+4,FALSE)</f>
        <v>0</v>
      </c>
      <c r="Q222" s="16">
        <f t="shared" si="13"/>
        <v>0</v>
      </c>
      <c r="R222" s="17">
        <v>0</v>
      </c>
      <c r="S222" s="17">
        <f t="shared" si="14"/>
        <v>0</v>
      </c>
    </row>
    <row r="223" spans="1:19" ht="17.5" thickBot="1">
      <c r="A223" s="11" t="s">
        <v>605</v>
      </c>
      <c r="B223" s="21" t="s">
        <v>401</v>
      </c>
      <c r="C223" s="13" t="s">
        <v>402</v>
      </c>
      <c r="D223" s="14" t="s">
        <v>579</v>
      </c>
      <c r="E223" s="38">
        <f>VLOOKUP($B223,DATA!$C:$AF,E$1+4,FALSE)</f>
        <v>0</v>
      </c>
      <c r="F223" s="38">
        <f>VLOOKUP($B223,DATA!$C:$AF,F$1+4,FALSE)</f>
        <v>0</v>
      </c>
      <c r="G223" s="38">
        <f>VLOOKUP($B223,DATA!$C:$AF,G$1+4,FALSE)</f>
        <v>0</v>
      </c>
      <c r="H223" s="38">
        <f>VLOOKUP($B223,DATA!$C:$AF,H$1+4,FALSE)</f>
        <v>0</v>
      </c>
      <c r="I223" s="38">
        <f>VLOOKUP($B223,DATA!$C:$AF,I$1+4,FALSE)</f>
        <v>0</v>
      </c>
      <c r="J223" s="38">
        <f>VLOOKUP($B223,DATA!$C:$AF,J$1+4,FALSE)</f>
        <v>0</v>
      </c>
      <c r="K223" s="38">
        <f>VLOOKUP($B223,DATA!$C:$AF,K$1+4,FALSE)</f>
        <v>0</v>
      </c>
      <c r="L223" s="38">
        <f>VLOOKUP($B223,DATA!$C:$AF,L$1+4,FALSE)</f>
        <v>0</v>
      </c>
      <c r="M223" s="38">
        <f>VLOOKUP($B223,DATA!$C:$AF,M$1+4,FALSE)</f>
        <v>0</v>
      </c>
      <c r="N223" s="38">
        <f>VLOOKUP($B223,DATA!$C:$AF,N$1+4,FALSE)</f>
        <v>0</v>
      </c>
      <c r="O223" s="38">
        <f>VLOOKUP($B223,DATA!$C:$AF,O$1+4,FALSE)</f>
        <v>0</v>
      </c>
      <c r="P223" s="38">
        <f>VLOOKUP($B223,DATA!$C:$AF,P$1+4,FALSE)</f>
        <v>0</v>
      </c>
      <c r="Q223" s="16">
        <f t="shared" si="13"/>
        <v>0</v>
      </c>
      <c r="R223" s="17">
        <v>0</v>
      </c>
      <c r="S223" s="17">
        <f t="shared" si="14"/>
        <v>0</v>
      </c>
    </row>
    <row r="224" spans="1:19" ht="17.5" thickBot="1">
      <c r="A224" s="11" t="s">
        <v>605</v>
      </c>
      <c r="B224" s="21" t="s">
        <v>403</v>
      </c>
      <c r="C224" s="13" t="s">
        <v>404</v>
      </c>
      <c r="D224" s="14" t="s">
        <v>579</v>
      </c>
      <c r="E224" s="38">
        <f>VLOOKUP($B224,DATA!$C:$AF,E$1+4,FALSE)</f>
        <v>0</v>
      </c>
      <c r="F224" s="38">
        <f>VLOOKUP($B224,DATA!$C:$AF,F$1+4,FALSE)</f>
        <v>0</v>
      </c>
      <c r="G224" s="38">
        <f>VLOOKUP($B224,DATA!$C:$AF,G$1+4,FALSE)</f>
        <v>0</v>
      </c>
      <c r="H224" s="38">
        <f>VLOOKUP($B224,DATA!$C:$AF,H$1+4,FALSE)</f>
        <v>0</v>
      </c>
      <c r="I224" s="38">
        <f>VLOOKUP($B224,DATA!$C:$AF,I$1+4,FALSE)</f>
        <v>0</v>
      </c>
      <c r="J224" s="38">
        <f>VLOOKUP($B224,DATA!$C:$AF,J$1+4,FALSE)</f>
        <v>0</v>
      </c>
      <c r="K224" s="38">
        <f>VLOOKUP($B224,DATA!$C:$AF,K$1+4,FALSE)</f>
        <v>0</v>
      </c>
      <c r="L224" s="38">
        <f>VLOOKUP($B224,DATA!$C:$AF,L$1+4,FALSE)</f>
        <v>0</v>
      </c>
      <c r="M224" s="38">
        <f>VLOOKUP($B224,DATA!$C:$AF,M$1+4,FALSE)</f>
        <v>0</v>
      </c>
      <c r="N224" s="38">
        <f>VLOOKUP($B224,DATA!$C:$AF,N$1+4,FALSE)</f>
        <v>0</v>
      </c>
      <c r="O224" s="38">
        <f>VLOOKUP($B224,DATA!$C:$AF,O$1+4,FALSE)</f>
        <v>0</v>
      </c>
      <c r="P224" s="38">
        <f>VLOOKUP($B224,DATA!$C:$AF,P$1+4,FALSE)</f>
        <v>0</v>
      </c>
      <c r="Q224" s="16">
        <f t="shared" si="13"/>
        <v>0</v>
      </c>
      <c r="R224" s="17">
        <v>0</v>
      </c>
      <c r="S224" s="17">
        <f t="shared" si="14"/>
        <v>0</v>
      </c>
    </row>
    <row r="225" spans="1:19" ht="17.5" thickBot="1">
      <c r="A225" s="11" t="s">
        <v>605</v>
      </c>
      <c r="B225" s="21" t="s">
        <v>405</v>
      </c>
      <c r="C225" s="13" t="s">
        <v>406</v>
      </c>
      <c r="D225" s="14" t="s">
        <v>579</v>
      </c>
      <c r="E225" s="38">
        <f>VLOOKUP($B225,DATA!$C:$AF,E$1+4,FALSE)</f>
        <v>0</v>
      </c>
      <c r="F225" s="38">
        <f>VLOOKUP($B225,DATA!$C:$AF,F$1+4,FALSE)</f>
        <v>0</v>
      </c>
      <c r="G225" s="38">
        <f>VLOOKUP($B225,DATA!$C:$AF,G$1+4,FALSE)</f>
        <v>0</v>
      </c>
      <c r="H225" s="38">
        <f>VLOOKUP($B225,DATA!$C:$AF,H$1+4,FALSE)</f>
        <v>0</v>
      </c>
      <c r="I225" s="38">
        <f>VLOOKUP($B225,DATA!$C:$AF,I$1+4,FALSE)</f>
        <v>0</v>
      </c>
      <c r="J225" s="38">
        <f>VLOOKUP($B225,DATA!$C:$AF,J$1+4,FALSE)</f>
        <v>0</v>
      </c>
      <c r="K225" s="38">
        <f>VLOOKUP($B225,DATA!$C:$AF,K$1+4,FALSE)</f>
        <v>0</v>
      </c>
      <c r="L225" s="38">
        <f>VLOOKUP($B225,DATA!$C:$AF,L$1+4,FALSE)</f>
        <v>0</v>
      </c>
      <c r="M225" s="38">
        <f>VLOOKUP($B225,DATA!$C:$AF,M$1+4,FALSE)</f>
        <v>0</v>
      </c>
      <c r="N225" s="38">
        <f>VLOOKUP($B225,DATA!$C:$AF,N$1+4,FALSE)</f>
        <v>0</v>
      </c>
      <c r="O225" s="38">
        <f>VLOOKUP($B225,DATA!$C:$AF,O$1+4,FALSE)</f>
        <v>0</v>
      </c>
      <c r="P225" s="38">
        <f>VLOOKUP($B225,DATA!$C:$AF,P$1+4,FALSE)</f>
        <v>0</v>
      </c>
      <c r="Q225" s="16">
        <f t="shared" si="13"/>
        <v>0</v>
      </c>
      <c r="R225" s="17">
        <v>0</v>
      </c>
      <c r="S225" s="17">
        <f t="shared" si="14"/>
        <v>0</v>
      </c>
    </row>
    <row r="226" spans="1:19" ht="17.5" thickBot="1">
      <c r="A226" s="11" t="s">
        <v>605</v>
      </c>
      <c r="B226" s="21" t="s">
        <v>407</v>
      </c>
      <c r="C226" s="13" t="s">
        <v>408</v>
      </c>
      <c r="D226" s="14" t="s">
        <v>579</v>
      </c>
      <c r="E226" s="38">
        <f>VLOOKUP($B226,DATA!$C:$AF,E$1+4,FALSE)</f>
        <v>0</v>
      </c>
      <c r="F226" s="38">
        <f>VLOOKUP($B226,DATA!$C:$AF,F$1+4,FALSE)</f>
        <v>0</v>
      </c>
      <c r="G226" s="38">
        <f>VLOOKUP($B226,DATA!$C:$AF,G$1+4,FALSE)</f>
        <v>0</v>
      </c>
      <c r="H226" s="38">
        <f>VLOOKUP($B226,DATA!$C:$AF,H$1+4,FALSE)</f>
        <v>0</v>
      </c>
      <c r="I226" s="38">
        <f>VLOOKUP($B226,DATA!$C:$AF,I$1+4,FALSE)</f>
        <v>0</v>
      </c>
      <c r="J226" s="38">
        <f>VLOOKUP($B226,DATA!$C:$AF,J$1+4,FALSE)</f>
        <v>0</v>
      </c>
      <c r="K226" s="38">
        <f>VLOOKUP($B226,DATA!$C:$AF,K$1+4,FALSE)</f>
        <v>0</v>
      </c>
      <c r="L226" s="38">
        <f>VLOOKUP($B226,DATA!$C:$AF,L$1+4,FALSE)</f>
        <v>0</v>
      </c>
      <c r="M226" s="38">
        <f>VLOOKUP($B226,DATA!$C:$AF,M$1+4,FALSE)</f>
        <v>0</v>
      </c>
      <c r="N226" s="38">
        <f>VLOOKUP($B226,DATA!$C:$AF,N$1+4,FALSE)</f>
        <v>0</v>
      </c>
      <c r="O226" s="38">
        <f>VLOOKUP($B226,DATA!$C:$AF,O$1+4,FALSE)</f>
        <v>0</v>
      </c>
      <c r="P226" s="38">
        <f>VLOOKUP($B226,DATA!$C:$AF,P$1+4,FALSE)</f>
        <v>0</v>
      </c>
      <c r="Q226" s="16">
        <f t="shared" si="13"/>
        <v>0</v>
      </c>
      <c r="R226" s="17">
        <v>0</v>
      </c>
      <c r="S226" s="17">
        <f t="shared" si="14"/>
        <v>0</v>
      </c>
    </row>
    <row r="227" spans="1:19" ht="17.5" thickBot="1">
      <c r="A227" s="11" t="s">
        <v>605</v>
      </c>
      <c r="B227" s="22" t="s">
        <v>409</v>
      </c>
      <c r="C227" s="22" t="s">
        <v>410</v>
      </c>
      <c r="D227" s="14" t="s">
        <v>579</v>
      </c>
      <c r="E227" s="38" t="str">
        <f>VLOOKUP($B227,DATA!$C:$AF,E$1+4,FALSE)</f>
        <v>P</v>
      </c>
      <c r="F227" s="38" t="str">
        <f>VLOOKUP($B227,DATA!$C:$AF,F$1+4,FALSE)</f>
        <v>P</v>
      </c>
      <c r="G227" s="38" t="str">
        <f>VLOOKUP($B227,DATA!$C:$AF,G$1+4,FALSE)</f>
        <v>P</v>
      </c>
      <c r="H227" s="38" t="str">
        <f>VLOOKUP($B227,DATA!$C:$AF,H$1+4,FALSE)</f>
        <v>P</v>
      </c>
      <c r="I227" s="38" t="str">
        <f>VLOOKUP($B227,DATA!$C:$AF,I$1+4,FALSE)</f>
        <v>P</v>
      </c>
      <c r="J227" s="38" t="str">
        <f>VLOOKUP($B227,DATA!$C:$AF,J$1+4,FALSE)</f>
        <v>P</v>
      </c>
      <c r="K227" s="38" t="str">
        <f>VLOOKUP($B227,DATA!$C:$AF,K$1+4,FALSE)</f>
        <v>P</v>
      </c>
      <c r="L227" s="38" t="str">
        <f>VLOOKUP($B227,DATA!$C:$AF,L$1+4,FALSE)</f>
        <v>P</v>
      </c>
      <c r="M227" s="38" t="str">
        <f>VLOOKUP($B227,DATA!$C:$AF,M$1+4,FALSE)</f>
        <v>P</v>
      </c>
      <c r="N227" s="38" t="str">
        <f>VLOOKUP($B227,DATA!$C:$AF,N$1+4,FALSE)</f>
        <v>P</v>
      </c>
      <c r="O227" s="38" t="str">
        <f>VLOOKUP($B227,DATA!$C:$AF,O$1+4,FALSE)</f>
        <v>P</v>
      </c>
      <c r="P227" s="38" t="str">
        <f>VLOOKUP($B227,DATA!$C:$AF,P$1+4,FALSE)</f>
        <v>P</v>
      </c>
      <c r="Q227" s="16">
        <f t="shared" si="13"/>
        <v>12</v>
      </c>
      <c r="R227" s="17">
        <v>8</v>
      </c>
      <c r="S227" s="17">
        <f t="shared" si="14"/>
        <v>15</v>
      </c>
    </row>
    <row r="228" spans="1:19" ht="17.5" thickBot="1">
      <c r="A228" s="11" t="s">
        <v>605</v>
      </c>
      <c r="B228" s="21" t="s">
        <v>411</v>
      </c>
      <c r="C228" s="13" t="s">
        <v>412</v>
      </c>
      <c r="D228" s="14" t="s">
        <v>579</v>
      </c>
      <c r="E228" s="38">
        <f>VLOOKUP($B228,DATA!$C:$AF,E$1+4,FALSE)</f>
        <v>0</v>
      </c>
      <c r="F228" s="38">
        <f>VLOOKUP($B228,DATA!$C:$AF,F$1+4,FALSE)</f>
        <v>0</v>
      </c>
      <c r="G228" s="38">
        <f>VLOOKUP($B228,DATA!$C:$AF,G$1+4,FALSE)</f>
        <v>0</v>
      </c>
      <c r="H228" s="38">
        <f>VLOOKUP($B228,DATA!$C:$AF,H$1+4,FALSE)</f>
        <v>0</v>
      </c>
      <c r="I228" s="38">
        <f>VLOOKUP($B228,DATA!$C:$AF,I$1+4,FALSE)</f>
        <v>0</v>
      </c>
      <c r="J228" s="38">
        <f>VLOOKUP($B228,DATA!$C:$AF,J$1+4,FALSE)</f>
        <v>0</v>
      </c>
      <c r="K228" s="38">
        <f>VLOOKUP($B228,DATA!$C:$AF,K$1+4,FALSE)</f>
        <v>0</v>
      </c>
      <c r="L228" s="38">
        <f>VLOOKUP($B228,DATA!$C:$AF,L$1+4,FALSE)</f>
        <v>0</v>
      </c>
      <c r="M228" s="38">
        <f>VLOOKUP($B228,DATA!$C:$AF,M$1+4,FALSE)</f>
        <v>0</v>
      </c>
      <c r="N228" s="38">
        <f>VLOOKUP($B228,DATA!$C:$AF,N$1+4,FALSE)</f>
        <v>0</v>
      </c>
      <c r="O228" s="38">
        <f>VLOOKUP($B228,DATA!$C:$AF,O$1+4,FALSE)</f>
        <v>0</v>
      </c>
      <c r="P228" s="38">
        <f>VLOOKUP($B228,DATA!$C:$AF,P$1+4,FALSE)</f>
        <v>0</v>
      </c>
      <c r="Q228" s="16">
        <f t="shared" si="13"/>
        <v>0</v>
      </c>
      <c r="R228" s="17">
        <v>0</v>
      </c>
      <c r="S228" s="17">
        <f t="shared" si="14"/>
        <v>0</v>
      </c>
    </row>
    <row r="229" spans="1:19" ht="17.5" thickBot="1">
      <c r="A229" s="11" t="s">
        <v>605</v>
      </c>
      <c r="B229" s="21" t="s">
        <v>413</v>
      </c>
      <c r="C229" s="13" t="s">
        <v>414</v>
      </c>
      <c r="D229" s="14" t="s">
        <v>579</v>
      </c>
      <c r="E229" s="38">
        <f>VLOOKUP($B229,DATA!$C:$AF,E$1+4,FALSE)</f>
        <v>0</v>
      </c>
      <c r="F229" s="38">
        <f>VLOOKUP($B229,DATA!$C:$AF,F$1+4,FALSE)</f>
        <v>0</v>
      </c>
      <c r="G229" s="38">
        <f>VLOOKUP($B229,DATA!$C:$AF,G$1+4,FALSE)</f>
        <v>0</v>
      </c>
      <c r="H229" s="38">
        <f>VLOOKUP($B229,DATA!$C:$AF,H$1+4,FALSE)</f>
        <v>0</v>
      </c>
      <c r="I229" s="38">
        <f>VLOOKUP($B229,DATA!$C:$AF,I$1+4,FALSE)</f>
        <v>0</v>
      </c>
      <c r="J229" s="38">
        <f>VLOOKUP($B229,DATA!$C:$AF,J$1+4,FALSE)</f>
        <v>0</v>
      </c>
      <c r="K229" s="38">
        <f>VLOOKUP($B229,DATA!$C:$AF,K$1+4,FALSE)</f>
        <v>0</v>
      </c>
      <c r="L229" s="38">
        <f>VLOOKUP($B229,DATA!$C:$AF,L$1+4,FALSE)</f>
        <v>0</v>
      </c>
      <c r="M229" s="38">
        <f>VLOOKUP($B229,DATA!$C:$AF,M$1+4,FALSE)</f>
        <v>0</v>
      </c>
      <c r="N229" s="38">
        <f>VLOOKUP($B229,DATA!$C:$AF,N$1+4,FALSE)</f>
        <v>0</v>
      </c>
      <c r="O229" s="38">
        <f>VLOOKUP($B229,DATA!$C:$AF,O$1+4,FALSE)</f>
        <v>0</v>
      </c>
      <c r="P229" s="38">
        <f>VLOOKUP($B229,DATA!$C:$AF,P$1+4,FALSE)</f>
        <v>0</v>
      </c>
      <c r="Q229" s="16">
        <f t="shared" si="13"/>
        <v>0</v>
      </c>
      <c r="R229" s="17">
        <v>0</v>
      </c>
      <c r="S229" s="17">
        <f t="shared" si="14"/>
        <v>0</v>
      </c>
    </row>
    <row r="230" spans="1:19" ht="17.5" thickBot="1">
      <c r="A230" s="11" t="s">
        <v>605</v>
      </c>
      <c r="B230" s="27" t="s">
        <v>415</v>
      </c>
      <c r="C230" s="13" t="s">
        <v>416</v>
      </c>
      <c r="D230" s="14" t="s">
        <v>579</v>
      </c>
      <c r="E230" s="38" t="str">
        <f>VLOOKUP($B230,DATA!$C:$AF,E$1+4,FALSE)</f>
        <v>P</v>
      </c>
      <c r="F230" s="38" t="str">
        <f>VLOOKUP($B230,DATA!$C:$AF,F$1+4,FALSE)</f>
        <v>P</v>
      </c>
      <c r="G230" s="38" t="str">
        <f>VLOOKUP($B230,DATA!$C:$AF,G$1+4,FALSE)</f>
        <v>P</v>
      </c>
      <c r="H230" s="38" t="str">
        <f>VLOOKUP($B230,DATA!$C:$AF,H$1+4,FALSE)</f>
        <v>P</v>
      </c>
      <c r="I230" s="38" t="str">
        <f>VLOOKUP($B230,DATA!$C:$AF,I$1+4,FALSE)</f>
        <v>P</v>
      </c>
      <c r="J230" s="38" t="str">
        <f>VLOOKUP($B230,DATA!$C:$AF,J$1+4,FALSE)</f>
        <v>P</v>
      </c>
      <c r="K230" s="38" t="str">
        <f>VLOOKUP($B230,DATA!$C:$AF,K$1+4,FALSE)</f>
        <v>P</v>
      </c>
      <c r="L230" s="38" t="str">
        <f>VLOOKUP($B230,DATA!$C:$AF,L$1+4,FALSE)</f>
        <v>P</v>
      </c>
      <c r="M230" s="38" t="str">
        <f>VLOOKUP($B230,DATA!$C:$AF,M$1+4,FALSE)</f>
        <v>P</v>
      </c>
      <c r="N230" s="38" t="str">
        <f>VLOOKUP($B230,DATA!$C:$AF,N$1+4,FALSE)</f>
        <v>P</v>
      </c>
      <c r="O230" s="38" t="str">
        <f>VLOOKUP($B230,DATA!$C:$AF,O$1+4,FALSE)</f>
        <v>P</v>
      </c>
      <c r="P230" s="38" t="str">
        <f>VLOOKUP($B230,DATA!$C:$AF,P$1+4,FALSE)</f>
        <v>P</v>
      </c>
      <c r="Q230" s="16">
        <f t="shared" si="13"/>
        <v>12</v>
      </c>
      <c r="R230" s="17">
        <v>6</v>
      </c>
      <c r="S230" s="17">
        <f t="shared" si="14"/>
        <v>15</v>
      </c>
    </row>
    <row r="231" spans="1:19" ht="17.5" thickBot="1">
      <c r="A231" s="11" t="s">
        <v>605</v>
      </c>
      <c r="B231" s="21" t="s">
        <v>417</v>
      </c>
      <c r="C231" s="13" t="s">
        <v>418</v>
      </c>
      <c r="D231" s="14" t="s">
        <v>579</v>
      </c>
      <c r="E231" s="38">
        <f>VLOOKUP($B231,DATA!$C:$AF,E$1+4,FALSE)</f>
        <v>0</v>
      </c>
      <c r="F231" s="38">
        <f>VLOOKUP($B231,DATA!$C:$AF,F$1+4,FALSE)</f>
        <v>0</v>
      </c>
      <c r="G231" s="38">
        <f>VLOOKUP($B231,DATA!$C:$AF,G$1+4,FALSE)</f>
        <v>0</v>
      </c>
      <c r="H231" s="38">
        <f>VLOOKUP($B231,DATA!$C:$AF,H$1+4,FALSE)</f>
        <v>0</v>
      </c>
      <c r="I231" s="38">
        <f>VLOOKUP($B231,DATA!$C:$AF,I$1+4,FALSE)</f>
        <v>0</v>
      </c>
      <c r="J231" s="38">
        <f>VLOOKUP($B231,DATA!$C:$AF,J$1+4,FALSE)</f>
        <v>0</v>
      </c>
      <c r="K231" s="38">
        <f>VLOOKUP($B231,DATA!$C:$AF,K$1+4,FALSE)</f>
        <v>0</v>
      </c>
      <c r="L231" s="38">
        <f>VLOOKUP($B231,DATA!$C:$AF,L$1+4,FALSE)</f>
        <v>0</v>
      </c>
      <c r="M231" s="38">
        <f>VLOOKUP($B231,DATA!$C:$AF,M$1+4,FALSE)</f>
        <v>0</v>
      </c>
      <c r="N231" s="38">
        <f>VLOOKUP($B231,DATA!$C:$AF,N$1+4,FALSE)</f>
        <v>0</v>
      </c>
      <c r="O231" s="38">
        <f>VLOOKUP($B231,DATA!$C:$AF,O$1+4,FALSE)</f>
        <v>0</v>
      </c>
      <c r="P231" s="38">
        <f>VLOOKUP($B231,DATA!$C:$AF,P$1+4,FALSE)</f>
        <v>0</v>
      </c>
      <c r="Q231" s="16">
        <f t="shared" si="13"/>
        <v>0</v>
      </c>
      <c r="R231" s="17">
        <v>0</v>
      </c>
      <c r="S231" s="17">
        <f t="shared" si="14"/>
        <v>0</v>
      </c>
    </row>
    <row r="232" spans="1:19" ht="17.5" thickBot="1">
      <c r="A232" s="11" t="s">
        <v>605</v>
      </c>
      <c r="B232" s="22" t="s">
        <v>530</v>
      </c>
      <c r="C232" s="22" t="s">
        <v>531</v>
      </c>
      <c r="D232" s="14" t="s">
        <v>579</v>
      </c>
      <c r="E232" s="38">
        <f>VLOOKUP($B232,DATA!$C:$AF,E$1+4,FALSE)</f>
        <v>0</v>
      </c>
      <c r="F232" s="38">
        <f>VLOOKUP($B232,DATA!$C:$AF,F$1+4,FALSE)</f>
        <v>0</v>
      </c>
      <c r="G232" s="38">
        <f>VLOOKUP($B232,DATA!$C:$AF,G$1+4,FALSE)</f>
        <v>0</v>
      </c>
      <c r="H232" s="38">
        <f>VLOOKUP($B232,DATA!$C:$AF,H$1+4,FALSE)</f>
        <v>0</v>
      </c>
      <c r="I232" s="38">
        <f>VLOOKUP($B232,DATA!$C:$AF,I$1+4,FALSE)</f>
        <v>0</v>
      </c>
      <c r="J232" s="38">
        <f>VLOOKUP($B232,DATA!$C:$AF,J$1+4,FALSE)</f>
        <v>0</v>
      </c>
      <c r="K232" s="38">
        <f>VLOOKUP($B232,DATA!$C:$AF,K$1+4,FALSE)</f>
        <v>0</v>
      </c>
      <c r="L232" s="38">
        <f>VLOOKUP($B232,DATA!$C:$AF,L$1+4,FALSE)</f>
        <v>0</v>
      </c>
      <c r="M232" s="38">
        <f>VLOOKUP($B232,DATA!$C:$AF,M$1+4,FALSE)</f>
        <v>0</v>
      </c>
      <c r="N232" s="38">
        <f>VLOOKUP($B232,DATA!$C:$AF,N$1+4,FALSE)</f>
        <v>0</v>
      </c>
      <c r="O232" s="38">
        <f>VLOOKUP($B232,DATA!$C:$AF,O$1+4,FALSE)</f>
        <v>0</v>
      </c>
      <c r="P232" s="38">
        <f>VLOOKUP($B232,DATA!$C:$AF,P$1+4,FALSE)</f>
        <v>0</v>
      </c>
      <c r="Q232" s="16">
        <f t="shared" si="13"/>
        <v>0</v>
      </c>
      <c r="R232" s="17">
        <v>0</v>
      </c>
      <c r="S232" s="17">
        <f t="shared" si="14"/>
        <v>0</v>
      </c>
    </row>
    <row r="233" spans="1:19" ht="17.5" thickBot="1">
      <c r="A233" s="11" t="s">
        <v>605</v>
      </c>
      <c r="B233" s="21" t="s">
        <v>419</v>
      </c>
      <c r="C233" s="13" t="s">
        <v>420</v>
      </c>
      <c r="D233" s="14" t="s">
        <v>579</v>
      </c>
      <c r="E233" s="38" t="str">
        <f>VLOOKUP($B233,DATA!$C:$AF,E$1+4,FALSE)</f>
        <v>P</v>
      </c>
      <c r="F233" s="38" t="str">
        <f>VLOOKUP($B233,DATA!$C:$AF,F$1+4,FALSE)</f>
        <v>P</v>
      </c>
      <c r="G233" s="38" t="str">
        <f>VLOOKUP($B233,DATA!$C:$AF,G$1+4,FALSE)</f>
        <v>P</v>
      </c>
      <c r="H233" s="38" t="str">
        <f>VLOOKUP($B233,DATA!$C:$AF,H$1+4,FALSE)</f>
        <v>P</v>
      </c>
      <c r="I233" s="38" t="str">
        <f>VLOOKUP($B233,DATA!$C:$AF,I$1+4,FALSE)</f>
        <v>P</v>
      </c>
      <c r="J233" s="38" t="str">
        <f>VLOOKUP($B233,DATA!$C:$AF,J$1+4,FALSE)</f>
        <v>P</v>
      </c>
      <c r="K233" s="38" t="str">
        <f>VLOOKUP($B233,DATA!$C:$AF,K$1+4,FALSE)</f>
        <v>P</v>
      </c>
      <c r="L233" s="38" t="str">
        <f>VLOOKUP($B233,DATA!$C:$AF,L$1+4,FALSE)</f>
        <v>P</v>
      </c>
      <c r="M233" s="38" t="str">
        <f>VLOOKUP($B233,DATA!$C:$AF,M$1+4,FALSE)</f>
        <v>P</v>
      </c>
      <c r="N233" s="38" t="str">
        <f>VLOOKUP($B233,DATA!$C:$AF,N$1+4,FALSE)</f>
        <v>P</v>
      </c>
      <c r="O233" s="38" t="str">
        <f>VLOOKUP($B233,DATA!$C:$AF,O$1+4,FALSE)</f>
        <v>P</v>
      </c>
      <c r="P233" s="38" t="str">
        <f>VLOOKUP($B233,DATA!$C:$AF,P$1+4,FALSE)</f>
        <v>P</v>
      </c>
      <c r="Q233" s="16">
        <f t="shared" si="13"/>
        <v>12</v>
      </c>
      <c r="R233" s="17">
        <v>6</v>
      </c>
      <c r="S233" s="17">
        <f t="shared" si="14"/>
        <v>15</v>
      </c>
    </row>
    <row r="234" spans="1:19" ht="17.5" thickBot="1">
      <c r="A234" s="11" t="s">
        <v>605</v>
      </c>
      <c r="B234" s="21" t="s">
        <v>421</v>
      </c>
      <c r="C234" s="21" t="s">
        <v>422</v>
      </c>
      <c r="D234" s="14" t="s">
        <v>579</v>
      </c>
      <c r="E234" s="38" t="str">
        <f>VLOOKUP($B234,DATA!$C:$AF,E$1+4,FALSE)</f>
        <v>P</v>
      </c>
      <c r="F234" s="38" t="str">
        <f>VLOOKUP($B234,DATA!$C:$AF,F$1+4,FALSE)</f>
        <v>P</v>
      </c>
      <c r="G234" s="38" t="str">
        <f>VLOOKUP($B234,DATA!$C:$AF,G$1+4,FALSE)</f>
        <v>P</v>
      </c>
      <c r="H234" s="38" t="str">
        <f>VLOOKUP($B234,DATA!$C:$AF,H$1+4,FALSE)</f>
        <v>P</v>
      </c>
      <c r="I234" s="38" t="str">
        <f>VLOOKUP($B234,DATA!$C:$AF,I$1+4,FALSE)</f>
        <v>P</v>
      </c>
      <c r="J234" s="38" t="str">
        <f>VLOOKUP($B234,DATA!$C:$AF,J$1+4,FALSE)</f>
        <v>P</v>
      </c>
      <c r="K234" s="38" t="str">
        <f>VLOOKUP($B234,DATA!$C:$AF,K$1+4,FALSE)</f>
        <v>P</v>
      </c>
      <c r="L234" s="38" t="str">
        <f>VLOOKUP($B234,DATA!$C:$AF,L$1+4,FALSE)</f>
        <v>P</v>
      </c>
      <c r="M234" s="38" t="str">
        <f>VLOOKUP($B234,DATA!$C:$AF,M$1+4,FALSE)</f>
        <v>P</v>
      </c>
      <c r="N234" s="38" t="str">
        <f>VLOOKUP($B234,DATA!$C:$AF,N$1+4,FALSE)</f>
        <v>P</v>
      </c>
      <c r="O234" s="38" t="str">
        <f>VLOOKUP($B234,DATA!$C:$AF,O$1+4,FALSE)</f>
        <v>P</v>
      </c>
      <c r="P234" s="38" t="str">
        <f>VLOOKUP($B234,DATA!$C:$AF,P$1+4,FALSE)</f>
        <v>P</v>
      </c>
      <c r="Q234" s="16">
        <f t="shared" si="13"/>
        <v>12</v>
      </c>
      <c r="R234" s="17">
        <v>6</v>
      </c>
      <c r="S234" s="17">
        <f t="shared" si="14"/>
        <v>15</v>
      </c>
    </row>
    <row r="235" spans="1:19" ht="17.5" thickBot="1">
      <c r="A235" s="11" t="s">
        <v>605</v>
      </c>
      <c r="B235" s="21" t="s">
        <v>423</v>
      </c>
      <c r="C235" s="13" t="s">
        <v>424</v>
      </c>
      <c r="D235" s="14" t="s">
        <v>579</v>
      </c>
      <c r="E235" s="38" t="str">
        <f>VLOOKUP($B235,DATA!$C:$AF,E$1+4,FALSE)</f>
        <v>P</v>
      </c>
      <c r="F235" s="38" t="str">
        <f>VLOOKUP($B235,DATA!$C:$AF,F$1+4,FALSE)</f>
        <v>P</v>
      </c>
      <c r="G235" s="38" t="str">
        <f>VLOOKUP($B235,DATA!$C:$AF,G$1+4,FALSE)</f>
        <v>P</v>
      </c>
      <c r="H235" s="38" t="str">
        <f>VLOOKUP($B235,DATA!$C:$AF,H$1+4,FALSE)</f>
        <v>P</v>
      </c>
      <c r="I235" s="38" t="str">
        <f>VLOOKUP($B235,DATA!$C:$AF,I$1+4,FALSE)</f>
        <v>P</v>
      </c>
      <c r="J235" s="38" t="str">
        <f>VLOOKUP($B235,DATA!$C:$AF,J$1+4,FALSE)</f>
        <v>P</v>
      </c>
      <c r="K235" s="38" t="str">
        <f>VLOOKUP($B235,DATA!$C:$AF,K$1+4,FALSE)</f>
        <v>P</v>
      </c>
      <c r="L235" s="38" t="str">
        <f>VLOOKUP($B235,DATA!$C:$AF,L$1+4,FALSE)</f>
        <v>P</v>
      </c>
      <c r="M235" s="38" t="str">
        <f>VLOOKUP($B235,DATA!$C:$AF,M$1+4,FALSE)</f>
        <v>P</v>
      </c>
      <c r="N235" s="38" t="str">
        <f>VLOOKUP($B235,DATA!$C:$AF,N$1+4,FALSE)</f>
        <v>P</v>
      </c>
      <c r="O235" s="38" t="str">
        <f>VLOOKUP($B235,DATA!$C:$AF,O$1+4,FALSE)</f>
        <v>P</v>
      </c>
      <c r="P235" s="38" t="str">
        <f>VLOOKUP($B235,DATA!$C:$AF,P$1+4,FALSE)</f>
        <v>P</v>
      </c>
      <c r="Q235" s="16">
        <f t="shared" ref="Q235:Q287" si="15">COUNTIF(E235:P235,"P")</f>
        <v>12</v>
      </c>
      <c r="R235" s="17">
        <v>7</v>
      </c>
      <c r="S235" s="17">
        <f t="shared" si="14"/>
        <v>15</v>
      </c>
    </row>
    <row r="236" spans="1:19" ht="17.5" thickBot="1">
      <c r="A236" s="11" t="s">
        <v>605</v>
      </c>
      <c r="B236" s="21" t="s">
        <v>425</v>
      </c>
      <c r="C236" s="13" t="s">
        <v>426</v>
      </c>
      <c r="D236" s="14" t="s">
        <v>579</v>
      </c>
      <c r="E236" s="38" t="str">
        <f>VLOOKUP($B236,DATA!$C:$AF,E$1+4,FALSE)</f>
        <v>P</v>
      </c>
      <c r="F236" s="38" t="str">
        <f>VLOOKUP($B236,DATA!$C:$AF,F$1+4,FALSE)</f>
        <v>P</v>
      </c>
      <c r="G236" s="38" t="str">
        <f>VLOOKUP($B236,DATA!$C:$AF,G$1+4,FALSE)</f>
        <v>P</v>
      </c>
      <c r="H236" s="38" t="str">
        <f>VLOOKUP($B236,DATA!$C:$AF,H$1+4,FALSE)</f>
        <v>P</v>
      </c>
      <c r="I236" s="38" t="str">
        <f>VLOOKUP($B236,DATA!$C:$AF,I$1+4,FALSE)</f>
        <v>P</v>
      </c>
      <c r="J236" s="38" t="str">
        <f>VLOOKUP($B236,DATA!$C:$AF,J$1+4,FALSE)</f>
        <v>P</v>
      </c>
      <c r="K236" s="38" t="str">
        <f>VLOOKUP($B236,DATA!$C:$AF,K$1+4,FALSE)</f>
        <v>P</v>
      </c>
      <c r="L236" s="38" t="str">
        <f>VLOOKUP($B236,DATA!$C:$AF,L$1+4,FALSE)</f>
        <v>P</v>
      </c>
      <c r="M236" s="38" t="str">
        <f>VLOOKUP($B236,DATA!$C:$AF,M$1+4,FALSE)</f>
        <v>P</v>
      </c>
      <c r="N236" s="38" t="str">
        <f>VLOOKUP($B236,DATA!$C:$AF,N$1+4,FALSE)</f>
        <v>P</v>
      </c>
      <c r="O236" s="38" t="str">
        <f>VLOOKUP($B236,DATA!$C:$AF,O$1+4,FALSE)</f>
        <v>P</v>
      </c>
      <c r="P236" s="38" t="str">
        <f>VLOOKUP($B236,DATA!$C:$AF,P$1+4,FALSE)</f>
        <v>P</v>
      </c>
      <c r="Q236" s="16">
        <f t="shared" si="15"/>
        <v>12</v>
      </c>
      <c r="R236" s="17">
        <v>7</v>
      </c>
      <c r="S236" s="17">
        <f t="shared" si="14"/>
        <v>15</v>
      </c>
    </row>
    <row r="237" spans="1:19" ht="17.5" thickBot="1">
      <c r="A237" s="11" t="s">
        <v>605</v>
      </c>
      <c r="B237" s="21" t="s">
        <v>427</v>
      </c>
      <c r="C237" s="13" t="s">
        <v>428</v>
      </c>
      <c r="D237" s="14" t="s">
        <v>579</v>
      </c>
      <c r="E237" s="38" t="str">
        <f>VLOOKUP($B237,DATA!$C:$AF,E$1+4,FALSE)</f>
        <v>P</v>
      </c>
      <c r="F237" s="38" t="str">
        <f>VLOOKUP($B237,DATA!$C:$AF,F$1+4,FALSE)</f>
        <v>P</v>
      </c>
      <c r="G237" s="38" t="str">
        <f>VLOOKUP($B237,DATA!$C:$AF,G$1+4,FALSE)</f>
        <v>P</v>
      </c>
      <c r="H237" s="38" t="str">
        <f>VLOOKUP($B237,DATA!$C:$AF,H$1+4,FALSE)</f>
        <v>P</v>
      </c>
      <c r="I237" s="38" t="str">
        <f>VLOOKUP($B237,DATA!$C:$AF,I$1+4,FALSE)</f>
        <v>P</v>
      </c>
      <c r="J237" s="38" t="str">
        <f>VLOOKUP($B237,DATA!$C:$AF,J$1+4,FALSE)</f>
        <v>P</v>
      </c>
      <c r="K237" s="38" t="str">
        <f>VLOOKUP($B237,DATA!$C:$AF,K$1+4,FALSE)</f>
        <v>P</v>
      </c>
      <c r="L237" s="38" t="str">
        <f>VLOOKUP($B237,DATA!$C:$AF,L$1+4,FALSE)</f>
        <v>P</v>
      </c>
      <c r="M237" s="38" t="str">
        <f>VLOOKUP($B237,DATA!$C:$AF,M$1+4,FALSE)</f>
        <v>P</v>
      </c>
      <c r="N237" s="38" t="str">
        <f>VLOOKUP($B237,DATA!$C:$AF,N$1+4,FALSE)</f>
        <v>P</v>
      </c>
      <c r="O237" s="38" t="str">
        <f>VLOOKUP($B237,DATA!$C:$AF,O$1+4,FALSE)</f>
        <v>P</v>
      </c>
      <c r="P237" s="38" t="str">
        <f>VLOOKUP($B237,DATA!$C:$AF,P$1+4,FALSE)</f>
        <v>P</v>
      </c>
      <c r="Q237" s="16">
        <f t="shared" si="15"/>
        <v>12</v>
      </c>
      <c r="R237" s="17">
        <v>7</v>
      </c>
      <c r="S237" s="17">
        <f t="shared" si="14"/>
        <v>15</v>
      </c>
    </row>
    <row r="238" spans="1:19" ht="17.5" thickBot="1">
      <c r="A238" s="11" t="s">
        <v>605</v>
      </c>
      <c r="B238" s="21" t="s">
        <v>429</v>
      </c>
      <c r="C238" s="13" t="s">
        <v>430</v>
      </c>
      <c r="D238" s="14" t="s">
        <v>579</v>
      </c>
      <c r="E238" s="38" t="str">
        <f>VLOOKUP($B238,DATA!$C:$AF,E$1+4,FALSE)</f>
        <v>P</v>
      </c>
      <c r="F238" s="38" t="str">
        <f>VLOOKUP($B238,DATA!$C:$AF,F$1+4,FALSE)</f>
        <v>P</v>
      </c>
      <c r="G238" s="38" t="str">
        <f>VLOOKUP($B238,DATA!$C:$AF,G$1+4,FALSE)</f>
        <v>P</v>
      </c>
      <c r="H238" s="38" t="str">
        <f>VLOOKUP($B238,DATA!$C:$AF,H$1+4,FALSE)</f>
        <v>P</v>
      </c>
      <c r="I238" s="38" t="str">
        <f>VLOOKUP($B238,DATA!$C:$AF,I$1+4,FALSE)</f>
        <v>P</v>
      </c>
      <c r="J238" s="38" t="str">
        <f>VLOOKUP($B238,DATA!$C:$AF,J$1+4,FALSE)</f>
        <v>P</v>
      </c>
      <c r="K238" s="38" t="str">
        <f>VLOOKUP($B238,DATA!$C:$AF,K$1+4,FALSE)</f>
        <v>P</v>
      </c>
      <c r="L238" s="38" t="str">
        <f>VLOOKUP($B238,DATA!$C:$AF,L$1+4,FALSE)</f>
        <v>P</v>
      </c>
      <c r="M238" s="38" t="str">
        <f>VLOOKUP($B238,DATA!$C:$AF,M$1+4,FALSE)</f>
        <v>P</v>
      </c>
      <c r="N238" s="38" t="str">
        <f>VLOOKUP($B238,DATA!$C:$AF,N$1+4,FALSE)</f>
        <v>P</v>
      </c>
      <c r="O238" s="38" t="str">
        <f>VLOOKUP($B238,DATA!$C:$AF,O$1+4,FALSE)</f>
        <v>P</v>
      </c>
      <c r="P238" s="38" t="str">
        <f>VLOOKUP($B238,DATA!$C:$AF,P$1+4,FALSE)</f>
        <v>P</v>
      </c>
      <c r="Q238" s="16">
        <f t="shared" si="15"/>
        <v>12</v>
      </c>
      <c r="R238" s="17">
        <v>8</v>
      </c>
      <c r="S238" s="17">
        <f t="shared" si="14"/>
        <v>15</v>
      </c>
    </row>
    <row r="239" spans="1:19" ht="17.5" thickBot="1">
      <c r="A239" s="11" t="s">
        <v>605</v>
      </c>
      <c r="B239" s="21" t="s">
        <v>431</v>
      </c>
      <c r="C239" s="13" t="s">
        <v>432</v>
      </c>
      <c r="D239" s="14" t="s">
        <v>579</v>
      </c>
      <c r="E239" s="38" t="str">
        <f>VLOOKUP($B239,DATA!$C:$AF,E$1+4,FALSE)</f>
        <v>P</v>
      </c>
      <c r="F239" s="38" t="str">
        <f>VLOOKUP($B239,DATA!$C:$AF,F$1+4,FALSE)</f>
        <v>P</v>
      </c>
      <c r="G239" s="38" t="str">
        <f>VLOOKUP($B239,DATA!$C:$AF,G$1+4,FALSE)</f>
        <v>P</v>
      </c>
      <c r="H239" s="38" t="str">
        <f>VLOOKUP($B239,DATA!$C:$AF,H$1+4,FALSE)</f>
        <v>P</v>
      </c>
      <c r="I239" s="38" t="str">
        <f>VLOOKUP($B239,DATA!$C:$AF,I$1+4,FALSE)</f>
        <v>P</v>
      </c>
      <c r="J239" s="38" t="str">
        <f>VLOOKUP($B239,DATA!$C:$AF,J$1+4,FALSE)</f>
        <v>P</v>
      </c>
      <c r="K239" s="38" t="str">
        <f>VLOOKUP($B239,DATA!$C:$AF,K$1+4,FALSE)</f>
        <v>P</v>
      </c>
      <c r="L239" s="38" t="str">
        <f>VLOOKUP($B239,DATA!$C:$AF,L$1+4,FALSE)</f>
        <v>P</v>
      </c>
      <c r="M239" s="38" t="str">
        <f>VLOOKUP($B239,DATA!$C:$AF,M$1+4,FALSE)</f>
        <v>P</v>
      </c>
      <c r="N239" s="38" t="str">
        <f>VLOOKUP($B239,DATA!$C:$AF,N$1+4,FALSE)</f>
        <v>P</v>
      </c>
      <c r="O239" s="38" t="str">
        <f>VLOOKUP($B239,DATA!$C:$AF,O$1+4,FALSE)</f>
        <v>P</v>
      </c>
      <c r="P239" s="38" t="str">
        <f>VLOOKUP($B239,DATA!$C:$AF,P$1+4,FALSE)</f>
        <v>P</v>
      </c>
      <c r="Q239" s="16">
        <f t="shared" si="15"/>
        <v>12</v>
      </c>
      <c r="R239" s="17">
        <v>8</v>
      </c>
      <c r="S239" s="17">
        <f t="shared" si="14"/>
        <v>15</v>
      </c>
    </row>
    <row r="240" spans="1:19" ht="17.5" thickBot="1">
      <c r="A240" s="11" t="s">
        <v>605</v>
      </c>
      <c r="B240" s="21" t="s">
        <v>433</v>
      </c>
      <c r="C240" s="13" t="s">
        <v>434</v>
      </c>
      <c r="D240" s="14" t="s">
        <v>579</v>
      </c>
      <c r="E240" s="38" t="str">
        <f>VLOOKUP($B240,DATA!$C:$AF,E$1+4,FALSE)</f>
        <v>P</v>
      </c>
      <c r="F240" s="38" t="str">
        <f>VLOOKUP($B240,DATA!$C:$AF,F$1+4,FALSE)</f>
        <v>P</v>
      </c>
      <c r="G240" s="38" t="str">
        <f>VLOOKUP($B240,DATA!$C:$AF,G$1+4,FALSE)</f>
        <v>P</v>
      </c>
      <c r="H240" s="38" t="str">
        <f>VLOOKUP($B240,DATA!$C:$AF,H$1+4,FALSE)</f>
        <v>P</v>
      </c>
      <c r="I240" s="38" t="str">
        <f>VLOOKUP($B240,DATA!$C:$AF,I$1+4,FALSE)</f>
        <v>P</v>
      </c>
      <c r="J240" s="38" t="str">
        <f>VLOOKUP($B240,DATA!$C:$AF,J$1+4,FALSE)</f>
        <v>P</v>
      </c>
      <c r="K240" s="38" t="str">
        <f>VLOOKUP($B240,DATA!$C:$AF,K$1+4,FALSE)</f>
        <v>P</v>
      </c>
      <c r="L240" s="38" t="str">
        <f>VLOOKUP($B240,DATA!$C:$AF,L$1+4,FALSE)</f>
        <v>P</v>
      </c>
      <c r="M240" s="38" t="str">
        <f>VLOOKUP($B240,DATA!$C:$AF,M$1+4,FALSE)</f>
        <v>P</v>
      </c>
      <c r="N240" s="38" t="str">
        <f>VLOOKUP($B240,DATA!$C:$AF,N$1+4,FALSE)</f>
        <v>P</v>
      </c>
      <c r="O240" s="38" t="str">
        <f>VLOOKUP($B240,DATA!$C:$AF,O$1+4,FALSE)</f>
        <v>P</v>
      </c>
      <c r="P240" s="38" t="str">
        <f>VLOOKUP($B240,DATA!$C:$AF,P$1+4,FALSE)</f>
        <v>P</v>
      </c>
      <c r="Q240" s="16">
        <f t="shared" si="15"/>
        <v>12</v>
      </c>
      <c r="R240" s="17">
        <v>8</v>
      </c>
      <c r="S240" s="17">
        <f t="shared" si="14"/>
        <v>15</v>
      </c>
    </row>
    <row r="241" spans="1:19" ht="17.5" thickBot="1">
      <c r="A241" s="11" t="s">
        <v>605</v>
      </c>
      <c r="B241" s="21" t="s">
        <v>435</v>
      </c>
      <c r="C241" s="13" t="s">
        <v>436</v>
      </c>
      <c r="D241" s="14" t="s">
        <v>579</v>
      </c>
      <c r="E241" s="38" t="str">
        <f>VLOOKUP($B241,DATA!$C:$AF,E$1+4,FALSE)</f>
        <v>P</v>
      </c>
      <c r="F241" s="38" t="str">
        <f>VLOOKUP($B241,DATA!$C:$AF,F$1+4,FALSE)</f>
        <v>P</v>
      </c>
      <c r="G241" s="38" t="str">
        <f>VLOOKUP($B241,DATA!$C:$AF,G$1+4,FALSE)</f>
        <v>P</v>
      </c>
      <c r="H241" s="38" t="str">
        <f>VLOOKUP($B241,DATA!$C:$AF,H$1+4,FALSE)</f>
        <v>P</v>
      </c>
      <c r="I241" s="38" t="str">
        <f>VLOOKUP($B241,DATA!$C:$AF,I$1+4,FALSE)</f>
        <v>P</v>
      </c>
      <c r="J241" s="38" t="str">
        <f>VLOOKUP($B241,DATA!$C:$AF,J$1+4,FALSE)</f>
        <v>P</v>
      </c>
      <c r="K241" s="38" t="str">
        <f>VLOOKUP($B241,DATA!$C:$AF,K$1+4,FALSE)</f>
        <v>P</v>
      </c>
      <c r="L241" s="38" t="str">
        <f>VLOOKUP($B241,DATA!$C:$AF,L$1+4,FALSE)</f>
        <v>P</v>
      </c>
      <c r="M241" s="38" t="str">
        <f>VLOOKUP($B241,DATA!$C:$AF,M$1+4,FALSE)</f>
        <v>P</v>
      </c>
      <c r="N241" s="38" t="str">
        <f>VLOOKUP($B241,DATA!$C:$AF,N$1+4,FALSE)</f>
        <v>P</v>
      </c>
      <c r="O241" s="38" t="str">
        <f>VLOOKUP($B241,DATA!$C:$AF,O$1+4,FALSE)</f>
        <v>P</v>
      </c>
      <c r="P241" s="38" t="str">
        <f>VLOOKUP($B241,DATA!$C:$AF,P$1+4,FALSE)</f>
        <v>P</v>
      </c>
      <c r="Q241" s="16">
        <f t="shared" si="15"/>
        <v>12</v>
      </c>
      <c r="R241" s="17">
        <v>6</v>
      </c>
      <c r="S241" s="17">
        <f t="shared" si="14"/>
        <v>15</v>
      </c>
    </row>
    <row r="242" spans="1:19" ht="17.5" thickBot="1">
      <c r="A242" s="11" t="s">
        <v>605</v>
      </c>
      <c r="B242" s="21" t="s">
        <v>437</v>
      </c>
      <c r="C242" s="13" t="s">
        <v>438</v>
      </c>
      <c r="D242" s="14" t="s">
        <v>579</v>
      </c>
      <c r="E242" s="38" t="str">
        <f>VLOOKUP($B242,DATA!$C:$AF,E$1+4,FALSE)</f>
        <v>P</v>
      </c>
      <c r="F242" s="38" t="str">
        <f>VLOOKUP($B242,DATA!$C:$AF,F$1+4,FALSE)</f>
        <v>P</v>
      </c>
      <c r="G242" s="38" t="str">
        <f>VLOOKUP($B242,DATA!$C:$AF,G$1+4,FALSE)</f>
        <v>P</v>
      </c>
      <c r="H242" s="38" t="str">
        <f>VLOOKUP($B242,DATA!$C:$AF,H$1+4,FALSE)</f>
        <v>P</v>
      </c>
      <c r="I242" s="38" t="str">
        <f>VLOOKUP($B242,DATA!$C:$AF,I$1+4,FALSE)</f>
        <v>P</v>
      </c>
      <c r="J242" s="38" t="str">
        <f>VLOOKUP($B242,DATA!$C:$AF,J$1+4,FALSE)</f>
        <v>P</v>
      </c>
      <c r="K242" s="38" t="str">
        <f>VLOOKUP($B242,DATA!$C:$AF,K$1+4,FALSE)</f>
        <v>P</v>
      </c>
      <c r="L242" s="38" t="str">
        <f>VLOOKUP($B242,DATA!$C:$AF,L$1+4,FALSE)</f>
        <v>P</v>
      </c>
      <c r="M242" s="38" t="str">
        <f>VLOOKUP($B242,DATA!$C:$AF,M$1+4,FALSE)</f>
        <v>P</v>
      </c>
      <c r="N242" s="38" t="str">
        <f>VLOOKUP($B242,DATA!$C:$AF,N$1+4,FALSE)</f>
        <v>P</v>
      </c>
      <c r="O242" s="38" t="str">
        <f>VLOOKUP($B242,DATA!$C:$AF,O$1+4,FALSE)</f>
        <v>P</v>
      </c>
      <c r="P242" s="38" t="str">
        <f>VLOOKUP($B242,DATA!$C:$AF,P$1+4,FALSE)</f>
        <v>P</v>
      </c>
      <c r="Q242" s="16">
        <f t="shared" si="15"/>
        <v>12</v>
      </c>
      <c r="R242" s="17">
        <v>6</v>
      </c>
      <c r="S242" s="17">
        <f t="shared" si="14"/>
        <v>15</v>
      </c>
    </row>
    <row r="243" spans="1:19" ht="17.5" thickBot="1">
      <c r="A243" s="11" t="s">
        <v>605</v>
      </c>
      <c r="B243" s="19" t="s">
        <v>439</v>
      </c>
      <c r="C243" s="13" t="s">
        <v>440</v>
      </c>
      <c r="D243" s="14" t="s">
        <v>579</v>
      </c>
      <c r="E243" s="38" t="str">
        <f>VLOOKUP($B243,DATA!$C:$AF,E$1+4,FALSE)</f>
        <v>P</v>
      </c>
      <c r="F243" s="38" t="str">
        <f>VLOOKUP($B243,DATA!$C:$AF,F$1+4,FALSE)</f>
        <v>P</v>
      </c>
      <c r="G243" s="38" t="str">
        <f>VLOOKUP($B243,DATA!$C:$AF,G$1+4,FALSE)</f>
        <v>P</v>
      </c>
      <c r="H243" s="38" t="str">
        <f>VLOOKUP($B243,DATA!$C:$AF,H$1+4,FALSE)</f>
        <v>P</v>
      </c>
      <c r="I243" s="38" t="str">
        <f>VLOOKUP($B243,DATA!$C:$AF,I$1+4,FALSE)</f>
        <v>P</v>
      </c>
      <c r="J243" s="38" t="str">
        <f>VLOOKUP($B243,DATA!$C:$AF,J$1+4,FALSE)</f>
        <v>P</v>
      </c>
      <c r="K243" s="38" t="str">
        <f>VLOOKUP($B243,DATA!$C:$AF,K$1+4,FALSE)</f>
        <v>P</v>
      </c>
      <c r="L243" s="38" t="str">
        <f>VLOOKUP($B243,DATA!$C:$AF,L$1+4,FALSE)</f>
        <v>P</v>
      </c>
      <c r="M243" s="38" t="str">
        <f>VLOOKUP($B243,DATA!$C:$AF,M$1+4,FALSE)</f>
        <v>P</v>
      </c>
      <c r="N243" s="38" t="str">
        <f>VLOOKUP($B243,DATA!$C:$AF,N$1+4,FALSE)</f>
        <v>P</v>
      </c>
      <c r="O243" s="38" t="str">
        <f>VLOOKUP($B243,DATA!$C:$AF,O$1+4,FALSE)</f>
        <v>P</v>
      </c>
      <c r="P243" s="38" t="str">
        <f>VLOOKUP($B243,DATA!$C:$AF,P$1+4,FALSE)</f>
        <v>P</v>
      </c>
      <c r="Q243" s="16">
        <f t="shared" si="15"/>
        <v>12</v>
      </c>
      <c r="R243" s="17">
        <v>6</v>
      </c>
      <c r="S243" s="17">
        <f t="shared" si="14"/>
        <v>15</v>
      </c>
    </row>
    <row r="244" spans="1:19" ht="17.5" thickBot="1">
      <c r="A244" s="11" t="s">
        <v>605</v>
      </c>
      <c r="B244" s="22" t="s">
        <v>441</v>
      </c>
      <c r="C244" s="22" t="s">
        <v>442</v>
      </c>
      <c r="D244" s="14" t="s">
        <v>579</v>
      </c>
      <c r="E244" s="38" t="str">
        <f>VLOOKUP($B244,DATA!$C:$AF,E$1+4,FALSE)</f>
        <v>P</v>
      </c>
      <c r="F244" s="38" t="str">
        <f>VLOOKUP($B244,DATA!$C:$AF,F$1+4,FALSE)</f>
        <v>P</v>
      </c>
      <c r="G244" s="38" t="str">
        <f>VLOOKUP($B244,DATA!$C:$AF,G$1+4,FALSE)</f>
        <v>P</v>
      </c>
      <c r="H244" s="38" t="str">
        <f>VLOOKUP($B244,DATA!$C:$AF,H$1+4,FALSE)</f>
        <v>P</v>
      </c>
      <c r="I244" s="38" t="str">
        <f>VLOOKUP($B244,DATA!$C:$AF,I$1+4,FALSE)</f>
        <v>P</v>
      </c>
      <c r="J244" s="38" t="str">
        <f>VLOOKUP($B244,DATA!$C:$AF,J$1+4,FALSE)</f>
        <v>P</v>
      </c>
      <c r="K244" s="38" t="str">
        <f>VLOOKUP($B244,DATA!$C:$AF,K$1+4,FALSE)</f>
        <v>P</v>
      </c>
      <c r="L244" s="38" t="str">
        <f>VLOOKUP($B244,DATA!$C:$AF,L$1+4,FALSE)</f>
        <v>P</v>
      </c>
      <c r="M244" s="38" t="str">
        <f>VLOOKUP($B244,DATA!$C:$AF,M$1+4,FALSE)</f>
        <v>P</v>
      </c>
      <c r="N244" s="38" t="str">
        <f>VLOOKUP($B244,DATA!$C:$AF,N$1+4,FALSE)</f>
        <v>P</v>
      </c>
      <c r="O244" s="38" t="str">
        <f>VLOOKUP($B244,DATA!$C:$AF,O$1+4,FALSE)</f>
        <v>P</v>
      </c>
      <c r="P244" s="38" t="str">
        <f>VLOOKUP($B244,DATA!$C:$AF,P$1+4,FALSE)</f>
        <v>P</v>
      </c>
      <c r="Q244" s="16">
        <f t="shared" si="15"/>
        <v>12</v>
      </c>
      <c r="R244" s="17">
        <v>6</v>
      </c>
      <c r="S244" s="17">
        <f>IF(R244=0,0,IF(R244&lt;=8,15,10))</f>
        <v>15</v>
      </c>
    </row>
    <row r="245" spans="1:19" ht="17.5" thickBot="1">
      <c r="A245" s="11" t="s">
        <v>605</v>
      </c>
      <c r="B245" s="12" t="s">
        <v>528</v>
      </c>
      <c r="C245" s="32" t="s">
        <v>529</v>
      </c>
      <c r="D245" s="14" t="s">
        <v>579</v>
      </c>
      <c r="E245" s="38" t="str">
        <f>VLOOKUP($B245,DATA!$C:$AF,E$1+4,FALSE)</f>
        <v>P</v>
      </c>
      <c r="F245" s="38" t="str">
        <f>VLOOKUP($B245,DATA!$C:$AF,F$1+4,FALSE)</f>
        <v>P</v>
      </c>
      <c r="G245" s="38" t="str">
        <f>VLOOKUP($B245,DATA!$C:$AF,G$1+4,FALSE)</f>
        <v>P</v>
      </c>
      <c r="H245" s="38" t="str">
        <f>VLOOKUP($B245,DATA!$C:$AF,H$1+4,FALSE)</f>
        <v>P</v>
      </c>
      <c r="I245" s="38" t="str">
        <f>VLOOKUP($B245,DATA!$C:$AF,I$1+4,FALSE)</f>
        <v>P</v>
      </c>
      <c r="J245" s="38" t="str">
        <f>VLOOKUP($B245,DATA!$C:$AF,J$1+4,FALSE)</f>
        <v>P</v>
      </c>
      <c r="K245" s="38" t="str">
        <f>VLOOKUP($B245,DATA!$C:$AF,K$1+4,FALSE)</f>
        <v>P</v>
      </c>
      <c r="L245" s="38" t="str">
        <f>VLOOKUP($B245,DATA!$C:$AF,L$1+4,FALSE)</f>
        <v>P</v>
      </c>
      <c r="M245" s="38" t="str">
        <f>VLOOKUP($B245,DATA!$C:$AF,M$1+4,FALSE)</f>
        <v>P</v>
      </c>
      <c r="N245" s="38" t="str">
        <f>VLOOKUP($B245,DATA!$C:$AF,N$1+4,FALSE)</f>
        <v>P</v>
      </c>
      <c r="O245" s="38" t="str">
        <f>VLOOKUP($B245,DATA!$C:$AF,O$1+4,FALSE)</f>
        <v>P</v>
      </c>
      <c r="P245" s="38" t="str">
        <f>VLOOKUP($B245,DATA!$C:$AF,P$1+4,FALSE)</f>
        <v>P</v>
      </c>
      <c r="Q245" s="16">
        <f t="shared" ref="Q245:Q246" si="16">COUNTIF(E245:P245,"P")</f>
        <v>12</v>
      </c>
      <c r="R245" s="17">
        <v>8</v>
      </c>
      <c r="S245" s="17">
        <f t="shared" ref="S245:S246" si="17">IF(R245=0,0,IF(R245&lt;=8,15,10))</f>
        <v>15</v>
      </c>
    </row>
    <row r="246" spans="1:19" ht="17.5" thickBot="1">
      <c r="A246" s="11" t="s">
        <v>605</v>
      </c>
      <c r="B246" s="12" t="s">
        <v>814</v>
      </c>
      <c r="C246" s="32" t="s">
        <v>815</v>
      </c>
      <c r="D246" s="14" t="s">
        <v>579</v>
      </c>
      <c r="E246" s="38">
        <f>VLOOKUP($B246,DATA!$C:$AF,E$1+4,FALSE)</f>
        <v>0</v>
      </c>
      <c r="F246" s="38">
        <f>VLOOKUP($B246,DATA!$C:$AF,F$1+4,FALSE)</f>
        <v>0</v>
      </c>
      <c r="G246" s="38">
        <f>VLOOKUP($B246,DATA!$C:$AF,G$1+4,FALSE)</f>
        <v>0</v>
      </c>
      <c r="H246" s="38">
        <f>VLOOKUP($B246,DATA!$C:$AF,H$1+4,FALSE)</f>
        <v>0</v>
      </c>
      <c r="I246" s="38">
        <f>VLOOKUP($B246,DATA!$C:$AF,I$1+4,FALSE)</f>
        <v>0</v>
      </c>
      <c r="J246" s="38">
        <f>VLOOKUP($B246,DATA!$C:$AF,J$1+4,FALSE)</f>
        <v>0</v>
      </c>
      <c r="K246" s="38">
        <f>VLOOKUP($B246,DATA!$C:$AF,K$1+4,FALSE)</f>
        <v>0</v>
      </c>
      <c r="L246" s="38">
        <f>VLOOKUP($B246,DATA!$C:$AF,L$1+4,FALSE)</f>
        <v>0</v>
      </c>
      <c r="M246" s="38">
        <f>VLOOKUP($B246,DATA!$C:$AF,M$1+4,FALSE)</f>
        <v>0</v>
      </c>
      <c r="N246" s="38">
        <f>VLOOKUP($B246,DATA!$C:$AF,N$1+4,FALSE)</f>
        <v>0</v>
      </c>
      <c r="O246" s="38">
        <f>VLOOKUP($B246,DATA!$C:$AF,O$1+4,FALSE)</f>
        <v>0</v>
      </c>
      <c r="P246" s="38">
        <f>VLOOKUP($B246,DATA!$C:$AF,P$1+4,FALSE)</f>
        <v>0</v>
      </c>
      <c r="Q246" s="16">
        <f t="shared" si="16"/>
        <v>0</v>
      </c>
      <c r="R246" s="17">
        <v>0</v>
      </c>
      <c r="S246" s="17">
        <f t="shared" si="17"/>
        <v>0</v>
      </c>
    </row>
    <row r="247" spans="1:19" ht="17.5" thickBot="1">
      <c r="A247" s="11" t="s">
        <v>605</v>
      </c>
      <c r="B247" s="12" t="s">
        <v>828</v>
      </c>
      <c r="C247" s="32" t="s">
        <v>609</v>
      </c>
      <c r="D247" s="14" t="s">
        <v>579</v>
      </c>
      <c r="E247" s="38" t="str">
        <f>VLOOKUP($B247,DATA!$C:$AF,E$1+4,FALSE)</f>
        <v>P</v>
      </c>
      <c r="F247" s="38" t="str">
        <f>VLOOKUP($B247,DATA!$C:$AF,F$1+4,FALSE)</f>
        <v>P</v>
      </c>
      <c r="G247" s="38" t="str">
        <f>VLOOKUP($B247,DATA!$C:$AF,G$1+4,FALSE)</f>
        <v>P</v>
      </c>
      <c r="H247" s="38" t="str">
        <f>VLOOKUP($B247,DATA!$C:$AF,H$1+4,FALSE)</f>
        <v>P</v>
      </c>
      <c r="I247" s="38" t="str">
        <f>VLOOKUP($B247,DATA!$C:$AF,I$1+4,FALSE)</f>
        <v>P</v>
      </c>
      <c r="J247" s="38" t="str">
        <f>VLOOKUP($B247,DATA!$C:$AF,J$1+4,FALSE)</f>
        <v>P</v>
      </c>
      <c r="K247" s="38" t="str">
        <f>VLOOKUP($B247,DATA!$C:$AF,K$1+4,FALSE)</f>
        <v>P</v>
      </c>
      <c r="L247" s="38" t="str">
        <f>VLOOKUP($B247,DATA!$C:$AF,L$1+4,FALSE)</f>
        <v>P</v>
      </c>
      <c r="M247" s="38" t="str">
        <f>VLOOKUP($B247,DATA!$C:$AF,M$1+4,FALSE)</f>
        <v>P</v>
      </c>
      <c r="N247" s="38" t="str">
        <f>VLOOKUP($B247,DATA!$C:$AF,N$1+4,FALSE)</f>
        <v>P</v>
      </c>
      <c r="O247" s="38" t="str">
        <f>VLOOKUP($B247,DATA!$C:$AF,O$1+4,FALSE)</f>
        <v>P</v>
      </c>
      <c r="P247" s="38" t="str">
        <f>VLOOKUP($B247,DATA!$C:$AF,P$1+4,FALSE)</f>
        <v>P</v>
      </c>
      <c r="Q247" s="16">
        <f t="shared" si="15"/>
        <v>12</v>
      </c>
      <c r="R247" s="17">
        <v>8</v>
      </c>
      <c r="S247" s="17">
        <f t="shared" ref="S247:S285" si="18">IF(R247=0,0,IF(R247&lt;=8,15,10))</f>
        <v>15</v>
      </c>
    </row>
    <row r="248" spans="1:19" ht="17.5" thickBot="1">
      <c r="A248" s="11" t="s">
        <v>605</v>
      </c>
      <c r="B248" s="21" t="s">
        <v>443</v>
      </c>
      <c r="C248" s="13" t="s">
        <v>444</v>
      </c>
      <c r="D248" s="14" t="s">
        <v>580</v>
      </c>
      <c r="E248" s="38">
        <f>VLOOKUP($B248,DATA!$C:$AF,E$1+4,FALSE)</f>
        <v>0</v>
      </c>
      <c r="F248" s="38">
        <f>VLOOKUP($B248,DATA!$C:$AF,F$1+4,FALSE)</f>
        <v>0</v>
      </c>
      <c r="G248" s="38">
        <f>VLOOKUP($B248,DATA!$C:$AF,G$1+4,FALSE)</f>
        <v>0</v>
      </c>
      <c r="H248" s="38">
        <f>VLOOKUP($B248,DATA!$C:$AF,H$1+4,FALSE)</f>
        <v>0</v>
      </c>
      <c r="I248" s="38">
        <f>VLOOKUP($B248,DATA!$C:$AF,I$1+4,FALSE)</f>
        <v>0</v>
      </c>
      <c r="J248" s="38">
        <f>VLOOKUP($B248,DATA!$C:$AF,J$1+4,FALSE)</f>
        <v>0</v>
      </c>
      <c r="K248" s="38">
        <f>VLOOKUP($B248,DATA!$C:$AF,K$1+4,FALSE)</f>
        <v>0</v>
      </c>
      <c r="L248" s="38">
        <f>VLOOKUP($B248,DATA!$C:$AF,L$1+4,FALSE)</f>
        <v>0</v>
      </c>
      <c r="M248" s="38">
        <f>VLOOKUP($B248,DATA!$C:$AF,M$1+4,FALSE)</f>
        <v>0</v>
      </c>
      <c r="N248" s="38">
        <f>VLOOKUP($B248,DATA!$C:$AF,N$1+4,FALSE)</f>
        <v>0</v>
      </c>
      <c r="O248" s="38">
        <f>VLOOKUP($B248,DATA!$C:$AF,O$1+4,FALSE)</f>
        <v>0</v>
      </c>
      <c r="P248" s="38">
        <f>VLOOKUP($B248,DATA!$C:$AF,P$1+4,FALSE)</f>
        <v>0</v>
      </c>
      <c r="Q248" s="16">
        <f t="shared" si="15"/>
        <v>0</v>
      </c>
      <c r="R248" s="17">
        <v>0</v>
      </c>
      <c r="S248" s="17">
        <f t="shared" si="18"/>
        <v>0</v>
      </c>
    </row>
    <row r="249" spans="1:19" ht="17.5" thickBot="1">
      <c r="A249" s="11" t="s">
        <v>606</v>
      </c>
      <c r="B249" s="23" t="s">
        <v>445</v>
      </c>
      <c r="C249" s="13" t="s">
        <v>446</v>
      </c>
      <c r="D249" s="14" t="s">
        <v>579</v>
      </c>
      <c r="E249" s="38">
        <f>VLOOKUP($B249,DATA!$C:$AF,E$1+4,FALSE)</f>
        <v>0</v>
      </c>
      <c r="F249" s="38">
        <f>VLOOKUP($B249,DATA!$C:$AF,F$1+4,FALSE)</f>
        <v>0</v>
      </c>
      <c r="G249" s="38">
        <f>VLOOKUP($B249,DATA!$C:$AF,G$1+4,FALSE)</f>
        <v>0</v>
      </c>
      <c r="H249" s="38">
        <f>VLOOKUP($B249,DATA!$C:$AF,H$1+4,FALSE)</f>
        <v>0</v>
      </c>
      <c r="I249" s="38">
        <f>VLOOKUP($B249,DATA!$C:$AF,I$1+4,FALSE)</f>
        <v>0</v>
      </c>
      <c r="J249" s="38">
        <f>VLOOKUP($B249,DATA!$C:$AF,J$1+4,FALSE)</f>
        <v>0</v>
      </c>
      <c r="K249" s="38">
        <f>VLOOKUP($B249,DATA!$C:$AF,K$1+4,FALSE)</f>
        <v>0</v>
      </c>
      <c r="L249" s="38">
        <f>VLOOKUP($B249,DATA!$C:$AF,L$1+4,FALSE)</f>
        <v>0</v>
      </c>
      <c r="M249" s="38">
        <f>VLOOKUP($B249,DATA!$C:$AF,M$1+4,FALSE)</f>
        <v>0</v>
      </c>
      <c r="N249" s="38">
        <f>VLOOKUP($B249,DATA!$C:$AF,N$1+4,FALSE)</f>
        <v>0</v>
      </c>
      <c r="O249" s="38">
        <f>VLOOKUP($B249,DATA!$C:$AF,O$1+4,FALSE)</f>
        <v>0</v>
      </c>
      <c r="P249" s="38">
        <f>VLOOKUP($B249,DATA!$C:$AF,P$1+4,FALSE)</f>
        <v>0</v>
      </c>
      <c r="Q249" s="16">
        <f t="shared" si="15"/>
        <v>0</v>
      </c>
      <c r="R249" s="17">
        <v>0</v>
      </c>
      <c r="S249" s="17">
        <f t="shared" si="18"/>
        <v>0</v>
      </c>
    </row>
    <row r="250" spans="1:19" ht="17.5" thickBot="1">
      <c r="A250" s="11" t="s">
        <v>606</v>
      </c>
      <c r="B250" s="22" t="s">
        <v>447</v>
      </c>
      <c r="C250" s="13" t="s">
        <v>448</v>
      </c>
      <c r="D250" s="14" t="s">
        <v>579</v>
      </c>
      <c r="E250" s="38">
        <f>VLOOKUP($B250,DATA!$C:$AF,E$1+4,FALSE)</f>
        <v>0</v>
      </c>
      <c r="F250" s="38">
        <f>VLOOKUP($B250,DATA!$C:$AF,F$1+4,FALSE)</f>
        <v>0</v>
      </c>
      <c r="G250" s="38">
        <f>VLOOKUP($B250,DATA!$C:$AF,G$1+4,FALSE)</f>
        <v>0</v>
      </c>
      <c r="H250" s="38">
        <f>VLOOKUP($B250,DATA!$C:$AF,H$1+4,FALSE)</f>
        <v>0</v>
      </c>
      <c r="I250" s="38">
        <f>VLOOKUP($B250,DATA!$C:$AF,I$1+4,FALSE)</f>
        <v>0</v>
      </c>
      <c r="J250" s="38">
        <f>VLOOKUP($B250,DATA!$C:$AF,J$1+4,FALSE)</f>
        <v>0</v>
      </c>
      <c r="K250" s="38">
        <f>VLOOKUP($B250,DATA!$C:$AF,K$1+4,FALSE)</f>
        <v>0</v>
      </c>
      <c r="L250" s="38">
        <f>VLOOKUP($B250,DATA!$C:$AF,L$1+4,FALSE)</f>
        <v>0</v>
      </c>
      <c r="M250" s="38">
        <f>VLOOKUP($B250,DATA!$C:$AF,M$1+4,FALSE)</f>
        <v>0</v>
      </c>
      <c r="N250" s="38">
        <f>VLOOKUP($B250,DATA!$C:$AF,N$1+4,FALSE)</f>
        <v>0</v>
      </c>
      <c r="O250" s="38">
        <f>VLOOKUP($B250,DATA!$C:$AF,O$1+4,FALSE)</f>
        <v>0</v>
      </c>
      <c r="P250" s="38">
        <f>VLOOKUP($B250,DATA!$C:$AF,P$1+4,FALSE)</f>
        <v>0</v>
      </c>
      <c r="Q250" s="16">
        <f t="shared" si="15"/>
        <v>0</v>
      </c>
      <c r="R250" s="17">
        <v>0</v>
      </c>
      <c r="S250" s="17">
        <f t="shared" si="18"/>
        <v>0</v>
      </c>
    </row>
    <row r="251" spans="1:19" ht="17.5" thickBot="1">
      <c r="A251" s="11" t="s">
        <v>606</v>
      </c>
      <c r="B251" s="13" t="s">
        <v>449</v>
      </c>
      <c r="C251" s="13" t="s">
        <v>450</v>
      </c>
      <c r="D251" s="14" t="s">
        <v>579</v>
      </c>
      <c r="E251" s="38">
        <f>VLOOKUP($B251,DATA!$C:$AF,E$1+4,FALSE)</f>
        <v>0</v>
      </c>
      <c r="F251" s="38">
        <f>VLOOKUP($B251,DATA!$C:$AF,F$1+4,FALSE)</f>
        <v>0</v>
      </c>
      <c r="G251" s="38">
        <f>VLOOKUP($B251,DATA!$C:$AF,G$1+4,FALSE)</f>
        <v>0</v>
      </c>
      <c r="H251" s="38">
        <f>VLOOKUP($B251,DATA!$C:$AF,H$1+4,FALSE)</f>
        <v>0</v>
      </c>
      <c r="I251" s="38">
        <f>VLOOKUP($B251,DATA!$C:$AF,I$1+4,FALSE)</f>
        <v>0</v>
      </c>
      <c r="J251" s="38">
        <f>VLOOKUP($B251,DATA!$C:$AF,J$1+4,FALSE)</f>
        <v>0</v>
      </c>
      <c r="K251" s="38">
        <f>VLOOKUP($B251,DATA!$C:$AF,K$1+4,FALSE)</f>
        <v>0</v>
      </c>
      <c r="L251" s="38">
        <f>VLOOKUP($B251,DATA!$C:$AF,L$1+4,FALSE)</f>
        <v>0</v>
      </c>
      <c r="M251" s="38">
        <f>VLOOKUP($B251,DATA!$C:$AF,M$1+4,FALSE)</f>
        <v>0</v>
      </c>
      <c r="N251" s="38">
        <f>VLOOKUP($B251,DATA!$C:$AF,N$1+4,FALSE)</f>
        <v>0</v>
      </c>
      <c r="O251" s="38">
        <f>VLOOKUP($B251,DATA!$C:$AF,O$1+4,FALSE)</f>
        <v>0</v>
      </c>
      <c r="P251" s="38">
        <f>VLOOKUP($B251,DATA!$C:$AF,P$1+4,FALSE)</f>
        <v>0</v>
      </c>
      <c r="Q251" s="16">
        <f t="shared" si="15"/>
        <v>0</v>
      </c>
      <c r="R251" s="17">
        <v>0</v>
      </c>
      <c r="S251" s="17">
        <f t="shared" si="18"/>
        <v>0</v>
      </c>
    </row>
    <row r="252" spans="1:19" ht="17.5" thickBot="1">
      <c r="A252" s="11" t="s">
        <v>606</v>
      </c>
      <c r="B252" s="13" t="s">
        <v>451</v>
      </c>
      <c r="C252" s="13" t="s">
        <v>452</v>
      </c>
      <c r="D252" s="14" t="s">
        <v>579</v>
      </c>
      <c r="E252" s="38">
        <f>VLOOKUP($B252,DATA!$C:$AF,E$1+4,FALSE)</f>
        <v>0</v>
      </c>
      <c r="F252" s="38">
        <f>VLOOKUP($B252,DATA!$C:$AF,F$1+4,FALSE)</f>
        <v>0</v>
      </c>
      <c r="G252" s="38">
        <f>VLOOKUP($B252,DATA!$C:$AF,G$1+4,FALSE)</f>
        <v>0</v>
      </c>
      <c r="H252" s="38">
        <f>VLOOKUP($B252,DATA!$C:$AF,H$1+4,FALSE)</f>
        <v>0</v>
      </c>
      <c r="I252" s="38">
        <f>VLOOKUP($B252,DATA!$C:$AF,I$1+4,FALSE)</f>
        <v>0</v>
      </c>
      <c r="J252" s="38">
        <f>VLOOKUP($B252,DATA!$C:$AF,J$1+4,FALSE)</f>
        <v>0</v>
      </c>
      <c r="K252" s="38">
        <f>VLOOKUP($B252,DATA!$C:$AF,K$1+4,FALSE)</f>
        <v>0</v>
      </c>
      <c r="L252" s="38">
        <f>VLOOKUP($B252,DATA!$C:$AF,L$1+4,FALSE)</f>
        <v>0</v>
      </c>
      <c r="M252" s="38">
        <f>VLOOKUP($B252,DATA!$C:$AF,M$1+4,FALSE)</f>
        <v>0</v>
      </c>
      <c r="N252" s="38">
        <f>VLOOKUP($B252,DATA!$C:$AF,N$1+4,FALSE)</f>
        <v>0</v>
      </c>
      <c r="O252" s="38">
        <f>VLOOKUP($B252,DATA!$C:$AF,O$1+4,FALSE)</f>
        <v>0</v>
      </c>
      <c r="P252" s="38">
        <f>VLOOKUP($B252,DATA!$C:$AF,P$1+4,FALSE)</f>
        <v>0</v>
      </c>
      <c r="Q252" s="16">
        <f t="shared" si="15"/>
        <v>0</v>
      </c>
      <c r="R252" s="17">
        <v>0</v>
      </c>
      <c r="S252" s="17">
        <f t="shared" si="18"/>
        <v>0</v>
      </c>
    </row>
    <row r="253" spans="1:19" ht="17.5" thickBot="1">
      <c r="A253" s="11" t="s">
        <v>606</v>
      </c>
      <c r="B253" s="21" t="s">
        <v>453</v>
      </c>
      <c r="C253" s="13" t="s">
        <v>454</v>
      </c>
      <c r="D253" s="14" t="s">
        <v>579</v>
      </c>
      <c r="E253" s="38">
        <f>VLOOKUP($B253,DATA!$C:$AF,E$1+4,FALSE)</f>
        <v>0</v>
      </c>
      <c r="F253" s="38">
        <f>VLOOKUP($B253,DATA!$C:$AF,F$1+4,FALSE)</f>
        <v>0</v>
      </c>
      <c r="G253" s="38">
        <f>VLOOKUP($B253,DATA!$C:$AF,G$1+4,FALSE)</f>
        <v>0</v>
      </c>
      <c r="H253" s="38">
        <f>VLOOKUP($B253,DATA!$C:$AF,H$1+4,FALSE)</f>
        <v>0</v>
      </c>
      <c r="I253" s="38">
        <f>VLOOKUP($B253,DATA!$C:$AF,I$1+4,FALSE)</f>
        <v>0</v>
      </c>
      <c r="J253" s="38">
        <f>VLOOKUP($B253,DATA!$C:$AF,J$1+4,FALSE)</f>
        <v>0</v>
      </c>
      <c r="K253" s="38">
        <f>VLOOKUP($B253,DATA!$C:$AF,K$1+4,FALSE)</f>
        <v>0</v>
      </c>
      <c r="L253" s="38">
        <f>VLOOKUP($B253,DATA!$C:$AF,L$1+4,FALSE)</f>
        <v>0</v>
      </c>
      <c r="M253" s="38">
        <f>VLOOKUP($B253,DATA!$C:$AF,M$1+4,FALSE)</f>
        <v>0</v>
      </c>
      <c r="N253" s="38">
        <f>VLOOKUP($B253,DATA!$C:$AF,N$1+4,FALSE)</f>
        <v>0</v>
      </c>
      <c r="O253" s="38">
        <f>VLOOKUP($B253,DATA!$C:$AF,O$1+4,FALSE)</f>
        <v>0</v>
      </c>
      <c r="P253" s="38">
        <f>VLOOKUP($B253,DATA!$C:$AF,P$1+4,FALSE)</f>
        <v>0</v>
      </c>
      <c r="Q253" s="16">
        <f t="shared" si="15"/>
        <v>0</v>
      </c>
      <c r="R253" s="17">
        <v>0</v>
      </c>
      <c r="S253" s="17">
        <f t="shared" si="18"/>
        <v>0</v>
      </c>
    </row>
    <row r="254" spans="1:19" ht="17.5" thickBot="1">
      <c r="A254" s="11" t="s">
        <v>606</v>
      </c>
      <c r="B254" s="21" t="s">
        <v>455</v>
      </c>
      <c r="C254" s="13" t="s">
        <v>456</v>
      </c>
      <c r="D254" s="14" t="s">
        <v>579</v>
      </c>
      <c r="E254" s="38">
        <f>VLOOKUP($B254,DATA!$C:$AF,E$1+4,FALSE)</f>
        <v>0</v>
      </c>
      <c r="F254" s="38">
        <f>VLOOKUP($B254,DATA!$C:$AF,F$1+4,FALSE)</f>
        <v>0</v>
      </c>
      <c r="G254" s="38">
        <f>VLOOKUP($B254,DATA!$C:$AF,G$1+4,FALSE)</f>
        <v>0</v>
      </c>
      <c r="H254" s="38">
        <f>VLOOKUP($B254,DATA!$C:$AF,H$1+4,FALSE)</f>
        <v>0</v>
      </c>
      <c r="I254" s="38">
        <f>VLOOKUP($B254,DATA!$C:$AF,I$1+4,FALSE)</f>
        <v>0</v>
      </c>
      <c r="J254" s="38">
        <f>VLOOKUP($B254,DATA!$C:$AF,J$1+4,FALSE)</f>
        <v>0</v>
      </c>
      <c r="K254" s="38">
        <f>VLOOKUP($B254,DATA!$C:$AF,K$1+4,FALSE)</f>
        <v>0</v>
      </c>
      <c r="L254" s="38">
        <f>VLOOKUP($B254,DATA!$C:$AF,L$1+4,FALSE)</f>
        <v>0</v>
      </c>
      <c r="M254" s="38">
        <f>VLOOKUP($B254,DATA!$C:$AF,M$1+4,FALSE)</f>
        <v>0</v>
      </c>
      <c r="N254" s="38">
        <f>VLOOKUP($B254,DATA!$C:$AF,N$1+4,FALSE)</f>
        <v>0</v>
      </c>
      <c r="O254" s="38">
        <f>VLOOKUP($B254,DATA!$C:$AF,O$1+4,FALSE)</f>
        <v>0</v>
      </c>
      <c r="P254" s="38">
        <f>VLOOKUP($B254,DATA!$C:$AF,P$1+4,FALSE)</f>
        <v>0</v>
      </c>
      <c r="Q254" s="16">
        <f t="shared" si="15"/>
        <v>0</v>
      </c>
      <c r="R254" s="17">
        <v>0</v>
      </c>
      <c r="S254" s="17">
        <f t="shared" si="18"/>
        <v>0</v>
      </c>
    </row>
    <row r="255" spans="1:19" ht="17.5" thickBot="1">
      <c r="A255" s="11" t="s">
        <v>606</v>
      </c>
      <c r="B255" s="21" t="s">
        <v>457</v>
      </c>
      <c r="C255" s="13" t="s">
        <v>458</v>
      </c>
      <c r="D255" s="14" t="s">
        <v>579</v>
      </c>
      <c r="E255" s="38">
        <f>VLOOKUP($B255,DATA!$C:$AF,E$1+4,FALSE)</f>
        <v>0</v>
      </c>
      <c r="F255" s="38">
        <f>VLOOKUP($B255,DATA!$C:$AF,F$1+4,FALSE)</f>
        <v>0</v>
      </c>
      <c r="G255" s="38">
        <f>VLOOKUP($B255,DATA!$C:$AF,G$1+4,FALSE)</f>
        <v>0</v>
      </c>
      <c r="H255" s="38">
        <f>VLOOKUP($B255,DATA!$C:$AF,H$1+4,FALSE)</f>
        <v>0</v>
      </c>
      <c r="I255" s="38">
        <f>VLOOKUP($B255,DATA!$C:$AF,I$1+4,FALSE)</f>
        <v>0</v>
      </c>
      <c r="J255" s="38">
        <f>VLOOKUP($B255,DATA!$C:$AF,J$1+4,FALSE)</f>
        <v>0</v>
      </c>
      <c r="K255" s="38">
        <f>VLOOKUP($B255,DATA!$C:$AF,K$1+4,FALSE)</f>
        <v>0</v>
      </c>
      <c r="L255" s="38">
        <f>VLOOKUP($B255,DATA!$C:$AF,L$1+4,FALSE)</f>
        <v>0</v>
      </c>
      <c r="M255" s="38">
        <f>VLOOKUP($B255,DATA!$C:$AF,M$1+4,FALSE)</f>
        <v>0</v>
      </c>
      <c r="N255" s="38">
        <f>VLOOKUP($B255,DATA!$C:$AF,N$1+4,FALSE)</f>
        <v>0</v>
      </c>
      <c r="O255" s="38">
        <f>VLOOKUP($B255,DATA!$C:$AF,O$1+4,FALSE)</f>
        <v>0</v>
      </c>
      <c r="P255" s="38">
        <f>VLOOKUP($B255,DATA!$C:$AF,P$1+4,FALSE)</f>
        <v>0</v>
      </c>
      <c r="Q255" s="16">
        <f t="shared" si="15"/>
        <v>0</v>
      </c>
      <c r="R255" s="17">
        <v>0</v>
      </c>
      <c r="S255" s="17">
        <f t="shared" si="18"/>
        <v>0</v>
      </c>
    </row>
    <row r="256" spans="1:19" ht="17.5" thickBot="1">
      <c r="A256" s="11" t="s">
        <v>606</v>
      </c>
      <c r="B256" s="21" t="s">
        <v>459</v>
      </c>
      <c r="C256" s="13" t="s">
        <v>460</v>
      </c>
      <c r="D256" s="14" t="s">
        <v>579</v>
      </c>
      <c r="E256" s="38">
        <f>VLOOKUP($B256,DATA!$C:$AF,E$1+4,FALSE)</f>
        <v>0</v>
      </c>
      <c r="F256" s="38">
        <f>VLOOKUP($B256,DATA!$C:$AF,F$1+4,FALSE)</f>
        <v>0</v>
      </c>
      <c r="G256" s="38">
        <f>VLOOKUP($B256,DATA!$C:$AF,G$1+4,FALSE)</f>
        <v>0</v>
      </c>
      <c r="H256" s="38">
        <f>VLOOKUP($B256,DATA!$C:$AF,H$1+4,FALSE)</f>
        <v>0</v>
      </c>
      <c r="I256" s="38">
        <f>VLOOKUP($B256,DATA!$C:$AF,I$1+4,FALSE)</f>
        <v>0</v>
      </c>
      <c r="J256" s="38">
        <f>VLOOKUP($B256,DATA!$C:$AF,J$1+4,FALSE)</f>
        <v>0</v>
      </c>
      <c r="K256" s="38">
        <f>VLOOKUP($B256,DATA!$C:$AF,K$1+4,FALSE)</f>
        <v>0</v>
      </c>
      <c r="L256" s="38">
        <f>VLOOKUP($B256,DATA!$C:$AF,L$1+4,FALSE)</f>
        <v>0</v>
      </c>
      <c r="M256" s="38">
        <f>VLOOKUP($B256,DATA!$C:$AF,M$1+4,FALSE)</f>
        <v>0</v>
      </c>
      <c r="N256" s="38">
        <f>VLOOKUP($B256,DATA!$C:$AF,N$1+4,FALSE)</f>
        <v>0</v>
      </c>
      <c r="O256" s="38">
        <f>VLOOKUP($B256,DATA!$C:$AF,O$1+4,FALSE)</f>
        <v>0</v>
      </c>
      <c r="P256" s="38">
        <f>VLOOKUP($B256,DATA!$C:$AF,P$1+4,FALSE)</f>
        <v>0</v>
      </c>
      <c r="Q256" s="16">
        <f t="shared" si="15"/>
        <v>0</v>
      </c>
      <c r="R256" s="17">
        <v>0</v>
      </c>
      <c r="S256" s="17">
        <f t="shared" si="18"/>
        <v>0</v>
      </c>
    </row>
    <row r="257" spans="1:19" ht="17.5" thickBot="1">
      <c r="A257" s="11" t="s">
        <v>606</v>
      </c>
      <c r="B257" s="21" t="s">
        <v>461</v>
      </c>
      <c r="C257" s="22" t="s">
        <v>462</v>
      </c>
      <c r="D257" s="14" t="s">
        <v>579</v>
      </c>
      <c r="E257" s="38">
        <f>VLOOKUP($B257,DATA!$C:$AF,E$1+4,FALSE)</f>
        <v>0</v>
      </c>
      <c r="F257" s="38">
        <f>VLOOKUP($B257,DATA!$C:$AF,F$1+4,FALSE)</f>
        <v>0</v>
      </c>
      <c r="G257" s="38">
        <f>VLOOKUP($B257,DATA!$C:$AF,G$1+4,FALSE)</f>
        <v>0</v>
      </c>
      <c r="H257" s="38">
        <f>VLOOKUP($B257,DATA!$C:$AF,H$1+4,FALSE)</f>
        <v>0</v>
      </c>
      <c r="I257" s="38">
        <f>VLOOKUP($B257,DATA!$C:$AF,I$1+4,FALSE)</f>
        <v>0</v>
      </c>
      <c r="J257" s="38">
        <f>VLOOKUP($B257,DATA!$C:$AF,J$1+4,FALSE)</f>
        <v>0</v>
      </c>
      <c r="K257" s="38">
        <f>VLOOKUP($B257,DATA!$C:$AF,K$1+4,FALSE)</f>
        <v>0</v>
      </c>
      <c r="L257" s="38">
        <f>VLOOKUP($B257,DATA!$C:$AF,L$1+4,FALSE)</f>
        <v>0</v>
      </c>
      <c r="M257" s="38">
        <f>VLOOKUP($B257,DATA!$C:$AF,M$1+4,FALSE)</f>
        <v>0</v>
      </c>
      <c r="N257" s="38">
        <f>VLOOKUP($B257,DATA!$C:$AF,N$1+4,FALSE)</f>
        <v>0</v>
      </c>
      <c r="O257" s="38">
        <f>VLOOKUP($B257,DATA!$C:$AF,O$1+4,FALSE)</f>
        <v>0</v>
      </c>
      <c r="P257" s="38">
        <f>VLOOKUP($B257,DATA!$C:$AF,P$1+4,FALSE)</f>
        <v>0</v>
      </c>
      <c r="Q257" s="16">
        <f t="shared" si="15"/>
        <v>0</v>
      </c>
      <c r="R257" s="17">
        <v>0</v>
      </c>
      <c r="S257" s="17">
        <f t="shared" si="18"/>
        <v>0</v>
      </c>
    </row>
    <row r="258" spans="1:19" ht="17.5" thickBot="1">
      <c r="A258" s="11" t="s">
        <v>606</v>
      </c>
      <c r="B258" s="19" t="s">
        <v>463</v>
      </c>
      <c r="C258" s="28" t="s">
        <v>464</v>
      </c>
      <c r="D258" s="14" t="s">
        <v>579</v>
      </c>
      <c r="E258" s="38">
        <f>VLOOKUP($B258,DATA!$C:$AF,E$1+4,FALSE)</f>
        <v>0</v>
      </c>
      <c r="F258" s="38">
        <f>VLOOKUP($B258,DATA!$C:$AF,F$1+4,FALSE)</f>
        <v>0</v>
      </c>
      <c r="G258" s="38">
        <f>VLOOKUP($B258,DATA!$C:$AF,G$1+4,FALSE)</f>
        <v>0</v>
      </c>
      <c r="H258" s="38">
        <f>VLOOKUP($B258,DATA!$C:$AF,H$1+4,FALSE)</f>
        <v>0</v>
      </c>
      <c r="I258" s="38">
        <f>VLOOKUP($B258,DATA!$C:$AF,I$1+4,FALSE)</f>
        <v>0</v>
      </c>
      <c r="J258" s="38">
        <f>VLOOKUP($B258,DATA!$C:$AF,J$1+4,FALSE)</f>
        <v>0</v>
      </c>
      <c r="K258" s="38">
        <f>VLOOKUP($B258,DATA!$C:$AF,K$1+4,FALSE)</f>
        <v>0</v>
      </c>
      <c r="L258" s="38">
        <f>VLOOKUP($B258,DATA!$C:$AF,L$1+4,FALSE)</f>
        <v>0</v>
      </c>
      <c r="M258" s="38">
        <f>VLOOKUP($B258,DATA!$C:$AF,M$1+4,FALSE)</f>
        <v>0</v>
      </c>
      <c r="N258" s="38">
        <f>VLOOKUP($B258,DATA!$C:$AF,N$1+4,FALSE)</f>
        <v>0</v>
      </c>
      <c r="O258" s="38">
        <f>VLOOKUP($B258,DATA!$C:$AF,O$1+4,FALSE)</f>
        <v>0</v>
      </c>
      <c r="P258" s="38">
        <f>VLOOKUP($B258,DATA!$C:$AF,P$1+4,FALSE)</f>
        <v>0</v>
      </c>
      <c r="Q258" s="16">
        <f t="shared" si="15"/>
        <v>0</v>
      </c>
      <c r="R258" s="17">
        <v>0</v>
      </c>
      <c r="S258" s="17">
        <f t="shared" si="18"/>
        <v>0</v>
      </c>
    </row>
    <row r="259" spans="1:19" ht="17.5" thickBot="1">
      <c r="A259" s="11" t="s">
        <v>606</v>
      </c>
      <c r="B259" s="19" t="s">
        <v>465</v>
      </c>
      <c r="C259" s="13" t="s">
        <v>466</v>
      </c>
      <c r="D259" s="14" t="s">
        <v>579</v>
      </c>
      <c r="E259" s="38">
        <f>VLOOKUP($B259,DATA!$C:$AF,E$1+4,FALSE)</f>
        <v>0</v>
      </c>
      <c r="F259" s="38">
        <f>VLOOKUP($B259,DATA!$C:$AF,F$1+4,FALSE)</f>
        <v>0</v>
      </c>
      <c r="G259" s="38">
        <f>VLOOKUP($B259,DATA!$C:$AF,G$1+4,FALSE)</f>
        <v>0</v>
      </c>
      <c r="H259" s="38">
        <f>VLOOKUP($B259,DATA!$C:$AF,H$1+4,FALSE)</f>
        <v>0</v>
      </c>
      <c r="I259" s="38">
        <f>VLOOKUP($B259,DATA!$C:$AF,I$1+4,FALSE)</f>
        <v>0</v>
      </c>
      <c r="J259" s="38">
        <f>VLOOKUP($B259,DATA!$C:$AF,J$1+4,FALSE)</f>
        <v>0</v>
      </c>
      <c r="K259" s="38">
        <f>VLOOKUP($B259,DATA!$C:$AF,K$1+4,FALSE)</f>
        <v>0</v>
      </c>
      <c r="L259" s="38">
        <f>VLOOKUP($B259,DATA!$C:$AF,L$1+4,FALSE)</f>
        <v>0</v>
      </c>
      <c r="M259" s="38">
        <f>VLOOKUP($B259,DATA!$C:$AF,M$1+4,FALSE)</f>
        <v>0</v>
      </c>
      <c r="N259" s="38">
        <f>VLOOKUP($B259,DATA!$C:$AF,N$1+4,FALSE)</f>
        <v>0</v>
      </c>
      <c r="O259" s="38">
        <f>VLOOKUP($B259,DATA!$C:$AF,O$1+4,FALSE)</f>
        <v>0</v>
      </c>
      <c r="P259" s="38">
        <f>VLOOKUP($B259,DATA!$C:$AF,P$1+4,FALSE)</f>
        <v>0</v>
      </c>
      <c r="Q259" s="16">
        <f t="shared" si="15"/>
        <v>0</v>
      </c>
      <c r="R259" s="17">
        <v>0</v>
      </c>
      <c r="S259" s="17">
        <f t="shared" si="18"/>
        <v>0</v>
      </c>
    </row>
    <row r="260" spans="1:19" ht="17.5" thickBot="1">
      <c r="A260" s="11" t="s">
        <v>606</v>
      </c>
      <c r="B260" s="19" t="s">
        <v>467</v>
      </c>
      <c r="C260" s="13" t="s">
        <v>468</v>
      </c>
      <c r="D260" s="14" t="s">
        <v>579</v>
      </c>
      <c r="E260" s="38">
        <f>VLOOKUP($B260,DATA!$C:$AF,E$1+4,FALSE)</f>
        <v>0</v>
      </c>
      <c r="F260" s="38">
        <f>VLOOKUP($B260,DATA!$C:$AF,F$1+4,FALSE)</f>
        <v>0</v>
      </c>
      <c r="G260" s="38">
        <f>VLOOKUP($B260,DATA!$C:$AF,G$1+4,FALSE)</f>
        <v>0</v>
      </c>
      <c r="H260" s="38">
        <f>VLOOKUP($B260,DATA!$C:$AF,H$1+4,FALSE)</f>
        <v>0</v>
      </c>
      <c r="I260" s="38">
        <f>VLOOKUP($B260,DATA!$C:$AF,I$1+4,FALSE)</f>
        <v>0</v>
      </c>
      <c r="J260" s="38">
        <f>VLOOKUP($B260,DATA!$C:$AF,J$1+4,FALSE)</f>
        <v>0</v>
      </c>
      <c r="K260" s="38">
        <f>VLOOKUP($B260,DATA!$C:$AF,K$1+4,FALSE)</f>
        <v>0</v>
      </c>
      <c r="L260" s="38">
        <f>VLOOKUP($B260,DATA!$C:$AF,L$1+4,FALSE)</f>
        <v>0</v>
      </c>
      <c r="M260" s="38">
        <f>VLOOKUP($B260,DATA!$C:$AF,M$1+4,FALSE)</f>
        <v>0</v>
      </c>
      <c r="N260" s="38">
        <f>VLOOKUP($B260,DATA!$C:$AF,N$1+4,FALSE)</f>
        <v>0</v>
      </c>
      <c r="O260" s="38">
        <f>VLOOKUP($B260,DATA!$C:$AF,O$1+4,FALSE)</f>
        <v>0</v>
      </c>
      <c r="P260" s="38">
        <f>VLOOKUP($B260,DATA!$C:$AF,P$1+4,FALSE)</f>
        <v>0</v>
      </c>
      <c r="Q260" s="16">
        <f t="shared" si="15"/>
        <v>0</v>
      </c>
      <c r="R260" s="17">
        <v>0</v>
      </c>
      <c r="S260" s="17">
        <f t="shared" si="18"/>
        <v>0</v>
      </c>
    </row>
    <row r="261" spans="1:19" ht="17.5" thickBot="1">
      <c r="A261" s="11" t="s">
        <v>606</v>
      </c>
      <c r="B261" s="19" t="s">
        <v>469</v>
      </c>
      <c r="C261" s="13" t="s">
        <v>470</v>
      </c>
      <c r="D261" s="14" t="s">
        <v>579</v>
      </c>
      <c r="E261" s="38">
        <f>VLOOKUP($B261,DATA!$C:$AF,E$1+4,FALSE)</f>
        <v>0</v>
      </c>
      <c r="F261" s="38">
        <f>VLOOKUP($B261,DATA!$C:$AF,F$1+4,FALSE)</f>
        <v>0</v>
      </c>
      <c r="G261" s="38">
        <f>VLOOKUP($B261,DATA!$C:$AF,G$1+4,FALSE)</f>
        <v>0</v>
      </c>
      <c r="H261" s="38">
        <f>VLOOKUP($B261,DATA!$C:$AF,H$1+4,FALSE)</f>
        <v>0</v>
      </c>
      <c r="I261" s="38">
        <f>VLOOKUP($B261,DATA!$C:$AF,I$1+4,FALSE)</f>
        <v>0</v>
      </c>
      <c r="J261" s="38">
        <f>VLOOKUP($B261,DATA!$C:$AF,J$1+4,FALSE)</f>
        <v>0</v>
      </c>
      <c r="K261" s="38">
        <f>VLOOKUP($B261,DATA!$C:$AF,K$1+4,FALSE)</f>
        <v>0</v>
      </c>
      <c r="L261" s="38">
        <f>VLOOKUP($B261,DATA!$C:$AF,L$1+4,FALSE)</f>
        <v>0</v>
      </c>
      <c r="M261" s="38">
        <f>VLOOKUP($B261,DATA!$C:$AF,M$1+4,FALSE)</f>
        <v>0</v>
      </c>
      <c r="N261" s="38">
        <f>VLOOKUP($B261,DATA!$C:$AF,N$1+4,FALSE)</f>
        <v>0</v>
      </c>
      <c r="O261" s="38">
        <f>VLOOKUP($B261,DATA!$C:$AF,O$1+4,FALSE)</f>
        <v>0</v>
      </c>
      <c r="P261" s="38">
        <f>VLOOKUP($B261,DATA!$C:$AF,P$1+4,FALSE)</f>
        <v>0</v>
      </c>
      <c r="Q261" s="16">
        <f t="shared" si="15"/>
        <v>0</v>
      </c>
      <c r="R261" s="17">
        <v>0</v>
      </c>
      <c r="S261" s="17">
        <f t="shared" si="18"/>
        <v>0</v>
      </c>
    </row>
    <row r="262" spans="1:19" ht="17.5" thickBot="1">
      <c r="A262" s="11" t="s">
        <v>606</v>
      </c>
      <c r="B262" s="21" t="s">
        <v>471</v>
      </c>
      <c r="C262" s="13" t="s">
        <v>472</v>
      </c>
      <c r="D262" s="14" t="s">
        <v>579</v>
      </c>
      <c r="E262" s="38">
        <f>VLOOKUP($B262,DATA!$C:$AF,E$1+4,FALSE)</f>
        <v>0</v>
      </c>
      <c r="F262" s="38">
        <f>VLOOKUP($B262,DATA!$C:$AF,F$1+4,FALSE)</f>
        <v>0</v>
      </c>
      <c r="G262" s="38">
        <f>VLOOKUP($B262,DATA!$C:$AF,G$1+4,FALSE)</f>
        <v>0</v>
      </c>
      <c r="H262" s="38">
        <f>VLOOKUP($B262,DATA!$C:$AF,H$1+4,FALSE)</f>
        <v>0</v>
      </c>
      <c r="I262" s="38">
        <f>VLOOKUP($B262,DATA!$C:$AF,I$1+4,FALSE)</f>
        <v>0</v>
      </c>
      <c r="J262" s="38">
        <f>VLOOKUP($B262,DATA!$C:$AF,J$1+4,FALSE)</f>
        <v>0</v>
      </c>
      <c r="K262" s="38">
        <f>VLOOKUP($B262,DATA!$C:$AF,K$1+4,FALSE)</f>
        <v>0</v>
      </c>
      <c r="L262" s="38">
        <f>VLOOKUP($B262,DATA!$C:$AF,L$1+4,FALSE)</f>
        <v>0</v>
      </c>
      <c r="M262" s="38">
        <f>VLOOKUP($B262,DATA!$C:$AF,M$1+4,FALSE)</f>
        <v>0</v>
      </c>
      <c r="N262" s="38">
        <f>VLOOKUP($B262,DATA!$C:$AF,N$1+4,FALSE)</f>
        <v>0</v>
      </c>
      <c r="O262" s="38">
        <f>VLOOKUP($B262,DATA!$C:$AF,O$1+4,FALSE)</f>
        <v>0</v>
      </c>
      <c r="P262" s="38">
        <f>VLOOKUP($B262,DATA!$C:$AF,P$1+4,FALSE)</f>
        <v>0</v>
      </c>
      <c r="Q262" s="16">
        <f t="shared" si="15"/>
        <v>0</v>
      </c>
      <c r="R262" s="17">
        <v>0</v>
      </c>
      <c r="S262" s="17">
        <f t="shared" si="18"/>
        <v>0</v>
      </c>
    </row>
    <row r="263" spans="1:19" ht="17.5" thickBot="1">
      <c r="A263" s="11" t="s">
        <v>606</v>
      </c>
      <c r="B263" s="13" t="s">
        <v>473</v>
      </c>
      <c r="C263" s="13" t="s">
        <v>474</v>
      </c>
      <c r="D263" s="14" t="s">
        <v>579</v>
      </c>
      <c r="E263" s="38">
        <f>VLOOKUP($B263,DATA!$C:$AF,E$1+4,FALSE)</f>
        <v>0</v>
      </c>
      <c r="F263" s="38">
        <f>VLOOKUP($B263,DATA!$C:$AF,F$1+4,FALSE)</f>
        <v>0</v>
      </c>
      <c r="G263" s="38">
        <f>VLOOKUP($B263,DATA!$C:$AF,G$1+4,FALSE)</f>
        <v>0</v>
      </c>
      <c r="H263" s="38">
        <f>VLOOKUP($B263,DATA!$C:$AF,H$1+4,FALSE)</f>
        <v>0</v>
      </c>
      <c r="I263" s="38">
        <f>VLOOKUP($B263,DATA!$C:$AF,I$1+4,FALSE)</f>
        <v>0</v>
      </c>
      <c r="J263" s="38">
        <f>VLOOKUP($B263,DATA!$C:$AF,J$1+4,FALSE)</f>
        <v>0</v>
      </c>
      <c r="K263" s="38">
        <f>VLOOKUP($B263,DATA!$C:$AF,K$1+4,FALSE)</f>
        <v>0</v>
      </c>
      <c r="L263" s="38">
        <f>VLOOKUP($B263,DATA!$C:$AF,L$1+4,FALSE)</f>
        <v>0</v>
      </c>
      <c r="M263" s="38">
        <f>VLOOKUP($B263,DATA!$C:$AF,M$1+4,FALSE)</f>
        <v>0</v>
      </c>
      <c r="N263" s="38">
        <f>VLOOKUP($B263,DATA!$C:$AF,N$1+4,FALSE)</f>
        <v>0</v>
      </c>
      <c r="O263" s="38">
        <f>VLOOKUP($B263,DATA!$C:$AF,O$1+4,FALSE)</f>
        <v>0</v>
      </c>
      <c r="P263" s="38">
        <f>VLOOKUP($B263,DATA!$C:$AF,P$1+4,FALSE)</f>
        <v>0</v>
      </c>
      <c r="Q263" s="16">
        <f t="shared" si="15"/>
        <v>0</v>
      </c>
      <c r="R263" s="17">
        <v>0</v>
      </c>
      <c r="S263" s="17">
        <f t="shared" si="18"/>
        <v>0</v>
      </c>
    </row>
    <row r="264" spans="1:19" ht="17.5" thickBot="1">
      <c r="A264" s="11" t="s">
        <v>606</v>
      </c>
      <c r="B264" s="21" t="s">
        <v>475</v>
      </c>
      <c r="C264" s="13" t="s">
        <v>476</v>
      </c>
      <c r="D264" s="14" t="s">
        <v>579</v>
      </c>
      <c r="E264" s="38">
        <f>VLOOKUP($B264,DATA!$C:$AF,E$1+4,FALSE)</f>
        <v>0</v>
      </c>
      <c r="F264" s="38">
        <f>VLOOKUP($B264,DATA!$C:$AF,F$1+4,FALSE)</f>
        <v>0</v>
      </c>
      <c r="G264" s="38">
        <f>VLOOKUP($B264,DATA!$C:$AF,G$1+4,FALSE)</f>
        <v>0</v>
      </c>
      <c r="H264" s="38">
        <f>VLOOKUP($B264,DATA!$C:$AF,H$1+4,FALSE)</f>
        <v>0</v>
      </c>
      <c r="I264" s="38">
        <f>VLOOKUP($B264,DATA!$C:$AF,I$1+4,FALSE)</f>
        <v>0</v>
      </c>
      <c r="J264" s="38">
        <f>VLOOKUP($B264,DATA!$C:$AF,J$1+4,FALSE)</f>
        <v>0</v>
      </c>
      <c r="K264" s="38">
        <f>VLOOKUP($B264,DATA!$C:$AF,K$1+4,FALSE)</f>
        <v>0</v>
      </c>
      <c r="L264" s="38">
        <f>VLOOKUP($B264,DATA!$C:$AF,L$1+4,FALSE)</f>
        <v>0</v>
      </c>
      <c r="M264" s="38">
        <f>VLOOKUP($B264,DATA!$C:$AF,M$1+4,FALSE)</f>
        <v>0</v>
      </c>
      <c r="N264" s="38">
        <f>VLOOKUP($B264,DATA!$C:$AF,N$1+4,FALSE)</f>
        <v>0</v>
      </c>
      <c r="O264" s="38">
        <f>VLOOKUP($B264,DATA!$C:$AF,O$1+4,FALSE)</f>
        <v>0</v>
      </c>
      <c r="P264" s="38">
        <f>VLOOKUP($B264,DATA!$C:$AF,P$1+4,FALSE)</f>
        <v>0</v>
      </c>
      <c r="Q264" s="16">
        <f t="shared" si="15"/>
        <v>0</v>
      </c>
      <c r="R264" s="17">
        <v>0</v>
      </c>
      <c r="S264" s="17">
        <f t="shared" si="18"/>
        <v>0</v>
      </c>
    </row>
    <row r="265" spans="1:19" ht="17.5" thickBot="1">
      <c r="A265" s="11" t="s">
        <v>606</v>
      </c>
      <c r="B265" s="21" t="s">
        <v>477</v>
      </c>
      <c r="C265" s="13" t="s">
        <v>478</v>
      </c>
      <c r="D265" s="14" t="s">
        <v>579</v>
      </c>
      <c r="E265" s="38">
        <f>VLOOKUP($B265,DATA!$C:$AF,E$1+4,FALSE)</f>
        <v>0</v>
      </c>
      <c r="F265" s="38">
        <f>VLOOKUP($B265,DATA!$C:$AF,F$1+4,FALSE)</f>
        <v>0</v>
      </c>
      <c r="G265" s="38">
        <f>VLOOKUP($B265,DATA!$C:$AF,G$1+4,FALSE)</f>
        <v>0</v>
      </c>
      <c r="H265" s="38">
        <f>VLOOKUP($B265,DATA!$C:$AF,H$1+4,FALSE)</f>
        <v>0</v>
      </c>
      <c r="I265" s="38">
        <f>VLOOKUP($B265,DATA!$C:$AF,I$1+4,FALSE)</f>
        <v>0</v>
      </c>
      <c r="J265" s="38">
        <f>VLOOKUP($B265,DATA!$C:$AF,J$1+4,FALSE)</f>
        <v>0</v>
      </c>
      <c r="K265" s="38">
        <f>VLOOKUP($B265,DATA!$C:$AF,K$1+4,FALSE)</f>
        <v>0</v>
      </c>
      <c r="L265" s="38">
        <f>VLOOKUP($B265,DATA!$C:$AF,L$1+4,FALSE)</f>
        <v>0</v>
      </c>
      <c r="M265" s="38">
        <f>VLOOKUP($B265,DATA!$C:$AF,M$1+4,FALSE)</f>
        <v>0</v>
      </c>
      <c r="N265" s="38">
        <f>VLOOKUP($B265,DATA!$C:$AF,N$1+4,FALSE)</f>
        <v>0</v>
      </c>
      <c r="O265" s="38">
        <f>VLOOKUP($B265,DATA!$C:$AF,O$1+4,FALSE)</f>
        <v>0</v>
      </c>
      <c r="P265" s="38">
        <f>VLOOKUP($B265,DATA!$C:$AF,P$1+4,FALSE)</f>
        <v>0</v>
      </c>
      <c r="Q265" s="16">
        <f t="shared" si="15"/>
        <v>0</v>
      </c>
      <c r="R265" s="17">
        <v>0</v>
      </c>
      <c r="S265" s="17">
        <f t="shared" si="18"/>
        <v>0</v>
      </c>
    </row>
    <row r="266" spans="1:19" ht="17.5" thickBot="1">
      <c r="A266" s="11" t="s">
        <v>606</v>
      </c>
      <c r="B266" s="21" t="s">
        <v>479</v>
      </c>
      <c r="C266" s="13" t="s">
        <v>480</v>
      </c>
      <c r="D266" s="14" t="s">
        <v>579</v>
      </c>
      <c r="E266" s="38">
        <f>VLOOKUP($B266,DATA!$C:$AF,E$1+4,FALSE)</f>
        <v>0</v>
      </c>
      <c r="F266" s="38">
        <f>VLOOKUP($B266,DATA!$C:$AF,F$1+4,FALSE)</f>
        <v>0</v>
      </c>
      <c r="G266" s="38">
        <f>VLOOKUP($B266,DATA!$C:$AF,G$1+4,FALSE)</f>
        <v>0</v>
      </c>
      <c r="H266" s="38">
        <f>VLOOKUP($B266,DATA!$C:$AF,H$1+4,FALSE)</f>
        <v>0</v>
      </c>
      <c r="I266" s="38">
        <f>VLOOKUP($B266,DATA!$C:$AF,I$1+4,FALSE)</f>
        <v>0</v>
      </c>
      <c r="J266" s="38">
        <f>VLOOKUP($B266,DATA!$C:$AF,J$1+4,FALSE)</f>
        <v>0</v>
      </c>
      <c r="K266" s="38">
        <f>VLOOKUP($B266,DATA!$C:$AF,K$1+4,FALSE)</f>
        <v>0</v>
      </c>
      <c r="L266" s="38">
        <f>VLOOKUP($B266,DATA!$C:$AF,L$1+4,FALSE)</f>
        <v>0</v>
      </c>
      <c r="M266" s="38">
        <f>VLOOKUP($B266,DATA!$C:$AF,M$1+4,FALSE)</f>
        <v>0</v>
      </c>
      <c r="N266" s="38">
        <f>VLOOKUP($B266,DATA!$C:$AF,N$1+4,FALSE)</f>
        <v>0</v>
      </c>
      <c r="O266" s="38">
        <f>VLOOKUP($B266,DATA!$C:$AF,O$1+4,FALSE)</f>
        <v>0</v>
      </c>
      <c r="P266" s="38">
        <f>VLOOKUP($B266,DATA!$C:$AF,P$1+4,FALSE)</f>
        <v>0</v>
      </c>
      <c r="Q266" s="16">
        <f t="shared" si="15"/>
        <v>0</v>
      </c>
      <c r="R266" s="17">
        <v>0</v>
      </c>
      <c r="S266" s="17">
        <f t="shared" si="18"/>
        <v>0</v>
      </c>
    </row>
    <row r="267" spans="1:19" ht="17.5" thickBot="1">
      <c r="A267" s="11" t="s">
        <v>606</v>
      </c>
      <c r="B267" s="33" t="s">
        <v>481</v>
      </c>
      <c r="C267" s="13" t="s">
        <v>482</v>
      </c>
      <c r="D267" s="14" t="s">
        <v>579</v>
      </c>
      <c r="E267" s="38">
        <f>VLOOKUP($B267,DATA!$C:$AF,E$1+4,FALSE)</f>
        <v>0</v>
      </c>
      <c r="F267" s="38">
        <f>VLOOKUP($B267,DATA!$C:$AF,F$1+4,FALSE)</f>
        <v>0</v>
      </c>
      <c r="G267" s="38">
        <f>VLOOKUP($B267,DATA!$C:$AF,G$1+4,FALSE)</f>
        <v>0</v>
      </c>
      <c r="H267" s="38">
        <f>VLOOKUP($B267,DATA!$C:$AF,H$1+4,FALSE)</f>
        <v>0</v>
      </c>
      <c r="I267" s="38">
        <f>VLOOKUP($B267,DATA!$C:$AF,I$1+4,FALSE)</f>
        <v>0</v>
      </c>
      <c r="J267" s="38">
        <f>VLOOKUP($B267,DATA!$C:$AF,J$1+4,FALSE)</f>
        <v>0</v>
      </c>
      <c r="K267" s="38">
        <f>VLOOKUP($B267,DATA!$C:$AF,K$1+4,FALSE)</f>
        <v>0</v>
      </c>
      <c r="L267" s="38">
        <f>VLOOKUP($B267,DATA!$C:$AF,L$1+4,FALSE)</f>
        <v>0</v>
      </c>
      <c r="M267" s="38">
        <f>VLOOKUP($B267,DATA!$C:$AF,M$1+4,FALSE)</f>
        <v>0</v>
      </c>
      <c r="N267" s="38">
        <f>VLOOKUP($B267,DATA!$C:$AF,N$1+4,FALSE)</f>
        <v>0</v>
      </c>
      <c r="O267" s="38">
        <f>VLOOKUP($B267,DATA!$C:$AF,O$1+4,FALSE)</f>
        <v>0</v>
      </c>
      <c r="P267" s="38">
        <f>VLOOKUP($B267,DATA!$C:$AF,P$1+4,FALSE)</f>
        <v>0</v>
      </c>
      <c r="Q267" s="16">
        <f t="shared" si="15"/>
        <v>0</v>
      </c>
      <c r="R267" s="17">
        <v>0</v>
      </c>
      <c r="S267" s="17">
        <f t="shared" si="18"/>
        <v>0</v>
      </c>
    </row>
    <row r="268" spans="1:19" ht="17.5" thickBot="1">
      <c r="A268" s="11" t="s">
        <v>606</v>
      </c>
      <c r="B268" s="21" t="s">
        <v>483</v>
      </c>
      <c r="C268" s="13" t="s">
        <v>484</v>
      </c>
      <c r="D268" s="14" t="s">
        <v>579</v>
      </c>
      <c r="E268" s="38">
        <f>VLOOKUP($B268,DATA!$C:$AF,E$1+4,FALSE)</f>
        <v>0</v>
      </c>
      <c r="F268" s="38">
        <f>VLOOKUP($B268,DATA!$C:$AF,F$1+4,FALSE)</f>
        <v>0</v>
      </c>
      <c r="G268" s="38">
        <f>VLOOKUP($B268,DATA!$C:$AF,G$1+4,FALSE)</f>
        <v>0</v>
      </c>
      <c r="H268" s="38">
        <f>VLOOKUP($B268,DATA!$C:$AF,H$1+4,FALSE)</f>
        <v>0</v>
      </c>
      <c r="I268" s="38">
        <f>VLOOKUP($B268,DATA!$C:$AF,I$1+4,FALSE)</f>
        <v>0</v>
      </c>
      <c r="J268" s="38">
        <f>VLOOKUP($B268,DATA!$C:$AF,J$1+4,FALSE)</f>
        <v>0</v>
      </c>
      <c r="K268" s="38">
        <f>VLOOKUP($B268,DATA!$C:$AF,K$1+4,FALSE)</f>
        <v>0</v>
      </c>
      <c r="L268" s="38">
        <f>VLOOKUP($B268,DATA!$C:$AF,L$1+4,FALSE)</f>
        <v>0</v>
      </c>
      <c r="M268" s="38">
        <f>VLOOKUP($B268,DATA!$C:$AF,M$1+4,FALSE)</f>
        <v>0</v>
      </c>
      <c r="N268" s="38">
        <f>VLOOKUP($B268,DATA!$C:$AF,N$1+4,FALSE)</f>
        <v>0</v>
      </c>
      <c r="O268" s="38">
        <f>VLOOKUP($B268,DATA!$C:$AF,O$1+4,FALSE)</f>
        <v>0</v>
      </c>
      <c r="P268" s="38">
        <f>VLOOKUP($B268,DATA!$C:$AF,P$1+4,FALSE)</f>
        <v>0</v>
      </c>
      <c r="Q268" s="16">
        <f t="shared" si="15"/>
        <v>0</v>
      </c>
      <c r="R268" s="17">
        <v>0</v>
      </c>
      <c r="S268" s="17">
        <f t="shared" si="18"/>
        <v>0</v>
      </c>
    </row>
    <row r="269" spans="1:19" ht="17.5" thickBot="1">
      <c r="A269" s="11" t="s">
        <v>606</v>
      </c>
      <c r="B269" s="21" t="s">
        <v>485</v>
      </c>
      <c r="C269" s="13" t="s">
        <v>486</v>
      </c>
      <c r="D269" s="14" t="s">
        <v>579</v>
      </c>
      <c r="E269" s="38">
        <f>VLOOKUP($B269,DATA!$C:$AF,E$1+4,FALSE)</f>
        <v>0</v>
      </c>
      <c r="F269" s="38">
        <f>VLOOKUP($B269,DATA!$C:$AF,F$1+4,FALSE)</f>
        <v>0</v>
      </c>
      <c r="G269" s="38">
        <f>VLOOKUP($B269,DATA!$C:$AF,G$1+4,FALSE)</f>
        <v>0</v>
      </c>
      <c r="H269" s="38">
        <f>VLOOKUP($B269,DATA!$C:$AF,H$1+4,FALSE)</f>
        <v>0</v>
      </c>
      <c r="I269" s="38">
        <f>VLOOKUP($B269,DATA!$C:$AF,I$1+4,FALSE)</f>
        <v>0</v>
      </c>
      <c r="J269" s="38">
        <f>VLOOKUP($B269,DATA!$C:$AF,J$1+4,FALSE)</f>
        <v>0</v>
      </c>
      <c r="K269" s="38">
        <f>VLOOKUP($B269,DATA!$C:$AF,K$1+4,FALSE)</f>
        <v>0</v>
      </c>
      <c r="L269" s="38">
        <f>VLOOKUP($B269,DATA!$C:$AF,L$1+4,FALSE)</f>
        <v>0</v>
      </c>
      <c r="M269" s="38">
        <f>VLOOKUP($B269,DATA!$C:$AF,M$1+4,FALSE)</f>
        <v>0</v>
      </c>
      <c r="N269" s="38">
        <f>VLOOKUP($B269,DATA!$C:$AF,N$1+4,FALSE)</f>
        <v>0</v>
      </c>
      <c r="O269" s="38">
        <f>VLOOKUP($B269,DATA!$C:$AF,O$1+4,FALSE)</f>
        <v>0</v>
      </c>
      <c r="P269" s="38">
        <f>VLOOKUP($B269,DATA!$C:$AF,P$1+4,FALSE)</f>
        <v>0</v>
      </c>
      <c r="Q269" s="16">
        <f t="shared" si="15"/>
        <v>0</v>
      </c>
      <c r="R269" s="17">
        <v>0</v>
      </c>
      <c r="S269" s="17">
        <f t="shared" si="18"/>
        <v>0</v>
      </c>
    </row>
    <row r="270" spans="1:19" ht="17.5" thickBot="1">
      <c r="A270" s="11" t="s">
        <v>606</v>
      </c>
      <c r="B270" s="21" t="s">
        <v>487</v>
      </c>
      <c r="C270" s="13" t="s">
        <v>488</v>
      </c>
      <c r="D270" s="14" t="s">
        <v>579</v>
      </c>
      <c r="E270" s="38">
        <f>VLOOKUP($B270,DATA!$C:$AF,E$1+4,FALSE)</f>
        <v>0</v>
      </c>
      <c r="F270" s="38">
        <f>VLOOKUP($B270,DATA!$C:$AF,F$1+4,FALSE)</f>
        <v>0</v>
      </c>
      <c r="G270" s="38">
        <f>VLOOKUP($B270,DATA!$C:$AF,G$1+4,FALSE)</f>
        <v>0</v>
      </c>
      <c r="H270" s="38">
        <f>VLOOKUP($B270,DATA!$C:$AF,H$1+4,FALSE)</f>
        <v>0</v>
      </c>
      <c r="I270" s="38">
        <f>VLOOKUP($B270,DATA!$C:$AF,I$1+4,FALSE)</f>
        <v>0</v>
      </c>
      <c r="J270" s="38">
        <f>VLOOKUP($B270,DATA!$C:$AF,J$1+4,FALSE)</f>
        <v>0</v>
      </c>
      <c r="K270" s="38">
        <f>VLOOKUP($B270,DATA!$C:$AF,K$1+4,FALSE)</f>
        <v>0</v>
      </c>
      <c r="L270" s="38">
        <f>VLOOKUP($B270,DATA!$C:$AF,L$1+4,FALSE)</f>
        <v>0</v>
      </c>
      <c r="M270" s="38">
        <f>VLOOKUP($B270,DATA!$C:$AF,M$1+4,FALSE)</f>
        <v>0</v>
      </c>
      <c r="N270" s="38">
        <f>VLOOKUP($B270,DATA!$C:$AF,N$1+4,FALSE)</f>
        <v>0</v>
      </c>
      <c r="O270" s="38">
        <f>VLOOKUP($B270,DATA!$C:$AF,O$1+4,FALSE)</f>
        <v>0</v>
      </c>
      <c r="P270" s="38">
        <f>VLOOKUP($B270,DATA!$C:$AF,P$1+4,FALSE)</f>
        <v>0</v>
      </c>
      <c r="Q270" s="16">
        <f t="shared" si="15"/>
        <v>0</v>
      </c>
      <c r="R270" s="17">
        <v>0</v>
      </c>
      <c r="S270" s="17">
        <f t="shared" si="18"/>
        <v>0</v>
      </c>
    </row>
    <row r="271" spans="1:19" ht="17.5" thickBot="1">
      <c r="A271" s="11" t="s">
        <v>606</v>
      </c>
      <c r="B271" s="21" t="s">
        <v>489</v>
      </c>
      <c r="C271" s="13" t="s">
        <v>490</v>
      </c>
      <c r="D271" s="14" t="s">
        <v>579</v>
      </c>
      <c r="E271" s="38">
        <f>VLOOKUP($B271,DATA!$C:$AF,E$1+4,FALSE)</f>
        <v>0</v>
      </c>
      <c r="F271" s="38">
        <f>VLOOKUP($B271,DATA!$C:$AF,F$1+4,FALSE)</f>
        <v>0</v>
      </c>
      <c r="G271" s="38">
        <f>VLOOKUP($B271,DATA!$C:$AF,G$1+4,FALSE)</f>
        <v>0</v>
      </c>
      <c r="H271" s="38">
        <f>VLOOKUP($B271,DATA!$C:$AF,H$1+4,FALSE)</f>
        <v>0</v>
      </c>
      <c r="I271" s="38">
        <f>VLOOKUP($B271,DATA!$C:$AF,I$1+4,FALSE)</f>
        <v>0</v>
      </c>
      <c r="J271" s="38">
        <f>VLOOKUP($B271,DATA!$C:$AF,J$1+4,FALSE)</f>
        <v>0</v>
      </c>
      <c r="K271" s="38">
        <f>VLOOKUP($B271,DATA!$C:$AF,K$1+4,FALSE)</f>
        <v>0</v>
      </c>
      <c r="L271" s="38">
        <f>VLOOKUP($B271,DATA!$C:$AF,L$1+4,FALSE)</f>
        <v>0</v>
      </c>
      <c r="M271" s="38">
        <f>VLOOKUP($B271,DATA!$C:$AF,M$1+4,FALSE)</f>
        <v>0</v>
      </c>
      <c r="N271" s="38">
        <f>VLOOKUP($B271,DATA!$C:$AF,N$1+4,FALSE)</f>
        <v>0</v>
      </c>
      <c r="O271" s="38">
        <f>VLOOKUP($B271,DATA!$C:$AF,O$1+4,FALSE)</f>
        <v>0</v>
      </c>
      <c r="P271" s="38">
        <f>VLOOKUP($B271,DATA!$C:$AF,P$1+4,FALSE)</f>
        <v>0</v>
      </c>
      <c r="Q271" s="16">
        <f t="shared" si="15"/>
        <v>0</v>
      </c>
      <c r="R271" s="17">
        <v>0</v>
      </c>
      <c r="S271" s="17">
        <f t="shared" si="18"/>
        <v>0</v>
      </c>
    </row>
    <row r="272" spans="1:19" ht="17.5" thickBot="1">
      <c r="A272" s="11" t="s">
        <v>606</v>
      </c>
      <c r="B272" s="22" t="s">
        <v>491</v>
      </c>
      <c r="C272" s="13" t="s">
        <v>492</v>
      </c>
      <c r="D272" s="14" t="s">
        <v>579</v>
      </c>
      <c r="E272" s="38" t="str">
        <f>VLOOKUP($B272,DATA!$C:$AF,E$1+4,FALSE)</f>
        <v>P</v>
      </c>
      <c r="F272" s="38" t="str">
        <f>VLOOKUP($B272,DATA!$C:$AF,F$1+4,FALSE)</f>
        <v>P</v>
      </c>
      <c r="G272" s="38" t="str">
        <f>VLOOKUP($B272,DATA!$C:$AF,G$1+4,FALSE)</f>
        <v>P</v>
      </c>
      <c r="H272" s="38" t="str">
        <f>VLOOKUP($B272,DATA!$C:$AF,H$1+4,FALSE)</f>
        <v>P</v>
      </c>
      <c r="I272" s="38" t="str">
        <f>VLOOKUP($B272,DATA!$C:$AF,I$1+4,FALSE)</f>
        <v>P</v>
      </c>
      <c r="J272" s="38" t="str">
        <f>VLOOKUP($B272,DATA!$C:$AF,J$1+4,FALSE)</f>
        <v>P</v>
      </c>
      <c r="K272" s="38" t="str">
        <f>VLOOKUP($B272,DATA!$C:$AF,K$1+4,FALSE)</f>
        <v>P</v>
      </c>
      <c r="L272" s="38" t="str">
        <f>VLOOKUP($B272,DATA!$C:$AF,L$1+4,FALSE)</f>
        <v>P</v>
      </c>
      <c r="M272" s="38" t="str">
        <f>VLOOKUP($B272,DATA!$C:$AF,M$1+4,FALSE)</f>
        <v>P</v>
      </c>
      <c r="N272" s="38" t="str">
        <f>VLOOKUP($B272,DATA!$C:$AF,N$1+4,FALSE)</f>
        <v>P</v>
      </c>
      <c r="O272" s="38" t="str">
        <f>VLOOKUP($B272,DATA!$C:$AF,O$1+4,FALSE)</f>
        <v>P</v>
      </c>
      <c r="P272" s="38" t="str">
        <f>VLOOKUP($B272,DATA!$C:$AF,P$1+4,FALSE)</f>
        <v>P</v>
      </c>
      <c r="Q272" s="16">
        <f t="shared" si="15"/>
        <v>12</v>
      </c>
      <c r="R272" s="17">
        <v>8</v>
      </c>
      <c r="S272" s="17">
        <f t="shared" si="18"/>
        <v>15</v>
      </c>
    </row>
    <row r="273" spans="1:19" ht="17.5" thickBot="1">
      <c r="A273" s="11" t="s">
        <v>606</v>
      </c>
      <c r="B273" s="22" t="s">
        <v>508</v>
      </c>
      <c r="C273" s="13" t="s">
        <v>509</v>
      </c>
      <c r="D273" s="14" t="s">
        <v>580</v>
      </c>
      <c r="E273" s="38">
        <f>VLOOKUP($B273,DATA!$C:$AF,E$1+4,FALSE)</f>
        <v>0</v>
      </c>
      <c r="F273" s="38">
        <f>VLOOKUP($B273,DATA!$C:$AF,F$1+4,FALSE)</f>
        <v>0</v>
      </c>
      <c r="G273" s="38">
        <f>VLOOKUP($B273,DATA!$C:$AF,G$1+4,FALSE)</f>
        <v>0</v>
      </c>
      <c r="H273" s="38">
        <f>VLOOKUP($B273,DATA!$C:$AF,H$1+4,FALSE)</f>
        <v>0</v>
      </c>
      <c r="I273" s="38">
        <f>VLOOKUP($B273,DATA!$C:$AF,I$1+4,FALSE)</f>
        <v>0</v>
      </c>
      <c r="J273" s="38">
        <f>VLOOKUP($B273,DATA!$C:$AF,J$1+4,FALSE)</f>
        <v>0</v>
      </c>
      <c r="K273" s="38">
        <f>VLOOKUP($B273,DATA!$C:$AF,K$1+4,FALSE)</f>
        <v>0</v>
      </c>
      <c r="L273" s="38">
        <f>VLOOKUP($B273,DATA!$C:$AF,L$1+4,FALSE)</f>
        <v>0</v>
      </c>
      <c r="M273" s="38">
        <f>VLOOKUP($B273,DATA!$C:$AF,M$1+4,FALSE)</f>
        <v>0</v>
      </c>
      <c r="N273" s="38">
        <f>VLOOKUP($B273,DATA!$C:$AF,N$1+4,FALSE)</f>
        <v>0</v>
      </c>
      <c r="O273" s="38">
        <f>VLOOKUP($B273,DATA!$C:$AF,O$1+4,FALSE)</f>
        <v>0</v>
      </c>
      <c r="P273" s="38">
        <f>VLOOKUP($B273,DATA!$C:$AF,P$1+4,FALSE)</f>
        <v>0</v>
      </c>
      <c r="Q273" s="16">
        <f t="shared" si="15"/>
        <v>0</v>
      </c>
      <c r="R273" s="17">
        <v>0</v>
      </c>
      <c r="S273" s="17">
        <f t="shared" si="18"/>
        <v>0</v>
      </c>
    </row>
    <row r="274" spans="1:19" ht="17.5" thickBot="1">
      <c r="A274" s="11" t="s">
        <v>606</v>
      </c>
      <c r="B274" s="21" t="s">
        <v>510</v>
      </c>
      <c r="C274" s="13" t="s">
        <v>511</v>
      </c>
      <c r="D274" s="14" t="s">
        <v>580</v>
      </c>
      <c r="E274" s="38">
        <f>VLOOKUP($B274,DATA!$C:$AF,E$1+4,FALSE)</f>
        <v>0</v>
      </c>
      <c r="F274" s="38">
        <f>VLOOKUP($B274,DATA!$C:$AF,F$1+4,FALSE)</f>
        <v>0</v>
      </c>
      <c r="G274" s="38">
        <f>VLOOKUP($B274,DATA!$C:$AF,G$1+4,FALSE)</f>
        <v>0</v>
      </c>
      <c r="H274" s="38">
        <f>VLOOKUP($B274,DATA!$C:$AF,H$1+4,FALSE)</f>
        <v>0</v>
      </c>
      <c r="I274" s="38">
        <f>VLOOKUP($B274,DATA!$C:$AF,I$1+4,FALSE)</f>
        <v>0</v>
      </c>
      <c r="J274" s="38">
        <f>VLOOKUP($B274,DATA!$C:$AF,J$1+4,FALSE)</f>
        <v>0</v>
      </c>
      <c r="K274" s="38">
        <f>VLOOKUP($B274,DATA!$C:$AF,K$1+4,FALSE)</f>
        <v>0</v>
      </c>
      <c r="L274" s="38">
        <f>VLOOKUP($B274,DATA!$C:$AF,L$1+4,FALSE)</f>
        <v>0</v>
      </c>
      <c r="M274" s="38">
        <f>VLOOKUP($B274,DATA!$C:$AF,M$1+4,FALSE)</f>
        <v>0</v>
      </c>
      <c r="N274" s="38">
        <f>VLOOKUP($B274,DATA!$C:$AF,N$1+4,FALSE)</f>
        <v>0</v>
      </c>
      <c r="O274" s="38">
        <f>VLOOKUP($B274,DATA!$C:$AF,O$1+4,FALSE)</f>
        <v>0</v>
      </c>
      <c r="P274" s="38">
        <f>VLOOKUP($B274,DATA!$C:$AF,P$1+4,FALSE)</f>
        <v>0</v>
      </c>
      <c r="Q274" s="16">
        <f t="shared" si="15"/>
        <v>0</v>
      </c>
      <c r="R274" s="17">
        <v>0</v>
      </c>
      <c r="S274" s="17">
        <f t="shared" si="18"/>
        <v>0</v>
      </c>
    </row>
    <row r="275" spans="1:19" ht="17.5" thickBot="1">
      <c r="A275" s="11" t="s">
        <v>606</v>
      </c>
      <c r="B275" s="22" t="s">
        <v>512</v>
      </c>
      <c r="C275" s="13" t="s">
        <v>513</v>
      </c>
      <c r="D275" s="14" t="s">
        <v>580</v>
      </c>
      <c r="E275" s="38">
        <f>VLOOKUP($B275,DATA!$C:$AF,E$1+4,FALSE)</f>
        <v>0</v>
      </c>
      <c r="F275" s="38">
        <f>VLOOKUP($B275,DATA!$C:$AF,F$1+4,FALSE)</f>
        <v>0</v>
      </c>
      <c r="G275" s="38">
        <f>VLOOKUP($B275,DATA!$C:$AF,G$1+4,FALSE)</f>
        <v>0</v>
      </c>
      <c r="H275" s="38">
        <f>VLOOKUP($B275,DATA!$C:$AF,H$1+4,FALSE)</f>
        <v>0</v>
      </c>
      <c r="I275" s="38">
        <f>VLOOKUP($B275,DATA!$C:$AF,I$1+4,FALSE)</f>
        <v>0</v>
      </c>
      <c r="J275" s="38">
        <f>VLOOKUP($B275,DATA!$C:$AF,J$1+4,FALSE)</f>
        <v>0</v>
      </c>
      <c r="K275" s="38">
        <f>VLOOKUP($B275,DATA!$C:$AF,K$1+4,FALSE)</f>
        <v>0</v>
      </c>
      <c r="L275" s="38">
        <f>VLOOKUP($B275,DATA!$C:$AF,L$1+4,FALSE)</f>
        <v>0</v>
      </c>
      <c r="M275" s="38">
        <f>VLOOKUP($B275,DATA!$C:$AF,M$1+4,FALSE)</f>
        <v>0</v>
      </c>
      <c r="N275" s="38">
        <f>VLOOKUP($B275,DATA!$C:$AF,N$1+4,FALSE)</f>
        <v>0</v>
      </c>
      <c r="O275" s="38">
        <f>VLOOKUP($B275,DATA!$C:$AF,O$1+4,FALSE)</f>
        <v>0</v>
      </c>
      <c r="P275" s="38">
        <f>VLOOKUP($B275,DATA!$C:$AF,P$1+4,FALSE)</f>
        <v>0</v>
      </c>
      <c r="Q275" s="16">
        <f t="shared" si="15"/>
        <v>0</v>
      </c>
      <c r="R275" s="17">
        <v>0</v>
      </c>
      <c r="S275" s="17">
        <f t="shared" si="18"/>
        <v>0</v>
      </c>
    </row>
    <row r="276" spans="1:19" ht="17.5" thickBot="1">
      <c r="A276" s="11" t="s">
        <v>606</v>
      </c>
      <c r="B276" s="21" t="s">
        <v>514</v>
      </c>
      <c r="C276" s="13" t="s">
        <v>515</v>
      </c>
      <c r="D276" s="14" t="s">
        <v>580</v>
      </c>
      <c r="E276" s="38">
        <f>VLOOKUP($B276,DATA!$C:$AF,E$1+4,FALSE)</f>
        <v>0</v>
      </c>
      <c r="F276" s="38">
        <f>VLOOKUP($B276,DATA!$C:$AF,F$1+4,FALSE)</f>
        <v>0</v>
      </c>
      <c r="G276" s="38">
        <f>VLOOKUP($B276,DATA!$C:$AF,G$1+4,FALSE)</f>
        <v>0</v>
      </c>
      <c r="H276" s="38">
        <f>VLOOKUP($B276,DATA!$C:$AF,H$1+4,FALSE)</f>
        <v>0</v>
      </c>
      <c r="I276" s="38">
        <f>VLOOKUP($B276,DATA!$C:$AF,I$1+4,FALSE)</f>
        <v>0</v>
      </c>
      <c r="J276" s="38">
        <f>VLOOKUP($B276,DATA!$C:$AF,J$1+4,FALSE)</f>
        <v>0</v>
      </c>
      <c r="K276" s="38">
        <f>VLOOKUP($B276,DATA!$C:$AF,K$1+4,FALSE)</f>
        <v>0</v>
      </c>
      <c r="L276" s="38">
        <f>VLOOKUP($B276,DATA!$C:$AF,L$1+4,FALSE)</f>
        <v>0</v>
      </c>
      <c r="M276" s="38">
        <f>VLOOKUP($B276,DATA!$C:$AF,M$1+4,FALSE)</f>
        <v>0</v>
      </c>
      <c r="N276" s="38">
        <f>VLOOKUP($B276,DATA!$C:$AF,N$1+4,FALSE)</f>
        <v>0</v>
      </c>
      <c r="O276" s="38">
        <f>VLOOKUP($B276,DATA!$C:$AF,O$1+4,FALSE)</f>
        <v>0</v>
      </c>
      <c r="P276" s="38">
        <f>VLOOKUP($B276,DATA!$C:$AF,P$1+4,FALSE)</f>
        <v>0</v>
      </c>
      <c r="Q276" s="16">
        <f t="shared" si="15"/>
        <v>0</v>
      </c>
      <c r="R276" s="17">
        <v>0</v>
      </c>
      <c r="S276" s="17">
        <f t="shared" si="18"/>
        <v>0</v>
      </c>
    </row>
    <row r="277" spans="1:19" ht="17.5" thickBot="1">
      <c r="A277" s="11" t="s">
        <v>606</v>
      </c>
      <c r="B277" s="21" t="s">
        <v>516</v>
      </c>
      <c r="C277" s="13" t="s">
        <v>517</v>
      </c>
      <c r="D277" s="14" t="s">
        <v>580</v>
      </c>
      <c r="E277" s="38">
        <f>VLOOKUP($B277,DATA!$C:$AF,E$1+4,FALSE)</f>
        <v>0</v>
      </c>
      <c r="F277" s="38">
        <f>VLOOKUP($B277,DATA!$C:$AF,F$1+4,FALSE)</f>
        <v>0</v>
      </c>
      <c r="G277" s="38">
        <f>VLOOKUP($B277,DATA!$C:$AF,G$1+4,FALSE)</f>
        <v>0</v>
      </c>
      <c r="H277" s="38">
        <f>VLOOKUP($B277,DATA!$C:$AF,H$1+4,FALSE)</f>
        <v>0</v>
      </c>
      <c r="I277" s="38">
        <f>VLOOKUP($B277,DATA!$C:$AF,I$1+4,FALSE)</f>
        <v>0</v>
      </c>
      <c r="J277" s="38">
        <f>VLOOKUP($B277,DATA!$C:$AF,J$1+4,FALSE)</f>
        <v>0</v>
      </c>
      <c r="K277" s="38">
        <f>VLOOKUP($B277,DATA!$C:$AF,K$1+4,FALSE)</f>
        <v>0</v>
      </c>
      <c r="L277" s="38">
        <f>VLOOKUP($B277,DATA!$C:$AF,L$1+4,FALSE)</f>
        <v>0</v>
      </c>
      <c r="M277" s="38">
        <f>VLOOKUP($B277,DATA!$C:$AF,M$1+4,FALSE)</f>
        <v>0</v>
      </c>
      <c r="N277" s="38">
        <f>VLOOKUP($B277,DATA!$C:$AF,N$1+4,FALSE)</f>
        <v>0</v>
      </c>
      <c r="O277" s="38">
        <f>VLOOKUP($B277,DATA!$C:$AF,O$1+4,FALSE)</f>
        <v>0</v>
      </c>
      <c r="P277" s="38">
        <f>VLOOKUP($B277,DATA!$C:$AF,P$1+4,FALSE)</f>
        <v>0</v>
      </c>
      <c r="Q277" s="16">
        <f t="shared" si="15"/>
        <v>0</v>
      </c>
      <c r="R277" s="17">
        <v>0</v>
      </c>
      <c r="S277" s="17">
        <f t="shared" si="18"/>
        <v>0</v>
      </c>
    </row>
    <row r="278" spans="1:19" ht="17.5" thickBot="1">
      <c r="A278" s="11" t="s">
        <v>606</v>
      </c>
      <c r="B278" s="22" t="s">
        <v>493</v>
      </c>
      <c r="C278" s="13" t="s">
        <v>494</v>
      </c>
      <c r="D278" s="14" t="s">
        <v>579</v>
      </c>
      <c r="E278" s="38">
        <f>VLOOKUP($B278,DATA!$C:$AF,E$1+4,FALSE)</f>
        <v>0</v>
      </c>
      <c r="F278" s="38">
        <f>VLOOKUP($B278,DATA!$C:$AF,F$1+4,FALSE)</f>
        <v>0</v>
      </c>
      <c r="G278" s="38">
        <f>VLOOKUP($B278,DATA!$C:$AF,G$1+4,FALSE)</f>
        <v>0</v>
      </c>
      <c r="H278" s="38">
        <f>VLOOKUP($B278,DATA!$C:$AF,H$1+4,FALSE)</f>
        <v>0</v>
      </c>
      <c r="I278" s="38">
        <f>VLOOKUP($B278,DATA!$C:$AF,I$1+4,FALSE)</f>
        <v>0</v>
      </c>
      <c r="J278" s="38">
        <f>VLOOKUP($B278,DATA!$C:$AF,J$1+4,FALSE)</f>
        <v>0</v>
      </c>
      <c r="K278" s="38">
        <f>VLOOKUP($B278,DATA!$C:$AF,K$1+4,FALSE)</f>
        <v>0</v>
      </c>
      <c r="L278" s="38">
        <f>VLOOKUP($B278,DATA!$C:$AF,L$1+4,FALSE)</f>
        <v>0</v>
      </c>
      <c r="M278" s="38">
        <f>VLOOKUP($B278,DATA!$C:$AF,M$1+4,FALSE)</f>
        <v>0</v>
      </c>
      <c r="N278" s="38">
        <f>VLOOKUP($B278,DATA!$C:$AF,N$1+4,FALSE)</f>
        <v>0</v>
      </c>
      <c r="O278" s="38">
        <f>VLOOKUP($B278,DATA!$C:$AF,O$1+4,FALSE)</f>
        <v>0</v>
      </c>
      <c r="P278" s="38">
        <f>VLOOKUP($B278,DATA!$C:$AF,P$1+4,FALSE)</f>
        <v>0</v>
      </c>
      <c r="Q278" s="16">
        <f t="shared" si="15"/>
        <v>0</v>
      </c>
      <c r="R278" s="17">
        <v>0</v>
      </c>
      <c r="S278" s="17">
        <f t="shared" si="18"/>
        <v>0</v>
      </c>
    </row>
    <row r="279" spans="1:19" ht="17.5" thickBot="1">
      <c r="A279" s="11" t="s">
        <v>606</v>
      </c>
      <c r="B279" s="22" t="s">
        <v>495</v>
      </c>
      <c r="C279" s="13" t="s">
        <v>496</v>
      </c>
      <c r="D279" s="14" t="s">
        <v>579</v>
      </c>
      <c r="E279" s="38">
        <f>VLOOKUP($B279,DATA!$C:$AF,E$1+4,FALSE)</f>
        <v>0</v>
      </c>
      <c r="F279" s="38">
        <f>VLOOKUP($B279,DATA!$C:$AF,F$1+4,FALSE)</f>
        <v>0</v>
      </c>
      <c r="G279" s="38">
        <f>VLOOKUP($B279,DATA!$C:$AF,G$1+4,FALSE)</f>
        <v>0</v>
      </c>
      <c r="H279" s="38">
        <f>VLOOKUP($B279,DATA!$C:$AF,H$1+4,FALSE)</f>
        <v>0</v>
      </c>
      <c r="I279" s="38">
        <f>VLOOKUP($B279,DATA!$C:$AF,I$1+4,FALSE)</f>
        <v>0</v>
      </c>
      <c r="J279" s="38">
        <f>VLOOKUP($B279,DATA!$C:$AF,J$1+4,FALSE)</f>
        <v>0</v>
      </c>
      <c r="K279" s="38">
        <f>VLOOKUP($B279,DATA!$C:$AF,K$1+4,FALSE)</f>
        <v>0</v>
      </c>
      <c r="L279" s="38">
        <f>VLOOKUP($B279,DATA!$C:$AF,L$1+4,FALSE)</f>
        <v>0</v>
      </c>
      <c r="M279" s="38">
        <f>VLOOKUP($B279,DATA!$C:$AF,M$1+4,FALSE)</f>
        <v>0</v>
      </c>
      <c r="N279" s="38">
        <f>VLOOKUP($B279,DATA!$C:$AF,N$1+4,FALSE)</f>
        <v>0</v>
      </c>
      <c r="O279" s="38">
        <f>VLOOKUP($B279,DATA!$C:$AF,O$1+4,FALSE)</f>
        <v>0</v>
      </c>
      <c r="P279" s="38">
        <f>VLOOKUP($B279,DATA!$C:$AF,P$1+4,FALSE)</f>
        <v>0</v>
      </c>
      <c r="Q279" s="16">
        <f t="shared" si="15"/>
        <v>0</v>
      </c>
      <c r="R279" s="17">
        <v>0</v>
      </c>
      <c r="S279" s="17">
        <f t="shared" si="18"/>
        <v>0</v>
      </c>
    </row>
    <row r="280" spans="1:19" ht="17.5" thickBot="1">
      <c r="A280" s="11" t="s">
        <v>606</v>
      </c>
      <c r="B280" s="22" t="s">
        <v>497</v>
      </c>
      <c r="C280" s="13" t="s">
        <v>498</v>
      </c>
      <c r="D280" s="14" t="s">
        <v>579</v>
      </c>
      <c r="E280" s="38">
        <f>VLOOKUP($B280,DATA!$C:$AF,E$1+4,FALSE)</f>
        <v>0</v>
      </c>
      <c r="F280" s="38">
        <f>VLOOKUP($B280,DATA!$C:$AF,F$1+4,FALSE)</f>
        <v>0</v>
      </c>
      <c r="G280" s="38">
        <f>VLOOKUP($B280,DATA!$C:$AF,G$1+4,FALSE)</f>
        <v>0</v>
      </c>
      <c r="H280" s="38">
        <f>VLOOKUP($B280,DATA!$C:$AF,H$1+4,FALSE)</f>
        <v>0</v>
      </c>
      <c r="I280" s="38">
        <f>VLOOKUP($B280,DATA!$C:$AF,I$1+4,FALSE)</f>
        <v>0</v>
      </c>
      <c r="J280" s="38">
        <f>VLOOKUP($B280,DATA!$C:$AF,J$1+4,FALSE)</f>
        <v>0</v>
      </c>
      <c r="K280" s="38">
        <f>VLOOKUP($B280,DATA!$C:$AF,K$1+4,FALSE)</f>
        <v>0</v>
      </c>
      <c r="L280" s="38">
        <f>VLOOKUP($B280,DATA!$C:$AF,L$1+4,FALSE)</f>
        <v>0</v>
      </c>
      <c r="M280" s="38">
        <f>VLOOKUP($B280,DATA!$C:$AF,M$1+4,FALSE)</f>
        <v>0</v>
      </c>
      <c r="N280" s="38">
        <f>VLOOKUP($B280,DATA!$C:$AF,N$1+4,FALSE)</f>
        <v>0</v>
      </c>
      <c r="O280" s="38">
        <f>VLOOKUP($B280,DATA!$C:$AF,O$1+4,FALSE)</f>
        <v>0</v>
      </c>
      <c r="P280" s="38">
        <f>VLOOKUP($B280,DATA!$C:$AF,P$1+4,FALSE)</f>
        <v>0</v>
      </c>
      <c r="Q280" s="16">
        <f t="shared" si="15"/>
        <v>0</v>
      </c>
      <c r="R280" s="17">
        <v>0</v>
      </c>
      <c r="S280" s="17">
        <f t="shared" si="18"/>
        <v>0</v>
      </c>
    </row>
    <row r="281" spans="1:19" ht="17.5" thickBot="1">
      <c r="A281" s="11" t="s">
        <v>606</v>
      </c>
      <c r="B281" s="21" t="s">
        <v>499</v>
      </c>
      <c r="C281" s="13" t="s">
        <v>500</v>
      </c>
      <c r="D281" s="14" t="s">
        <v>579</v>
      </c>
      <c r="E281" s="38">
        <f>VLOOKUP($B281,DATA!$C:$AF,E$1+4,FALSE)</f>
        <v>0</v>
      </c>
      <c r="F281" s="38">
        <f>VLOOKUP($B281,DATA!$C:$AF,F$1+4,FALSE)</f>
        <v>0</v>
      </c>
      <c r="G281" s="38">
        <f>VLOOKUP($B281,DATA!$C:$AF,G$1+4,FALSE)</f>
        <v>0</v>
      </c>
      <c r="H281" s="38">
        <f>VLOOKUP($B281,DATA!$C:$AF,H$1+4,FALSE)</f>
        <v>0</v>
      </c>
      <c r="I281" s="38">
        <f>VLOOKUP($B281,DATA!$C:$AF,I$1+4,FALSE)</f>
        <v>0</v>
      </c>
      <c r="J281" s="38">
        <f>VLOOKUP($B281,DATA!$C:$AF,J$1+4,FALSE)</f>
        <v>0</v>
      </c>
      <c r="K281" s="38">
        <f>VLOOKUP($B281,DATA!$C:$AF,K$1+4,FALSE)</f>
        <v>0</v>
      </c>
      <c r="L281" s="38">
        <f>VLOOKUP($B281,DATA!$C:$AF,L$1+4,FALSE)</f>
        <v>0</v>
      </c>
      <c r="M281" s="38">
        <f>VLOOKUP($B281,DATA!$C:$AF,M$1+4,FALSE)</f>
        <v>0</v>
      </c>
      <c r="N281" s="38">
        <f>VLOOKUP($B281,DATA!$C:$AF,N$1+4,FALSE)</f>
        <v>0</v>
      </c>
      <c r="O281" s="38">
        <f>VLOOKUP($B281,DATA!$C:$AF,O$1+4,FALSE)</f>
        <v>0</v>
      </c>
      <c r="P281" s="38">
        <f>VLOOKUP($B281,DATA!$C:$AF,P$1+4,FALSE)</f>
        <v>0</v>
      </c>
      <c r="Q281" s="16">
        <f t="shared" si="15"/>
        <v>0</v>
      </c>
      <c r="R281" s="17">
        <v>0</v>
      </c>
      <c r="S281" s="17">
        <f t="shared" si="18"/>
        <v>0</v>
      </c>
    </row>
    <row r="282" spans="1:19" ht="17.5" thickBot="1">
      <c r="A282" s="11" t="s">
        <v>606</v>
      </c>
      <c r="B282" s="21" t="s">
        <v>501</v>
      </c>
      <c r="C282" s="13" t="s">
        <v>502</v>
      </c>
      <c r="D282" s="14" t="s">
        <v>579</v>
      </c>
      <c r="E282" s="38">
        <f>VLOOKUP($B282,DATA!$C:$AF,E$1+4,FALSE)</f>
        <v>0</v>
      </c>
      <c r="F282" s="38">
        <f>VLOOKUP($B282,DATA!$C:$AF,F$1+4,FALSE)</f>
        <v>0</v>
      </c>
      <c r="G282" s="38">
        <f>VLOOKUP($B282,DATA!$C:$AF,G$1+4,FALSE)</f>
        <v>0</v>
      </c>
      <c r="H282" s="38">
        <f>VLOOKUP($B282,DATA!$C:$AF,H$1+4,FALSE)</f>
        <v>0</v>
      </c>
      <c r="I282" s="38">
        <f>VLOOKUP($B282,DATA!$C:$AF,I$1+4,FALSE)</f>
        <v>0</v>
      </c>
      <c r="J282" s="38">
        <f>VLOOKUP($B282,DATA!$C:$AF,J$1+4,FALSE)</f>
        <v>0</v>
      </c>
      <c r="K282" s="38">
        <f>VLOOKUP($B282,DATA!$C:$AF,K$1+4,FALSE)</f>
        <v>0</v>
      </c>
      <c r="L282" s="38">
        <f>VLOOKUP($B282,DATA!$C:$AF,L$1+4,FALSE)</f>
        <v>0</v>
      </c>
      <c r="M282" s="38">
        <f>VLOOKUP($B282,DATA!$C:$AF,M$1+4,FALSE)</f>
        <v>0</v>
      </c>
      <c r="N282" s="38">
        <f>VLOOKUP($B282,DATA!$C:$AF,N$1+4,FALSE)</f>
        <v>0</v>
      </c>
      <c r="O282" s="38">
        <f>VLOOKUP($B282,DATA!$C:$AF,O$1+4,FALSE)</f>
        <v>0</v>
      </c>
      <c r="P282" s="38">
        <f>VLOOKUP($B282,DATA!$C:$AF,P$1+4,FALSE)</f>
        <v>0</v>
      </c>
      <c r="Q282" s="16">
        <f t="shared" si="15"/>
        <v>0</v>
      </c>
      <c r="R282" s="17">
        <v>0</v>
      </c>
      <c r="S282" s="17">
        <f t="shared" si="18"/>
        <v>0</v>
      </c>
    </row>
    <row r="283" spans="1:19" ht="17.5" thickBot="1">
      <c r="A283" s="11" t="s">
        <v>606</v>
      </c>
      <c r="B283" s="21" t="s">
        <v>503</v>
      </c>
      <c r="C283" s="13" t="s">
        <v>504</v>
      </c>
      <c r="D283" s="14" t="s">
        <v>579</v>
      </c>
      <c r="E283" s="38">
        <f>VLOOKUP($B283,DATA!$C:$AF,E$1+4,FALSE)</f>
        <v>0</v>
      </c>
      <c r="F283" s="38">
        <f>VLOOKUP($B283,DATA!$C:$AF,F$1+4,FALSE)</f>
        <v>0</v>
      </c>
      <c r="G283" s="38">
        <f>VLOOKUP($B283,DATA!$C:$AF,G$1+4,FALSE)</f>
        <v>0</v>
      </c>
      <c r="H283" s="38">
        <f>VLOOKUP($B283,DATA!$C:$AF,H$1+4,FALSE)</f>
        <v>0</v>
      </c>
      <c r="I283" s="38">
        <f>VLOOKUP($B283,DATA!$C:$AF,I$1+4,FALSE)</f>
        <v>0</v>
      </c>
      <c r="J283" s="38">
        <f>VLOOKUP($B283,DATA!$C:$AF,J$1+4,FALSE)</f>
        <v>0</v>
      </c>
      <c r="K283" s="38">
        <f>VLOOKUP($B283,DATA!$C:$AF,K$1+4,FALSE)</f>
        <v>0</v>
      </c>
      <c r="L283" s="38">
        <f>VLOOKUP($B283,DATA!$C:$AF,L$1+4,FALSE)</f>
        <v>0</v>
      </c>
      <c r="M283" s="38">
        <f>VLOOKUP($B283,DATA!$C:$AF,M$1+4,FALSE)</f>
        <v>0</v>
      </c>
      <c r="N283" s="38">
        <f>VLOOKUP($B283,DATA!$C:$AF,N$1+4,FALSE)</f>
        <v>0</v>
      </c>
      <c r="O283" s="38">
        <f>VLOOKUP($B283,DATA!$C:$AF,O$1+4,FALSE)</f>
        <v>0</v>
      </c>
      <c r="P283" s="38">
        <f>VLOOKUP($B283,DATA!$C:$AF,P$1+4,FALSE)</f>
        <v>0</v>
      </c>
      <c r="Q283" s="16">
        <f t="shared" si="15"/>
        <v>0</v>
      </c>
      <c r="R283" s="17">
        <v>0</v>
      </c>
      <c r="S283" s="17">
        <f t="shared" si="18"/>
        <v>0</v>
      </c>
    </row>
    <row r="284" spans="1:19" ht="17.5" thickBot="1">
      <c r="A284" s="11" t="s">
        <v>606</v>
      </c>
      <c r="B284" s="21" t="s">
        <v>505</v>
      </c>
      <c r="C284" s="13" t="s">
        <v>598</v>
      </c>
      <c r="D284" s="14" t="s">
        <v>579</v>
      </c>
      <c r="E284" s="38">
        <f>VLOOKUP($B284,DATA!$C:$AF,E$1+4,FALSE)</f>
        <v>0</v>
      </c>
      <c r="F284" s="38">
        <f>VLOOKUP($B284,DATA!$C:$AF,F$1+4,FALSE)</f>
        <v>0</v>
      </c>
      <c r="G284" s="38">
        <f>VLOOKUP($B284,DATA!$C:$AF,G$1+4,FALSE)</f>
        <v>0</v>
      </c>
      <c r="H284" s="38">
        <f>VLOOKUP($B284,DATA!$C:$AF,H$1+4,FALSE)</f>
        <v>0</v>
      </c>
      <c r="I284" s="38">
        <f>VLOOKUP($B284,DATA!$C:$AF,I$1+4,FALSE)</f>
        <v>0</v>
      </c>
      <c r="J284" s="38">
        <f>VLOOKUP($B284,DATA!$C:$AF,J$1+4,FALSE)</f>
        <v>0</v>
      </c>
      <c r="K284" s="38">
        <f>VLOOKUP($B284,DATA!$C:$AF,K$1+4,FALSE)</f>
        <v>0</v>
      </c>
      <c r="L284" s="38">
        <f>VLOOKUP($B284,DATA!$C:$AF,L$1+4,FALSE)</f>
        <v>0</v>
      </c>
      <c r="M284" s="38">
        <f>VLOOKUP($B284,DATA!$C:$AF,M$1+4,FALSE)</f>
        <v>0</v>
      </c>
      <c r="N284" s="38">
        <f>VLOOKUP($B284,DATA!$C:$AF,N$1+4,FALSE)</f>
        <v>0</v>
      </c>
      <c r="O284" s="38">
        <f>VLOOKUP($B284,DATA!$C:$AF,O$1+4,FALSE)</f>
        <v>0</v>
      </c>
      <c r="P284" s="38">
        <f>VLOOKUP($B284,DATA!$C:$AF,P$1+4,FALSE)</f>
        <v>0</v>
      </c>
      <c r="Q284" s="16">
        <f t="shared" si="15"/>
        <v>0</v>
      </c>
      <c r="R284" s="17">
        <v>0</v>
      </c>
      <c r="S284" s="17">
        <f t="shared" si="18"/>
        <v>0</v>
      </c>
    </row>
    <row r="285" spans="1:19" ht="17.5" thickBot="1">
      <c r="A285" s="11" t="s">
        <v>606</v>
      </c>
      <c r="B285" s="21" t="s">
        <v>506</v>
      </c>
      <c r="C285" s="13" t="s">
        <v>507</v>
      </c>
      <c r="D285" s="14" t="s">
        <v>579</v>
      </c>
      <c r="E285" s="38">
        <f>VLOOKUP($B285,DATA!$C:$AF,E$1+4,FALSE)</f>
        <v>0</v>
      </c>
      <c r="F285" s="38">
        <f>VLOOKUP($B285,DATA!$C:$AF,F$1+4,FALSE)</f>
        <v>0</v>
      </c>
      <c r="G285" s="38">
        <f>VLOOKUP($B285,DATA!$C:$AF,G$1+4,FALSE)</f>
        <v>0</v>
      </c>
      <c r="H285" s="38">
        <f>VLOOKUP($B285,DATA!$C:$AF,H$1+4,FALSE)</f>
        <v>0</v>
      </c>
      <c r="I285" s="38">
        <f>VLOOKUP($B285,DATA!$C:$AF,I$1+4,FALSE)</f>
        <v>0</v>
      </c>
      <c r="J285" s="38">
        <f>VLOOKUP($B285,DATA!$C:$AF,J$1+4,FALSE)</f>
        <v>0</v>
      </c>
      <c r="K285" s="38">
        <f>VLOOKUP($B285,DATA!$C:$AF,K$1+4,FALSE)</f>
        <v>0</v>
      </c>
      <c r="L285" s="38">
        <f>VLOOKUP($B285,DATA!$C:$AF,L$1+4,FALSE)</f>
        <v>0</v>
      </c>
      <c r="M285" s="38">
        <f>VLOOKUP($B285,DATA!$C:$AF,M$1+4,FALSE)</f>
        <v>0</v>
      </c>
      <c r="N285" s="38">
        <f>VLOOKUP($B285,DATA!$C:$AF,N$1+4,FALSE)</f>
        <v>0</v>
      </c>
      <c r="O285" s="38">
        <f>VLOOKUP($B285,DATA!$C:$AF,O$1+4,FALSE)</f>
        <v>0</v>
      </c>
      <c r="P285" s="38">
        <f>VLOOKUP($B285,DATA!$C:$AF,P$1+4,FALSE)</f>
        <v>0</v>
      </c>
      <c r="Q285" s="16">
        <f t="shared" si="15"/>
        <v>0</v>
      </c>
      <c r="R285" s="17">
        <v>0</v>
      </c>
      <c r="S285" s="17">
        <f t="shared" si="18"/>
        <v>0</v>
      </c>
    </row>
    <row r="286" spans="1:19" ht="17.5" thickBot="1">
      <c r="A286" s="11" t="s">
        <v>606</v>
      </c>
      <c r="B286" s="22" t="s">
        <v>518</v>
      </c>
      <c r="C286" s="22" t="s">
        <v>519</v>
      </c>
      <c r="D286" s="14" t="s">
        <v>579</v>
      </c>
      <c r="E286" s="38">
        <f>VLOOKUP($B286,DATA!$C:$AF,E$1+4,FALSE)</f>
        <v>0</v>
      </c>
      <c r="F286" s="38">
        <f>VLOOKUP($B286,DATA!$C:$AF,F$1+4,FALSE)</f>
        <v>0</v>
      </c>
      <c r="G286" s="38">
        <f>VLOOKUP($B286,DATA!$C:$AF,G$1+4,FALSE)</f>
        <v>0</v>
      </c>
      <c r="H286" s="38">
        <f>VLOOKUP($B286,DATA!$C:$AF,H$1+4,FALSE)</f>
        <v>0</v>
      </c>
      <c r="I286" s="38">
        <f>VLOOKUP($B286,DATA!$C:$AF,I$1+4,FALSE)</f>
        <v>0</v>
      </c>
      <c r="J286" s="38">
        <f>VLOOKUP($B286,DATA!$C:$AF,J$1+4,FALSE)</f>
        <v>0</v>
      </c>
      <c r="K286" s="38">
        <f>VLOOKUP($B286,DATA!$C:$AF,K$1+4,FALSE)</f>
        <v>0</v>
      </c>
      <c r="L286" s="38">
        <f>VLOOKUP($B286,DATA!$C:$AF,L$1+4,FALSE)</f>
        <v>0</v>
      </c>
      <c r="M286" s="38">
        <f>VLOOKUP($B286,DATA!$C:$AF,M$1+4,FALSE)</f>
        <v>0</v>
      </c>
      <c r="N286" s="38">
        <f>VLOOKUP($B286,DATA!$C:$AF,N$1+4,FALSE)</f>
        <v>0</v>
      </c>
      <c r="O286" s="38">
        <f>VLOOKUP($B286,DATA!$C:$AF,O$1+4,FALSE)</f>
        <v>0</v>
      </c>
      <c r="P286" s="38">
        <f>VLOOKUP($B286,DATA!$C:$AF,P$1+4,FALSE)</f>
        <v>0</v>
      </c>
      <c r="Q286" s="16">
        <f t="shared" ref="Q286" si="19">COUNTIF(E286:P286,"P")</f>
        <v>0</v>
      </c>
      <c r="R286" s="17">
        <v>0</v>
      </c>
      <c r="S286" s="17">
        <f>IF(R286=0,0,IF(R286&lt;=8,15,10))</f>
        <v>0</v>
      </c>
    </row>
    <row r="287" spans="1:19" ht="17.5" thickBot="1">
      <c r="A287" s="11" t="s">
        <v>606</v>
      </c>
      <c r="B287" s="22" t="s">
        <v>868</v>
      </c>
      <c r="C287" s="22" t="s">
        <v>869</v>
      </c>
      <c r="D287" s="14" t="s">
        <v>579</v>
      </c>
      <c r="E287" s="38">
        <f>VLOOKUP($B287,DATA!$C:$AF,E$1+4,FALSE)</f>
        <v>0</v>
      </c>
      <c r="F287" s="38">
        <f>VLOOKUP($B287,DATA!$C:$AF,F$1+4,FALSE)</f>
        <v>0</v>
      </c>
      <c r="G287" s="38">
        <f>VLOOKUP($B287,DATA!$C:$AF,G$1+4,FALSE)</f>
        <v>0</v>
      </c>
      <c r="H287" s="38">
        <f>VLOOKUP($B287,DATA!$C:$AF,H$1+4,FALSE)</f>
        <v>0</v>
      </c>
      <c r="I287" s="38">
        <f>VLOOKUP($B287,DATA!$C:$AF,I$1+4,FALSE)</f>
        <v>0</v>
      </c>
      <c r="J287" s="38">
        <f>VLOOKUP($B287,DATA!$C:$AF,J$1+4,FALSE)</f>
        <v>0</v>
      </c>
      <c r="K287" s="38">
        <f>VLOOKUP($B287,DATA!$C:$AF,K$1+4,FALSE)</f>
        <v>0</v>
      </c>
      <c r="L287" s="38">
        <f>VLOOKUP($B287,DATA!$C:$AF,L$1+4,FALSE)</f>
        <v>0</v>
      </c>
      <c r="M287" s="38">
        <f>VLOOKUP($B287,DATA!$C:$AF,M$1+4,FALSE)</f>
        <v>0</v>
      </c>
      <c r="N287" s="38">
        <f>VLOOKUP($B287,DATA!$C:$AF,N$1+4,FALSE)</f>
        <v>0</v>
      </c>
      <c r="O287" s="38">
        <f>VLOOKUP($B287,DATA!$C:$AF,O$1+4,FALSE)</f>
        <v>0</v>
      </c>
      <c r="P287" s="38">
        <f>VLOOKUP($B287,DATA!$C:$AF,P$1+4,FALSE)</f>
        <v>0</v>
      </c>
      <c r="Q287" s="16">
        <f t="shared" si="15"/>
        <v>0</v>
      </c>
      <c r="R287" s="17">
        <v>0</v>
      </c>
      <c r="S287" s="17">
        <f>IF(R287=0,0,IF(R287&lt;=8,15,10))</f>
        <v>0</v>
      </c>
    </row>
    <row r="315" spans="3:4">
      <c r="C315" s="34"/>
      <c r="D315" s="34"/>
    </row>
  </sheetData>
  <autoFilter ref="A1:S287" xr:uid="{AB4DC677-4C48-4E17-8D30-9484EEA4CC91}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F5D397-3725-4071-A656-D707EF1C09A3}">
  <sheetPr>
    <tabColor rgb="FFFF0000"/>
  </sheetPr>
  <dimension ref="A1:J285"/>
  <sheetViews>
    <sheetView workbookViewId="0">
      <pane xSplit="3" ySplit="1" topLeftCell="D236" activePane="bottomRight" state="frozen"/>
      <selection pane="topRight" activeCell="C1" sqref="C1"/>
      <selection pane="bottomLeft" activeCell="A3" sqref="A3"/>
      <selection pane="bottomRight" activeCell="L242" sqref="L242"/>
    </sheetView>
  </sheetViews>
  <sheetFormatPr defaultRowHeight="17"/>
  <cols>
    <col min="1" max="1" width="10.90625" style="35" bestFit="1" customWidth="1"/>
    <col min="2" max="2" width="9.1796875" style="18" customWidth="1"/>
    <col min="3" max="3" width="26.1796875" style="18" bestFit="1" customWidth="1"/>
    <col min="4" max="4" width="6.36328125" style="35" customWidth="1"/>
    <col min="5" max="5" width="12.453125" style="18" customWidth="1"/>
    <col min="6" max="6" width="10.1796875" style="18" customWidth="1"/>
    <col min="7" max="7" width="10.54296875" style="45" customWidth="1"/>
    <col min="8" max="8" width="17.81640625" style="18" customWidth="1"/>
    <col min="9" max="10" width="4" style="35" customWidth="1"/>
    <col min="11" max="16384" width="8.7265625" style="18"/>
  </cols>
  <sheetData>
    <row r="1" spans="1:10" ht="17.5" thickBot="1">
      <c r="A1" s="1" t="s">
        <v>0</v>
      </c>
      <c r="B1" s="47" t="s">
        <v>607</v>
      </c>
      <c r="C1" s="2" t="s">
        <v>608</v>
      </c>
      <c r="D1" s="2" t="s">
        <v>575</v>
      </c>
      <c r="E1" s="39" t="s">
        <v>521</v>
      </c>
      <c r="F1" s="39" t="s">
        <v>522</v>
      </c>
      <c r="G1" s="46" t="s">
        <v>578</v>
      </c>
      <c r="H1" s="40" t="s">
        <v>600</v>
      </c>
      <c r="I1" s="35" t="s">
        <v>521</v>
      </c>
      <c r="J1" s="35" t="s">
        <v>522</v>
      </c>
    </row>
    <row r="2" spans="1:10" ht="17.5" thickBot="1">
      <c r="A2" s="41" t="s">
        <v>601</v>
      </c>
      <c r="B2" s="12" t="s">
        <v>1</v>
      </c>
      <c r="C2" s="13" t="s">
        <v>2</v>
      </c>
      <c r="D2" s="41" t="s">
        <v>579</v>
      </c>
      <c r="E2" s="15" t="str">
        <f>VLOOKUP($B2,DATA!$C:$AF,29,FALSE)</f>
        <v>30 มิ.ย. 69</v>
      </c>
      <c r="F2" s="15">
        <f>VLOOKUP($B2,DATA!$C:$AF,30,FALSE)</f>
        <v>0</v>
      </c>
      <c r="G2" s="16">
        <f>SUM(I2:J2)</f>
        <v>1</v>
      </c>
      <c r="H2" s="42"/>
      <c r="I2" s="35">
        <f>IF(E2&lt;&gt;0,1,0)</f>
        <v>1</v>
      </c>
      <c r="J2" s="35">
        <f>IF(F2&lt;&gt;0,1,0)</f>
        <v>0</v>
      </c>
    </row>
    <row r="3" spans="1:10" ht="17.5" thickBot="1">
      <c r="A3" s="41" t="s">
        <v>601</v>
      </c>
      <c r="B3" s="19" t="s">
        <v>3</v>
      </c>
      <c r="C3" s="20" t="s">
        <v>4</v>
      </c>
      <c r="D3" s="41" t="s">
        <v>580</v>
      </c>
      <c r="E3" s="15" t="str">
        <f>VLOOKUP($B3,DATA!$C:$AF,29,FALSE)</f>
        <v>19 มิ.ย.69</v>
      </c>
      <c r="F3" s="15">
        <v>0</v>
      </c>
      <c r="G3" s="16">
        <f t="shared" ref="G3:G66" si="0">SUM(I3:J3)</f>
        <v>1</v>
      </c>
      <c r="H3" s="43"/>
      <c r="I3" s="35">
        <f t="shared" ref="I3:I66" si="1">IF(E3&lt;&gt;0,1,0)</f>
        <v>1</v>
      </c>
      <c r="J3" s="35">
        <f t="shared" ref="J3:J66" si="2">IF(F3&lt;&gt;0,1,0)</f>
        <v>0</v>
      </c>
    </row>
    <row r="4" spans="1:10" ht="17.5" thickBot="1">
      <c r="A4" s="41" t="s">
        <v>601</v>
      </c>
      <c r="B4" s="19" t="s">
        <v>5</v>
      </c>
      <c r="C4" s="13" t="s">
        <v>6</v>
      </c>
      <c r="D4" s="41" t="s">
        <v>580</v>
      </c>
      <c r="E4" s="15" t="str">
        <f>VLOOKUP($B4,DATA!$C:$AF,29,FALSE)</f>
        <v>29 มิ.ย.69</v>
      </c>
      <c r="F4" s="15">
        <v>0</v>
      </c>
      <c r="G4" s="16">
        <f t="shared" si="0"/>
        <v>1</v>
      </c>
      <c r="H4" s="43"/>
      <c r="I4" s="35">
        <f t="shared" si="1"/>
        <v>1</v>
      </c>
      <c r="J4" s="35">
        <f t="shared" si="2"/>
        <v>0</v>
      </c>
    </row>
    <row r="5" spans="1:10" ht="17.5" thickBot="1">
      <c r="A5" s="41" t="s">
        <v>601</v>
      </c>
      <c r="B5" s="19" t="s">
        <v>7</v>
      </c>
      <c r="C5" s="13" t="s">
        <v>8</v>
      </c>
      <c r="D5" s="41" t="s">
        <v>580</v>
      </c>
      <c r="E5" s="15" t="str">
        <f>VLOOKUP($B5,DATA!$C:$AF,29,FALSE)</f>
        <v>29 มิ.ย.69</v>
      </c>
      <c r="F5" s="15">
        <v>0</v>
      </c>
      <c r="G5" s="16">
        <f t="shared" si="0"/>
        <v>1</v>
      </c>
      <c r="H5" s="42"/>
      <c r="I5" s="35">
        <f t="shared" si="1"/>
        <v>1</v>
      </c>
      <c r="J5" s="35">
        <f t="shared" si="2"/>
        <v>0</v>
      </c>
    </row>
    <row r="6" spans="1:10" ht="17.5" thickBot="1">
      <c r="A6" s="41" t="s">
        <v>602</v>
      </c>
      <c r="B6" s="13" t="s">
        <v>9</v>
      </c>
      <c r="C6" s="13" t="s">
        <v>10</v>
      </c>
      <c r="D6" s="41" t="s">
        <v>579</v>
      </c>
      <c r="E6" s="15" t="str">
        <f>VLOOKUP($B6,DATA!$C:$AF,29,FALSE)</f>
        <v>30 มิ.ย.69</v>
      </c>
      <c r="F6" s="15">
        <v>0</v>
      </c>
      <c r="G6" s="16">
        <f t="shared" si="0"/>
        <v>1</v>
      </c>
      <c r="H6" s="42"/>
      <c r="I6" s="35">
        <f t="shared" si="1"/>
        <v>1</v>
      </c>
      <c r="J6" s="35">
        <f t="shared" si="2"/>
        <v>0</v>
      </c>
    </row>
    <row r="7" spans="1:10" ht="17.5" thickBot="1">
      <c r="A7" s="41" t="s">
        <v>602</v>
      </c>
      <c r="B7" s="21" t="s">
        <v>11</v>
      </c>
      <c r="C7" s="13" t="s">
        <v>12</v>
      </c>
      <c r="D7" s="41" t="s">
        <v>579</v>
      </c>
      <c r="E7" s="15" t="str">
        <f>VLOOKUP($B7,DATA!$C:$AF,29,FALSE)</f>
        <v>30 มิ.ย.69</v>
      </c>
      <c r="F7" s="15">
        <v>0</v>
      </c>
      <c r="G7" s="16">
        <f t="shared" si="0"/>
        <v>1</v>
      </c>
      <c r="H7" s="42"/>
      <c r="I7" s="35">
        <f t="shared" si="1"/>
        <v>1</v>
      </c>
      <c r="J7" s="35">
        <f t="shared" si="2"/>
        <v>0</v>
      </c>
    </row>
    <row r="8" spans="1:10" ht="17.5" thickBot="1">
      <c r="A8" s="41" t="s">
        <v>602</v>
      </c>
      <c r="B8" s="21" t="s">
        <v>13</v>
      </c>
      <c r="C8" s="13" t="s">
        <v>14</v>
      </c>
      <c r="D8" s="41" t="s">
        <v>579</v>
      </c>
      <c r="E8" s="15" t="str">
        <f>VLOOKUP($B8,DATA!$C:$AF,29,FALSE)</f>
        <v>30 มิ.ย.69</v>
      </c>
      <c r="F8" s="15">
        <v>0</v>
      </c>
      <c r="G8" s="16">
        <f t="shared" si="0"/>
        <v>1</v>
      </c>
      <c r="H8" s="42"/>
      <c r="I8" s="35">
        <f t="shared" si="1"/>
        <v>1</v>
      </c>
      <c r="J8" s="35">
        <f t="shared" si="2"/>
        <v>0</v>
      </c>
    </row>
    <row r="9" spans="1:10" ht="17.5" thickBot="1">
      <c r="A9" s="41" t="s">
        <v>602</v>
      </c>
      <c r="B9" s="21" t="s">
        <v>15</v>
      </c>
      <c r="C9" s="13" t="s">
        <v>16</v>
      </c>
      <c r="D9" s="41" t="s">
        <v>579</v>
      </c>
      <c r="E9" s="15" t="str">
        <f>VLOOKUP($B9,DATA!$C:$AF,29,FALSE)</f>
        <v>30 มิ.ย.69</v>
      </c>
      <c r="F9" s="15">
        <v>0</v>
      </c>
      <c r="G9" s="16">
        <f t="shared" si="0"/>
        <v>1</v>
      </c>
      <c r="H9" s="42"/>
      <c r="I9" s="35">
        <f t="shared" si="1"/>
        <v>1</v>
      </c>
      <c r="J9" s="35">
        <f t="shared" si="2"/>
        <v>0</v>
      </c>
    </row>
    <row r="10" spans="1:10" ht="17.5" thickBot="1">
      <c r="A10" s="41" t="s">
        <v>602</v>
      </c>
      <c r="B10" s="21" t="s">
        <v>17</v>
      </c>
      <c r="C10" s="13" t="s">
        <v>18</v>
      </c>
      <c r="D10" s="41" t="s">
        <v>579</v>
      </c>
      <c r="E10" s="15" t="str">
        <f>VLOOKUP($B10,DATA!$C:$AF,29,FALSE)</f>
        <v>30 มิ.ย.69</v>
      </c>
      <c r="F10" s="15">
        <v>0</v>
      </c>
      <c r="G10" s="16">
        <f t="shared" si="0"/>
        <v>1</v>
      </c>
      <c r="H10" s="42"/>
      <c r="I10" s="35">
        <f t="shared" si="1"/>
        <v>1</v>
      </c>
      <c r="J10" s="35">
        <f t="shared" si="2"/>
        <v>0</v>
      </c>
    </row>
    <row r="11" spans="1:10" ht="17.5" thickBot="1">
      <c r="A11" s="41" t="s">
        <v>602</v>
      </c>
      <c r="B11" s="21" t="s">
        <v>19</v>
      </c>
      <c r="C11" s="13" t="s">
        <v>556</v>
      </c>
      <c r="D11" s="41" t="s">
        <v>579</v>
      </c>
      <c r="E11" s="15" t="str">
        <f>VLOOKUP($B11,DATA!$C:$AF,29,FALSE)</f>
        <v>30 มิ.ย.69</v>
      </c>
      <c r="F11" s="15">
        <v>0</v>
      </c>
      <c r="G11" s="16">
        <f t="shared" si="0"/>
        <v>1</v>
      </c>
      <c r="H11" s="42"/>
      <c r="I11" s="35">
        <f t="shared" si="1"/>
        <v>1</v>
      </c>
      <c r="J11" s="35">
        <f t="shared" si="2"/>
        <v>0</v>
      </c>
    </row>
    <row r="12" spans="1:10" ht="17.5" thickBot="1">
      <c r="A12" s="41" t="s">
        <v>602</v>
      </c>
      <c r="B12" s="21" t="s">
        <v>20</v>
      </c>
      <c r="C12" s="13" t="s">
        <v>21</v>
      </c>
      <c r="D12" s="41" t="s">
        <v>579</v>
      </c>
      <c r="E12" s="15" t="str">
        <f>VLOOKUP($B12,DATA!$C:$AF,29,FALSE)</f>
        <v>30 มิ.ย.69</v>
      </c>
      <c r="F12" s="15">
        <v>0</v>
      </c>
      <c r="G12" s="16">
        <f t="shared" si="0"/>
        <v>1</v>
      </c>
      <c r="H12" s="42"/>
      <c r="I12" s="35">
        <f t="shared" si="1"/>
        <v>1</v>
      </c>
      <c r="J12" s="35">
        <f t="shared" si="2"/>
        <v>0</v>
      </c>
    </row>
    <row r="13" spans="1:10" ht="17.5" thickBot="1">
      <c r="A13" s="41" t="s">
        <v>602</v>
      </c>
      <c r="B13" s="21" t="s">
        <v>22</v>
      </c>
      <c r="C13" s="13" t="s">
        <v>555</v>
      </c>
      <c r="D13" s="41" t="s">
        <v>579</v>
      </c>
      <c r="E13" s="15" t="str">
        <f>VLOOKUP($B13,DATA!$C:$AF,29,FALSE)</f>
        <v>30 มิ.ย.69</v>
      </c>
      <c r="F13" s="15">
        <v>0</v>
      </c>
      <c r="G13" s="16">
        <f t="shared" si="0"/>
        <v>1</v>
      </c>
      <c r="H13" s="42"/>
      <c r="I13" s="35">
        <f t="shared" si="1"/>
        <v>1</v>
      </c>
      <c r="J13" s="35">
        <f t="shared" si="2"/>
        <v>0</v>
      </c>
    </row>
    <row r="14" spans="1:10" ht="17.5" thickBot="1">
      <c r="A14" s="41" t="s">
        <v>602</v>
      </c>
      <c r="B14" s="21" t="s">
        <v>23</v>
      </c>
      <c r="C14" s="13" t="s">
        <v>24</v>
      </c>
      <c r="D14" s="41" t="s">
        <v>579</v>
      </c>
      <c r="E14" s="15" t="str">
        <f>VLOOKUP($B14,DATA!$C:$AF,29,FALSE)</f>
        <v>30 มิ.ย.69</v>
      </c>
      <c r="F14" s="15">
        <v>0</v>
      </c>
      <c r="G14" s="16">
        <f t="shared" si="0"/>
        <v>1</v>
      </c>
      <c r="H14" s="42"/>
      <c r="I14" s="35">
        <f t="shared" si="1"/>
        <v>1</v>
      </c>
      <c r="J14" s="35">
        <f t="shared" si="2"/>
        <v>0</v>
      </c>
    </row>
    <row r="15" spans="1:10" ht="17.5" thickBot="1">
      <c r="A15" s="41" t="s">
        <v>602</v>
      </c>
      <c r="B15" s="21" t="s">
        <v>25</v>
      </c>
      <c r="C15" s="13" t="s">
        <v>26</v>
      </c>
      <c r="D15" s="41" t="s">
        <v>579</v>
      </c>
      <c r="E15" s="15" t="str">
        <f>VLOOKUP($B15,DATA!$C:$AF,29,FALSE)</f>
        <v>30 มิ.ย.69</v>
      </c>
      <c r="F15" s="15">
        <v>0</v>
      </c>
      <c r="G15" s="16">
        <f t="shared" si="0"/>
        <v>1</v>
      </c>
      <c r="H15" s="42"/>
      <c r="I15" s="35">
        <f t="shared" si="1"/>
        <v>1</v>
      </c>
      <c r="J15" s="35">
        <f t="shared" si="2"/>
        <v>0</v>
      </c>
    </row>
    <row r="16" spans="1:10" ht="17.5" thickBot="1">
      <c r="A16" s="41" t="s">
        <v>602</v>
      </c>
      <c r="B16" s="19" t="s">
        <v>27</v>
      </c>
      <c r="C16" s="13" t="s">
        <v>28</v>
      </c>
      <c r="D16" s="41" t="s">
        <v>579</v>
      </c>
      <c r="E16" s="15" t="str">
        <f>VLOOKUP($B16,DATA!$C:$AF,29,FALSE)</f>
        <v>29 พค 69</v>
      </c>
      <c r="F16" s="15">
        <v>0</v>
      </c>
      <c r="G16" s="16">
        <f t="shared" si="0"/>
        <v>1</v>
      </c>
      <c r="H16" s="42"/>
      <c r="I16" s="35">
        <f t="shared" si="1"/>
        <v>1</v>
      </c>
      <c r="J16" s="35">
        <f t="shared" si="2"/>
        <v>0</v>
      </c>
    </row>
    <row r="17" spans="1:10" ht="17.5" thickBot="1">
      <c r="A17" s="41" t="s">
        <v>602</v>
      </c>
      <c r="B17" s="21" t="s">
        <v>29</v>
      </c>
      <c r="C17" s="13" t="s">
        <v>30</v>
      </c>
      <c r="D17" s="41" t="s">
        <v>579</v>
      </c>
      <c r="E17" s="15" t="str">
        <f>VLOOKUP($B17,DATA!$C:$AF,29,FALSE)</f>
        <v>29 พค 69</v>
      </c>
      <c r="F17" s="15">
        <v>0</v>
      </c>
      <c r="G17" s="16">
        <f t="shared" si="0"/>
        <v>1</v>
      </c>
      <c r="H17" s="42"/>
      <c r="I17" s="35">
        <f t="shared" si="1"/>
        <v>1</v>
      </c>
      <c r="J17" s="35">
        <f t="shared" si="2"/>
        <v>0</v>
      </c>
    </row>
    <row r="18" spans="1:10" ht="17.5" thickBot="1">
      <c r="A18" s="41" t="s">
        <v>602</v>
      </c>
      <c r="B18" s="21" t="s">
        <v>31</v>
      </c>
      <c r="C18" s="13" t="s">
        <v>32</v>
      </c>
      <c r="D18" s="41" t="s">
        <v>579</v>
      </c>
      <c r="E18" s="15" t="str">
        <f>VLOOKUP($B18,DATA!$C:$AF,29,FALSE)</f>
        <v>29 พค 69</v>
      </c>
      <c r="F18" s="15">
        <v>0</v>
      </c>
      <c r="G18" s="16">
        <f t="shared" si="0"/>
        <v>1</v>
      </c>
      <c r="H18" s="42"/>
      <c r="I18" s="35">
        <f t="shared" si="1"/>
        <v>1</v>
      </c>
      <c r="J18" s="35">
        <f t="shared" si="2"/>
        <v>0</v>
      </c>
    </row>
    <row r="19" spans="1:10" ht="17.5" thickBot="1">
      <c r="A19" s="41" t="s">
        <v>602</v>
      </c>
      <c r="B19" s="22" t="s">
        <v>33</v>
      </c>
      <c r="C19" s="13" t="s">
        <v>34</v>
      </c>
      <c r="D19" s="41" t="s">
        <v>579</v>
      </c>
      <c r="E19" s="15" t="str">
        <f>VLOOKUP($B19,DATA!$C:$AF,29,FALSE)</f>
        <v>29 พค 69</v>
      </c>
      <c r="F19" s="15">
        <v>0</v>
      </c>
      <c r="G19" s="16">
        <f t="shared" si="0"/>
        <v>1</v>
      </c>
      <c r="H19" s="42"/>
      <c r="I19" s="35">
        <f t="shared" si="1"/>
        <v>1</v>
      </c>
      <c r="J19" s="35">
        <f t="shared" si="2"/>
        <v>0</v>
      </c>
    </row>
    <row r="20" spans="1:10" ht="17.5" thickBot="1">
      <c r="A20" s="41" t="s">
        <v>602</v>
      </c>
      <c r="B20" s="21" t="s">
        <v>35</v>
      </c>
      <c r="C20" s="13" t="s">
        <v>36</v>
      </c>
      <c r="D20" s="41" t="s">
        <v>579</v>
      </c>
      <c r="E20" s="15" t="str">
        <f>VLOOKUP($B20,DATA!$C:$AF,29,FALSE)</f>
        <v>29 พค 69</v>
      </c>
      <c r="F20" s="15">
        <v>0</v>
      </c>
      <c r="G20" s="16">
        <f t="shared" si="0"/>
        <v>1</v>
      </c>
      <c r="H20" s="42"/>
      <c r="I20" s="35">
        <f t="shared" si="1"/>
        <v>1</v>
      </c>
      <c r="J20" s="35">
        <f t="shared" si="2"/>
        <v>0</v>
      </c>
    </row>
    <row r="21" spans="1:10" ht="17.5" thickBot="1">
      <c r="A21" s="41" t="s">
        <v>602</v>
      </c>
      <c r="B21" s="19" t="s">
        <v>37</v>
      </c>
      <c r="C21" s="13" t="s">
        <v>38</v>
      </c>
      <c r="D21" s="41" t="s">
        <v>579</v>
      </c>
      <c r="E21" s="15" t="str">
        <f>VLOOKUP($B21,DATA!$C:$AF,29,FALSE)</f>
        <v>29 มิย 69</v>
      </c>
      <c r="F21" s="15">
        <v>0</v>
      </c>
      <c r="G21" s="16">
        <f t="shared" si="0"/>
        <v>1</v>
      </c>
      <c r="H21" s="42"/>
      <c r="I21" s="35">
        <f t="shared" si="1"/>
        <v>1</v>
      </c>
      <c r="J21" s="35">
        <f t="shared" si="2"/>
        <v>0</v>
      </c>
    </row>
    <row r="22" spans="1:10" ht="17.5" thickBot="1">
      <c r="A22" s="41" t="s">
        <v>602</v>
      </c>
      <c r="B22" s="21" t="s">
        <v>39</v>
      </c>
      <c r="C22" s="13" t="s">
        <v>40</v>
      </c>
      <c r="D22" s="41" t="s">
        <v>579</v>
      </c>
      <c r="E22" s="15" t="str">
        <f>VLOOKUP($B22,DATA!$C:$AF,29,FALSE)</f>
        <v>29 พค 69</v>
      </c>
      <c r="F22" s="15">
        <v>0</v>
      </c>
      <c r="G22" s="16">
        <f t="shared" si="0"/>
        <v>1</v>
      </c>
      <c r="H22" s="42"/>
      <c r="I22" s="35">
        <f t="shared" si="1"/>
        <v>1</v>
      </c>
      <c r="J22" s="35">
        <f t="shared" si="2"/>
        <v>0</v>
      </c>
    </row>
    <row r="23" spans="1:10" ht="17.5" thickBot="1">
      <c r="A23" s="41" t="s">
        <v>602</v>
      </c>
      <c r="B23" s="19" t="s">
        <v>41</v>
      </c>
      <c r="C23" s="13" t="s">
        <v>42</v>
      </c>
      <c r="D23" s="41" t="s">
        <v>579</v>
      </c>
      <c r="E23" s="15" t="str">
        <f>VLOOKUP($B23,DATA!$C:$AF,29,FALSE)</f>
        <v>29 มิย 69</v>
      </c>
      <c r="F23" s="15">
        <v>0</v>
      </c>
      <c r="G23" s="16">
        <f t="shared" si="0"/>
        <v>1</v>
      </c>
      <c r="H23" s="42"/>
      <c r="I23" s="35">
        <f t="shared" si="1"/>
        <v>1</v>
      </c>
      <c r="J23" s="35">
        <f t="shared" si="2"/>
        <v>0</v>
      </c>
    </row>
    <row r="24" spans="1:10" ht="17.5" thickBot="1">
      <c r="A24" s="41" t="s">
        <v>602</v>
      </c>
      <c r="B24" s="21" t="s">
        <v>43</v>
      </c>
      <c r="C24" s="13" t="s">
        <v>44</v>
      </c>
      <c r="D24" s="41" t="s">
        <v>579</v>
      </c>
      <c r="E24" s="15" t="str">
        <f>VLOOKUP($B24,DATA!$C:$AF,29,FALSE)</f>
        <v>29 มิย 69</v>
      </c>
      <c r="F24" s="15">
        <v>0</v>
      </c>
      <c r="G24" s="16">
        <f t="shared" si="0"/>
        <v>1</v>
      </c>
      <c r="H24" s="42"/>
      <c r="I24" s="35">
        <f t="shared" si="1"/>
        <v>1</v>
      </c>
      <c r="J24" s="35">
        <f t="shared" si="2"/>
        <v>0</v>
      </c>
    </row>
    <row r="25" spans="1:10" ht="17.5" thickBot="1">
      <c r="A25" s="41" t="s">
        <v>602</v>
      </c>
      <c r="B25" s="21" t="s">
        <v>45</v>
      </c>
      <c r="C25" s="13" t="s">
        <v>46</v>
      </c>
      <c r="D25" s="41" t="s">
        <v>579</v>
      </c>
      <c r="E25" s="15" t="str">
        <f>VLOOKUP($B25,DATA!$C:$AF,29,FALSE)</f>
        <v>29 มิย 69</v>
      </c>
      <c r="F25" s="15">
        <v>0</v>
      </c>
      <c r="G25" s="16">
        <f t="shared" si="0"/>
        <v>1</v>
      </c>
      <c r="H25" s="42"/>
      <c r="I25" s="35">
        <f t="shared" si="1"/>
        <v>1</v>
      </c>
      <c r="J25" s="35">
        <f t="shared" si="2"/>
        <v>0</v>
      </c>
    </row>
    <row r="26" spans="1:10" ht="17.5" thickBot="1">
      <c r="A26" s="41" t="s">
        <v>603</v>
      </c>
      <c r="B26" s="19" t="s">
        <v>581</v>
      </c>
      <c r="C26" s="13" t="s">
        <v>538</v>
      </c>
      <c r="D26" s="41" t="s">
        <v>579</v>
      </c>
      <c r="E26" s="15" t="str">
        <f>VLOOKUP($B26,DATA!$C:$AF,29,FALSE)</f>
        <v>29 มิ.ย. 69</v>
      </c>
      <c r="F26" s="15">
        <v>0</v>
      </c>
      <c r="G26" s="16">
        <f t="shared" si="0"/>
        <v>1</v>
      </c>
      <c r="H26" s="42"/>
      <c r="I26" s="35">
        <f t="shared" si="1"/>
        <v>1</v>
      </c>
      <c r="J26" s="35">
        <f t="shared" si="2"/>
        <v>0</v>
      </c>
    </row>
    <row r="27" spans="1:10" ht="17.5" thickBot="1">
      <c r="A27" s="41" t="s">
        <v>603</v>
      </c>
      <c r="B27" s="21" t="s">
        <v>47</v>
      </c>
      <c r="C27" s="13" t="s">
        <v>48</v>
      </c>
      <c r="D27" s="41" t="s">
        <v>579</v>
      </c>
      <c r="E27" s="15" t="str">
        <f>VLOOKUP($B27,DATA!$C:$AF,29,FALSE)</f>
        <v>29 มิ.ย.69</v>
      </c>
      <c r="F27" s="15">
        <v>0</v>
      </c>
      <c r="G27" s="16">
        <f t="shared" si="0"/>
        <v>1</v>
      </c>
      <c r="H27" s="42"/>
      <c r="I27" s="35">
        <f t="shared" si="1"/>
        <v>1</v>
      </c>
      <c r="J27" s="35">
        <f t="shared" si="2"/>
        <v>0</v>
      </c>
    </row>
    <row r="28" spans="1:10" ht="17.5" thickBot="1">
      <c r="A28" s="41" t="s">
        <v>603</v>
      </c>
      <c r="B28" s="21" t="s">
        <v>49</v>
      </c>
      <c r="C28" s="13" t="s">
        <v>50</v>
      </c>
      <c r="D28" s="41" t="s">
        <v>579</v>
      </c>
      <c r="E28" s="15" t="str">
        <f>VLOOKUP($B28,DATA!$C:$AF,29,FALSE)</f>
        <v>29 มิ.ย.69</v>
      </c>
      <c r="F28" s="15">
        <v>0</v>
      </c>
      <c r="G28" s="16">
        <f t="shared" si="0"/>
        <v>1</v>
      </c>
      <c r="H28" s="42"/>
      <c r="I28" s="35">
        <f t="shared" si="1"/>
        <v>1</v>
      </c>
      <c r="J28" s="35">
        <f t="shared" si="2"/>
        <v>0</v>
      </c>
    </row>
    <row r="29" spans="1:10" ht="17.5" thickBot="1">
      <c r="A29" s="41" t="s">
        <v>603</v>
      </c>
      <c r="B29" s="21" t="s">
        <v>51</v>
      </c>
      <c r="C29" s="13" t="s">
        <v>52</v>
      </c>
      <c r="D29" s="41" t="s">
        <v>579</v>
      </c>
      <c r="E29" s="15" t="str">
        <f>VLOOKUP($B29,DATA!$C:$AF,29,FALSE)</f>
        <v>29 มิ.ย.69</v>
      </c>
      <c r="F29" s="15">
        <v>0</v>
      </c>
      <c r="G29" s="16">
        <f t="shared" si="0"/>
        <v>1</v>
      </c>
      <c r="H29" s="42"/>
      <c r="I29" s="35">
        <f t="shared" si="1"/>
        <v>1</v>
      </c>
      <c r="J29" s="35">
        <f t="shared" si="2"/>
        <v>0</v>
      </c>
    </row>
    <row r="30" spans="1:10" ht="17.5" thickBot="1">
      <c r="A30" s="41" t="s">
        <v>603</v>
      </c>
      <c r="B30" s="21" t="s">
        <v>53</v>
      </c>
      <c r="C30" s="13" t="s">
        <v>54</v>
      </c>
      <c r="D30" s="41" t="s">
        <v>579</v>
      </c>
      <c r="E30" s="15" t="str">
        <f>VLOOKUP($B30,DATA!$C:$AF,29,FALSE)</f>
        <v>29 มิ.ย.69</v>
      </c>
      <c r="F30" s="15">
        <v>0</v>
      </c>
      <c r="G30" s="16">
        <f t="shared" si="0"/>
        <v>1</v>
      </c>
      <c r="H30" s="42"/>
      <c r="I30" s="35">
        <f t="shared" si="1"/>
        <v>1</v>
      </c>
      <c r="J30" s="35">
        <f t="shared" si="2"/>
        <v>0</v>
      </c>
    </row>
    <row r="31" spans="1:10" ht="17.5" thickBot="1">
      <c r="A31" s="41" t="s">
        <v>603</v>
      </c>
      <c r="B31" s="21" t="s">
        <v>55</v>
      </c>
      <c r="C31" s="13" t="s">
        <v>56</v>
      </c>
      <c r="D31" s="41" t="s">
        <v>579</v>
      </c>
      <c r="E31" s="15" t="str">
        <f>VLOOKUP($B31,DATA!$C:$AF,29,FALSE)</f>
        <v>29 มิ.ย.69</v>
      </c>
      <c r="F31" s="15">
        <v>0</v>
      </c>
      <c r="G31" s="16">
        <f t="shared" si="0"/>
        <v>1</v>
      </c>
      <c r="H31" s="42"/>
      <c r="I31" s="35">
        <f t="shared" si="1"/>
        <v>1</v>
      </c>
      <c r="J31" s="35">
        <f t="shared" si="2"/>
        <v>0</v>
      </c>
    </row>
    <row r="32" spans="1:10" ht="17.5" thickBot="1">
      <c r="A32" s="41" t="s">
        <v>603</v>
      </c>
      <c r="B32" s="21" t="s">
        <v>57</v>
      </c>
      <c r="C32" s="13" t="s">
        <v>58</v>
      </c>
      <c r="D32" s="41" t="s">
        <v>579</v>
      </c>
      <c r="E32" s="15" t="str">
        <f>VLOOKUP($B32,DATA!$C:$AF,29,FALSE)</f>
        <v>30 มิ.ย.69</v>
      </c>
      <c r="F32" s="15">
        <v>0</v>
      </c>
      <c r="G32" s="16">
        <f t="shared" si="0"/>
        <v>1</v>
      </c>
      <c r="H32" s="42"/>
      <c r="I32" s="35">
        <f t="shared" si="1"/>
        <v>1</v>
      </c>
      <c r="J32" s="35">
        <f t="shared" si="2"/>
        <v>0</v>
      </c>
    </row>
    <row r="33" spans="1:10" ht="17.5" thickBot="1">
      <c r="A33" s="41" t="s">
        <v>603</v>
      </c>
      <c r="B33" s="21" t="s">
        <v>59</v>
      </c>
      <c r="C33" s="13" t="s">
        <v>60</v>
      </c>
      <c r="D33" s="41" t="s">
        <v>579</v>
      </c>
      <c r="E33" s="15" t="str">
        <f>VLOOKUP($B33,DATA!$C:$AF,29,FALSE)</f>
        <v>30 มิ.ย.69</v>
      </c>
      <c r="F33" s="15">
        <v>0</v>
      </c>
      <c r="G33" s="16">
        <f t="shared" si="0"/>
        <v>1</v>
      </c>
      <c r="H33" s="42"/>
      <c r="I33" s="35">
        <f t="shared" si="1"/>
        <v>1</v>
      </c>
      <c r="J33" s="35">
        <f t="shared" si="2"/>
        <v>0</v>
      </c>
    </row>
    <row r="34" spans="1:10" ht="17.5" thickBot="1">
      <c r="A34" s="41" t="s">
        <v>603</v>
      </c>
      <c r="B34" s="21" t="s">
        <v>61</v>
      </c>
      <c r="C34" s="13" t="s">
        <v>62</v>
      </c>
      <c r="D34" s="41" t="s">
        <v>579</v>
      </c>
      <c r="E34" s="15" t="str">
        <f>VLOOKUP($B34,DATA!$C:$AF,29,FALSE)</f>
        <v>30 มิ.ย.69</v>
      </c>
      <c r="F34" s="15">
        <v>0</v>
      </c>
      <c r="G34" s="16">
        <f t="shared" si="0"/>
        <v>1</v>
      </c>
      <c r="H34" s="42"/>
      <c r="I34" s="35">
        <f t="shared" si="1"/>
        <v>1</v>
      </c>
      <c r="J34" s="35">
        <f t="shared" si="2"/>
        <v>0</v>
      </c>
    </row>
    <row r="35" spans="1:10" ht="17.5" thickBot="1">
      <c r="A35" s="41" t="s">
        <v>603</v>
      </c>
      <c r="B35" s="21" t="s">
        <v>63</v>
      </c>
      <c r="C35" s="13" t="s">
        <v>64</v>
      </c>
      <c r="D35" s="41" t="s">
        <v>579</v>
      </c>
      <c r="E35" s="15" t="str">
        <f>VLOOKUP($B35,DATA!$C:$AF,29,FALSE)</f>
        <v>30 มิ.ย.69</v>
      </c>
      <c r="F35" s="15">
        <v>0</v>
      </c>
      <c r="G35" s="16">
        <f t="shared" si="0"/>
        <v>1</v>
      </c>
      <c r="H35" s="42"/>
      <c r="I35" s="35">
        <f t="shared" si="1"/>
        <v>1</v>
      </c>
      <c r="J35" s="35">
        <f t="shared" si="2"/>
        <v>0</v>
      </c>
    </row>
    <row r="36" spans="1:10" ht="17.5" thickBot="1">
      <c r="A36" s="41" t="s">
        <v>603</v>
      </c>
      <c r="B36" s="21" t="s">
        <v>65</v>
      </c>
      <c r="C36" s="13" t="s">
        <v>66</v>
      </c>
      <c r="D36" s="41" t="s">
        <v>579</v>
      </c>
      <c r="E36" s="15" t="str">
        <f>VLOOKUP($B36,DATA!$C:$AF,29,FALSE)</f>
        <v>29 มิ.ย.69</v>
      </c>
      <c r="F36" s="15">
        <v>0</v>
      </c>
      <c r="G36" s="16">
        <f t="shared" si="0"/>
        <v>1</v>
      </c>
      <c r="H36" s="42"/>
      <c r="I36" s="35">
        <f t="shared" si="1"/>
        <v>1</v>
      </c>
      <c r="J36" s="35">
        <f t="shared" si="2"/>
        <v>0</v>
      </c>
    </row>
    <row r="37" spans="1:10" ht="17.5" thickBot="1">
      <c r="A37" s="41" t="s">
        <v>603</v>
      </c>
      <c r="B37" s="19" t="s">
        <v>67</v>
      </c>
      <c r="C37" s="13" t="s">
        <v>68</v>
      </c>
      <c r="D37" s="41" t="s">
        <v>579</v>
      </c>
      <c r="E37" s="15" t="str">
        <f>VLOOKUP($B37,DATA!$C:$AF,29,FALSE)</f>
        <v>29 มิ.ย.69</v>
      </c>
      <c r="F37" s="15">
        <v>0</v>
      </c>
      <c r="G37" s="16">
        <f t="shared" si="0"/>
        <v>1</v>
      </c>
      <c r="H37" s="43"/>
      <c r="I37" s="35">
        <f t="shared" si="1"/>
        <v>1</v>
      </c>
      <c r="J37" s="35">
        <f t="shared" si="2"/>
        <v>0</v>
      </c>
    </row>
    <row r="38" spans="1:10" ht="17.5" thickBot="1">
      <c r="A38" s="41" t="s">
        <v>603</v>
      </c>
      <c r="B38" s="21" t="s">
        <v>103</v>
      </c>
      <c r="C38" s="13" t="s">
        <v>104</v>
      </c>
      <c r="D38" s="41" t="s">
        <v>579</v>
      </c>
      <c r="E38" s="15" t="str">
        <f>VLOOKUP($B38,DATA!$C:$AF,29,FALSE)</f>
        <v>29 มิ.ย.69</v>
      </c>
      <c r="F38" s="15">
        <v>0</v>
      </c>
      <c r="G38" s="16">
        <f t="shared" si="0"/>
        <v>1</v>
      </c>
      <c r="H38" s="43"/>
      <c r="I38" s="35">
        <f t="shared" si="1"/>
        <v>1</v>
      </c>
      <c r="J38" s="35">
        <f t="shared" si="2"/>
        <v>0</v>
      </c>
    </row>
    <row r="39" spans="1:10" ht="17.5" thickBot="1">
      <c r="A39" s="41" t="s">
        <v>603</v>
      </c>
      <c r="B39" s="19" t="s">
        <v>69</v>
      </c>
      <c r="C39" s="13" t="s">
        <v>70</v>
      </c>
      <c r="D39" s="41" t="s">
        <v>580</v>
      </c>
      <c r="E39" s="15" t="str">
        <f>VLOOKUP($B39,DATA!$C:$AF,29,FALSE)</f>
        <v>29 มิ.ย.69</v>
      </c>
      <c r="F39" s="15">
        <v>0</v>
      </c>
      <c r="G39" s="16">
        <f t="shared" si="0"/>
        <v>1</v>
      </c>
      <c r="H39" s="43"/>
      <c r="I39" s="35">
        <f t="shared" si="1"/>
        <v>1</v>
      </c>
      <c r="J39" s="35">
        <f t="shared" si="2"/>
        <v>0</v>
      </c>
    </row>
    <row r="40" spans="1:10" ht="17.5" thickBot="1">
      <c r="A40" s="41" t="s">
        <v>603</v>
      </c>
      <c r="B40" s="23" t="s">
        <v>71</v>
      </c>
      <c r="C40" s="13" t="s">
        <v>72</v>
      </c>
      <c r="D40" s="41" t="s">
        <v>579</v>
      </c>
      <c r="E40" s="15" t="str">
        <f>VLOOKUP($B40,DATA!$C:$AF,29,FALSE)</f>
        <v>30 มิ.ย.69</v>
      </c>
      <c r="F40" s="15">
        <v>0</v>
      </c>
      <c r="G40" s="16">
        <f t="shared" si="0"/>
        <v>1</v>
      </c>
      <c r="H40" s="43"/>
      <c r="I40" s="35">
        <f t="shared" si="1"/>
        <v>1</v>
      </c>
      <c r="J40" s="35">
        <f t="shared" si="2"/>
        <v>0</v>
      </c>
    </row>
    <row r="41" spans="1:10" ht="17.5" thickBot="1">
      <c r="A41" s="41" t="s">
        <v>603</v>
      </c>
      <c r="B41" s="23" t="s">
        <v>73</v>
      </c>
      <c r="C41" s="13" t="s">
        <v>74</v>
      </c>
      <c r="D41" s="41" t="s">
        <v>579</v>
      </c>
      <c r="E41" s="15" t="str">
        <f>VLOOKUP($B41,DATA!$C:$AF,29,FALSE)</f>
        <v>30 มิ.ย.69</v>
      </c>
      <c r="F41" s="15">
        <v>0</v>
      </c>
      <c r="G41" s="16">
        <f t="shared" si="0"/>
        <v>1</v>
      </c>
      <c r="H41" s="43"/>
      <c r="I41" s="35">
        <f t="shared" si="1"/>
        <v>1</v>
      </c>
      <c r="J41" s="35">
        <f t="shared" si="2"/>
        <v>0</v>
      </c>
    </row>
    <row r="42" spans="1:10" ht="17.5" thickBot="1">
      <c r="A42" s="41" t="s">
        <v>603</v>
      </c>
      <c r="B42" s="23" t="s">
        <v>75</v>
      </c>
      <c r="C42" s="13" t="s">
        <v>76</v>
      </c>
      <c r="D42" s="41" t="s">
        <v>579</v>
      </c>
      <c r="E42" s="15" t="str">
        <f>VLOOKUP($B42,DATA!$C:$AF,29,FALSE)</f>
        <v>29 มิ.ย.69</v>
      </c>
      <c r="F42" s="15">
        <v>0</v>
      </c>
      <c r="G42" s="16">
        <f t="shared" si="0"/>
        <v>1</v>
      </c>
      <c r="H42" s="43"/>
      <c r="I42" s="35">
        <f t="shared" si="1"/>
        <v>1</v>
      </c>
      <c r="J42" s="35">
        <f t="shared" si="2"/>
        <v>0</v>
      </c>
    </row>
    <row r="43" spans="1:10" ht="17.5" thickBot="1">
      <c r="A43" s="41" t="s">
        <v>603</v>
      </c>
      <c r="B43" s="23" t="s">
        <v>554</v>
      </c>
      <c r="C43" s="13" t="s">
        <v>582</v>
      </c>
      <c r="D43" s="41" t="s">
        <v>579</v>
      </c>
      <c r="E43" s="15" t="str">
        <f>VLOOKUP($B43,DATA!$C:$AF,29,FALSE)</f>
        <v>29 มิ.ย.69</v>
      </c>
      <c r="F43" s="15">
        <v>0</v>
      </c>
      <c r="G43" s="16">
        <f t="shared" si="0"/>
        <v>1</v>
      </c>
      <c r="H43" s="43"/>
      <c r="I43" s="35">
        <f t="shared" si="1"/>
        <v>1</v>
      </c>
      <c r="J43" s="35">
        <f t="shared" si="2"/>
        <v>0</v>
      </c>
    </row>
    <row r="44" spans="1:10" ht="17.5" thickBot="1">
      <c r="A44" s="41" t="s">
        <v>603</v>
      </c>
      <c r="B44" s="19" t="s">
        <v>77</v>
      </c>
      <c r="C44" s="13" t="s">
        <v>78</v>
      </c>
      <c r="D44" s="41" t="s">
        <v>579</v>
      </c>
      <c r="E44" s="15" t="str">
        <f>VLOOKUP($B44,DATA!$C:$AF,29,FALSE)</f>
        <v>29 มิ.ย.69</v>
      </c>
      <c r="F44" s="15">
        <v>0</v>
      </c>
      <c r="G44" s="16">
        <f t="shared" si="0"/>
        <v>1</v>
      </c>
      <c r="H44" s="43"/>
      <c r="I44" s="35">
        <f t="shared" si="1"/>
        <v>1</v>
      </c>
      <c r="J44" s="35">
        <f t="shared" si="2"/>
        <v>0</v>
      </c>
    </row>
    <row r="45" spans="1:10" ht="17.5" thickBot="1">
      <c r="A45" s="41" t="s">
        <v>603</v>
      </c>
      <c r="B45" s="13" t="s">
        <v>79</v>
      </c>
      <c r="C45" s="13" t="s">
        <v>80</v>
      </c>
      <c r="D45" s="41" t="s">
        <v>579</v>
      </c>
      <c r="E45" s="15" t="str">
        <f>VLOOKUP($B45,DATA!$C:$AF,29,FALSE)</f>
        <v>29 มิ.ย.69</v>
      </c>
      <c r="F45" s="15">
        <v>0</v>
      </c>
      <c r="G45" s="16">
        <f t="shared" si="0"/>
        <v>1</v>
      </c>
      <c r="H45" s="43"/>
      <c r="I45" s="35">
        <f t="shared" si="1"/>
        <v>1</v>
      </c>
      <c r="J45" s="35">
        <f t="shared" si="2"/>
        <v>0</v>
      </c>
    </row>
    <row r="46" spans="1:10" ht="17.5" thickBot="1">
      <c r="A46" s="41" t="s">
        <v>603</v>
      </c>
      <c r="B46" s="13" t="s">
        <v>81</v>
      </c>
      <c r="C46" s="13" t="s">
        <v>82</v>
      </c>
      <c r="D46" s="41" t="s">
        <v>579</v>
      </c>
      <c r="E46" s="15" t="str">
        <f>VLOOKUP($B46,DATA!$C:$AF,29,FALSE)</f>
        <v>29 มิ.ย.69</v>
      </c>
      <c r="F46" s="15">
        <v>0</v>
      </c>
      <c r="G46" s="16">
        <f t="shared" si="0"/>
        <v>1</v>
      </c>
      <c r="H46" s="43"/>
      <c r="I46" s="35">
        <f t="shared" si="1"/>
        <v>1</v>
      </c>
      <c r="J46" s="35">
        <f t="shared" si="2"/>
        <v>0</v>
      </c>
    </row>
    <row r="47" spans="1:10" ht="17.5" thickBot="1">
      <c r="A47" s="41" t="s">
        <v>603</v>
      </c>
      <c r="B47" s="21" t="s">
        <v>83</v>
      </c>
      <c r="C47" s="13" t="s">
        <v>84</v>
      </c>
      <c r="D47" s="41" t="s">
        <v>579</v>
      </c>
      <c r="E47" s="15" t="str">
        <f>VLOOKUP($B47,DATA!$C:$AF,29,FALSE)</f>
        <v>12 มิ.ย.69</v>
      </c>
      <c r="F47" s="15">
        <v>0</v>
      </c>
      <c r="G47" s="16">
        <f t="shared" si="0"/>
        <v>1</v>
      </c>
      <c r="H47" s="43"/>
      <c r="I47" s="35">
        <f t="shared" si="1"/>
        <v>1</v>
      </c>
      <c r="J47" s="35">
        <f t="shared" si="2"/>
        <v>0</v>
      </c>
    </row>
    <row r="48" spans="1:10" ht="17.5" thickBot="1">
      <c r="A48" s="41" t="s">
        <v>603</v>
      </c>
      <c r="B48" s="21" t="s">
        <v>85</v>
      </c>
      <c r="C48" s="13" t="s">
        <v>86</v>
      </c>
      <c r="D48" s="41" t="s">
        <v>579</v>
      </c>
      <c r="E48" s="15" t="str">
        <f>VLOOKUP($B48,DATA!$C:$AF,29,FALSE)</f>
        <v>29 มิ.ย.69</v>
      </c>
      <c r="F48" s="15">
        <v>0</v>
      </c>
      <c r="G48" s="16">
        <f t="shared" si="0"/>
        <v>1</v>
      </c>
      <c r="H48" s="43"/>
      <c r="I48" s="35">
        <f t="shared" si="1"/>
        <v>1</v>
      </c>
      <c r="J48" s="35">
        <f t="shared" si="2"/>
        <v>0</v>
      </c>
    </row>
    <row r="49" spans="1:10" ht="17.5" thickBot="1">
      <c r="A49" s="41" t="s">
        <v>603</v>
      </c>
      <c r="B49" s="24" t="s">
        <v>536</v>
      </c>
      <c r="C49" s="25" t="s">
        <v>537</v>
      </c>
      <c r="D49" s="41" t="s">
        <v>579</v>
      </c>
      <c r="E49" s="15" t="str">
        <f>VLOOKUP($B49,DATA!$C:$AF,29,FALSE)</f>
        <v>29 มิ.ย.69</v>
      </c>
      <c r="F49" s="15">
        <v>0</v>
      </c>
      <c r="G49" s="16">
        <f t="shared" si="0"/>
        <v>1</v>
      </c>
      <c r="H49" s="43"/>
      <c r="I49" s="35">
        <f t="shared" si="1"/>
        <v>1</v>
      </c>
      <c r="J49" s="35">
        <f t="shared" si="2"/>
        <v>0</v>
      </c>
    </row>
    <row r="50" spans="1:10" ht="17.5" thickBot="1">
      <c r="A50" s="41" t="s">
        <v>603</v>
      </c>
      <c r="B50" s="22" t="s">
        <v>532</v>
      </c>
      <c r="C50" s="22" t="s">
        <v>533</v>
      </c>
      <c r="D50" s="41" t="s">
        <v>579</v>
      </c>
      <c r="E50" s="15" t="str">
        <f>VLOOKUP($B50,DATA!$C:$AF,29,FALSE)</f>
        <v>29 มิ.ย.69</v>
      </c>
      <c r="F50" s="15">
        <v>0</v>
      </c>
      <c r="G50" s="16">
        <f t="shared" si="0"/>
        <v>1</v>
      </c>
      <c r="H50" s="43"/>
      <c r="I50" s="35">
        <f t="shared" si="1"/>
        <v>1</v>
      </c>
      <c r="J50" s="35">
        <f t="shared" si="2"/>
        <v>0</v>
      </c>
    </row>
    <row r="51" spans="1:10" ht="17.5" thickBot="1">
      <c r="A51" s="41" t="s">
        <v>603</v>
      </c>
      <c r="B51" s="13" t="s">
        <v>87</v>
      </c>
      <c r="C51" s="13" t="s">
        <v>88</v>
      </c>
      <c r="D51" s="41" t="s">
        <v>579</v>
      </c>
      <c r="E51" s="15" t="str">
        <f>VLOOKUP($B51,DATA!$C:$AF,29,FALSE)</f>
        <v>29 มิ.ย.69</v>
      </c>
      <c r="F51" s="15">
        <v>0</v>
      </c>
      <c r="G51" s="16">
        <f t="shared" si="0"/>
        <v>1</v>
      </c>
      <c r="H51" s="43"/>
      <c r="I51" s="35">
        <f t="shared" si="1"/>
        <v>1</v>
      </c>
      <c r="J51" s="35">
        <f t="shared" si="2"/>
        <v>0</v>
      </c>
    </row>
    <row r="52" spans="1:10" ht="17.5" thickBot="1">
      <c r="A52" s="41" t="s">
        <v>603</v>
      </c>
      <c r="B52" s="22" t="s">
        <v>89</v>
      </c>
      <c r="C52" s="22" t="s">
        <v>90</v>
      </c>
      <c r="D52" s="41" t="s">
        <v>579</v>
      </c>
      <c r="E52" s="15" t="str">
        <f>VLOOKUP($B52,DATA!$C:$AF,29,FALSE)</f>
        <v>29 มิ.ย.69</v>
      </c>
      <c r="F52" s="15">
        <v>0</v>
      </c>
      <c r="G52" s="16">
        <f t="shared" si="0"/>
        <v>1</v>
      </c>
      <c r="H52" s="43"/>
      <c r="I52" s="35">
        <f t="shared" si="1"/>
        <v>1</v>
      </c>
      <c r="J52" s="35">
        <f t="shared" si="2"/>
        <v>0</v>
      </c>
    </row>
    <row r="53" spans="1:10" ht="17.5" thickBot="1">
      <c r="A53" s="41" t="s">
        <v>603</v>
      </c>
      <c r="B53" s="21" t="s">
        <v>91</v>
      </c>
      <c r="C53" s="13" t="s">
        <v>92</v>
      </c>
      <c r="D53" s="41" t="s">
        <v>580</v>
      </c>
      <c r="E53" s="15" t="str">
        <f>VLOOKUP($B53,DATA!$C:$AF,29,FALSE)</f>
        <v>30 มิ.ย.69</v>
      </c>
      <c r="F53" s="15">
        <v>0</v>
      </c>
      <c r="G53" s="16">
        <f t="shared" si="0"/>
        <v>1</v>
      </c>
      <c r="H53" s="43"/>
      <c r="I53" s="35">
        <f t="shared" si="1"/>
        <v>1</v>
      </c>
      <c r="J53" s="35">
        <f t="shared" si="2"/>
        <v>0</v>
      </c>
    </row>
    <row r="54" spans="1:10" ht="17.5" thickBot="1">
      <c r="A54" s="41" t="s">
        <v>603</v>
      </c>
      <c r="B54" s="13" t="s">
        <v>93</v>
      </c>
      <c r="C54" s="13" t="s">
        <v>94</v>
      </c>
      <c r="D54" s="41" t="s">
        <v>579</v>
      </c>
      <c r="E54" s="15" t="str">
        <f>VLOOKUP($B54,DATA!$C:$AF,29,FALSE)</f>
        <v>29 มิ.ย.69</v>
      </c>
      <c r="F54" s="15">
        <v>0</v>
      </c>
      <c r="G54" s="16">
        <f t="shared" si="0"/>
        <v>1</v>
      </c>
      <c r="H54" s="43"/>
      <c r="I54" s="35">
        <f t="shared" si="1"/>
        <v>1</v>
      </c>
      <c r="J54" s="35">
        <f t="shared" si="2"/>
        <v>0</v>
      </c>
    </row>
    <row r="55" spans="1:10" ht="17.5" thickBot="1">
      <c r="A55" s="41" t="s">
        <v>603</v>
      </c>
      <c r="B55" s="21" t="s">
        <v>95</v>
      </c>
      <c r="C55" s="13" t="s">
        <v>96</v>
      </c>
      <c r="D55" s="41" t="s">
        <v>579</v>
      </c>
      <c r="E55" s="15" t="str">
        <f>VLOOKUP($B55,DATA!$C:$AF,29,FALSE)</f>
        <v>29 มิ.ย.69</v>
      </c>
      <c r="F55" s="15">
        <v>0</v>
      </c>
      <c r="G55" s="16">
        <f t="shared" si="0"/>
        <v>1</v>
      </c>
      <c r="H55" s="43"/>
      <c r="I55" s="35">
        <f t="shared" si="1"/>
        <v>1</v>
      </c>
      <c r="J55" s="35">
        <f t="shared" si="2"/>
        <v>0</v>
      </c>
    </row>
    <row r="56" spans="1:10" ht="17.5" thickBot="1">
      <c r="A56" s="41" t="s">
        <v>603</v>
      </c>
      <c r="B56" s="21" t="s">
        <v>97</v>
      </c>
      <c r="C56" s="13" t="s">
        <v>98</v>
      </c>
      <c r="D56" s="41" t="s">
        <v>579</v>
      </c>
      <c r="E56" s="15" t="str">
        <f>VLOOKUP($B56,DATA!$C:$AF,29,FALSE)</f>
        <v>29 มิ.ย.69</v>
      </c>
      <c r="F56" s="15">
        <v>0</v>
      </c>
      <c r="G56" s="16">
        <f t="shared" si="0"/>
        <v>1</v>
      </c>
      <c r="H56" s="42"/>
      <c r="I56" s="35">
        <f t="shared" si="1"/>
        <v>1</v>
      </c>
      <c r="J56" s="35">
        <f t="shared" si="2"/>
        <v>0</v>
      </c>
    </row>
    <row r="57" spans="1:10" ht="17.5" thickBot="1">
      <c r="A57" s="41" t="s">
        <v>603</v>
      </c>
      <c r="B57" s="21" t="s">
        <v>99</v>
      </c>
      <c r="C57" s="13" t="s">
        <v>100</v>
      </c>
      <c r="D57" s="41" t="s">
        <v>579</v>
      </c>
      <c r="E57" s="15" t="str">
        <f>VLOOKUP($B57,DATA!$C:$AF,29,FALSE)</f>
        <v>29 มิ.ย.69</v>
      </c>
      <c r="F57" s="15">
        <v>0</v>
      </c>
      <c r="G57" s="16">
        <f t="shared" si="0"/>
        <v>1</v>
      </c>
      <c r="H57" s="43"/>
      <c r="I57" s="35">
        <f t="shared" si="1"/>
        <v>1</v>
      </c>
      <c r="J57" s="35">
        <f t="shared" si="2"/>
        <v>0</v>
      </c>
    </row>
    <row r="58" spans="1:10" ht="17.5" thickBot="1">
      <c r="A58" s="41" t="s">
        <v>603</v>
      </c>
      <c r="B58" s="13" t="s">
        <v>101</v>
      </c>
      <c r="C58" s="13" t="s">
        <v>102</v>
      </c>
      <c r="D58" s="41" t="s">
        <v>579</v>
      </c>
      <c r="E58" s="15" t="str">
        <f>VLOOKUP($B58,DATA!$C:$AF,29,FALSE)</f>
        <v>29 มิ.ย.69</v>
      </c>
      <c r="F58" s="15">
        <v>0</v>
      </c>
      <c r="G58" s="16">
        <f t="shared" si="0"/>
        <v>1</v>
      </c>
      <c r="H58" s="42"/>
      <c r="I58" s="35">
        <f t="shared" si="1"/>
        <v>1</v>
      </c>
      <c r="J58" s="35">
        <f t="shared" si="2"/>
        <v>0</v>
      </c>
    </row>
    <row r="59" spans="1:10" ht="17.5" thickBot="1">
      <c r="A59" s="41" t="s">
        <v>603</v>
      </c>
      <c r="B59" s="13" t="s">
        <v>105</v>
      </c>
      <c r="C59" s="13" t="s">
        <v>106</v>
      </c>
      <c r="D59" s="41" t="s">
        <v>579</v>
      </c>
      <c r="E59" s="15" t="str">
        <f>VLOOKUP($B59,DATA!$C:$AF,29,FALSE)</f>
        <v>12 มิ.ย.69</v>
      </c>
      <c r="F59" s="15">
        <v>0</v>
      </c>
      <c r="G59" s="16">
        <f t="shared" si="0"/>
        <v>1</v>
      </c>
      <c r="H59" s="42"/>
      <c r="I59" s="35">
        <f t="shared" si="1"/>
        <v>1</v>
      </c>
      <c r="J59" s="35">
        <f t="shared" si="2"/>
        <v>0</v>
      </c>
    </row>
    <row r="60" spans="1:10" ht="17.5" thickBot="1">
      <c r="A60" s="41" t="s">
        <v>603</v>
      </c>
      <c r="B60" s="21" t="s">
        <v>107</v>
      </c>
      <c r="C60" s="13" t="s">
        <v>108</v>
      </c>
      <c r="D60" s="41" t="s">
        <v>579</v>
      </c>
      <c r="E60" s="15" t="str">
        <f>VLOOKUP($B60,DATA!$C:$AF,29,FALSE)</f>
        <v>12 มิ.ย.69</v>
      </c>
      <c r="F60" s="15">
        <v>0</v>
      </c>
      <c r="G60" s="16">
        <f t="shared" si="0"/>
        <v>1</v>
      </c>
      <c r="H60" s="42"/>
      <c r="I60" s="35">
        <f t="shared" si="1"/>
        <v>1</v>
      </c>
      <c r="J60" s="35">
        <f t="shared" si="2"/>
        <v>0</v>
      </c>
    </row>
    <row r="61" spans="1:10" ht="17.5" thickBot="1">
      <c r="A61" s="41" t="s">
        <v>603</v>
      </c>
      <c r="B61" s="26" t="s">
        <v>523</v>
      </c>
      <c r="C61" s="26" t="s">
        <v>524</v>
      </c>
      <c r="D61" s="41" t="s">
        <v>579</v>
      </c>
      <c r="E61" s="15" t="str">
        <f>VLOOKUP($B61,DATA!$C:$AF,29,FALSE)</f>
        <v>12 มิ.ย.69</v>
      </c>
      <c r="F61" s="15">
        <v>0</v>
      </c>
      <c r="G61" s="16">
        <f t="shared" si="0"/>
        <v>1</v>
      </c>
      <c r="H61" s="42"/>
      <c r="I61" s="35">
        <f t="shared" si="1"/>
        <v>1</v>
      </c>
      <c r="J61" s="35">
        <f t="shared" si="2"/>
        <v>0</v>
      </c>
    </row>
    <row r="62" spans="1:10" ht="17.5" thickBot="1">
      <c r="A62" s="41" t="s">
        <v>603</v>
      </c>
      <c r="B62" s="22" t="s">
        <v>534</v>
      </c>
      <c r="C62" s="22" t="s">
        <v>535</v>
      </c>
      <c r="D62" s="41" t="s">
        <v>580</v>
      </c>
      <c r="E62" s="15" t="str">
        <f>VLOOKUP($B62,DATA!$C:$AF,29,FALSE)</f>
        <v>29 มิ.ย.69</v>
      </c>
      <c r="F62" s="15">
        <v>0</v>
      </c>
      <c r="G62" s="16">
        <f t="shared" si="0"/>
        <v>1</v>
      </c>
      <c r="H62" s="43"/>
      <c r="I62" s="35">
        <f t="shared" si="1"/>
        <v>1</v>
      </c>
      <c r="J62" s="35">
        <f t="shared" si="2"/>
        <v>0</v>
      </c>
    </row>
    <row r="63" spans="1:10" ht="17.5" thickBot="1">
      <c r="A63" s="41" t="s">
        <v>603</v>
      </c>
      <c r="B63" s="22" t="s">
        <v>109</v>
      </c>
      <c r="C63" s="13" t="s">
        <v>583</v>
      </c>
      <c r="D63" s="41" t="s">
        <v>599</v>
      </c>
      <c r="E63" s="15" t="str">
        <f>VLOOKUP($B63,DATA!$C:$AF,29,FALSE)</f>
        <v>29 มิ.ย.69</v>
      </c>
      <c r="F63" s="15">
        <v>0</v>
      </c>
      <c r="G63" s="16">
        <f t="shared" si="0"/>
        <v>1</v>
      </c>
      <c r="H63" s="43"/>
      <c r="I63" s="35">
        <f t="shared" si="1"/>
        <v>1</v>
      </c>
      <c r="J63" s="35">
        <f t="shared" si="2"/>
        <v>0</v>
      </c>
    </row>
    <row r="64" spans="1:10" ht="17.5" thickBot="1">
      <c r="A64" s="41" t="s">
        <v>604</v>
      </c>
      <c r="B64" s="27" t="s">
        <v>110</v>
      </c>
      <c r="C64" s="13" t="s">
        <v>111</v>
      </c>
      <c r="D64" s="41" t="s">
        <v>579</v>
      </c>
      <c r="E64" s="15" t="str">
        <f>VLOOKUP($B64,DATA!$C:$AF,29,FALSE)</f>
        <v>24 มิ.ย.69</v>
      </c>
      <c r="F64" s="15">
        <v>0</v>
      </c>
      <c r="G64" s="16">
        <f t="shared" si="0"/>
        <v>1</v>
      </c>
      <c r="H64" s="43"/>
      <c r="I64" s="35">
        <f t="shared" si="1"/>
        <v>1</v>
      </c>
      <c r="J64" s="35">
        <f t="shared" si="2"/>
        <v>0</v>
      </c>
    </row>
    <row r="65" spans="1:10" ht="17.5" thickBot="1">
      <c r="A65" s="41" t="s">
        <v>604</v>
      </c>
      <c r="B65" s="21" t="s">
        <v>112</v>
      </c>
      <c r="C65" s="13" t="s">
        <v>113</v>
      </c>
      <c r="D65" s="41" t="s">
        <v>579</v>
      </c>
      <c r="E65" s="15" t="str">
        <f>VLOOKUP($B65,DATA!$C:$AF,29,FALSE)</f>
        <v>24 มิ.ย.69</v>
      </c>
      <c r="F65" s="15">
        <v>0</v>
      </c>
      <c r="G65" s="16">
        <f t="shared" si="0"/>
        <v>1</v>
      </c>
      <c r="H65" s="43"/>
      <c r="I65" s="35">
        <f t="shared" si="1"/>
        <v>1</v>
      </c>
      <c r="J65" s="35">
        <f t="shared" si="2"/>
        <v>0</v>
      </c>
    </row>
    <row r="66" spans="1:10" ht="17.5" thickBot="1">
      <c r="A66" s="41" t="s">
        <v>604</v>
      </c>
      <c r="B66" s="21" t="s">
        <v>114</v>
      </c>
      <c r="C66" s="13" t="s">
        <v>115</v>
      </c>
      <c r="D66" s="41" t="s">
        <v>579</v>
      </c>
      <c r="E66" s="15" t="str">
        <f>VLOOKUP($B66,DATA!$C:$AF,29,FALSE)</f>
        <v>24 มิ.ย.69</v>
      </c>
      <c r="F66" s="15">
        <v>0</v>
      </c>
      <c r="G66" s="16">
        <f t="shared" si="0"/>
        <v>1</v>
      </c>
      <c r="H66" s="43"/>
      <c r="I66" s="35">
        <f t="shared" si="1"/>
        <v>1</v>
      </c>
      <c r="J66" s="35">
        <f t="shared" si="2"/>
        <v>0</v>
      </c>
    </row>
    <row r="67" spans="1:10" ht="17.5" thickBot="1">
      <c r="A67" s="41" t="s">
        <v>604</v>
      </c>
      <c r="B67" s="21" t="s">
        <v>116</v>
      </c>
      <c r="C67" s="13" t="s">
        <v>117</v>
      </c>
      <c r="D67" s="41" t="s">
        <v>579</v>
      </c>
      <c r="E67" s="15" t="str">
        <f>VLOOKUP($B67,DATA!$C:$AF,29,FALSE)</f>
        <v>24 มิ.ย.69</v>
      </c>
      <c r="F67" s="15">
        <v>0</v>
      </c>
      <c r="G67" s="16">
        <f t="shared" ref="G67:G131" si="3">SUM(I67:J67)</f>
        <v>1</v>
      </c>
      <c r="H67" s="42"/>
      <c r="I67" s="35">
        <f t="shared" ref="I67:I131" si="4">IF(E67&lt;&gt;0,1,0)</f>
        <v>1</v>
      </c>
      <c r="J67" s="35">
        <f t="shared" ref="J67:J131" si="5">IF(F67&lt;&gt;0,1,0)</f>
        <v>0</v>
      </c>
    </row>
    <row r="68" spans="1:10" ht="17.5" thickBot="1">
      <c r="A68" s="41" t="s">
        <v>604</v>
      </c>
      <c r="B68" s="28" t="s">
        <v>118</v>
      </c>
      <c r="C68" s="28" t="s">
        <v>119</v>
      </c>
      <c r="D68" s="41" t="s">
        <v>579</v>
      </c>
      <c r="E68" s="15" t="str">
        <f>VLOOKUP($B68,DATA!$C:$AF,29,FALSE)</f>
        <v>29 มิ.ย.69</v>
      </c>
      <c r="F68" s="15">
        <v>0</v>
      </c>
      <c r="G68" s="16">
        <f t="shared" si="3"/>
        <v>1</v>
      </c>
      <c r="H68" s="42"/>
      <c r="I68" s="35">
        <f t="shared" si="4"/>
        <v>1</v>
      </c>
      <c r="J68" s="35">
        <f t="shared" si="5"/>
        <v>0</v>
      </c>
    </row>
    <row r="69" spans="1:10" ht="17.5" thickBot="1">
      <c r="A69" s="41" t="s">
        <v>604</v>
      </c>
      <c r="B69" s="21" t="s">
        <v>120</v>
      </c>
      <c r="C69" s="28" t="s">
        <v>121</v>
      </c>
      <c r="D69" s="41" t="s">
        <v>579</v>
      </c>
      <c r="E69" s="15" t="str">
        <f>VLOOKUP($B69,DATA!$C:$AF,29,FALSE)</f>
        <v>24 มิ.ย.69</v>
      </c>
      <c r="F69" s="15">
        <v>0</v>
      </c>
      <c r="G69" s="16">
        <f t="shared" si="3"/>
        <v>1</v>
      </c>
      <c r="H69" s="42"/>
      <c r="I69" s="35">
        <f t="shared" si="4"/>
        <v>1</v>
      </c>
      <c r="J69" s="35">
        <f t="shared" si="5"/>
        <v>0</v>
      </c>
    </row>
    <row r="70" spans="1:10" ht="17.5" thickBot="1">
      <c r="A70" s="41" t="s">
        <v>604</v>
      </c>
      <c r="B70" s="22" t="s">
        <v>122</v>
      </c>
      <c r="C70" s="21" t="s">
        <v>123</v>
      </c>
      <c r="D70" s="41" t="s">
        <v>579</v>
      </c>
      <c r="E70" s="15" t="str">
        <f>VLOOKUP($B70,DATA!$C:$AF,29,FALSE)</f>
        <v>24 มิ.ย.69</v>
      </c>
      <c r="F70" s="15">
        <v>0</v>
      </c>
      <c r="G70" s="16">
        <f t="shared" si="3"/>
        <v>1</v>
      </c>
      <c r="H70" s="42"/>
      <c r="I70" s="35">
        <f t="shared" si="4"/>
        <v>1</v>
      </c>
      <c r="J70" s="35">
        <f t="shared" si="5"/>
        <v>0</v>
      </c>
    </row>
    <row r="71" spans="1:10" ht="17.5" thickBot="1">
      <c r="A71" s="41" t="s">
        <v>604</v>
      </c>
      <c r="B71" s="21" t="s">
        <v>124</v>
      </c>
      <c r="C71" s="13" t="s">
        <v>125</v>
      </c>
      <c r="D71" s="41" t="s">
        <v>579</v>
      </c>
      <c r="E71" s="15" t="str">
        <f>VLOOKUP($B71,DATA!$C:$AF,29,FALSE)</f>
        <v>24 มิ.ย.69</v>
      </c>
      <c r="F71" s="15">
        <v>0</v>
      </c>
      <c r="G71" s="16">
        <f t="shared" si="3"/>
        <v>1</v>
      </c>
      <c r="H71" s="42"/>
      <c r="I71" s="35">
        <f t="shared" si="4"/>
        <v>1</v>
      </c>
      <c r="J71" s="35">
        <f t="shared" si="5"/>
        <v>0</v>
      </c>
    </row>
    <row r="72" spans="1:10" ht="17.5" thickBot="1">
      <c r="A72" s="41" t="s">
        <v>604</v>
      </c>
      <c r="B72" s="21" t="s">
        <v>126</v>
      </c>
      <c r="C72" s="13" t="s">
        <v>127</v>
      </c>
      <c r="D72" s="41" t="s">
        <v>579</v>
      </c>
      <c r="E72" s="15" t="str">
        <f>VLOOKUP($B72,DATA!$C:$AF,29,FALSE)</f>
        <v>24 มิ.ย.69</v>
      </c>
      <c r="F72" s="15">
        <v>0</v>
      </c>
      <c r="G72" s="16">
        <f t="shared" si="3"/>
        <v>1</v>
      </c>
      <c r="H72" s="42"/>
      <c r="I72" s="35">
        <f t="shared" si="4"/>
        <v>1</v>
      </c>
      <c r="J72" s="35">
        <f t="shared" si="5"/>
        <v>0</v>
      </c>
    </row>
    <row r="73" spans="1:10" ht="17.5" thickBot="1">
      <c r="A73" s="41" t="s">
        <v>604</v>
      </c>
      <c r="B73" s="21" t="s">
        <v>128</v>
      </c>
      <c r="C73" s="21" t="s">
        <v>129</v>
      </c>
      <c r="D73" s="41" t="s">
        <v>584</v>
      </c>
      <c r="E73" s="15" t="str">
        <f>VLOOKUP($B73,DATA!$C:$AF,29,FALSE)</f>
        <v>24 มิ.ย.69</v>
      </c>
      <c r="F73" s="15">
        <v>0</v>
      </c>
      <c r="G73" s="16">
        <f t="shared" si="3"/>
        <v>1</v>
      </c>
      <c r="H73" s="42"/>
      <c r="I73" s="35">
        <f t="shared" si="4"/>
        <v>1</v>
      </c>
      <c r="J73" s="35">
        <f t="shared" si="5"/>
        <v>0</v>
      </c>
    </row>
    <row r="74" spans="1:10" ht="17.5" thickBot="1">
      <c r="A74" s="41" t="s">
        <v>604</v>
      </c>
      <c r="B74" s="29" t="s">
        <v>527</v>
      </c>
      <c r="C74" s="24" t="s">
        <v>544</v>
      </c>
      <c r="D74" s="41" t="s">
        <v>584</v>
      </c>
      <c r="E74" s="15" t="str">
        <f>VLOOKUP($B74,DATA!$C:$AF,29,FALSE)</f>
        <v>24 มิ.ย.69</v>
      </c>
      <c r="F74" s="15">
        <v>0</v>
      </c>
      <c r="G74" s="16">
        <f t="shared" si="3"/>
        <v>1</v>
      </c>
      <c r="H74" s="42"/>
      <c r="I74" s="35">
        <f t="shared" si="4"/>
        <v>1</v>
      </c>
      <c r="J74" s="35">
        <f t="shared" si="5"/>
        <v>0</v>
      </c>
    </row>
    <row r="75" spans="1:10" ht="17.5" thickBot="1">
      <c r="A75" s="41" t="s">
        <v>604</v>
      </c>
      <c r="B75" s="21" t="s">
        <v>130</v>
      </c>
      <c r="C75" s="21" t="s">
        <v>131</v>
      </c>
      <c r="D75" s="41" t="s">
        <v>584</v>
      </c>
      <c r="E75" s="15" t="str">
        <f>VLOOKUP($B75,DATA!$C:$AF,29,FALSE)</f>
        <v>24 มิ.ย.69</v>
      </c>
      <c r="F75" s="15">
        <v>0</v>
      </c>
      <c r="G75" s="16">
        <f t="shared" si="3"/>
        <v>1</v>
      </c>
      <c r="H75" s="42"/>
      <c r="I75" s="35">
        <f t="shared" si="4"/>
        <v>1</v>
      </c>
      <c r="J75" s="35">
        <f t="shared" si="5"/>
        <v>0</v>
      </c>
    </row>
    <row r="76" spans="1:10" ht="17.5" thickBot="1">
      <c r="A76" s="41" t="s">
        <v>604</v>
      </c>
      <c r="B76" s="22" t="s">
        <v>132</v>
      </c>
      <c r="C76" s="22" t="s">
        <v>133</v>
      </c>
      <c r="D76" s="41" t="s">
        <v>584</v>
      </c>
      <c r="E76" s="15" t="str">
        <f>VLOOKUP($B76,DATA!$C:$AF,29,FALSE)</f>
        <v>24 มิ.ย.69</v>
      </c>
      <c r="F76" s="15">
        <v>0</v>
      </c>
      <c r="G76" s="16">
        <f t="shared" si="3"/>
        <v>1</v>
      </c>
      <c r="H76" s="42"/>
      <c r="I76" s="35">
        <f t="shared" si="4"/>
        <v>1</v>
      </c>
      <c r="J76" s="35">
        <f t="shared" si="5"/>
        <v>0</v>
      </c>
    </row>
    <row r="77" spans="1:10" ht="17.5" thickBot="1">
      <c r="A77" s="41" t="s">
        <v>604</v>
      </c>
      <c r="B77" s="22" t="s">
        <v>150</v>
      </c>
      <c r="C77" s="13" t="s">
        <v>151</v>
      </c>
      <c r="D77" s="41" t="s">
        <v>579</v>
      </c>
      <c r="E77" s="15" t="str">
        <f>VLOOKUP($B77,DATA!$C:$AF,29,FALSE)</f>
        <v>29 มิ.ย.69</v>
      </c>
      <c r="F77" s="15">
        <v>0</v>
      </c>
      <c r="G77" s="16">
        <f t="shared" si="3"/>
        <v>1</v>
      </c>
      <c r="H77" s="43"/>
      <c r="I77" s="35">
        <f t="shared" si="4"/>
        <v>1</v>
      </c>
      <c r="J77" s="35">
        <f t="shared" si="5"/>
        <v>0</v>
      </c>
    </row>
    <row r="78" spans="1:10" ht="17.5" thickBot="1">
      <c r="A78" s="41" t="s">
        <v>604</v>
      </c>
      <c r="B78" s="22" t="s">
        <v>152</v>
      </c>
      <c r="C78" s="13" t="s">
        <v>153</v>
      </c>
      <c r="D78" s="41" t="s">
        <v>579</v>
      </c>
      <c r="E78" s="15" t="str">
        <f>VLOOKUP($B78,DATA!$C:$AF,29,FALSE)</f>
        <v>29 มิ.ย.69</v>
      </c>
      <c r="F78" s="15">
        <v>0</v>
      </c>
      <c r="G78" s="16">
        <f t="shared" si="3"/>
        <v>1</v>
      </c>
      <c r="H78" s="43"/>
      <c r="I78" s="35">
        <f t="shared" si="4"/>
        <v>1</v>
      </c>
      <c r="J78" s="35">
        <f t="shared" si="5"/>
        <v>0</v>
      </c>
    </row>
    <row r="79" spans="1:10" ht="17.5" thickBot="1">
      <c r="A79" s="41" t="s">
        <v>604</v>
      </c>
      <c r="B79" s="22" t="s">
        <v>154</v>
      </c>
      <c r="C79" s="13" t="s">
        <v>155</v>
      </c>
      <c r="D79" s="41" t="s">
        <v>579</v>
      </c>
      <c r="E79" s="15" t="str">
        <f>VLOOKUP($B79,DATA!$C:$AF,29,FALSE)</f>
        <v>29 มิ.ย.69</v>
      </c>
      <c r="F79" s="15">
        <v>0</v>
      </c>
      <c r="G79" s="16">
        <f t="shared" si="3"/>
        <v>1</v>
      </c>
      <c r="H79" s="42"/>
      <c r="I79" s="35">
        <f t="shared" si="4"/>
        <v>1</v>
      </c>
      <c r="J79" s="35">
        <f t="shared" si="5"/>
        <v>0</v>
      </c>
    </row>
    <row r="80" spans="1:10" ht="17.5" thickBot="1">
      <c r="A80" s="41" t="s">
        <v>604</v>
      </c>
      <c r="B80" s="29" t="s">
        <v>525</v>
      </c>
      <c r="C80" s="13" t="s">
        <v>526</v>
      </c>
      <c r="D80" s="41" t="s">
        <v>579</v>
      </c>
      <c r="E80" s="15" t="str">
        <f>VLOOKUP($B80,DATA!$C:$AF,29,FALSE)</f>
        <v>29 มิ.ย.69</v>
      </c>
      <c r="F80" s="15">
        <v>0</v>
      </c>
      <c r="G80" s="16">
        <f t="shared" si="3"/>
        <v>1</v>
      </c>
      <c r="H80" s="42"/>
      <c r="I80" s="35">
        <f t="shared" si="4"/>
        <v>1</v>
      </c>
      <c r="J80" s="35">
        <f t="shared" si="5"/>
        <v>0</v>
      </c>
    </row>
    <row r="81" spans="1:10" ht="17.5" thickBot="1">
      <c r="A81" s="41" t="s">
        <v>604</v>
      </c>
      <c r="B81" s="22" t="s">
        <v>156</v>
      </c>
      <c r="C81" s="13" t="s">
        <v>157</v>
      </c>
      <c r="D81" s="41" t="s">
        <v>579</v>
      </c>
      <c r="E81" s="15" t="str">
        <f>VLOOKUP($B81,DATA!$C:$AF,29,FALSE)</f>
        <v>29 มิ.ย.69</v>
      </c>
      <c r="F81" s="15">
        <v>0</v>
      </c>
      <c r="G81" s="16">
        <f t="shared" si="3"/>
        <v>1</v>
      </c>
      <c r="H81" s="43"/>
      <c r="I81" s="35">
        <f t="shared" si="4"/>
        <v>1</v>
      </c>
      <c r="J81" s="35">
        <f t="shared" si="5"/>
        <v>0</v>
      </c>
    </row>
    <row r="82" spans="1:10" ht="17.5" thickBot="1">
      <c r="A82" s="41" t="s">
        <v>604</v>
      </c>
      <c r="B82" s="22" t="s">
        <v>158</v>
      </c>
      <c r="C82" s="13" t="s">
        <v>159</v>
      </c>
      <c r="D82" s="41" t="s">
        <v>579</v>
      </c>
      <c r="E82" s="15" t="str">
        <f>VLOOKUP($B82,DATA!$C:$AF,29,FALSE)</f>
        <v>29 มิ.ย.69</v>
      </c>
      <c r="F82" s="15">
        <v>0</v>
      </c>
      <c r="G82" s="16">
        <f t="shared" si="3"/>
        <v>1</v>
      </c>
      <c r="H82" s="43"/>
      <c r="I82" s="35">
        <f t="shared" si="4"/>
        <v>1</v>
      </c>
      <c r="J82" s="35">
        <f t="shared" si="5"/>
        <v>0</v>
      </c>
    </row>
    <row r="83" spans="1:10" ht="17.5" thickBot="1">
      <c r="A83" s="41" t="s">
        <v>604</v>
      </c>
      <c r="B83" s="23" t="s">
        <v>160</v>
      </c>
      <c r="C83" s="13" t="s">
        <v>161</v>
      </c>
      <c r="D83" s="41" t="s">
        <v>579</v>
      </c>
      <c r="E83" s="15" t="str">
        <f>VLOOKUP($B83,DATA!$C:$AF,29,FALSE)</f>
        <v>29 มิ.ย.69</v>
      </c>
      <c r="F83" s="15">
        <v>0</v>
      </c>
      <c r="G83" s="16">
        <f t="shared" si="3"/>
        <v>1</v>
      </c>
      <c r="H83" s="43"/>
      <c r="I83" s="35">
        <f t="shared" si="4"/>
        <v>1</v>
      </c>
      <c r="J83" s="35">
        <f t="shared" si="5"/>
        <v>0</v>
      </c>
    </row>
    <row r="84" spans="1:10" ht="17.5" thickBot="1">
      <c r="A84" s="41" t="s">
        <v>604</v>
      </c>
      <c r="B84" s="22" t="s">
        <v>162</v>
      </c>
      <c r="C84" s="13" t="s">
        <v>163</v>
      </c>
      <c r="D84" s="41" t="s">
        <v>579</v>
      </c>
      <c r="E84" s="15" t="str">
        <f>VLOOKUP($B84,DATA!$C:$AF,29,FALSE)</f>
        <v>29 มิ.ย.69</v>
      </c>
      <c r="F84" s="15">
        <v>0</v>
      </c>
      <c r="G84" s="16">
        <f t="shared" si="3"/>
        <v>1</v>
      </c>
      <c r="H84" s="42"/>
      <c r="I84" s="35">
        <f t="shared" si="4"/>
        <v>1</v>
      </c>
      <c r="J84" s="35">
        <f t="shared" si="5"/>
        <v>0</v>
      </c>
    </row>
    <row r="85" spans="1:10" ht="17.5" thickBot="1">
      <c r="A85" s="41" t="s">
        <v>604</v>
      </c>
      <c r="B85" s="22" t="s">
        <v>164</v>
      </c>
      <c r="C85" s="13" t="s">
        <v>165</v>
      </c>
      <c r="D85" s="41" t="s">
        <v>579</v>
      </c>
      <c r="E85" s="15" t="str">
        <f>VLOOKUP($B85,DATA!$C:$AF,29,FALSE)</f>
        <v>29 มิ.ย.69</v>
      </c>
      <c r="F85" s="15">
        <v>0</v>
      </c>
      <c r="G85" s="16">
        <f t="shared" si="3"/>
        <v>1</v>
      </c>
      <c r="H85" s="43"/>
      <c r="I85" s="35">
        <f t="shared" si="4"/>
        <v>1</v>
      </c>
      <c r="J85" s="35">
        <f t="shared" si="5"/>
        <v>0</v>
      </c>
    </row>
    <row r="86" spans="1:10" ht="17.5" thickBot="1">
      <c r="A86" s="41" t="s">
        <v>604</v>
      </c>
      <c r="B86" s="22" t="s">
        <v>166</v>
      </c>
      <c r="C86" s="13" t="s">
        <v>167</v>
      </c>
      <c r="D86" s="41" t="s">
        <v>579</v>
      </c>
      <c r="E86" s="15" t="str">
        <f>VLOOKUP($B86,DATA!$C:$AF,29,FALSE)</f>
        <v>29 มิ.ย.69</v>
      </c>
      <c r="F86" s="15">
        <v>0</v>
      </c>
      <c r="G86" s="16">
        <f t="shared" si="3"/>
        <v>1</v>
      </c>
      <c r="H86" s="43"/>
      <c r="I86" s="35">
        <f t="shared" si="4"/>
        <v>1</v>
      </c>
      <c r="J86" s="35">
        <f t="shared" si="5"/>
        <v>0</v>
      </c>
    </row>
    <row r="87" spans="1:10" ht="17.5" thickBot="1">
      <c r="A87" s="41" t="s">
        <v>604</v>
      </c>
      <c r="B87" s="23" t="s">
        <v>170</v>
      </c>
      <c r="C87" s="22" t="s">
        <v>171</v>
      </c>
      <c r="D87" s="41" t="s">
        <v>584</v>
      </c>
      <c r="E87" s="15" t="str">
        <f>VLOOKUP($B87,DATA!$C:$AF,29,FALSE)</f>
        <v>29 มิ.ย.69</v>
      </c>
      <c r="F87" s="15">
        <v>0</v>
      </c>
      <c r="G87" s="16">
        <f t="shared" si="3"/>
        <v>1</v>
      </c>
      <c r="H87" s="43"/>
      <c r="I87" s="35">
        <f t="shared" si="4"/>
        <v>1</v>
      </c>
      <c r="J87" s="35">
        <f t="shared" si="5"/>
        <v>0</v>
      </c>
    </row>
    <row r="88" spans="1:10" ht="17.5" thickBot="1">
      <c r="A88" s="41" t="s">
        <v>604</v>
      </c>
      <c r="B88" s="22" t="s">
        <v>134</v>
      </c>
      <c r="C88" s="13" t="s">
        <v>135</v>
      </c>
      <c r="D88" s="41" t="s">
        <v>579</v>
      </c>
      <c r="E88" s="15" t="str">
        <f>VLOOKUP($B88,DATA!$C:$AF,29,FALSE)</f>
        <v>25 พค.69</v>
      </c>
      <c r="F88" s="15">
        <v>0</v>
      </c>
      <c r="G88" s="16">
        <f t="shared" si="3"/>
        <v>1</v>
      </c>
      <c r="H88" s="42"/>
      <c r="I88" s="35">
        <f t="shared" si="4"/>
        <v>1</v>
      </c>
      <c r="J88" s="35">
        <f t="shared" si="5"/>
        <v>0</v>
      </c>
    </row>
    <row r="89" spans="1:10" ht="17.5" thickBot="1">
      <c r="A89" s="41" t="s">
        <v>604</v>
      </c>
      <c r="B89" s="23" t="s">
        <v>136</v>
      </c>
      <c r="C89" s="28" t="s">
        <v>137</v>
      </c>
      <c r="D89" s="41" t="s">
        <v>584</v>
      </c>
      <c r="E89" s="15" t="str">
        <f>VLOOKUP($B89,DATA!$C:$AF,29,FALSE)</f>
        <v>25 พค.69</v>
      </c>
      <c r="F89" s="15">
        <v>0</v>
      </c>
      <c r="G89" s="16">
        <f t="shared" si="3"/>
        <v>1</v>
      </c>
      <c r="H89" s="42"/>
      <c r="I89" s="35">
        <f t="shared" si="4"/>
        <v>1</v>
      </c>
      <c r="J89" s="35">
        <f t="shared" si="5"/>
        <v>0</v>
      </c>
    </row>
    <row r="90" spans="1:10" ht="17.5" thickBot="1">
      <c r="A90" s="41" t="s">
        <v>604</v>
      </c>
      <c r="B90" s="22" t="s">
        <v>138</v>
      </c>
      <c r="C90" s="13" t="s">
        <v>139</v>
      </c>
      <c r="D90" s="41" t="s">
        <v>579</v>
      </c>
      <c r="E90" s="15" t="str">
        <f>VLOOKUP($B90,DATA!$C:$AF,29,FALSE)</f>
        <v>21 พค.69</v>
      </c>
      <c r="F90" s="15">
        <v>0</v>
      </c>
      <c r="G90" s="16">
        <f t="shared" si="3"/>
        <v>1</v>
      </c>
      <c r="H90" s="42"/>
      <c r="I90" s="35">
        <f t="shared" si="4"/>
        <v>1</v>
      </c>
      <c r="J90" s="35">
        <f t="shared" si="5"/>
        <v>0</v>
      </c>
    </row>
    <row r="91" spans="1:10" ht="17.5" thickBot="1">
      <c r="A91" s="41" t="s">
        <v>604</v>
      </c>
      <c r="B91" s="22" t="s">
        <v>140</v>
      </c>
      <c r="C91" s="13" t="s">
        <v>141</v>
      </c>
      <c r="D91" s="41" t="s">
        <v>579</v>
      </c>
      <c r="E91" s="15" t="str">
        <f>VLOOKUP($B91,DATA!$C:$AF,29,FALSE)</f>
        <v>19 พค.69</v>
      </c>
      <c r="F91" s="15">
        <v>0</v>
      </c>
      <c r="G91" s="16">
        <f t="shared" si="3"/>
        <v>1</v>
      </c>
      <c r="H91" s="42"/>
      <c r="I91" s="35">
        <f t="shared" si="4"/>
        <v>1</v>
      </c>
      <c r="J91" s="35">
        <f t="shared" si="5"/>
        <v>0</v>
      </c>
    </row>
    <row r="92" spans="1:10" ht="17.5" thickBot="1">
      <c r="A92" s="41" t="s">
        <v>604</v>
      </c>
      <c r="B92" s="23" t="s">
        <v>142</v>
      </c>
      <c r="C92" s="28" t="s">
        <v>143</v>
      </c>
      <c r="D92" s="41" t="s">
        <v>584</v>
      </c>
      <c r="E92" s="15" t="str">
        <f>VLOOKUP($B92,DATA!$C:$AF,29,FALSE)</f>
        <v>25 พค.69</v>
      </c>
      <c r="F92" s="15">
        <v>0</v>
      </c>
      <c r="G92" s="16">
        <f t="shared" si="3"/>
        <v>1</v>
      </c>
      <c r="H92" s="43"/>
      <c r="I92" s="35">
        <f t="shared" si="4"/>
        <v>1</v>
      </c>
      <c r="J92" s="35">
        <f t="shared" si="5"/>
        <v>0</v>
      </c>
    </row>
    <row r="93" spans="1:10" ht="17.5" thickBot="1">
      <c r="A93" s="41" t="s">
        <v>604</v>
      </c>
      <c r="B93" s="23" t="s">
        <v>168</v>
      </c>
      <c r="C93" s="21" t="s">
        <v>169</v>
      </c>
      <c r="D93" s="41" t="s">
        <v>584</v>
      </c>
      <c r="E93" s="15" t="str">
        <f>VLOOKUP($B93,DATA!$C:$AF,29,FALSE)</f>
        <v>19 พค.69</v>
      </c>
      <c r="F93" s="15">
        <v>0</v>
      </c>
      <c r="G93" s="16">
        <f t="shared" si="3"/>
        <v>1</v>
      </c>
      <c r="H93" s="43"/>
      <c r="I93" s="35">
        <f t="shared" si="4"/>
        <v>1</v>
      </c>
      <c r="J93" s="35">
        <f t="shared" si="5"/>
        <v>0</v>
      </c>
    </row>
    <row r="94" spans="1:10" ht="17.5" thickBot="1">
      <c r="A94" s="41" t="s">
        <v>604</v>
      </c>
      <c r="B94" s="23" t="s">
        <v>144</v>
      </c>
      <c r="C94" s="28" t="s">
        <v>145</v>
      </c>
      <c r="D94" s="41" t="s">
        <v>579</v>
      </c>
      <c r="E94" s="15" t="str">
        <f>VLOOKUP($B94,DATA!$C:$AF,29,FALSE)</f>
        <v>26 พค.69</v>
      </c>
      <c r="F94" s="15">
        <v>0</v>
      </c>
      <c r="G94" s="16">
        <f t="shared" si="3"/>
        <v>1</v>
      </c>
      <c r="H94" s="43"/>
      <c r="I94" s="35">
        <f t="shared" si="4"/>
        <v>1</v>
      </c>
      <c r="J94" s="35">
        <f t="shared" si="5"/>
        <v>0</v>
      </c>
    </row>
    <row r="95" spans="1:10" ht="17.5" thickBot="1">
      <c r="A95" s="41" t="s">
        <v>604</v>
      </c>
      <c r="B95" s="22" t="s">
        <v>146</v>
      </c>
      <c r="C95" s="22" t="s">
        <v>147</v>
      </c>
      <c r="D95" s="41" t="s">
        <v>579</v>
      </c>
      <c r="E95" s="15" t="str">
        <f>VLOOKUP($B95,DATA!$C:$AF,29,FALSE)</f>
        <v>20 พค.69</v>
      </c>
      <c r="F95" s="15">
        <v>0</v>
      </c>
      <c r="G95" s="16">
        <f t="shared" si="3"/>
        <v>1</v>
      </c>
      <c r="H95" s="44"/>
      <c r="I95" s="35">
        <f t="shared" si="4"/>
        <v>1</v>
      </c>
      <c r="J95" s="35">
        <f t="shared" si="5"/>
        <v>0</v>
      </c>
    </row>
    <row r="96" spans="1:10" ht="17.5" thickBot="1">
      <c r="A96" s="41" t="s">
        <v>604</v>
      </c>
      <c r="B96" s="22" t="s">
        <v>148</v>
      </c>
      <c r="C96" s="13" t="s">
        <v>149</v>
      </c>
      <c r="D96" s="41" t="s">
        <v>579</v>
      </c>
      <c r="E96" s="15" t="str">
        <f>VLOOKUP($B96,DATA!$C:$AF,29,FALSE)</f>
        <v>21 พค.69</v>
      </c>
      <c r="F96" s="15">
        <v>0</v>
      </c>
      <c r="G96" s="16">
        <f t="shared" si="3"/>
        <v>1</v>
      </c>
      <c r="H96" s="43"/>
      <c r="I96" s="35">
        <f t="shared" si="4"/>
        <v>1</v>
      </c>
      <c r="J96" s="35">
        <f t="shared" si="5"/>
        <v>0</v>
      </c>
    </row>
    <row r="97" spans="1:10" ht="17.5" thickBot="1">
      <c r="A97" s="41" t="s">
        <v>604</v>
      </c>
      <c r="B97" s="22" t="s">
        <v>539</v>
      </c>
      <c r="C97" s="13" t="s">
        <v>540</v>
      </c>
      <c r="D97" s="41" t="s">
        <v>584</v>
      </c>
      <c r="E97" s="15" t="str">
        <f>VLOOKUP($B97,DATA!$C:$AF,29,FALSE)</f>
        <v>26 พค.69</v>
      </c>
      <c r="F97" s="15">
        <v>0</v>
      </c>
      <c r="G97" s="16">
        <f t="shared" si="3"/>
        <v>1</v>
      </c>
      <c r="H97" s="44"/>
      <c r="I97" s="35">
        <f t="shared" si="4"/>
        <v>1</v>
      </c>
      <c r="J97" s="35">
        <f t="shared" si="5"/>
        <v>0</v>
      </c>
    </row>
    <row r="98" spans="1:10" ht="17.5" thickBot="1">
      <c r="A98" s="41" t="s">
        <v>604</v>
      </c>
      <c r="B98" s="22" t="s">
        <v>172</v>
      </c>
      <c r="C98" s="22" t="s">
        <v>585</v>
      </c>
      <c r="D98" s="41" t="s">
        <v>580</v>
      </c>
      <c r="E98" s="15" t="str">
        <f>VLOOKUP($B98,DATA!$C:$AF,29,FALSE)</f>
        <v>30 มิ.ย.69</v>
      </c>
      <c r="F98" s="15">
        <v>0</v>
      </c>
      <c r="G98" s="16">
        <f t="shared" si="3"/>
        <v>1</v>
      </c>
      <c r="H98" s="43"/>
      <c r="I98" s="35">
        <f t="shared" si="4"/>
        <v>1</v>
      </c>
      <c r="J98" s="35">
        <f t="shared" si="5"/>
        <v>0</v>
      </c>
    </row>
    <row r="99" spans="1:10" ht="17.5" thickBot="1">
      <c r="A99" s="41" t="s">
        <v>604</v>
      </c>
      <c r="B99" s="22" t="s">
        <v>173</v>
      </c>
      <c r="C99" s="22" t="s">
        <v>586</v>
      </c>
      <c r="D99" s="41" t="s">
        <v>580</v>
      </c>
      <c r="E99" s="15" t="str">
        <f>VLOOKUP($B99,DATA!$C:$AF,29,FALSE)</f>
        <v>30 มิ.ย.69</v>
      </c>
      <c r="F99" s="15">
        <v>0</v>
      </c>
      <c r="G99" s="16">
        <f t="shared" si="3"/>
        <v>1</v>
      </c>
      <c r="H99" s="43"/>
      <c r="I99" s="35">
        <f t="shared" si="4"/>
        <v>1</v>
      </c>
      <c r="J99" s="35">
        <f t="shared" si="5"/>
        <v>0</v>
      </c>
    </row>
    <row r="100" spans="1:10" ht="17.5" thickBot="1">
      <c r="A100" s="41" t="s">
        <v>604</v>
      </c>
      <c r="B100" s="22" t="s">
        <v>174</v>
      </c>
      <c r="C100" s="22" t="s">
        <v>587</v>
      </c>
      <c r="D100" s="41" t="s">
        <v>580</v>
      </c>
      <c r="E100" s="15" t="str">
        <f>VLOOKUP($B100,DATA!$C:$AF,29,FALSE)</f>
        <v>30 มิ.ย.69</v>
      </c>
      <c r="F100" s="15">
        <v>0</v>
      </c>
      <c r="G100" s="16">
        <f t="shared" si="3"/>
        <v>1</v>
      </c>
      <c r="H100" s="43"/>
      <c r="I100" s="35">
        <f t="shared" si="4"/>
        <v>1</v>
      </c>
      <c r="J100" s="35">
        <f t="shared" si="5"/>
        <v>0</v>
      </c>
    </row>
    <row r="101" spans="1:10" ht="17.5" thickBot="1">
      <c r="A101" s="41" t="s">
        <v>604</v>
      </c>
      <c r="B101" s="23" t="s">
        <v>175</v>
      </c>
      <c r="C101" s="21" t="s">
        <v>588</v>
      </c>
      <c r="D101" s="41" t="s">
        <v>580</v>
      </c>
      <c r="E101" s="15" t="str">
        <f>VLOOKUP($B101,DATA!$C:$AF,29,FALSE)</f>
        <v>30 มิ.ย.69</v>
      </c>
      <c r="F101" s="15">
        <v>0</v>
      </c>
      <c r="G101" s="16">
        <f t="shared" si="3"/>
        <v>1</v>
      </c>
      <c r="H101" s="43"/>
      <c r="I101" s="35">
        <f t="shared" si="4"/>
        <v>1</v>
      </c>
      <c r="J101" s="35">
        <f t="shared" si="5"/>
        <v>0</v>
      </c>
    </row>
    <row r="102" spans="1:10" ht="17.5" thickBot="1">
      <c r="A102" s="41" t="s">
        <v>604</v>
      </c>
      <c r="B102" s="13" t="s">
        <v>176</v>
      </c>
      <c r="C102" s="13" t="s">
        <v>177</v>
      </c>
      <c r="D102" s="41" t="s">
        <v>579</v>
      </c>
      <c r="E102" s="15" t="str">
        <f>VLOOKUP($B102,DATA!$C:$AF,29,FALSE)</f>
        <v>24 มิ.ย.69</v>
      </c>
      <c r="F102" s="15">
        <v>0</v>
      </c>
      <c r="G102" s="16">
        <f t="shared" si="3"/>
        <v>1</v>
      </c>
      <c r="H102" s="43"/>
      <c r="I102" s="35">
        <f t="shared" si="4"/>
        <v>1</v>
      </c>
      <c r="J102" s="35">
        <f t="shared" si="5"/>
        <v>0</v>
      </c>
    </row>
    <row r="103" spans="1:10" ht="17.5" thickBot="1">
      <c r="A103" s="41" t="s">
        <v>604</v>
      </c>
      <c r="B103" s="21" t="s">
        <v>178</v>
      </c>
      <c r="C103" s="13" t="s">
        <v>179</v>
      </c>
      <c r="D103" s="41" t="s">
        <v>579</v>
      </c>
      <c r="E103" s="15" t="str">
        <f>VLOOKUP($B103,DATA!$C:$AF,29,FALSE)</f>
        <v>24 มิ.ย.69</v>
      </c>
      <c r="F103" s="15">
        <v>0</v>
      </c>
      <c r="G103" s="16">
        <f t="shared" si="3"/>
        <v>1</v>
      </c>
      <c r="H103" s="43"/>
      <c r="I103" s="35">
        <f t="shared" si="4"/>
        <v>1</v>
      </c>
      <c r="J103" s="35">
        <f t="shared" si="5"/>
        <v>0</v>
      </c>
    </row>
    <row r="104" spans="1:10" ht="17.5" thickBot="1">
      <c r="A104" s="41" t="s">
        <v>604</v>
      </c>
      <c r="B104" s="19" t="s">
        <v>180</v>
      </c>
      <c r="C104" s="13" t="s">
        <v>181</v>
      </c>
      <c r="D104" s="41" t="s">
        <v>579</v>
      </c>
      <c r="E104" s="15" t="str">
        <f>VLOOKUP($B104,DATA!$C:$AF,29,FALSE)</f>
        <v>24 มิ.ย.69</v>
      </c>
      <c r="F104" s="15">
        <v>0</v>
      </c>
      <c r="G104" s="16">
        <f t="shared" si="3"/>
        <v>1</v>
      </c>
      <c r="H104" s="43"/>
      <c r="I104" s="35">
        <f t="shared" si="4"/>
        <v>1</v>
      </c>
      <c r="J104" s="35">
        <f t="shared" si="5"/>
        <v>0</v>
      </c>
    </row>
    <row r="105" spans="1:10" ht="17.5" thickBot="1">
      <c r="A105" s="41" t="s">
        <v>604</v>
      </c>
      <c r="B105" s="21" t="s">
        <v>716</v>
      </c>
      <c r="C105" s="13" t="s">
        <v>717</v>
      </c>
      <c r="D105" s="41" t="s">
        <v>579</v>
      </c>
      <c r="E105" s="15" t="str">
        <f>VLOOKUP($B105,DATA!$C:$AF,29,FALSE)</f>
        <v>24 มิ.ย.69</v>
      </c>
      <c r="F105" s="15">
        <v>0</v>
      </c>
      <c r="G105" s="16">
        <f t="shared" ref="G105" si="6">SUM(I105:J105)</f>
        <v>1</v>
      </c>
      <c r="H105" s="43"/>
      <c r="I105" s="35">
        <f t="shared" ref="I105" si="7">IF(E105&lt;&gt;0,1,0)</f>
        <v>1</v>
      </c>
      <c r="J105" s="35">
        <f t="shared" ref="J105" si="8">IF(F105&lt;&gt;0,1,0)</f>
        <v>0</v>
      </c>
    </row>
    <row r="106" spans="1:10" ht="17.5" thickBot="1">
      <c r="A106" s="41" t="s">
        <v>604</v>
      </c>
      <c r="B106" s="21" t="s">
        <v>182</v>
      </c>
      <c r="C106" s="13" t="s">
        <v>183</v>
      </c>
      <c r="D106" s="41" t="s">
        <v>579</v>
      </c>
      <c r="E106" s="15" t="str">
        <f>VLOOKUP($B106,DATA!$C:$AF,29,FALSE)</f>
        <v>24 มิ.ย.69</v>
      </c>
      <c r="F106" s="15">
        <v>0</v>
      </c>
      <c r="G106" s="16">
        <f t="shared" si="3"/>
        <v>1</v>
      </c>
      <c r="H106" s="43"/>
      <c r="I106" s="35">
        <f t="shared" si="4"/>
        <v>1</v>
      </c>
      <c r="J106" s="35">
        <f t="shared" si="5"/>
        <v>0</v>
      </c>
    </row>
    <row r="107" spans="1:10" ht="17.5" thickBot="1">
      <c r="A107" s="41" t="s">
        <v>604</v>
      </c>
      <c r="B107" s="13" t="s">
        <v>188</v>
      </c>
      <c r="C107" s="13" t="s">
        <v>189</v>
      </c>
      <c r="D107" s="41" t="s">
        <v>579</v>
      </c>
      <c r="E107" s="15" t="str">
        <f>VLOOKUP($B107,DATA!$C:$AF,29,FALSE)</f>
        <v>24 มิ.ย.69</v>
      </c>
      <c r="F107" s="15">
        <v>0</v>
      </c>
      <c r="G107" s="16">
        <f t="shared" si="3"/>
        <v>1</v>
      </c>
      <c r="H107" s="42"/>
      <c r="I107" s="35">
        <f t="shared" si="4"/>
        <v>1</v>
      </c>
      <c r="J107" s="35">
        <f t="shared" si="5"/>
        <v>0</v>
      </c>
    </row>
    <row r="108" spans="1:10" ht="17.5" thickBot="1">
      <c r="A108" s="41" t="s">
        <v>604</v>
      </c>
      <c r="B108" s="21" t="s">
        <v>190</v>
      </c>
      <c r="C108" s="13" t="s">
        <v>191</v>
      </c>
      <c r="D108" s="41" t="s">
        <v>579</v>
      </c>
      <c r="E108" s="15" t="str">
        <f>VLOOKUP($B108,DATA!$C:$AF,29,FALSE)</f>
        <v>24 มิ.ย.69</v>
      </c>
      <c r="F108" s="15">
        <v>0</v>
      </c>
      <c r="G108" s="16">
        <f t="shared" si="3"/>
        <v>1</v>
      </c>
      <c r="H108" s="42"/>
      <c r="I108" s="35">
        <f t="shared" si="4"/>
        <v>1</v>
      </c>
      <c r="J108" s="35">
        <f t="shared" si="5"/>
        <v>0</v>
      </c>
    </row>
    <row r="109" spans="1:10" ht="17.5" thickBot="1">
      <c r="A109" s="41" t="s">
        <v>604</v>
      </c>
      <c r="B109" s="21" t="s">
        <v>192</v>
      </c>
      <c r="C109" s="13" t="s">
        <v>193</v>
      </c>
      <c r="D109" s="41" t="s">
        <v>579</v>
      </c>
      <c r="E109" s="15" t="str">
        <f>VLOOKUP($B109,DATA!$C:$AF,29,FALSE)</f>
        <v>24 มิ.ย.69</v>
      </c>
      <c r="F109" s="15">
        <v>0</v>
      </c>
      <c r="G109" s="16">
        <f t="shared" si="3"/>
        <v>1</v>
      </c>
      <c r="H109" s="42"/>
      <c r="I109" s="35">
        <f t="shared" si="4"/>
        <v>1</v>
      </c>
      <c r="J109" s="35">
        <f t="shared" si="5"/>
        <v>0</v>
      </c>
    </row>
    <row r="110" spans="1:10" ht="17.5" thickBot="1">
      <c r="A110" s="41" t="s">
        <v>604</v>
      </c>
      <c r="B110" s="21" t="s">
        <v>194</v>
      </c>
      <c r="C110" s="13" t="s">
        <v>195</v>
      </c>
      <c r="D110" s="41" t="s">
        <v>579</v>
      </c>
      <c r="E110" s="15" t="str">
        <f>VLOOKUP($B110,DATA!$C:$AF,29,FALSE)</f>
        <v>24 มิ.ย.69</v>
      </c>
      <c r="F110" s="15">
        <v>0</v>
      </c>
      <c r="G110" s="16">
        <f t="shared" si="3"/>
        <v>1</v>
      </c>
      <c r="H110" s="42"/>
      <c r="I110" s="35">
        <f t="shared" si="4"/>
        <v>1</v>
      </c>
      <c r="J110" s="35">
        <f t="shared" si="5"/>
        <v>0</v>
      </c>
    </row>
    <row r="111" spans="1:10" ht="17.5" thickBot="1">
      <c r="A111" s="41" t="s">
        <v>604</v>
      </c>
      <c r="B111" s="21" t="s">
        <v>196</v>
      </c>
      <c r="C111" s="13" t="s">
        <v>197</v>
      </c>
      <c r="D111" s="41" t="s">
        <v>579</v>
      </c>
      <c r="E111" s="15" t="str">
        <f>VLOOKUP($B111,DATA!$C:$AF,29,FALSE)</f>
        <v>24 มิ.ย.69</v>
      </c>
      <c r="F111" s="15">
        <v>0</v>
      </c>
      <c r="G111" s="16">
        <f t="shared" si="3"/>
        <v>1</v>
      </c>
      <c r="H111" s="42"/>
      <c r="I111" s="35">
        <f t="shared" si="4"/>
        <v>1</v>
      </c>
      <c r="J111" s="35">
        <f t="shared" si="5"/>
        <v>0</v>
      </c>
    </row>
    <row r="112" spans="1:10" ht="17.5" thickBot="1">
      <c r="A112" s="41" t="s">
        <v>604</v>
      </c>
      <c r="B112" s="21" t="s">
        <v>198</v>
      </c>
      <c r="C112" s="13" t="s">
        <v>199</v>
      </c>
      <c r="D112" s="41" t="s">
        <v>579</v>
      </c>
      <c r="E112" s="15" t="str">
        <f>VLOOKUP($B112,DATA!$C:$AF,29,FALSE)</f>
        <v>24 มิ.ย.69</v>
      </c>
      <c r="F112" s="15">
        <v>0</v>
      </c>
      <c r="G112" s="16">
        <f t="shared" si="3"/>
        <v>1</v>
      </c>
      <c r="H112" s="42"/>
      <c r="I112" s="35">
        <f t="shared" si="4"/>
        <v>1</v>
      </c>
      <c r="J112" s="35">
        <f t="shared" si="5"/>
        <v>0</v>
      </c>
    </row>
    <row r="113" spans="1:10" ht="17.5" thickBot="1">
      <c r="A113" s="41" t="s">
        <v>604</v>
      </c>
      <c r="B113" s="22" t="s">
        <v>200</v>
      </c>
      <c r="C113" s="13" t="s">
        <v>201</v>
      </c>
      <c r="D113" s="41" t="s">
        <v>579</v>
      </c>
      <c r="E113" s="15" t="str">
        <f>VLOOKUP($B113,DATA!$C:$AF,29,FALSE)</f>
        <v>24 มิ.ย.69</v>
      </c>
      <c r="F113" s="15">
        <v>0</v>
      </c>
      <c r="G113" s="16">
        <f t="shared" si="3"/>
        <v>1</v>
      </c>
      <c r="H113" s="42"/>
      <c r="I113" s="35">
        <f t="shared" si="4"/>
        <v>1</v>
      </c>
      <c r="J113" s="35">
        <f t="shared" si="5"/>
        <v>0</v>
      </c>
    </row>
    <row r="114" spans="1:10" ht="17.5" thickBot="1">
      <c r="A114" s="41" t="s">
        <v>604</v>
      </c>
      <c r="B114" s="23" t="s">
        <v>206</v>
      </c>
      <c r="C114" s="13" t="s">
        <v>207</v>
      </c>
      <c r="D114" s="41" t="s">
        <v>579</v>
      </c>
      <c r="E114" s="15" t="str">
        <f>VLOOKUP($B114,DATA!$C:$AF,29,FALSE)</f>
        <v>30 มิ.ย.69</v>
      </c>
      <c r="F114" s="15">
        <v>0</v>
      </c>
      <c r="G114" s="16">
        <f t="shared" si="3"/>
        <v>1</v>
      </c>
      <c r="H114" s="42"/>
      <c r="I114" s="35">
        <f t="shared" si="4"/>
        <v>1</v>
      </c>
      <c r="J114" s="35">
        <f t="shared" si="5"/>
        <v>0</v>
      </c>
    </row>
    <row r="115" spans="1:10" ht="17.5" thickBot="1">
      <c r="A115" s="41" t="s">
        <v>604</v>
      </c>
      <c r="B115" s="22" t="s">
        <v>208</v>
      </c>
      <c r="C115" s="13" t="s">
        <v>209</v>
      </c>
      <c r="D115" s="41" t="s">
        <v>579</v>
      </c>
      <c r="E115" s="15" t="str">
        <f>VLOOKUP($B115,DATA!$C:$AF,29,FALSE)</f>
        <v>30 มิ.ย.69</v>
      </c>
      <c r="F115" s="15">
        <v>0</v>
      </c>
      <c r="G115" s="16">
        <f t="shared" si="3"/>
        <v>1</v>
      </c>
      <c r="H115" s="42"/>
      <c r="I115" s="35">
        <f t="shared" si="4"/>
        <v>1</v>
      </c>
      <c r="J115" s="35">
        <f t="shared" si="5"/>
        <v>0</v>
      </c>
    </row>
    <row r="116" spans="1:10" ht="17.5" thickBot="1">
      <c r="A116" s="41" t="s">
        <v>604</v>
      </c>
      <c r="B116" s="22" t="s">
        <v>210</v>
      </c>
      <c r="C116" s="13" t="s">
        <v>211</v>
      </c>
      <c r="D116" s="41" t="s">
        <v>579</v>
      </c>
      <c r="E116" s="15" t="str">
        <f>VLOOKUP($B116,DATA!$C:$AF,29,FALSE)</f>
        <v>30 มิ.ย.69</v>
      </c>
      <c r="F116" s="15">
        <v>0</v>
      </c>
      <c r="G116" s="16">
        <f t="shared" si="3"/>
        <v>1</v>
      </c>
      <c r="H116" s="42"/>
      <c r="I116" s="35">
        <f t="shared" si="4"/>
        <v>1</v>
      </c>
      <c r="J116" s="35">
        <f t="shared" si="5"/>
        <v>0</v>
      </c>
    </row>
    <row r="117" spans="1:10" ht="17.5" thickBot="1">
      <c r="A117" s="41" t="s">
        <v>604</v>
      </c>
      <c r="B117" s="22" t="s">
        <v>212</v>
      </c>
      <c r="C117" s="13" t="s">
        <v>213</v>
      </c>
      <c r="D117" s="41" t="s">
        <v>579</v>
      </c>
      <c r="E117" s="15" t="str">
        <f>VLOOKUP($B117,DATA!$C:$AF,29,FALSE)</f>
        <v>30 มิ.ย.69</v>
      </c>
      <c r="F117" s="15">
        <v>0</v>
      </c>
      <c r="G117" s="16">
        <f t="shared" si="3"/>
        <v>1</v>
      </c>
      <c r="H117" s="42"/>
      <c r="I117" s="35">
        <f t="shared" si="4"/>
        <v>1</v>
      </c>
      <c r="J117" s="35">
        <f t="shared" si="5"/>
        <v>0</v>
      </c>
    </row>
    <row r="118" spans="1:10" ht="17.5" thickBot="1">
      <c r="A118" s="41" t="s">
        <v>604</v>
      </c>
      <c r="B118" s="22" t="s">
        <v>214</v>
      </c>
      <c r="C118" s="13" t="s">
        <v>215</v>
      </c>
      <c r="D118" s="41" t="s">
        <v>579</v>
      </c>
      <c r="E118" s="15" t="str">
        <f>VLOOKUP($B118,DATA!$C:$AF,29,FALSE)</f>
        <v>30 มิ.ย.69</v>
      </c>
      <c r="F118" s="15">
        <v>0</v>
      </c>
      <c r="G118" s="16">
        <f t="shared" si="3"/>
        <v>1</v>
      </c>
      <c r="H118" s="42"/>
      <c r="I118" s="35">
        <f t="shared" si="4"/>
        <v>1</v>
      </c>
      <c r="J118" s="35">
        <f t="shared" si="5"/>
        <v>0</v>
      </c>
    </row>
    <row r="119" spans="1:10" ht="17.5" thickBot="1">
      <c r="A119" s="41" t="s">
        <v>604</v>
      </c>
      <c r="B119" s="22" t="s">
        <v>216</v>
      </c>
      <c r="C119" s="13" t="s">
        <v>217</v>
      </c>
      <c r="D119" s="41" t="s">
        <v>579</v>
      </c>
      <c r="E119" s="15" t="str">
        <f>VLOOKUP($B119,DATA!$C:$AF,29,FALSE)</f>
        <v>30 มิ.ย.69</v>
      </c>
      <c r="F119" s="15">
        <v>0</v>
      </c>
      <c r="G119" s="16">
        <f t="shared" si="3"/>
        <v>1</v>
      </c>
      <c r="H119" s="43"/>
      <c r="I119" s="35">
        <f t="shared" si="4"/>
        <v>1</v>
      </c>
      <c r="J119" s="35">
        <f t="shared" si="5"/>
        <v>0</v>
      </c>
    </row>
    <row r="120" spans="1:10" ht="17.5" thickBot="1">
      <c r="A120" s="41" t="s">
        <v>604</v>
      </c>
      <c r="B120" s="22" t="s">
        <v>218</v>
      </c>
      <c r="C120" s="13" t="s">
        <v>219</v>
      </c>
      <c r="D120" s="41" t="s">
        <v>579</v>
      </c>
      <c r="E120" s="15" t="str">
        <f>VLOOKUP($B120,DATA!$C:$AF,29,FALSE)</f>
        <v>30 มิ.ย.69</v>
      </c>
      <c r="F120" s="15">
        <v>0</v>
      </c>
      <c r="G120" s="16">
        <f t="shared" si="3"/>
        <v>1</v>
      </c>
      <c r="H120" s="43"/>
      <c r="I120" s="35">
        <f t="shared" si="4"/>
        <v>1</v>
      </c>
      <c r="J120" s="35">
        <f t="shared" si="5"/>
        <v>0</v>
      </c>
    </row>
    <row r="121" spans="1:10" ht="17.5" thickBot="1">
      <c r="A121" s="41" t="s">
        <v>604</v>
      </c>
      <c r="B121" s="22" t="s">
        <v>220</v>
      </c>
      <c r="C121" s="13" t="s">
        <v>221</v>
      </c>
      <c r="D121" s="41" t="s">
        <v>579</v>
      </c>
      <c r="E121" s="15" t="str">
        <f>VLOOKUP($B121,DATA!$C:$AF,29,FALSE)</f>
        <v>30 มิ.ย.69</v>
      </c>
      <c r="F121" s="15">
        <v>0</v>
      </c>
      <c r="G121" s="16">
        <f t="shared" si="3"/>
        <v>1</v>
      </c>
      <c r="H121" s="43"/>
      <c r="I121" s="35">
        <f t="shared" si="4"/>
        <v>1</v>
      </c>
      <c r="J121" s="35">
        <f t="shared" si="5"/>
        <v>0</v>
      </c>
    </row>
    <row r="122" spans="1:10" ht="17.5" thickBot="1">
      <c r="A122" s="41" t="s">
        <v>604</v>
      </c>
      <c r="B122" s="21" t="s">
        <v>222</v>
      </c>
      <c r="C122" s="13" t="s">
        <v>223</v>
      </c>
      <c r="D122" s="41" t="s">
        <v>579</v>
      </c>
      <c r="E122" s="15" t="str">
        <f>VLOOKUP($B122,DATA!$C:$AF,29,FALSE)</f>
        <v>30 มิ.ย.69</v>
      </c>
      <c r="F122" s="15">
        <v>0</v>
      </c>
      <c r="G122" s="16">
        <f t="shared" si="3"/>
        <v>1</v>
      </c>
      <c r="H122" s="43"/>
      <c r="I122" s="35">
        <f t="shared" si="4"/>
        <v>1</v>
      </c>
      <c r="J122" s="35">
        <f t="shared" si="5"/>
        <v>0</v>
      </c>
    </row>
    <row r="123" spans="1:10" ht="17.5" thickBot="1">
      <c r="A123" s="41" t="s">
        <v>604</v>
      </c>
      <c r="B123" s="21" t="s">
        <v>184</v>
      </c>
      <c r="C123" s="13" t="s">
        <v>185</v>
      </c>
      <c r="D123" s="41" t="s">
        <v>579</v>
      </c>
      <c r="E123" s="15" t="str">
        <f>VLOOKUP($B123,DATA!$C:$AF,29,FALSE)</f>
        <v>30 มิ.ย.69</v>
      </c>
      <c r="F123" s="15">
        <v>0</v>
      </c>
      <c r="G123" s="16">
        <f t="shared" si="3"/>
        <v>1</v>
      </c>
      <c r="H123" s="43"/>
      <c r="I123" s="35">
        <f t="shared" si="4"/>
        <v>1</v>
      </c>
      <c r="J123" s="35">
        <f t="shared" si="5"/>
        <v>0</v>
      </c>
    </row>
    <row r="124" spans="1:10" ht="17.5" thickBot="1">
      <c r="A124" s="41" t="s">
        <v>604</v>
      </c>
      <c r="B124" s="13" t="s">
        <v>186</v>
      </c>
      <c r="C124" s="13" t="s">
        <v>187</v>
      </c>
      <c r="D124" s="41" t="s">
        <v>579</v>
      </c>
      <c r="E124" s="15" t="str">
        <f>VLOOKUP($B124,DATA!$C:$AF,29,FALSE)</f>
        <v>30 มิ.ย.69</v>
      </c>
      <c r="F124" s="15">
        <v>0</v>
      </c>
      <c r="G124" s="16">
        <f t="shared" si="3"/>
        <v>1</v>
      </c>
      <c r="H124" s="43"/>
      <c r="I124" s="35">
        <f t="shared" si="4"/>
        <v>1</v>
      </c>
      <c r="J124" s="35">
        <f t="shared" si="5"/>
        <v>0</v>
      </c>
    </row>
    <row r="125" spans="1:10" ht="17.5" thickBot="1">
      <c r="A125" s="41" t="s">
        <v>604</v>
      </c>
      <c r="B125" s="21" t="s">
        <v>224</v>
      </c>
      <c r="C125" s="13" t="s">
        <v>225</v>
      </c>
      <c r="D125" s="41" t="s">
        <v>579</v>
      </c>
      <c r="E125" s="15" t="str">
        <f>VLOOKUP($B125,DATA!$C:$AF,29,FALSE)</f>
        <v>30 มิ.ย.69</v>
      </c>
      <c r="F125" s="15">
        <v>0</v>
      </c>
      <c r="G125" s="16">
        <f t="shared" si="3"/>
        <v>1</v>
      </c>
      <c r="H125" s="43"/>
      <c r="I125" s="35">
        <f t="shared" si="4"/>
        <v>1</v>
      </c>
      <c r="J125" s="35">
        <f t="shared" si="5"/>
        <v>0</v>
      </c>
    </row>
    <row r="126" spans="1:10" ht="17.5" thickBot="1">
      <c r="A126" s="41" t="s">
        <v>604</v>
      </c>
      <c r="B126" s="22" t="s">
        <v>226</v>
      </c>
      <c r="C126" s="13" t="s">
        <v>227</v>
      </c>
      <c r="D126" s="41" t="s">
        <v>579</v>
      </c>
      <c r="E126" s="15" t="str">
        <f>VLOOKUP($B126,DATA!$C:$AF,29,FALSE)</f>
        <v>24 มิ.ย.69</v>
      </c>
      <c r="F126" s="15">
        <v>0</v>
      </c>
      <c r="G126" s="16">
        <f t="shared" si="3"/>
        <v>1</v>
      </c>
      <c r="H126" s="43"/>
      <c r="I126" s="35">
        <f t="shared" si="4"/>
        <v>1</v>
      </c>
      <c r="J126" s="35">
        <f t="shared" si="5"/>
        <v>0</v>
      </c>
    </row>
    <row r="127" spans="1:10" ht="17.5" thickBot="1">
      <c r="A127" s="41" t="s">
        <v>604</v>
      </c>
      <c r="B127" s="22" t="s">
        <v>228</v>
      </c>
      <c r="C127" s="13" t="s">
        <v>229</v>
      </c>
      <c r="D127" s="41" t="s">
        <v>579</v>
      </c>
      <c r="E127" s="15" t="str">
        <f>VLOOKUP($B127,DATA!$C:$AF,29,FALSE)</f>
        <v>24 มิ.ย.69</v>
      </c>
      <c r="F127" s="15">
        <v>0</v>
      </c>
      <c r="G127" s="16">
        <f t="shared" si="3"/>
        <v>1</v>
      </c>
      <c r="H127" s="43"/>
      <c r="I127" s="35">
        <f t="shared" si="4"/>
        <v>1</v>
      </c>
      <c r="J127" s="35">
        <f t="shared" si="5"/>
        <v>0</v>
      </c>
    </row>
    <row r="128" spans="1:10" ht="17.5" thickBot="1">
      <c r="A128" s="41" t="s">
        <v>604</v>
      </c>
      <c r="B128" s="22" t="s">
        <v>202</v>
      </c>
      <c r="C128" s="13" t="s">
        <v>203</v>
      </c>
      <c r="D128" s="41" t="s">
        <v>579</v>
      </c>
      <c r="E128" s="15" t="str">
        <f>VLOOKUP($B128,DATA!$C:$AF,29,FALSE)</f>
        <v>24 มิ.ย.69</v>
      </c>
      <c r="F128" s="15">
        <v>0</v>
      </c>
      <c r="G128" s="16">
        <f t="shared" si="3"/>
        <v>1</v>
      </c>
      <c r="H128" s="42"/>
      <c r="I128" s="35">
        <f t="shared" si="4"/>
        <v>1</v>
      </c>
      <c r="J128" s="35">
        <f t="shared" si="5"/>
        <v>0</v>
      </c>
    </row>
    <row r="129" spans="1:10" ht="17.5" thickBot="1">
      <c r="A129" s="41" t="s">
        <v>604</v>
      </c>
      <c r="B129" s="22" t="s">
        <v>230</v>
      </c>
      <c r="C129" s="13" t="s">
        <v>231</v>
      </c>
      <c r="D129" s="41" t="s">
        <v>579</v>
      </c>
      <c r="E129" s="15" t="str">
        <f>VLOOKUP($B129,DATA!$C:$AF,29,FALSE)</f>
        <v>24 มิ.ย.69</v>
      </c>
      <c r="F129" s="15">
        <v>0</v>
      </c>
      <c r="G129" s="16">
        <f t="shared" si="3"/>
        <v>1</v>
      </c>
      <c r="H129" s="43"/>
      <c r="I129" s="35">
        <f t="shared" si="4"/>
        <v>1</v>
      </c>
      <c r="J129" s="35">
        <f t="shared" si="5"/>
        <v>0</v>
      </c>
    </row>
    <row r="130" spans="1:10" ht="17.5" thickBot="1">
      <c r="A130" s="41" t="s">
        <v>604</v>
      </c>
      <c r="B130" s="22" t="s">
        <v>232</v>
      </c>
      <c r="C130" s="13" t="s">
        <v>233</v>
      </c>
      <c r="D130" s="41" t="s">
        <v>579</v>
      </c>
      <c r="E130" s="15" t="str">
        <f>VLOOKUP($B130,DATA!$C:$AF,29,FALSE)</f>
        <v>24 มิ.ย.69</v>
      </c>
      <c r="F130" s="15">
        <v>0</v>
      </c>
      <c r="G130" s="16">
        <f t="shared" si="3"/>
        <v>1</v>
      </c>
      <c r="H130" s="43"/>
      <c r="I130" s="35">
        <f t="shared" si="4"/>
        <v>1</v>
      </c>
      <c r="J130" s="35">
        <f t="shared" si="5"/>
        <v>0</v>
      </c>
    </row>
    <row r="131" spans="1:10" ht="17.5" thickBot="1">
      <c r="A131" s="41" t="s">
        <v>604</v>
      </c>
      <c r="B131" s="22" t="s">
        <v>234</v>
      </c>
      <c r="C131" s="13" t="s">
        <v>235</v>
      </c>
      <c r="D131" s="41" t="s">
        <v>584</v>
      </c>
      <c r="E131" s="15" t="str">
        <f>VLOOKUP($B131,DATA!$C:$AF,29,FALSE)</f>
        <v>24 มิ.ย.69</v>
      </c>
      <c r="F131" s="15">
        <v>0</v>
      </c>
      <c r="G131" s="16">
        <f t="shared" si="3"/>
        <v>1</v>
      </c>
      <c r="H131" s="43"/>
      <c r="I131" s="35">
        <f t="shared" si="4"/>
        <v>1</v>
      </c>
      <c r="J131" s="35">
        <f t="shared" si="5"/>
        <v>0</v>
      </c>
    </row>
    <row r="132" spans="1:10" ht="17.5" thickBot="1">
      <c r="A132" s="41" t="s">
        <v>604</v>
      </c>
      <c r="B132" s="22" t="s">
        <v>236</v>
      </c>
      <c r="C132" s="13" t="s">
        <v>237</v>
      </c>
      <c r="D132" s="41" t="s">
        <v>579</v>
      </c>
      <c r="E132" s="15" t="str">
        <f>VLOOKUP($B132,DATA!$C:$AF,29,FALSE)</f>
        <v>24 มิ.ย.69</v>
      </c>
      <c r="F132" s="15">
        <v>0</v>
      </c>
      <c r="G132" s="16">
        <f t="shared" ref="G132:G195" si="9">SUM(I132:J132)</f>
        <v>1</v>
      </c>
      <c r="H132" s="43"/>
      <c r="I132" s="35">
        <f t="shared" ref="I132:I195" si="10">IF(E132&lt;&gt;0,1,0)</f>
        <v>1</v>
      </c>
      <c r="J132" s="35">
        <f t="shared" ref="J132:J195" si="11">IF(F132&lt;&gt;0,1,0)</f>
        <v>0</v>
      </c>
    </row>
    <row r="133" spans="1:10" ht="17.5" thickBot="1">
      <c r="A133" s="41" t="s">
        <v>604</v>
      </c>
      <c r="B133" s="22" t="s">
        <v>204</v>
      </c>
      <c r="C133" s="13" t="s">
        <v>205</v>
      </c>
      <c r="D133" s="41" t="s">
        <v>579</v>
      </c>
      <c r="E133" s="15" t="str">
        <f>VLOOKUP($B133,DATA!$C:$AF,29,FALSE)</f>
        <v>24 มิ.ย.69</v>
      </c>
      <c r="F133" s="15">
        <v>0</v>
      </c>
      <c r="G133" s="16">
        <f t="shared" si="9"/>
        <v>1</v>
      </c>
      <c r="H133" s="42"/>
      <c r="I133" s="35">
        <f t="shared" si="10"/>
        <v>1</v>
      </c>
      <c r="J133" s="35">
        <f t="shared" si="11"/>
        <v>0</v>
      </c>
    </row>
    <row r="134" spans="1:10" ht="17.5" thickBot="1">
      <c r="A134" s="41" t="s">
        <v>604</v>
      </c>
      <c r="B134" s="22" t="s">
        <v>238</v>
      </c>
      <c r="C134" s="13" t="s">
        <v>239</v>
      </c>
      <c r="D134" s="41" t="s">
        <v>579</v>
      </c>
      <c r="E134" s="15" t="str">
        <f>VLOOKUP($B134,DATA!$C:$AF,29,FALSE)</f>
        <v>24 มิ.ย.69</v>
      </c>
      <c r="F134" s="15">
        <v>0</v>
      </c>
      <c r="G134" s="16">
        <f t="shared" si="9"/>
        <v>1</v>
      </c>
      <c r="H134" s="43"/>
      <c r="I134" s="35">
        <f t="shared" si="10"/>
        <v>1</v>
      </c>
      <c r="J134" s="35">
        <f t="shared" si="11"/>
        <v>0</v>
      </c>
    </row>
    <row r="135" spans="1:10" ht="17.5" thickBot="1">
      <c r="A135" s="41" t="s">
        <v>604</v>
      </c>
      <c r="B135" s="22" t="s">
        <v>240</v>
      </c>
      <c r="C135" s="13" t="s">
        <v>241</v>
      </c>
      <c r="D135" s="41" t="s">
        <v>584</v>
      </c>
      <c r="E135" s="15" t="str">
        <f>VLOOKUP($B135,DATA!$C:$AF,29,FALSE)</f>
        <v>24 มิ.ย.69</v>
      </c>
      <c r="F135" s="15">
        <v>0</v>
      </c>
      <c r="G135" s="16">
        <f t="shared" si="9"/>
        <v>1</v>
      </c>
      <c r="H135" s="43"/>
      <c r="I135" s="35">
        <f t="shared" si="10"/>
        <v>1</v>
      </c>
      <c r="J135" s="35">
        <f t="shared" si="11"/>
        <v>0</v>
      </c>
    </row>
    <row r="136" spans="1:10" ht="17.5" thickBot="1">
      <c r="A136" s="41" t="s">
        <v>605</v>
      </c>
      <c r="B136" s="27" t="s">
        <v>242</v>
      </c>
      <c r="C136" s="13" t="s">
        <v>243</v>
      </c>
      <c r="D136" s="41" t="s">
        <v>579</v>
      </c>
      <c r="E136" s="15" t="str">
        <f>VLOOKUP($B136,DATA!$C:$AF,29,FALSE)</f>
        <v>30 มิ.ย.69</v>
      </c>
      <c r="F136" s="15">
        <v>0</v>
      </c>
      <c r="G136" s="16">
        <f t="shared" si="9"/>
        <v>1</v>
      </c>
      <c r="H136" s="43"/>
      <c r="I136" s="35">
        <f t="shared" si="10"/>
        <v>1</v>
      </c>
      <c r="J136" s="35">
        <f t="shared" si="11"/>
        <v>0</v>
      </c>
    </row>
    <row r="137" spans="1:10" ht="17.5" thickBot="1">
      <c r="A137" s="41" t="s">
        <v>605</v>
      </c>
      <c r="B137" s="23" t="s">
        <v>244</v>
      </c>
      <c r="C137" s="13" t="s">
        <v>245</v>
      </c>
      <c r="D137" s="41" t="s">
        <v>579</v>
      </c>
      <c r="E137" s="15" t="str">
        <f>VLOOKUP($B137,DATA!$C:$AF,29,FALSE)</f>
        <v>5 พค 69</v>
      </c>
      <c r="F137" s="15">
        <v>0</v>
      </c>
      <c r="G137" s="16">
        <f t="shared" si="9"/>
        <v>1</v>
      </c>
      <c r="H137" s="43"/>
      <c r="I137" s="35">
        <f t="shared" si="10"/>
        <v>1</v>
      </c>
      <c r="J137" s="35">
        <f t="shared" si="11"/>
        <v>0</v>
      </c>
    </row>
    <row r="138" spans="1:10" ht="17.5" thickBot="1">
      <c r="A138" s="41" t="s">
        <v>605</v>
      </c>
      <c r="B138" s="21" t="s">
        <v>246</v>
      </c>
      <c r="C138" s="13" t="s">
        <v>247</v>
      </c>
      <c r="D138" s="41" t="s">
        <v>579</v>
      </c>
      <c r="E138" s="15" t="str">
        <f>VLOOKUP($B138,DATA!$C:$AF,29,FALSE)</f>
        <v>5 พค 69</v>
      </c>
      <c r="F138" s="15">
        <v>0</v>
      </c>
      <c r="G138" s="16">
        <f t="shared" si="9"/>
        <v>1</v>
      </c>
      <c r="H138" s="43"/>
      <c r="I138" s="35">
        <f t="shared" si="10"/>
        <v>1</v>
      </c>
      <c r="J138" s="35">
        <f t="shared" si="11"/>
        <v>0</v>
      </c>
    </row>
    <row r="139" spans="1:10" ht="17.5" thickBot="1">
      <c r="A139" s="41" t="s">
        <v>605</v>
      </c>
      <c r="B139" s="21" t="s">
        <v>248</v>
      </c>
      <c r="C139" s="13" t="s">
        <v>249</v>
      </c>
      <c r="D139" s="41" t="s">
        <v>579</v>
      </c>
      <c r="E139" s="15" t="str">
        <f>VLOOKUP($B139,DATA!$C:$AF,29,FALSE)</f>
        <v>5 พค 69</v>
      </c>
      <c r="F139" s="15">
        <v>0</v>
      </c>
      <c r="G139" s="16">
        <f t="shared" si="9"/>
        <v>1</v>
      </c>
      <c r="H139" s="43"/>
      <c r="I139" s="35">
        <f t="shared" si="10"/>
        <v>1</v>
      </c>
      <c r="J139" s="35">
        <f t="shared" si="11"/>
        <v>0</v>
      </c>
    </row>
    <row r="140" spans="1:10" ht="17.5" thickBot="1">
      <c r="A140" s="41" t="s">
        <v>605</v>
      </c>
      <c r="B140" s="21" t="s">
        <v>250</v>
      </c>
      <c r="C140" s="13" t="s">
        <v>251</v>
      </c>
      <c r="D140" s="41" t="s">
        <v>579</v>
      </c>
      <c r="E140" s="15" t="str">
        <f>VLOOKUP($B140,DATA!$C:$AF,29,FALSE)</f>
        <v>5 พค 69</v>
      </c>
      <c r="F140" s="15">
        <v>0</v>
      </c>
      <c r="G140" s="16">
        <f t="shared" si="9"/>
        <v>1</v>
      </c>
      <c r="H140" s="43"/>
      <c r="I140" s="35">
        <f t="shared" si="10"/>
        <v>1</v>
      </c>
      <c r="J140" s="35">
        <f t="shared" si="11"/>
        <v>0</v>
      </c>
    </row>
    <row r="141" spans="1:10" ht="17.5" thickBot="1">
      <c r="A141" s="41" t="s">
        <v>605</v>
      </c>
      <c r="B141" s="21" t="s">
        <v>252</v>
      </c>
      <c r="C141" s="13" t="s">
        <v>253</v>
      </c>
      <c r="D141" s="41" t="s">
        <v>579</v>
      </c>
      <c r="E141" s="15" t="str">
        <f>VLOOKUP($B141,DATA!$C:$AF,29,FALSE)</f>
        <v>5 พค 69</v>
      </c>
      <c r="F141" s="15">
        <v>0</v>
      </c>
      <c r="G141" s="16">
        <f t="shared" si="9"/>
        <v>1</v>
      </c>
      <c r="H141" s="43"/>
      <c r="I141" s="35">
        <f t="shared" si="10"/>
        <v>1</v>
      </c>
      <c r="J141" s="35">
        <f t="shared" si="11"/>
        <v>0</v>
      </c>
    </row>
    <row r="142" spans="1:10" ht="17.5" thickBot="1">
      <c r="A142" s="41" t="s">
        <v>605</v>
      </c>
      <c r="B142" s="21" t="s">
        <v>254</v>
      </c>
      <c r="C142" s="13" t="s">
        <v>255</v>
      </c>
      <c r="D142" s="41" t="s">
        <v>579</v>
      </c>
      <c r="E142" s="15" t="str">
        <f>VLOOKUP($B142,DATA!$C:$AF,29,FALSE)</f>
        <v>5 พค 69</v>
      </c>
      <c r="F142" s="15">
        <v>0</v>
      </c>
      <c r="G142" s="16">
        <f t="shared" si="9"/>
        <v>1</v>
      </c>
      <c r="H142" s="43"/>
      <c r="I142" s="35">
        <f t="shared" si="10"/>
        <v>1</v>
      </c>
      <c r="J142" s="35">
        <f t="shared" si="11"/>
        <v>0</v>
      </c>
    </row>
    <row r="143" spans="1:10" ht="17.5" thickBot="1">
      <c r="A143" s="41" t="s">
        <v>605</v>
      </c>
      <c r="B143" s="21" t="s">
        <v>256</v>
      </c>
      <c r="C143" s="13" t="s">
        <v>257</v>
      </c>
      <c r="D143" s="41" t="s">
        <v>579</v>
      </c>
      <c r="E143" s="15" t="str">
        <f>VLOOKUP($B143,DATA!$C:$AF,29,FALSE)</f>
        <v>5 พค 69</v>
      </c>
      <c r="F143" s="15">
        <v>0</v>
      </c>
      <c r="G143" s="16">
        <f t="shared" si="9"/>
        <v>1</v>
      </c>
      <c r="H143" s="43"/>
      <c r="I143" s="35">
        <f t="shared" si="10"/>
        <v>1</v>
      </c>
      <c r="J143" s="35">
        <f t="shared" si="11"/>
        <v>0</v>
      </c>
    </row>
    <row r="144" spans="1:10" ht="17.5" thickBot="1">
      <c r="A144" s="41" t="s">
        <v>605</v>
      </c>
      <c r="B144" s="22" t="s">
        <v>258</v>
      </c>
      <c r="C144" s="22" t="s">
        <v>259</v>
      </c>
      <c r="D144" s="41" t="s">
        <v>579</v>
      </c>
      <c r="E144" s="15" t="str">
        <f>VLOOKUP($B144,DATA!$C:$AF,29,FALSE)</f>
        <v>5 พค 69</v>
      </c>
      <c r="F144" s="15">
        <v>0</v>
      </c>
      <c r="G144" s="16">
        <f t="shared" si="9"/>
        <v>1</v>
      </c>
      <c r="H144" s="43"/>
      <c r="I144" s="35">
        <f t="shared" si="10"/>
        <v>1</v>
      </c>
      <c r="J144" s="35">
        <f t="shared" si="11"/>
        <v>0</v>
      </c>
    </row>
    <row r="145" spans="1:10" ht="17.5" thickBot="1">
      <c r="A145" s="41" t="s">
        <v>605</v>
      </c>
      <c r="B145" s="22" t="s">
        <v>542</v>
      </c>
      <c r="C145" s="22" t="s">
        <v>541</v>
      </c>
      <c r="D145" s="41" t="s">
        <v>579</v>
      </c>
      <c r="E145" s="15" t="str">
        <f>VLOOKUP($B145,DATA!$C:$AF,29,FALSE)</f>
        <v>5 พค 69</v>
      </c>
      <c r="F145" s="15">
        <v>0</v>
      </c>
      <c r="G145" s="16">
        <f t="shared" si="9"/>
        <v>1</v>
      </c>
      <c r="H145" s="43"/>
      <c r="I145" s="35">
        <f t="shared" si="10"/>
        <v>1</v>
      </c>
      <c r="J145" s="35">
        <f t="shared" si="11"/>
        <v>0</v>
      </c>
    </row>
    <row r="146" spans="1:10" ht="17.5" thickBot="1">
      <c r="A146" s="41" t="s">
        <v>605</v>
      </c>
      <c r="B146" s="22" t="s">
        <v>553</v>
      </c>
      <c r="C146" s="22" t="s">
        <v>543</v>
      </c>
      <c r="D146" s="41" t="s">
        <v>579</v>
      </c>
      <c r="E146" s="15" t="str">
        <f>VLOOKUP($B146,DATA!$C:$AF,29,FALSE)</f>
        <v>5 มิ.ย.69</v>
      </c>
      <c r="F146" s="15">
        <v>0</v>
      </c>
      <c r="G146" s="16">
        <f t="shared" si="9"/>
        <v>1</v>
      </c>
      <c r="H146" s="43"/>
      <c r="I146" s="35">
        <f t="shared" si="10"/>
        <v>1</v>
      </c>
      <c r="J146" s="35">
        <f t="shared" si="11"/>
        <v>0</v>
      </c>
    </row>
    <row r="147" spans="1:10" ht="17.5" thickBot="1">
      <c r="A147" s="41" t="s">
        <v>605</v>
      </c>
      <c r="B147" s="21" t="s">
        <v>260</v>
      </c>
      <c r="C147" s="13" t="s">
        <v>261</v>
      </c>
      <c r="D147" s="41" t="s">
        <v>579</v>
      </c>
      <c r="E147" s="15" t="str">
        <f>VLOOKUP($B147,DATA!$C:$AF,29,FALSE)</f>
        <v>7 พค 69</v>
      </c>
      <c r="F147" s="15">
        <v>0</v>
      </c>
      <c r="G147" s="16">
        <f t="shared" si="9"/>
        <v>1</v>
      </c>
      <c r="H147" s="43"/>
      <c r="I147" s="35">
        <f t="shared" si="10"/>
        <v>1</v>
      </c>
      <c r="J147" s="35">
        <f t="shared" si="11"/>
        <v>0</v>
      </c>
    </row>
    <row r="148" spans="1:10" ht="17.5" thickBot="1">
      <c r="A148" s="41" t="s">
        <v>605</v>
      </c>
      <c r="B148" s="21" t="s">
        <v>262</v>
      </c>
      <c r="C148" s="13" t="s">
        <v>263</v>
      </c>
      <c r="D148" s="41" t="s">
        <v>579</v>
      </c>
      <c r="E148" s="15" t="str">
        <f>VLOOKUP($B148,DATA!$C:$AF,29,FALSE)</f>
        <v>7 พค 69</v>
      </c>
      <c r="F148" s="15">
        <v>0</v>
      </c>
      <c r="G148" s="16">
        <f t="shared" si="9"/>
        <v>1</v>
      </c>
      <c r="H148" s="43"/>
      <c r="I148" s="35">
        <f t="shared" si="10"/>
        <v>1</v>
      </c>
      <c r="J148" s="35">
        <f t="shared" si="11"/>
        <v>0</v>
      </c>
    </row>
    <row r="149" spans="1:10" ht="17.5" thickBot="1">
      <c r="A149" s="41" t="s">
        <v>605</v>
      </c>
      <c r="B149" s="22" t="s">
        <v>266</v>
      </c>
      <c r="C149" s="13" t="s">
        <v>267</v>
      </c>
      <c r="D149" s="41" t="s">
        <v>579</v>
      </c>
      <c r="E149" s="15" t="str">
        <f>VLOOKUP($B149,DATA!$C:$AF,29,FALSE)</f>
        <v>5 มิ.ย.69</v>
      </c>
      <c r="F149" s="15">
        <v>0</v>
      </c>
      <c r="G149" s="16">
        <f t="shared" si="9"/>
        <v>1</v>
      </c>
      <c r="H149" s="43"/>
      <c r="I149" s="35">
        <f t="shared" si="10"/>
        <v>1</v>
      </c>
      <c r="J149" s="35">
        <f t="shared" si="11"/>
        <v>0</v>
      </c>
    </row>
    <row r="150" spans="1:10" ht="17.5" thickBot="1">
      <c r="A150" s="41" t="s">
        <v>605</v>
      </c>
      <c r="B150" s="22" t="s">
        <v>268</v>
      </c>
      <c r="C150" s="22" t="s">
        <v>269</v>
      </c>
      <c r="D150" s="41" t="s">
        <v>579</v>
      </c>
      <c r="E150" s="15" t="str">
        <f>VLOOKUP($B150,DATA!$C:$AF,29,FALSE)</f>
        <v>30 มิ.ย.69</v>
      </c>
      <c r="F150" s="15">
        <v>0</v>
      </c>
      <c r="G150" s="16">
        <f t="shared" si="9"/>
        <v>1</v>
      </c>
      <c r="H150" s="43"/>
      <c r="I150" s="35">
        <f t="shared" si="10"/>
        <v>1</v>
      </c>
      <c r="J150" s="35">
        <f t="shared" si="11"/>
        <v>0</v>
      </c>
    </row>
    <row r="151" spans="1:10" ht="17.5" thickBot="1">
      <c r="A151" s="41" t="s">
        <v>605</v>
      </c>
      <c r="B151" s="22" t="s">
        <v>270</v>
      </c>
      <c r="C151" s="13" t="s">
        <v>271</v>
      </c>
      <c r="D151" s="41" t="s">
        <v>579</v>
      </c>
      <c r="E151" s="15" t="str">
        <f>VLOOKUP($B151,DATA!$C:$AF,29,FALSE)</f>
        <v>29 มิ.ย.69</v>
      </c>
      <c r="F151" s="15">
        <v>0</v>
      </c>
      <c r="G151" s="16">
        <f t="shared" si="9"/>
        <v>1</v>
      </c>
      <c r="H151" s="43"/>
      <c r="I151" s="35">
        <f t="shared" si="10"/>
        <v>1</v>
      </c>
      <c r="J151" s="35">
        <f t="shared" si="11"/>
        <v>0</v>
      </c>
    </row>
    <row r="152" spans="1:10" ht="17.5" thickBot="1">
      <c r="A152" s="41" t="s">
        <v>605</v>
      </c>
      <c r="B152" s="13" t="s">
        <v>272</v>
      </c>
      <c r="C152" s="13" t="s">
        <v>273</v>
      </c>
      <c r="D152" s="41" t="s">
        <v>579</v>
      </c>
      <c r="E152" s="15" t="str">
        <f>VLOOKUP($B152,DATA!$C:$AF,29,FALSE)</f>
        <v>29 มิ.ย.69</v>
      </c>
      <c r="F152" s="15">
        <v>0</v>
      </c>
      <c r="G152" s="16">
        <f t="shared" si="9"/>
        <v>1</v>
      </c>
      <c r="H152" s="43"/>
      <c r="I152" s="35">
        <f t="shared" si="10"/>
        <v>1</v>
      </c>
      <c r="J152" s="35">
        <f t="shared" si="11"/>
        <v>0</v>
      </c>
    </row>
    <row r="153" spans="1:10" ht="17.5" thickBot="1">
      <c r="A153" s="41" t="s">
        <v>605</v>
      </c>
      <c r="B153" s="23" t="s">
        <v>276</v>
      </c>
      <c r="C153" s="13" t="s">
        <v>277</v>
      </c>
      <c r="D153" s="41" t="s">
        <v>579</v>
      </c>
      <c r="E153" s="15" t="str">
        <f>VLOOKUP($B153,DATA!$C:$AF,29,FALSE)</f>
        <v>30 มิ.ย.69</v>
      </c>
      <c r="F153" s="15">
        <v>0</v>
      </c>
      <c r="G153" s="16">
        <f t="shared" si="9"/>
        <v>1</v>
      </c>
      <c r="H153" s="43"/>
      <c r="I153" s="35">
        <f t="shared" si="10"/>
        <v>1</v>
      </c>
      <c r="J153" s="35">
        <f t="shared" si="11"/>
        <v>0</v>
      </c>
    </row>
    <row r="154" spans="1:10" ht="17.5" thickBot="1">
      <c r="A154" s="41" t="s">
        <v>605</v>
      </c>
      <c r="B154" s="21" t="s">
        <v>280</v>
      </c>
      <c r="C154" s="13" t="s">
        <v>281</v>
      </c>
      <c r="D154" s="41" t="s">
        <v>579</v>
      </c>
      <c r="E154" s="15" t="str">
        <f>VLOOKUP($B154,DATA!$C:$AF,29,FALSE)</f>
        <v>30 มิ.ย.69</v>
      </c>
      <c r="F154" s="15">
        <v>0</v>
      </c>
      <c r="G154" s="16">
        <f t="shared" si="9"/>
        <v>1</v>
      </c>
      <c r="H154" s="43"/>
      <c r="I154" s="35">
        <f t="shared" si="10"/>
        <v>1</v>
      </c>
      <c r="J154" s="35">
        <f t="shared" si="11"/>
        <v>0</v>
      </c>
    </row>
    <row r="155" spans="1:10" ht="17.5" thickBot="1">
      <c r="A155" s="41" t="s">
        <v>605</v>
      </c>
      <c r="B155" s="27" t="s">
        <v>283</v>
      </c>
      <c r="C155" s="13" t="s">
        <v>284</v>
      </c>
      <c r="D155" s="41" t="s">
        <v>579</v>
      </c>
      <c r="E155" s="15" t="str">
        <f>VLOOKUP($B155,DATA!$C:$AF,29,FALSE)</f>
        <v>29 มิ.ย.69</v>
      </c>
      <c r="F155" s="15">
        <v>0</v>
      </c>
      <c r="G155" s="16">
        <f t="shared" si="9"/>
        <v>1</v>
      </c>
      <c r="H155" s="43"/>
      <c r="I155" s="35">
        <f t="shared" si="10"/>
        <v>1</v>
      </c>
      <c r="J155" s="35">
        <f t="shared" si="11"/>
        <v>0</v>
      </c>
    </row>
    <row r="156" spans="1:10" ht="17.5" thickBot="1">
      <c r="A156" s="41" t="s">
        <v>605</v>
      </c>
      <c r="B156" s="21" t="s">
        <v>285</v>
      </c>
      <c r="C156" s="13" t="s">
        <v>286</v>
      </c>
      <c r="D156" s="41" t="s">
        <v>579</v>
      </c>
      <c r="E156" s="15" t="str">
        <f>VLOOKUP($B156,DATA!$C:$AF,29,FALSE)</f>
        <v>30 มิ.ย.69</v>
      </c>
      <c r="F156" s="15">
        <v>0</v>
      </c>
      <c r="G156" s="16">
        <f t="shared" si="9"/>
        <v>1</v>
      </c>
      <c r="H156" s="43"/>
      <c r="I156" s="35">
        <f t="shared" si="10"/>
        <v>1</v>
      </c>
      <c r="J156" s="35">
        <f t="shared" si="11"/>
        <v>0</v>
      </c>
    </row>
    <row r="157" spans="1:10" ht="17.5" thickBot="1">
      <c r="A157" s="41" t="s">
        <v>605</v>
      </c>
      <c r="B157" s="23" t="s">
        <v>287</v>
      </c>
      <c r="C157" s="13" t="s">
        <v>288</v>
      </c>
      <c r="D157" s="41" t="s">
        <v>579</v>
      </c>
      <c r="E157" s="15" t="str">
        <f>VLOOKUP($B157,DATA!$C:$AF,29,FALSE)</f>
        <v>30 มิ.ย.69</v>
      </c>
      <c r="F157" s="15">
        <v>0</v>
      </c>
      <c r="G157" s="16">
        <f t="shared" si="9"/>
        <v>1</v>
      </c>
      <c r="H157" s="43"/>
      <c r="I157" s="35">
        <f t="shared" si="10"/>
        <v>1</v>
      </c>
      <c r="J157" s="35">
        <f t="shared" si="11"/>
        <v>0</v>
      </c>
    </row>
    <row r="158" spans="1:10" ht="17.5" thickBot="1">
      <c r="A158" s="41" t="s">
        <v>605</v>
      </c>
      <c r="B158" s="19" t="s">
        <v>289</v>
      </c>
      <c r="C158" s="13" t="s">
        <v>290</v>
      </c>
      <c r="D158" s="41" t="s">
        <v>579</v>
      </c>
      <c r="E158" s="15" t="str">
        <f>VLOOKUP($B158,DATA!$C:$AF,29,FALSE)</f>
        <v>30 มิ.ย.69</v>
      </c>
      <c r="F158" s="15">
        <v>0</v>
      </c>
      <c r="G158" s="16">
        <f t="shared" si="9"/>
        <v>1</v>
      </c>
      <c r="H158" s="43"/>
      <c r="I158" s="35">
        <f t="shared" si="10"/>
        <v>1</v>
      </c>
      <c r="J158" s="35">
        <f t="shared" si="11"/>
        <v>0</v>
      </c>
    </row>
    <row r="159" spans="1:10" ht="17.5" thickBot="1">
      <c r="A159" s="41" t="s">
        <v>605</v>
      </c>
      <c r="B159" s="21" t="s">
        <v>264</v>
      </c>
      <c r="C159" s="30" t="s">
        <v>265</v>
      </c>
      <c r="D159" s="41" t="s">
        <v>579</v>
      </c>
      <c r="E159" s="15" t="str">
        <f>VLOOKUP($B159,DATA!$C:$AF,29,FALSE)</f>
        <v>29 มิ.ย.69</v>
      </c>
      <c r="F159" s="15">
        <v>0</v>
      </c>
      <c r="G159" s="16">
        <f t="shared" si="9"/>
        <v>1</v>
      </c>
      <c r="H159" s="43"/>
      <c r="I159" s="35">
        <f t="shared" si="10"/>
        <v>1</v>
      </c>
      <c r="J159" s="35">
        <f t="shared" si="11"/>
        <v>0</v>
      </c>
    </row>
    <row r="160" spans="1:10" ht="17.5" thickBot="1">
      <c r="A160" s="41" t="s">
        <v>605</v>
      </c>
      <c r="B160" s="23" t="s">
        <v>291</v>
      </c>
      <c r="C160" s="13" t="s">
        <v>292</v>
      </c>
      <c r="D160" s="41" t="s">
        <v>579</v>
      </c>
      <c r="E160" s="15" t="str">
        <f>VLOOKUP($B160,DATA!$C:$AF,29,FALSE)</f>
        <v>29 มิ.ย.69</v>
      </c>
      <c r="F160" s="15">
        <v>0</v>
      </c>
      <c r="G160" s="16">
        <f t="shared" si="9"/>
        <v>1</v>
      </c>
      <c r="H160" s="43"/>
      <c r="I160" s="35">
        <f t="shared" si="10"/>
        <v>1</v>
      </c>
      <c r="J160" s="35">
        <f t="shared" si="11"/>
        <v>0</v>
      </c>
    </row>
    <row r="161" spans="1:10" ht="17.5" thickBot="1">
      <c r="A161" s="41" t="s">
        <v>605</v>
      </c>
      <c r="B161" s="22" t="s">
        <v>293</v>
      </c>
      <c r="C161" s="13" t="s">
        <v>294</v>
      </c>
      <c r="D161" s="41" t="s">
        <v>579</v>
      </c>
      <c r="E161" s="15" t="str">
        <f>VLOOKUP($B161,DATA!$C:$AF,29,FALSE)</f>
        <v>29 มิ.ย.69</v>
      </c>
      <c r="F161" s="15">
        <v>0</v>
      </c>
      <c r="G161" s="16">
        <f t="shared" si="9"/>
        <v>1</v>
      </c>
      <c r="H161" s="43"/>
      <c r="I161" s="35">
        <f t="shared" si="10"/>
        <v>1</v>
      </c>
      <c r="J161" s="35">
        <f t="shared" si="11"/>
        <v>0</v>
      </c>
    </row>
    <row r="162" spans="1:10" ht="17.5" thickBot="1">
      <c r="A162" s="41" t="s">
        <v>605</v>
      </c>
      <c r="B162" s="22" t="s">
        <v>295</v>
      </c>
      <c r="C162" s="13" t="s">
        <v>296</v>
      </c>
      <c r="D162" s="41" t="s">
        <v>579</v>
      </c>
      <c r="E162" s="15" t="str">
        <f>VLOOKUP($B162,DATA!$C:$AF,29,FALSE)</f>
        <v>29 มิ.ย.69</v>
      </c>
      <c r="F162" s="15">
        <v>0</v>
      </c>
      <c r="G162" s="16">
        <f t="shared" si="9"/>
        <v>1</v>
      </c>
      <c r="H162" s="43"/>
      <c r="I162" s="35">
        <f t="shared" si="10"/>
        <v>1</v>
      </c>
      <c r="J162" s="35">
        <f t="shared" si="11"/>
        <v>0</v>
      </c>
    </row>
    <row r="163" spans="1:10" ht="17.5" thickBot="1">
      <c r="A163" s="41" t="s">
        <v>605</v>
      </c>
      <c r="B163" s="22" t="s">
        <v>297</v>
      </c>
      <c r="C163" s="21" t="s">
        <v>298</v>
      </c>
      <c r="D163" s="41" t="s">
        <v>579</v>
      </c>
      <c r="E163" s="15" t="str">
        <f>VLOOKUP($B163,DATA!$C:$AF,29,FALSE)</f>
        <v>30 มิ.ย.69</v>
      </c>
      <c r="F163" s="15">
        <v>0</v>
      </c>
      <c r="G163" s="16">
        <f t="shared" si="9"/>
        <v>1</v>
      </c>
      <c r="H163" s="43"/>
      <c r="I163" s="35">
        <f t="shared" si="10"/>
        <v>1</v>
      </c>
      <c r="J163" s="35">
        <f t="shared" si="11"/>
        <v>0</v>
      </c>
    </row>
    <row r="164" spans="1:10" ht="17.5" thickBot="1">
      <c r="A164" s="41" t="s">
        <v>605</v>
      </c>
      <c r="B164" s="21" t="s">
        <v>299</v>
      </c>
      <c r="C164" s="13" t="s">
        <v>300</v>
      </c>
      <c r="D164" s="41" t="s">
        <v>579</v>
      </c>
      <c r="E164" s="15" t="str">
        <f>VLOOKUP($B164,DATA!$C:$AF,29,FALSE)</f>
        <v>29 มิ.ย.69</v>
      </c>
      <c r="F164" s="15">
        <v>0</v>
      </c>
      <c r="G164" s="16">
        <f t="shared" si="9"/>
        <v>1</v>
      </c>
      <c r="H164" s="43"/>
      <c r="I164" s="35">
        <f t="shared" si="10"/>
        <v>1</v>
      </c>
      <c r="J164" s="35">
        <f t="shared" si="11"/>
        <v>0</v>
      </c>
    </row>
    <row r="165" spans="1:10" ht="17.5" thickBot="1">
      <c r="A165" s="41" t="s">
        <v>605</v>
      </c>
      <c r="B165" s="21" t="s">
        <v>301</v>
      </c>
      <c r="C165" s="13" t="s">
        <v>302</v>
      </c>
      <c r="D165" s="41" t="s">
        <v>579</v>
      </c>
      <c r="E165" s="15" t="str">
        <f>VLOOKUP($B165,DATA!$C:$AF,29,FALSE)</f>
        <v>30 มิ.ย.69</v>
      </c>
      <c r="F165" s="15">
        <v>0</v>
      </c>
      <c r="G165" s="16">
        <f t="shared" si="9"/>
        <v>1</v>
      </c>
      <c r="H165" s="43"/>
      <c r="I165" s="35">
        <f t="shared" si="10"/>
        <v>1</v>
      </c>
      <c r="J165" s="35">
        <f t="shared" si="11"/>
        <v>0</v>
      </c>
    </row>
    <row r="166" spans="1:10" ht="17.5" thickBot="1">
      <c r="A166" s="41" t="s">
        <v>605</v>
      </c>
      <c r="B166" s="21" t="s">
        <v>303</v>
      </c>
      <c r="C166" s="13" t="s">
        <v>304</v>
      </c>
      <c r="D166" s="41" t="s">
        <v>579</v>
      </c>
      <c r="E166" s="15" t="str">
        <f>VLOOKUP($B166,DATA!$C:$AF,29,FALSE)</f>
        <v>29 มิ.ย.69</v>
      </c>
      <c r="F166" s="15">
        <v>0</v>
      </c>
      <c r="G166" s="16">
        <f t="shared" si="9"/>
        <v>1</v>
      </c>
      <c r="H166" s="43"/>
      <c r="I166" s="35">
        <f t="shared" si="10"/>
        <v>1</v>
      </c>
      <c r="J166" s="35">
        <f t="shared" si="11"/>
        <v>0</v>
      </c>
    </row>
    <row r="167" spans="1:10" ht="17.5" thickBot="1">
      <c r="A167" s="41" t="s">
        <v>605</v>
      </c>
      <c r="B167" s="21" t="s">
        <v>305</v>
      </c>
      <c r="C167" s="13" t="s">
        <v>306</v>
      </c>
      <c r="D167" s="41" t="s">
        <v>579</v>
      </c>
      <c r="E167" s="15" t="str">
        <f>VLOOKUP($B167,DATA!$C:$AF,29,FALSE)</f>
        <v>29 มิ.ย.69</v>
      </c>
      <c r="F167" s="15">
        <v>0</v>
      </c>
      <c r="G167" s="16">
        <f t="shared" si="9"/>
        <v>1</v>
      </c>
      <c r="H167" s="43"/>
      <c r="I167" s="35">
        <f t="shared" si="10"/>
        <v>1</v>
      </c>
      <c r="J167" s="35">
        <f t="shared" si="11"/>
        <v>0</v>
      </c>
    </row>
    <row r="168" spans="1:10" ht="17.5" thickBot="1">
      <c r="A168" s="41" t="s">
        <v>605</v>
      </c>
      <c r="B168" s="22" t="s">
        <v>307</v>
      </c>
      <c r="C168" s="26" t="s">
        <v>308</v>
      </c>
      <c r="D168" s="41" t="s">
        <v>579</v>
      </c>
      <c r="E168" s="15" t="str">
        <f>VLOOKUP($B168,DATA!$C:$AF,29,FALSE)</f>
        <v>29 มิ.ย.69</v>
      </c>
      <c r="F168" s="15">
        <v>0</v>
      </c>
      <c r="G168" s="16">
        <f t="shared" si="9"/>
        <v>1</v>
      </c>
      <c r="H168" s="43"/>
      <c r="I168" s="35">
        <f t="shared" si="10"/>
        <v>1</v>
      </c>
      <c r="J168" s="35">
        <f t="shared" si="11"/>
        <v>0</v>
      </c>
    </row>
    <row r="169" spans="1:10" ht="17.5" thickBot="1">
      <c r="A169" s="41" t="s">
        <v>605</v>
      </c>
      <c r="B169" s="21" t="s">
        <v>309</v>
      </c>
      <c r="C169" s="13" t="s">
        <v>310</v>
      </c>
      <c r="D169" s="41" t="s">
        <v>579</v>
      </c>
      <c r="E169" s="15" t="str">
        <f>VLOOKUP($B169,DATA!$C:$AF,29,FALSE)</f>
        <v>29 มิ.ย.69</v>
      </c>
      <c r="F169" s="15">
        <v>0</v>
      </c>
      <c r="G169" s="16">
        <f t="shared" si="9"/>
        <v>1</v>
      </c>
      <c r="H169" s="43"/>
      <c r="I169" s="35">
        <f t="shared" si="10"/>
        <v>1</v>
      </c>
      <c r="J169" s="35">
        <f t="shared" si="11"/>
        <v>0</v>
      </c>
    </row>
    <row r="170" spans="1:10" ht="17.5" thickBot="1">
      <c r="A170" s="41" t="s">
        <v>605</v>
      </c>
      <c r="B170" s="22" t="s">
        <v>311</v>
      </c>
      <c r="C170" s="13" t="s">
        <v>312</v>
      </c>
      <c r="D170" s="41" t="s">
        <v>580</v>
      </c>
      <c r="E170" s="15" t="str">
        <f>VLOOKUP($B170,DATA!$C:$AF,29,FALSE)</f>
        <v>30 มิ.ย.69</v>
      </c>
      <c r="F170" s="15">
        <v>0</v>
      </c>
      <c r="G170" s="16">
        <f t="shared" si="9"/>
        <v>1</v>
      </c>
      <c r="H170" s="43"/>
      <c r="I170" s="35">
        <f t="shared" si="10"/>
        <v>1</v>
      </c>
      <c r="J170" s="35">
        <f t="shared" si="11"/>
        <v>0</v>
      </c>
    </row>
    <row r="171" spans="1:10" ht="17.5" thickBot="1">
      <c r="A171" s="41" t="s">
        <v>605</v>
      </c>
      <c r="B171" s="22" t="s">
        <v>313</v>
      </c>
      <c r="C171" s="21" t="s">
        <v>589</v>
      </c>
      <c r="D171" s="41" t="s">
        <v>580</v>
      </c>
      <c r="E171" s="15" t="str">
        <f>VLOOKUP($B171,DATA!$C:$AF,29,FALSE)</f>
        <v>30 มิ.ย.69</v>
      </c>
      <c r="F171" s="15">
        <v>0</v>
      </c>
      <c r="G171" s="16">
        <f t="shared" si="9"/>
        <v>1</v>
      </c>
      <c r="H171" s="43"/>
      <c r="I171" s="35">
        <f t="shared" si="10"/>
        <v>1</v>
      </c>
      <c r="J171" s="35">
        <f t="shared" si="11"/>
        <v>0</v>
      </c>
    </row>
    <row r="172" spans="1:10" ht="17.5" thickBot="1">
      <c r="A172" s="41" t="s">
        <v>605</v>
      </c>
      <c r="B172" s="22" t="s">
        <v>314</v>
      </c>
      <c r="C172" s="21" t="s">
        <v>590</v>
      </c>
      <c r="D172" s="41" t="s">
        <v>580</v>
      </c>
      <c r="E172" s="15" t="str">
        <f>VLOOKUP($B172,DATA!$C:$AF,29,FALSE)</f>
        <v>30 มิ.ย.69</v>
      </c>
      <c r="F172" s="15">
        <v>0</v>
      </c>
      <c r="G172" s="16">
        <f t="shared" si="9"/>
        <v>1</v>
      </c>
      <c r="H172" s="43"/>
      <c r="I172" s="35">
        <f t="shared" si="10"/>
        <v>1</v>
      </c>
      <c r="J172" s="35">
        <f t="shared" si="11"/>
        <v>0</v>
      </c>
    </row>
    <row r="173" spans="1:10" ht="17.5" thickBot="1">
      <c r="A173" s="41" t="s">
        <v>605</v>
      </c>
      <c r="B173" s="22" t="s">
        <v>315</v>
      </c>
      <c r="C173" s="21" t="s">
        <v>591</v>
      </c>
      <c r="D173" s="41" t="s">
        <v>580</v>
      </c>
      <c r="E173" s="15" t="str">
        <f>VLOOKUP($B173,DATA!$C:$AF,29,FALSE)</f>
        <v>30 มิ.ย.69</v>
      </c>
      <c r="F173" s="15">
        <v>0</v>
      </c>
      <c r="G173" s="16">
        <f t="shared" si="9"/>
        <v>1</v>
      </c>
      <c r="H173" s="43"/>
      <c r="I173" s="35">
        <f t="shared" si="10"/>
        <v>1</v>
      </c>
      <c r="J173" s="35">
        <f t="shared" si="11"/>
        <v>0</v>
      </c>
    </row>
    <row r="174" spans="1:10" ht="17.5" thickBot="1">
      <c r="A174" s="41" t="s">
        <v>605</v>
      </c>
      <c r="B174" s="22" t="s">
        <v>316</v>
      </c>
      <c r="C174" s="21" t="s">
        <v>592</v>
      </c>
      <c r="D174" s="41" t="s">
        <v>580</v>
      </c>
      <c r="E174" s="15" t="str">
        <f>VLOOKUP($B174,DATA!$C:$AF,29,FALSE)</f>
        <v>30 มิ.ย.69</v>
      </c>
      <c r="F174" s="15">
        <v>0</v>
      </c>
      <c r="G174" s="16">
        <f t="shared" si="9"/>
        <v>1</v>
      </c>
      <c r="H174" s="43"/>
      <c r="I174" s="35">
        <f t="shared" si="10"/>
        <v>1</v>
      </c>
      <c r="J174" s="35">
        <f t="shared" si="11"/>
        <v>0</v>
      </c>
    </row>
    <row r="175" spans="1:10" ht="17.5" thickBot="1">
      <c r="A175" s="41" t="s">
        <v>605</v>
      </c>
      <c r="B175" s="23" t="s">
        <v>317</v>
      </c>
      <c r="C175" s="21" t="s">
        <v>593</v>
      </c>
      <c r="D175" s="41" t="s">
        <v>580</v>
      </c>
      <c r="E175" s="15" t="str">
        <f>VLOOKUP($B175,DATA!$C:$AF,29,FALSE)</f>
        <v>30 มิ.ย.69</v>
      </c>
      <c r="F175" s="15">
        <v>0</v>
      </c>
      <c r="G175" s="16">
        <f t="shared" si="9"/>
        <v>1</v>
      </c>
      <c r="H175" s="43"/>
      <c r="I175" s="35">
        <f t="shared" si="10"/>
        <v>1</v>
      </c>
      <c r="J175" s="35">
        <f t="shared" si="11"/>
        <v>0</v>
      </c>
    </row>
    <row r="176" spans="1:10" ht="17.5" thickBot="1">
      <c r="A176" s="41" t="s">
        <v>605</v>
      </c>
      <c r="B176" s="23" t="s">
        <v>318</v>
      </c>
      <c r="C176" s="21" t="s">
        <v>594</v>
      </c>
      <c r="D176" s="41" t="s">
        <v>580</v>
      </c>
      <c r="E176" s="15" t="str">
        <f>VLOOKUP($B176,DATA!$C:$AF,29,FALSE)</f>
        <v>30 มิ.ย.69</v>
      </c>
      <c r="F176" s="15">
        <v>0</v>
      </c>
      <c r="G176" s="16">
        <f t="shared" si="9"/>
        <v>1</v>
      </c>
      <c r="H176" s="43"/>
      <c r="I176" s="35">
        <f t="shared" si="10"/>
        <v>1</v>
      </c>
      <c r="J176" s="35">
        <f t="shared" si="11"/>
        <v>0</v>
      </c>
    </row>
    <row r="177" spans="1:10" ht="17.5" thickBot="1">
      <c r="A177" s="41" t="s">
        <v>605</v>
      </c>
      <c r="B177" s="21" t="s">
        <v>319</v>
      </c>
      <c r="C177" s="13" t="s">
        <v>320</v>
      </c>
      <c r="D177" s="41" t="s">
        <v>580</v>
      </c>
      <c r="E177" s="15" t="str">
        <f>VLOOKUP($B177,DATA!$C:$AF,29,FALSE)</f>
        <v>30 มิ.ย.69</v>
      </c>
      <c r="F177" s="15">
        <v>0</v>
      </c>
      <c r="G177" s="16">
        <f t="shared" si="9"/>
        <v>1</v>
      </c>
      <c r="H177" s="43"/>
      <c r="I177" s="35">
        <f t="shared" si="10"/>
        <v>1</v>
      </c>
      <c r="J177" s="35">
        <f t="shared" si="11"/>
        <v>0</v>
      </c>
    </row>
    <row r="178" spans="1:10" ht="17.5" thickBot="1">
      <c r="A178" s="41" t="s">
        <v>605</v>
      </c>
      <c r="B178" s="13" t="s">
        <v>321</v>
      </c>
      <c r="C178" s="21" t="s">
        <v>322</v>
      </c>
      <c r="D178" s="41" t="s">
        <v>580</v>
      </c>
      <c r="E178" s="15" t="str">
        <f>VLOOKUP($B178,DATA!$C:$AF,29,FALSE)</f>
        <v>30 มิ.ย.69</v>
      </c>
      <c r="F178" s="15">
        <v>0</v>
      </c>
      <c r="G178" s="16">
        <f t="shared" si="9"/>
        <v>1</v>
      </c>
      <c r="H178" s="43"/>
      <c r="I178" s="35">
        <f t="shared" si="10"/>
        <v>1</v>
      </c>
      <c r="J178" s="35">
        <f t="shared" si="11"/>
        <v>0</v>
      </c>
    </row>
    <row r="179" spans="1:10" ht="17.5" thickBot="1">
      <c r="A179" s="41" t="s">
        <v>605</v>
      </c>
      <c r="B179" s="13" t="s">
        <v>323</v>
      </c>
      <c r="C179" s="21" t="s">
        <v>595</v>
      </c>
      <c r="D179" s="41" t="s">
        <v>580</v>
      </c>
      <c r="E179" s="15" t="str">
        <f>VLOOKUP($B179,DATA!$C:$AF,29,FALSE)</f>
        <v>30 มิ.ย.69</v>
      </c>
      <c r="F179" s="15">
        <v>0</v>
      </c>
      <c r="G179" s="16">
        <f t="shared" si="9"/>
        <v>1</v>
      </c>
      <c r="H179" s="43"/>
      <c r="I179" s="35">
        <f t="shared" si="10"/>
        <v>1</v>
      </c>
      <c r="J179" s="35">
        <f t="shared" si="11"/>
        <v>0</v>
      </c>
    </row>
    <row r="180" spans="1:10" ht="17.5" thickBot="1">
      <c r="A180" s="41" t="s">
        <v>605</v>
      </c>
      <c r="B180" s="27" t="s">
        <v>324</v>
      </c>
      <c r="C180" s="13" t="s">
        <v>325</v>
      </c>
      <c r="D180" s="41" t="s">
        <v>579</v>
      </c>
      <c r="E180" s="15" t="str">
        <f>VLOOKUP($B180,DATA!$C:$AF,29,FALSE)</f>
        <v>30 มิ.ย.69</v>
      </c>
      <c r="F180" s="15">
        <v>0</v>
      </c>
      <c r="G180" s="16">
        <f t="shared" si="9"/>
        <v>1</v>
      </c>
      <c r="H180" s="43"/>
      <c r="I180" s="35">
        <f t="shared" si="10"/>
        <v>1</v>
      </c>
      <c r="J180" s="35">
        <f t="shared" si="11"/>
        <v>0</v>
      </c>
    </row>
    <row r="181" spans="1:10" ht="17.5" thickBot="1">
      <c r="A181" s="41" t="s">
        <v>605</v>
      </c>
      <c r="B181" s="21" t="s">
        <v>326</v>
      </c>
      <c r="C181" s="13" t="s">
        <v>327</v>
      </c>
      <c r="D181" s="41" t="s">
        <v>579</v>
      </c>
      <c r="E181" s="15" t="str">
        <f>VLOOKUP($B181,DATA!$C:$AF,29,FALSE)</f>
        <v>30 มิ.ย.69</v>
      </c>
      <c r="F181" s="15">
        <v>0</v>
      </c>
      <c r="G181" s="16">
        <f t="shared" si="9"/>
        <v>1</v>
      </c>
      <c r="H181" s="43"/>
      <c r="I181" s="35">
        <f t="shared" si="10"/>
        <v>1</v>
      </c>
      <c r="J181" s="35">
        <f t="shared" si="11"/>
        <v>0</v>
      </c>
    </row>
    <row r="182" spans="1:10" ht="17.5" thickBot="1">
      <c r="A182" s="41" t="s">
        <v>605</v>
      </c>
      <c r="B182" s="21" t="s">
        <v>328</v>
      </c>
      <c r="C182" s="13" t="s">
        <v>329</v>
      </c>
      <c r="D182" s="41" t="s">
        <v>584</v>
      </c>
      <c r="E182" s="15" t="str">
        <f>VLOOKUP($B182,DATA!$C:$AF,29,FALSE)</f>
        <v>30 มิ.ย.69</v>
      </c>
      <c r="F182" s="15">
        <v>0</v>
      </c>
      <c r="G182" s="16">
        <f t="shared" si="9"/>
        <v>1</v>
      </c>
      <c r="H182" s="43"/>
      <c r="I182" s="35">
        <f t="shared" si="10"/>
        <v>1</v>
      </c>
      <c r="J182" s="35">
        <f t="shared" si="11"/>
        <v>0</v>
      </c>
    </row>
    <row r="183" spans="1:10" ht="17.5" thickBot="1">
      <c r="A183" s="41" t="s">
        <v>605</v>
      </c>
      <c r="B183" s="19" t="s">
        <v>330</v>
      </c>
      <c r="C183" s="13" t="s">
        <v>331</v>
      </c>
      <c r="D183" s="41" t="s">
        <v>579</v>
      </c>
      <c r="E183" s="15" t="str">
        <f>VLOOKUP($B183,DATA!$C:$AF,29,FALSE)</f>
        <v>30 มิ.ย.69</v>
      </c>
      <c r="F183" s="15">
        <v>0</v>
      </c>
      <c r="G183" s="16">
        <f t="shared" si="9"/>
        <v>1</v>
      </c>
      <c r="H183" s="43"/>
      <c r="I183" s="35">
        <f t="shared" si="10"/>
        <v>1</v>
      </c>
      <c r="J183" s="35">
        <f t="shared" si="11"/>
        <v>0</v>
      </c>
    </row>
    <row r="184" spans="1:10" ht="17.5" thickBot="1">
      <c r="A184" s="41" t="s">
        <v>605</v>
      </c>
      <c r="B184" s="21" t="s">
        <v>332</v>
      </c>
      <c r="C184" s="13" t="s">
        <v>333</v>
      </c>
      <c r="D184" s="41" t="s">
        <v>579</v>
      </c>
      <c r="E184" s="15" t="str">
        <f>VLOOKUP($B184,DATA!$C:$AF,29,FALSE)</f>
        <v>30 มิ.ย.69</v>
      </c>
      <c r="F184" s="15">
        <v>0</v>
      </c>
      <c r="G184" s="16">
        <f t="shared" si="9"/>
        <v>1</v>
      </c>
      <c r="H184" s="43"/>
      <c r="I184" s="35">
        <f t="shared" si="10"/>
        <v>1</v>
      </c>
      <c r="J184" s="35">
        <f t="shared" si="11"/>
        <v>0</v>
      </c>
    </row>
    <row r="185" spans="1:10" ht="17.5" thickBot="1">
      <c r="A185" s="41" t="s">
        <v>605</v>
      </c>
      <c r="B185" s="21" t="s">
        <v>334</v>
      </c>
      <c r="C185" s="21" t="s">
        <v>335</v>
      </c>
      <c r="D185" s="41" t="s">
        <v>579</v>
      </c>
      <c r="E185" s="15" t="str">
        <f>VLOOKUP($B185,DATA!$C:$AF,29,FALSE)</f>
        <v>30 มิ.ย.69</v>
      </c>
      <c r="F185" s="15">
        <v>0</v>
      </c>
      <c r="G185" s="16">
        <f t="shared" si="9"/>
        <v>1</v>
      </c>
      <c r="H185" s="43"/>
      <c r="I185" s="35">
        <f t="shared" si="10"/>
        <v>1</v>
      </c>
      <c r="J185" s="35">
        <f t="shared" si="11"/>
        <v>0</v>
      </c>
    </row>
    <row r="186" spans="1:10" ht="17.5" thickBot="1">
      <c r="A186" s="41" t="s">
        <v>605</v>
      </c>
      <c r="B186" s="21" t="s">
        <v>336</v>
      </c>
      <c r="C186" s="21" t="s">
        <v>337</v>
      </c>
      <c r="D186" s="41" t="s">
        <v>579</v>
      </c>
      <c r="E186" s="15" t="str">
        <f>VLOOKUP($B186,DATA!$C:$AF,29,FALSE)</f>
        <v>30 มิ.ย.69</v>
      </c>
      <c r="F186" s="15">
        <v>0</v>
      </c>
      <c r="G186" s="16">
        <f t="shared" si="9"/>
        <v>1</v>
      </c>
      <c r="H186" s="43"/>
      <c r="I186" s="35">
        <f t="shared" si="10"/>
        <v>1</v>
      </c>
      <c r="J186" s="35">
        <f t="shared" si="11"/>
        <v>0</v>
      </c>
    </row>
    <row r="187" spans="1:10" ht="17.5" thickBot="1">
      <c r="A187" s="41" t="s">
        <v>605</v>
      </c>
      <c r="B187" s="21" t="s">
        <v>339</v>
      </c>
      <c r="C187" s="13" t="s">
        <v>340</v>
      </c>
      <c r="D187" s="41" t="s">
        <v>579</v>
      </c>
      <c r="E187" s="15" t="str">
        <f>VLOOKUP($B187,DATA!$C:$AF,29,FALSE)</f>
        <v>30 มิ.ย.69</v>
      </c>
      <c r="F187" s="15">
        <v>0</v>
      </c>
      <c r="G187" s="16">
        <f t="shared" si="9"/>
        <v>1</v>
      </c>
      <c r="H187" s="43"/>
      <c r="I187" s="35">
        <f t="shared" si="10"/>
        <v>1</v>
      </c>
      <c r="J187" s="35">
        <f t="shared" si="11"/>
        <v>0</v>
      </c>
    </row>
    <row r="188" spans="1:10" ht="17.5" thickBot="1">
      <c r="A188" s="41" t="s">
        <v>605</v>
      </c>
      <c r="B188" s="21" t="s">
        <v>341</v>
      </c>
      <c r="C188" s="21" t="s">
        <v>342</v>
      </c>
      <c r="D188" s="41" t="s">
        <v>579</v>
      </c>
      <c r="E188" s="15" t="str">
        <f>VLOOKUP($B188,DATA!$C:$AF,29,FALSE)</f>
        <v>30 มิ.ย.69</v>
      </c>
      <c r="F188" s="15">
        <v>0</v>
      </c>
      <c r="G188" s="16">
        <f t="shared" si="9"/>
        <v>1</v>
      </c>
      <c r="H188" s="43"/>
      <c r="I188" s="35">
        <f t="shared" si="10"/>
        <v>1</v>
      </c>
      <c r="J188" s="35">
        <f t="shared" si="11"/>
        <v>0</v>
      </c>
    </row>
    <row r="189" spans="1:10" ht="17.5" thickBot="1">
      <c r="A189" s="41" t="s">
        <v>605</v>
      </c>
      <c r="B189" s="19" t="s">
        <v>343</v>
      </c>
      <c r="C189" s="13" t="s">
        <v>344</v>
      </c>
      <c r="D189" s="41" t="s">
        <v>579</v>
      </c>
      <c r="E189" s="15" t="str">
        <f>VLOOKUP($B189,DATA!$C:$AF,29,FALSE)</f>
        <v>30 มิ.ย.69</v>
      </c>
      <c r="F189" s="15">
        <v>0</v>
      </c>
      <c r="G189" s="16">
        <f t="shared" si="9"/>
        <v>1</v>
      </c>
      <c r="H189" s="43"/>
      <c r="I189" s="35">
        <f t="shared" si="10"/>
        <v>1</v>
      </c>
      <c r="J189" s="35">
        <f t="shared" si="11"/>
        <v>0</v>
      </c>
    </row>
    <row r="190" spans="1:10" ht="17.5" thickBot="1">
      <c r="A190" s="41" t="s">
        <v>605</v>
      </c>
      <c r="B190" s="27" t="s">
        <v>345</v>
      </c>
      <c r="C190" s="13" t="s">
        <v>346</v>
      </c>
      <c r="D190" s="41" t="s">
        <v>579</v>
      </c>
      <c r="E190" s="15" t="str">
        <f>VLOOKUP($B190,DATA!$C:$AF,29,FALSE)</f>
        <v>29 มิ.ย.69</v>
      </c>
      <c r="F190" s="15">
        <v>0</v>
      </c>
      <c r="G190" s="16">
        <f t="shared" si="9"/>
        <v>1</v>
      </c>
      <c r="H190" s="43"/>
      <c r="I190" s="35">
        <f t="shared" si="10"/>
        <v>1</v>
      </c>
      <c r="J190" s="35">
        <f t="shared" si="11"/>
        <v>0</v>
      </c>
    </row>
    <row r="191" spans="1:10" ht="17.5" thickBot="1">
      <c r="A191" s="41" t="s">
        <v>605</v>
      </c>
      <c r="B191" s="21" t="s">
        <v>347</v>
      </c>
      <c r="C191" s="13" t="s">
        <v>348</v>
      </c>
      <c r="D191" s="41" t="s">
        <v>579</v>
      </c>
      <c r="E191" s="15" t="str">
        <f>VLOOKUP($B191,DATA!$C:$AF,29,FALSE)</f>
        <v>29 มิ.ย.69</v>
      </c>
      <c r="F191" s="15">
        <v>0</v>
      </c>
      <c r="G191" s="16">
        <f t="shared" si="9"/>
        <v>1</v>
      </c>
      <c r="H191" s="43"/>
      <c r="I191" s="35">
        <f t="shared" si="10"/>
        <v>1</v>
      </c>
      <c r="J191" s="35">
        <f t="shared" si="11"/>
        <v>0</v>
      </c>
    </row>
    <row r="192" spans="1:10" ht="17.5" thickBot="1">
      <c r="A192" s="41" t="s">
        <v>605</v>
      </c>
      <c r="B192" s="22" t="s">
        <v>349</v>
      </c>
      <c r="C192" s="21" t="s">
        <v>350</v>
      </c>
      <c r="D192" s="41" t="s">
        <v>579</v>
      </c>
      <c r="E192" s="15" t="str">
        <f>VLOOKUP($B192,DATA!$C:$AF,29,FALSE)</f>
        <v>29 มิ.ย.69</v>
      </c>
      <c r="F192" s="15">
        <v>0</v>
      </c>
      <c r="G192" s="16">
        <f t="shared" si="9"/>
        <v>1</v>
      </c>
      <c r="H192" s="43"/>
      <c r="I192" s="35">
        <f t="shared" si="10"/>
        <v>1</v>
      </c>
      <c r="J192" s="35">
        <f t="shared" si="11"/>
        <v>0</v>
      </c>
    </row>
    <row r="193" spans="1:10" ht="17.5" thickBot="1">
      <c r="A193" s="41" t="s">
        <v>605</v>
      </c>
      <c r="B193" s="19" t="s">
        <v>351</v>
      </c>
      <c r="C193" s="22" t="s">
        <v>352</v>
      </c>
      <c r="D193" s="41" t="s">
        <v>579</v>
      </c>
      <c r="E193" s="15" t="str">
        <f>VLOOKUP($B193,DATA!$C:$AF,29,FALSE)</f>
        <v>29 มิ.ย.69</v>
      </c>
      <c r="F193" s="15">
        <v>0</v>
      </c>
      <c r="G193" s="16">
        <f t="shared" si="9"/>
        <v>1</v>
      </c>
      <c r="H193" s="43"/>
      <c r="I193" s="35">
        <f t="shared" si="10"/>
        <v>1</v>
      </c>
      <c r="J193" s="35">
        <f t="shared" si="11"/>
        <v>0</v>
      </c>
    </row>
    <row r="194" spans="1:10" ht="17.5" thickBot="1">
      <c r="A194" s="41" t="s">
        <v>605</v>
      </c>
      <c r="B194" s="21" t="s">
        <v>353</v>
      </c>
      <c r="C194" s="13" t="s">
        <v>354</v>
      </c>
      <c r="D194" s="41" t="s">
        <v>579</v>
      </c>
      <c r="E194" s="15" t="str">
        <f>VLOOKUP($B194,DATA!$C:$AF,29,FALSE)</f>
        <v>29 มิ.ย.69</v>
      </c>
      <c r="F194" s="15">
        <v>0</v>
      </c>
      <c r="G194" s="16">
        <f t="shared" si="9"/>
        <v>1</v>
      </c>
      <c r="H194" s="43"/>
      <c r="I194" s="35">
        <f t="shared" si="10"/>
        <v>1</v>
      </c>
      <c r="J194" s="35">
        <f t="shared" si="11"/>
        <v>0</v>
      </c>
    </row>
    <row r="195" spans="1:10" ht="17.5" thickBot="1">
      <c r="A195" s="41" t="s">
        <v>605</v>
      </c>
      <c r="B195" s="19" t="s">
        <v>355</v>
      </c>
      <c r="C195" s="13" t="s">
        <v>356</v>
      </c>
      <c r="D195" s="41" t="s">
        <v>579</v>
      </c>
      <c r="E195" s="15" t="str">
        <f>VLOOKUP($B195,DATA!$C:$AF,29,FALSE)</f>
        <v>29 มิ.ย.69</v>
      </c>
      <c r="F195" s="15">
        <v>0</v>
      </c>
      <c r="G195" s="16">
        <f t="shared" si="9"/>
        <v>1</v>
      </c>
      <c r="H195" s="43"/>
      <c r="I195" s="35">
        <f t="shared" si="10"/>
        <v>1</v>
      </c>
      <c r="J195" s="35">
        <f t="shared" si="11"/>
        <v>0</v>
      </c>
    </row>
    <row r="196" spans="1:10" ht="17.5" thickBot="1">
      <c r="A196" s="41" t="s">
        <v>605</v>
      </c>
      <c r="B196" s="19" t="s">
        <v>357</v>
      </c>
      <c r="C196" s="22" t="s">
        <v>358</v>
      </c>
      <c r="D196" s="41" t="s">
        <v>584</v>
      </c>
      <c r="E196" s="15" t="str">
        <f>VLOOKUP($B196,DATA!$C:$AF,29,FALSE)</f>
        <v>29 มิ.ย.69</v>
      </c>
      <c r="F196" s="15">
        <v>0</v>
      </c>
      <c r="G196" s="16">
        <f t="shared" ref="G196:G261" si="12">SUM(I196:J196)</f>
        <v>1</v>
      </c>
      <c r="H196" s="43"/>
      <c r="I196" s="35">
        <f t="shared" ref="I196:I261" si="13">IF(E196&lt;&gt;0,1,0)</f>
        <v>1</v>
      </c>
      <c r="J196" s="35">
        <f t="shared" ref="J196:J261" si="14">IF(F196&lt;&gt;0,1,0)</f>
        <v>0</v>
      </c>
    </row>
    <row r="197" spans="1:10" ht="17.5" thickBot="1">
      <c r="A197" s="41" t="s">
        <v>605</v>
      </c>
      <c r="B197" s="19" t="s">
        <v>359</v>
      </c>
      <c r="C197" s="21" t="s">
        <v>360</v>
      </c>
      <c r="D197" s="41" t="s">
        <v>584</v>
      </c>
      <c r="E197" s="15" t="str">
        <f>VLOOKUP($B197,DATA!$C:$AF,29,FALSE)</f>
        <v>29 มิ.ย.69</v>
      </c>
      <c r="F197" s="15">
        <v>0</v>
      </c>
      <c r="G197" s="16">
        <f t="shared" si="12"/>
        <v>1</v>
      </c>
      <c r="H197" s="43"/>
      <c r="I197" s="35">
        <f t="shared" si="13"/>
        <v>1</v>
      </c>
      <c r="J197" s="35">
        <f t="shared" si="14"/>
        <v>0</v>
      </c>
    </row>
    <row r="198" spans="1:10" ht="17.5" thickBot="1">
      <c r="A198" s="41" t="s">
        <v>605</v>
      </c>
      <c r="B198" s="23" t="s">
        <v>361</v>
      </c>
      <c r="C198" s="13" t="s">
        <v>362</v>
      </c>
      <c r="D198" s="41" t="s">
        <v>579</v>
      </c>
      <c r="E198" s="15" t="str">
        <f>VLOOKUP($B198,DATA!$C:$AF,29,FALSE)</f>
        <v>29 มิ.ย.69</v>
      </c>
      <c r="F198" s="15">
        <v>0</v>
      </c>
      <c r="G198" s="16">
        <f t="shared" si="12"/>
        <v>1</v>
      </c>
      <c r="H198" s="43"/>
      <c r="I198" s="35">
        <f t="shared" si="13"/>
        <v>1</v>
      </c>
      <c r="J198" s="35">
        <f t="shared" si="14"/>
        <v>0</v>
      </c>
    </row>
    <row r="199" spans="1:10" ht="17.5" thickBot="1">
      <c r="A199" s="41" t="s">
        <v>605</v>
      </c>
      <c r="B199" s="21" t="s">
        <v>363</v>
      </c>
      <c r="C199" s="13" t="s">
        <v>364</v>
      </c>
      <c r="D199" s="41" t="s">
        <v>579</v>
      </c>
      <c r="E199" s="15" t="str">
        <f>VLOOKUP($B199,DATA!$C:$AF,29,FALSE)</f>
        <v>29 มิ.ย.69</v>
      </c>
      <c r="F199" s="15">
        <v>0</v>
      </c>
      <c r="G199" s="16">
        <f t="shared" si="12"/>
        <v>1</v>
      </c>
      <c r="H199" s="43"/>
      <c r="I199" s="35">
        <f t="shared" si="13"/>
        <v>1</v>
      </c>
      <c r="J199" s="35">
        <f t="shared" si="14"/>
        <v>0</v>
      </c>
    </row>
    <row r="200" spans="1:10" ht="17.5" thickBot="1">
      <c r="A200" s="41" t="s">
        <v>605</v>
      </c>
      <c r="B200" s="21" t="s">
        <v>365</v>
      </c>
      <c r="C200" s="13" t="s">
        <v>366</v>
      </c>
      <c r="D200" s="41" t="s">
        <v>579</v>
      </c>
      <c r="E200" s="15" t="str">
        <f>VLOOKUP($B200,DATA!$C:$AF,29,FALSE)</f>
        <v>29 มิ.ย.69</v>
      </c>
      <c r="F200" s="15">
        <v>0</v>
      </c>
      <c r="G200" s="16">
        <f t="shared" si="12"/>
        <v>1</v>
      </c>
      <c r="H200" s="43"/>
      <c r="I200" s="35">
        <f t="shared" si="13"/>
        <v>1</v>
      </c>
      <c r="J200" s="35">
        <f t="shared" si="14"/>
        <v>0</v>
      </c>
    </row>
    <row r="201" spans="1:10" ht="17.5" thickBot="1">
      <c r="A201" s="41" t="s">
        <v>605</v>
      </c>
      <c r="B201" s="27" t="s">
        <v>367</v>
      </c>
      <c r="C201" s="21" t="s">
        <v>368</v>
      </c>
      <c r="D201" s="41" t="s">
        <v>580</v>
      </c>
      <c r="E201" s="15" t="str">
        <f>VLOOKUP($B201,DATA!$C:$AF,29,FALSE)</f>
        <v>30 มิ.ย.69</v>
      </c>
      <c r="F201" s="15">
        <v>0</v>
      </c>
      <c r="G201" s="16">
        <f t="shared" si="12"/>
        <v>1</v>
      </c>
      <c r="H201" s="43"/>
      <c r="I201" s="35">
        <f t="shared" si="13"/>
        <v>1</v>
      </c>
      <c r="J201" s="35">
        <f t="shared" si="14"/>
        <v>0</v>
      </c>
    </row>
    <row r="202" spans="1:10" ht="17.5" thickBot="1">
      <c r="A202" s="41" t="s">
        <v>605</v>
      </c>
      <c r="B202" s="21" t="s">
        <v>369</v>
      </c>
      <c r="C202" s="21" t="s">
        <v>596</v>
      </c>
      <c r="D202" s="41" t="s">
        <v>580</v>
      </c>
      <c r="E202" s="15" t="str">
        <f>VLOOKUP($B202,DATA!$C:$AF,29,FALSE)</f>
        <v>30 มิ.ย.69</v>
      </c>
      <c r="F202" s="15">
        <v>0</v>
      </c>
      <c r="G202" s="16">
        <f t="shared" si="12"/>
        <v>1</v>
      </c>
      <c r="H202" s="43"/>
      <c r="I202" s="35">
        <f t="shared" si="13"/>
        <v>1</v>
      </c>
      <c r="J202" s="35">
        <f t="shared" si="14"/>
        <v>0</v>
      </c>
    </row>
    <row r="203" spans="1:10" ht="17.5" thickBot="1">
      <c r="A203" s="41" t="s">
        <v>605</v>
      </c>
      <c r="B203" s="19" t="s">
        <v>370</v>
      </c>
      <c r="C203" s="13" t="s">
        <v>371</v>
      </c>
      <c r="D203" s="41" t="s">
        <v>580</v>
      </c>
      <c r="E203" s="15" t="str">
        <f>VLOOKUP($B203,DATA!$C:$AF,29,FALSE)</f>
        <v>30 มิ.ย.69</v>
      </c>
      <c r="F203" s="15">
        <v>0</v>
      </c>
      <c r="G203" s="16">
        <f t="shared" si="12"/>
        <v>1</v>
      </c>
      <c r="H203" s="43"/>
      <c r="I203" s="35">
        <f t="shared" si="13"/>
        <v>1</v>
      </c>
      <c r="J203" s="35">
        <f t="shared" si="14"/>
        <v>0</v>
      </c>
    </row>
    <row r="204" spans="1:10" ht="17.5" thickBot="1">
      <c r="A204" s="41" t="s">
        <v>605</v>
      </c>
      <c r="B204" s="19" t="s">
        <v>338</v>
      </c>
      <c r="C204" s="22" t="s">
        <v>597</v>
      </c>
      <c r="D204" s="41" t="s">
        <v>580</v>
      </c>
      <c r="E204" s="15" t="str">
        <f>VLOOKUP($B204,DATA!$C:$AF,29,FALSE)</f>
        <v>30 มิ.ย.69</v>
      </c>
      <c r="F204" s="15">
        <v>0</v>
      </c>
      <c r="G204" s="16">
        <f t="shared" si="12"/>
        <v>1</v>
      </c>
      <c r="H204" s="43"/>
      <c r="I204" s="35">
        <f t="shared" si="13"/>
        <v>1</v>
      </c>
      <c r="J204" s="35">
        <f t="shared" si="14"/>
        <v>0</v>
      </c>
    </row>
    <row r="205" spans="1:10" ht="17.5" thickBot="1">
      <c r="A205" s="41" t="s">
        <v>605</v>
      </c>
      <c r="B205" s="19" t="s">
        <v>372</v>
      </c>
      <c r="C205" s="13" t="s">
        <v>373</v>
      </c>
      <c r="D205" s="41" t="s">
        <v>580</v>
      </c>
      <c r="E205" s="15" t="str">
        <f>VLOOKUP($B205,DATA!$C:$AF,29,FALSE)</f>
        <v>30 มิ.ย.69</v>
      </c>
      <c r="F205" s="15">
        <v>0</v>
      </c>
      <c r="G205" s="16">
        <f t="shared" si="12"/>
        <v>1</v>
      </c>
      <c r="H205" s="43"/>
      <c r="I205" s="35">
        <f t="shared" si="13"/>
        <v>1</v>
      </c>
      <c r="J205" s="35">
        <f t="shared" si="14"/>
        <v>0</v>
      </c>
    </row>
    <row r="206" spans="1:10" ht="17.5" thickBot="1">
      <c r="A206" s="41" t="s">
        <v>605</v>
      </c>
      <c r="B206" s="19" t="s">
        <v>374</v>
      </c>
      <c r="C206" s="13" t="s">
        <v>375</v>
      </c>
      <c r="D206" s="41" t="s">
        <v>580</v>
      </c>
      <c r="E206" s="15" t="str">
        <f>VLOOKUP($B206,DATA!$C:$AF,29,FALSE)</f>
        <v>30 มิ.ย.69</v>
      </c>
      <c r="F206" s="15">
        <v>0</v>
      </c>
      <c r="G206" s="16">
        <f t="shared" si="12"/>
        <v>1</v>
      </c>
      <c r="H206" s="43"/>
      <c r="I206" s="35">
        <f t="shared" si="13"/>
        <v>1</v>
      </c>
      <c r="J206" s="35">
        <f t="shared" si="14"/>
        <v>0</v>
      </c>
    </row>
    <row r="207" spans="1:10" ht="17.5" thickBot="1">
      <c r="A207" s="41" t="s">
        <v>605</v>
      </c>
      <c r="B207" s="19" t="s">
        <v>376</v>
      </c>
      <c r="C207" s="31" t="s">
        <v>377</v>
      </c>
      <c r="D207" s="41" t="s">
        <v>580</v>
      </c>
      <c r="E207" s="15" t="str">
        <f>VLOOKUP($B207,DATA!$C:$AF,29,FALSE)</f>
        <v>30 มิ.ย.69</v>
      </c>
      <c r="F207" s="15">
        <v>0</v>
      </c>
      <c r="G207" s="16">
        <f t="shared" si="12"/>
        <v>1</v>
      </c>
      <c r="H207" s="43"/>
      <c r="I207" s="35">
        <f t="shared" si="13"/>
        <v>1</v>
      </c>
      <c r="J207" s="35">
        <f t="shared" si="14"/>
        <v>0</v>
      </c>
    </row>
    <row r="208" spans="1:10" ht="17.5" thickBot="1">
      <c r="A208" s="41" t="s">
        <v>605</v>
      </c>
      <c r="B208" s="27" t="s">
        <v>378</v>
      </c>
      <c r="C208" s="13" t="s">
        <v>379</v>
      </c>
      <c r="D208" s="41" t="s">
        <v>579</v>
      </c>
      <c r="E208" s="15" t="str">
        <f>VLOOKUP($B208,DATA!$C:$AF,29,FALSE)</f>
        <v>30 มิ.ย.69</v>
      </c>
      <c r="F208" s="15">
        <v>0</v>
      </c>
      <c r="G208" s="16">
        <f t="shared" si="12"/>
        <v>1</v>
      </c>
      <c r="H208" s="43"/>
      <c r="I208" s="35">
        <f t="shared" si="13"/>
        <v>1</v>
      </c>
      <c r="J208" s="35">
        <f t="shared" si="14"/>
        <v>0</v>
      </c>
    </row>
    <row r="209" spans="1:10" ht="17.5" thickBot="1">
      <c r="A209" s="41" t="s">
        <v>605</v>
      </c>
      <c r="B209" s="21" t="s">
        <v>384</v>
      </c>
      <c r="C209" s="13" t="s">
        <v>282</v>
      </c>
      <c r="D209" s="41" t="s">
        <v>579</v>
      </c>
      <c r="E209" s="15" t="str">
        <f>VLOOKUP($B209,DATA!$C:$AF,29,FALSE)</f>
        <v>30 มิ.ย.69</v>
      </c>
      <c r="F209" s="15">
        <v>0</v>
      </c>
      <c r="G209" s="16">
        <f t="shared" si="12"/>
        <v>1</v>
      </c>
      <c r="H209" s="43"/>
      <c r="I209" s="35">
        <f t="shared" si="13"/>
        <v>1</v>
      </c>
      <c r="J209" s="35">
        <f t="shared" si="14"/>
        <v>0</v>
      </c>
    </row>
    <row r="210" spans="1:10" ht="17.5" thickBot="1">
      <c r="A210" s="41" t="s">
        <v>605</v>
      </c>
      <c r="B210" s="21" t="s">
        <v>385</v>
      </c>
      <c r="C210" s="13" t="s">
        <v>386</v>
      </c>
      <c r="D210" s="41" t="s">
        <v>579</v>
      </c>
      <c r="E210" s="15" t="str">
        <f>VLOOKUP($B210,DATA!$C:$AF,29,FALSE)</f>
        <v>30 มิ.ย.69</v>
      </c>
      <c r="F210" s="15">
        <v>0</v>
      </c>
      <c r="G210" s="16">
        <f t="shared" si="12"/>
        <v>1</v>
      </c>
      <c r="H210" s="42"/>
      <c r="I210" s="35">
        <f t="shared" si="13"/>
        <v>1</v>
      </c>
      <c r="J210" s="35">
        <f t="shared" si="14"/>
        <v>0</v>
      </c>
    </row>
    <row r="211" spans="1:10" ht="17.5" thickBot="1">
      <c r="A211" s="41" t="s">
        <v>605</v>
      </c>
      <c r="B211" s="21" t="s">
        <v>387</v>
      </c>
      <c r="C211" s="13" t="s">
        <v>388</v>
      </c>
      <c r="D211" s="41" t="s">
        <v>579</v>
      </c>
      <c r="E211" s="15" t="str">
        <f>VLOOKUP($B211,DATA!$C:$AF,29,FALSE)</f>
        <v>30 มิ.ย.69</v>
      </c>
      <c r="F211" s="15">
        <v>0</v>
      </c>
      <c r="G211" s="16">
        <f t="shared" si="12"/>
        <v>1</v>
      </c>
      <c r="H211" s="43"/>
      <c r="I211" s="35">
        <f t="shared" si="13"/>
        <v>1</v>
      </c>
      <c r="J211" s="35">
        <f t="shared" si="14"/>
        <v>0</v>
      </c>
    </row>
    <row r="212" spans="1:10" ht="17.5" thickBot="1">
      <c r="A212" s="41" t="s">
        <v>605</v>
      </c>
      <c r="B212" s="23" t="s">
        <v>278</v>
      </c>
      <c r="C212" s="13" t="s">
        <v>279</v>
      </c>
      <c r="D212" s="41" t="s">
        <v>579</v>
      </c>
      <c r="E212" s="15" t="str">
        <f>VLOOKUP($B212,DATA!$C:$AF,29,FALSE)</f>
        <v>29 มิ.ย.69</v>
      </c>
      <c r="F212" s="15">
        <v>0</v>
      </c>
      <c r="G212" s="16">
        <f t="shared" si="12"/>
        <v>1</v>
      </c>
      <c r="H212" s="43"/>
      <c r="I212" s="35">
        <f t="shared" si="13"/>
        <v>1</v>
      </c>
      <c r="J212" s="35">
        <f t="shared" si="14"/>
        <v>0</v>
      </c>
    </row>
    <row r="213" spans="1:10" ht="17.5" thickBot="1">
      <c r="A213" s="41" t="s">
        <v>605</v>
      </c>
      <c r="B213" s="19" t="s">
        <v>389</v>
      </c>
      <c r="C213" s="31" t="s">
        <v>390</v>
      </c>
      <c r="D213" s="41" t="s">
        <v>580</v>
      </c>
      <c r="E213" s="15" t="str">
        <f>VLOOKUP($B213,DATA!$C:$AF,29,FALSE)</f>
        <v>30 มิ.ย.69</v>
      </c>
      <c r="F213" s="15">
        <v>0</v>
      </c>
      <c r="G213" s="16">
        <f t="shared" si="12"/>
        <v>1</v>
      </c>
      <c r="H213" s="43"/>
      <c r="I213" s="35">
        <f t="shared" si="13"/>
        <v>1</v>
      </c>
      <c r="J213" s="35">
        <f t="shared" si="14"/>
        <v>0</v>
      </c>
    </row>
    <row r="214" spans="1:10" ht="17.5" thickBot="1">
      <c r="A214" s="41" t="s">
        <v>605</v>
      </c>
      <c r="B214" s="27" t="s">
        <v>391</v>
      </c>
      <c r="C214" s="13" t="s">
        <v>380</v>
      </c>
      <c r="D214" s="41" t="s">
        <v>579</v>
      </c>
      <c r="E214" s="15" t="str">
        <f>VLOOKUP($B214,DATA!$C:$AF,29,FALSE)</f>
        <v>29 มิ.ย.69</v>
      </c>
      <c r="F214" s="15">
        <v>0</v>
      </c>
      <c r="G214" s="16">
        <f t="shared" si="12"/>
        <v>1</v>
      </c>
      <c r="H214" s="43"/>
      <c r="I214" s="35">
        <f t="shared" si="13"/>
        <v>1</v>
      </c>
      <c r="J214" s="35">
        <f t="shared" si="14"/>
        <v>0</v>
      </c>
    </row>
    <row r="215" spans="1:10" ht="17.5" thickBot="1">
      <c r="A215" s="41" t="s">
        <v>605</v>
      </c>
      <c r="B215" s="21" t="s">
        <v>392</v>
      </c>
      <c r="C215" s="13" t="s">
        <v>383</v>
      </c>
      <c r="D215" s="41" t="s">
        <v>579</v>
      </c>
      <c r="E215" s="15" t="str">
        <f>VLOOKUP($B215,DATA!$C:$AF,29,FALSE)</f>
        <v>30 มิ.ย.69</v>
      </c>
      <c r="F215" s="15">
        <v>0</v>
      </c>
      <c r="G215" s="16">
        <f t="shared" si="12"/>
        <v>1</v>
      </c>
      <c r="H215" s="43"/>
      <c r="I215" s="35">
        <f t="shared" si="13"/>
        <v>1</v>
      </c>
      <c r="J215" s="35">
        <f t="shared" si="14"/>
        <v>0</v>
      </c>
    </row>
    <row r="216" spans="1:10" ht="17.5" thickBot="1">
      <c r="A216" s="41" t="s">
        <v>605</v>
      </c>
      <c r="B216" s="22" t="s">
        <v>393</v>
      </c>
      <c r="C216" s="13" t="s">
        <v>394</v>
      </c>
      <c r="D216" s="41" t="s">
        <v>579</v>
      </c>
      <c r="E216" s="15" t="str">
        <f>VLOOKUP($B216,DATA!$C:$AF,29,FALSE)</f>
        <v>29 มิ.ย.69</v>
      </c>
      <c r="F216" s="15">
        <v>0</v>
      </c>
      <c r="G216" s="16">
        <f t="shared" si="12"/>
        <v>1</v>
      </c>
      <c r="H216" s="43"/>
      <c r="I216" s="35">
        <f t="shared" si="13"/>
        <v>1</v>
      </c>
      <c r="J216" s="35">
        <f t="shared" si="14"/>
        <v>0</v>
      </c>
    </row>
    <row r="217" spans="1:10" ht="17.5" thickBot="1">
      <c r="A217" s="41" t="s">
        <v>605</v>
      </c>
      <c r="B217" s="22" t="s">
        <v>395</v>
      </c>
      <c r="C217" s="13" t="s">
        <v>396</v>
      </c>
      <c r="D217" s="41" t="s">
        <v>579</v>
      </c>
      <c r="E217" s="15" t="str">
        <f>VLOOKUP($B217,DATA!$C:$AF,29,FALSE)</f>
        <v>30 มิ.ย.69</v>
      </c>
      <c r="F217" s="15">
        <v>0</v>
      </c>
      <c r="G217" s="16">
        <f t="shared" si="12"/>
        <v>1</v>
      </c>
      <c r="H217" s="43"/>
      <c r="I217" s="35">
        <f t="shared" si="13"/>
        <v>1</v>
      </c>
      <c r="J217" s="35">
        <f t="shared" si="14"/>
        <v>0</v>
      </c>
    </row>
    <row r="218" spans="1:10" ht="17.5" thickBot="1">
      <c r="A218" s="41" t="s">
        <v>605</v>
      </c>
      <c r="B218" s="13" t="s">
        <v>397</v>
      </c>
      <c r="C218" s="13" t="s">
        <v>398</v>
      </c>
      <c r="D218" s="41" t="s">
        <v>579</v>
      </c>
      <c r="E218" s="15" t="str">
        <f>VLOOKUP($B218,DATA!$C:$AF,29,FALSE)</f>
        <v>30 มิ.ย.69</v>
      </c>
      <c r="F218" s="15">
        <v>0</v>
      </c>
      <c r="G218" s="16">
        <f t="shared" si="12"/>
        <v>1</v>
      </c>
      <c r="H218" s="43"/>
      <c r="I218" s="35">
        <f t="shared" si="13"/>
        <v>1</v>
      </c>
      <c r="J218" s="35">
        <f t="shared" si="14"/>
        <v>0</v>
      </c>
    </row>
    <row r="219" spans="1:10" ht="17.5" thickBot="1">
      <c r="A219" s="41" t="s">
        <v>605</v>
      </c>
      <c r="B219" s="13" t="s">
        <v>399</v>
      </c>
      <c r="C219" s="13" t="s">
        <v>400</v>
      </c>
      <c r="D219" s="41" t="s">
        <v>579</v>
      </c>
      <c r="E219" s="15" t="str">
        <f>VLOOKUP($B219,DATA!$C:$AF,29,FALSE)</f>
        <v>30 มิ.ย.69</v>
      </c>
      <c r="F219" s="15">
        <v>0</v>
      </c>
      <c r="G219" s="16">
        <f t="shared" si="12"/>
        <v>1</v>
      </c>
      <c r="H219" s="43"/>
      <c r="I219" s="35">
        <f t="shared" si="13"/>
        <v>1</v>
      </c>
      <c r="J219" s="35">
        <f t="shared" si="14"/>
        <v>0</v>
      </c>
    </row>
    <row r="220" spans="1:10" ht="17.5" thickBot="1">
      <c r="A220" s="41" t="s">
        <v>605</v>
      </c>
      <c r="B220" s="21" t="s">
        <v>401</v>
      </c>
      <c r="C220" s="13" t="s">
        <v>402</v>
      </c>
      <c r="D220" s="41" t="s">
        <v>579</v>
      </c>
      <c r="E220" s="15" t="str">
        <f>VLOOKUP($B220,DATA!$C:$AF,29,FALSE)</f>
        <v>30 มิ.ย.69</v>
      </c>
      <c r="F220" s="15">
        <v>0</v>
      </c>
      <c r="G220" s="16">
        <f t="shared" si="12"/>
        <v>1</v>
      </c>
      <c r="H220" s="43"/>
      <c r="I220" s="35">
        <f t="shared" si="13"/>
        <v>1</v>
      </c>
      <c r="J220" s="35">
        <f t="shared" si="14"/>
        <v>0</v>
      </c>
    </row>
    <row r="221" spans="1:10" ht="17.5" thickBot="1">
      <c r="A221" s="41" t="s">
        <v>605</v>
      </c>
      <c r="B221" s="21" t="s">
        <v>403</v>
      </c>
      <c r="C221" s="13" t="s">
        <v>404</v>
      </c>
      <c r="D221" s="41" t="s">
        <v>579</v>
      </c>
      <c r="E221" s="15" t="str">
        <f>VLOOKUP($B221,DATA!$C:$AF,29,FALSE)</f>
        <v>30 มิ.ย.69</v>
      </c>
      <c r="F221" s="15">
        <v>0</v>
      </c>
      <c r="G221" s="16">
        <f t="shared" si="12"/>
        <v>1</v>
      </c>
      <c r="H221" s="43"/>
      <c r="I221" s="35">
        <f t="shared" si="13"/>
        <v>1</v>
      </c>
      <c r="J221" s="35">
        <f t="shared" si="14"/>
        <v>0</v>
      </c>
    </row>
    <row r="222" spans="1:10" ht="17.5" thickBot="1">
      <c r="A222" s="41" t="s">
        <v>605</v>
      </c>
      <c r="B222" s="21" t="s">
        <v>405</v>
      </c>
      <c r="C222" s="13" t="s">
        <v>406</v>
      </c>
      <c r="D222" s="41" t="s">
        <v>579</v>
      </c>
      <c r="E222" s="15" t="str">
        <f>VLOOKUP($B222,DATA!$C:$AF,29,FALSE)</f>
        <v>30 มิ.ย.69</v>
      </c>
      <c r="F222" s="15">
        <v>0</v>
      </c>
      <c r="G222" s="16">
        <f t="shared" si="12"/>
        <v>1</v>
      </c>
      <c r="H222" s="43"/>
      <c r="I222" s="35">
        <f t="shared" si="13"/>
        <v>1</v>
      </c>
      <c r="J222" s="35">
        <f t="shared" si="14"/>
        <v>0</v>
      </c>
    </row>
    <row r="223" spans="1:10" ht="17.5" thickBot="1">
      <c r="A223" s="41" t="s">
        <v>605</v>
      </c>
      <c r="B223" s="21" t="s">
        <v>407</v>
      </c>
      <c r="C223" s="13" t="s">
        <v>408</v>
      </c>
      <c r="D223" s="41" t="s">
        <v>579</v>
      </c>
      <c r="E223" s="15" t="str">
        <f>VLOOKUP($B223,DATA!$C:$AF,29,FALSE)</f>
        <v>30 มิ.ย.69</v>
      </c>
      <c r="F223" s="15">
        <v>0</v>
      </c>
      <c r="G223" s="16">
        <f t="shared" si="12"/>
        <v>1</v>
      </c>
      <c r="H223" s="43"/>
      <c r="I223" s="35">
        <f t="shared" si="13"/>
        <v>1</v>
      </c>
      <c r="J223" s="35">
        <f t="shared" si="14"/>
        <v>0</v>
      </c>
    </row>
    <row r="224" spans="1:10" ht="17.5" thickBot="1">
      <c r="A224" s="41" t="s">
        <v>605</v>
      </c>
      <c r="B224" s="22" t="s">
        <v>409</v>
      </c>
      <c r="C224" s="22" t="s">
        <v>410</v>
      </c>
      <c r="D224" s="41" t="s">
        <v>579</v>
      </c>
      <c r="E224" s="15" t="str">
        <f>VLOOKUP($B224,DATA!$C:$AF,29,FALSE)</f>
        <v>30 มิ.ย.69</v>
      </c>
      <c r="F224" s="15">
        <v>0</v>
      </c>
      <c r="G224" s="16">
        <f t="shared" si="12"/>
        <v>1</v>
      </c>
      <c r="H224" s="43"/>
      <c r="I224" s="35">
        <f t="shared" si="13"/>
        <v>1</v>
      </c>
      <c r="J224" s="35">
        <f t="shared" si="14"/>
        <v>0</v>
      </c>
    </row>
    <row r="225" spans="1:10" ht="17.5" thickBot="1">
      <c r="A225" s="41" t="s">
        <v>605</v>
      </c>
      <c r="B225" s="21" t="s">
        <v>411</v>
      </c>
      <c r="C225" s="13" t="s">
        <v>412</v>
      </c>
      <c r="D225" s="41" t="s">
        <v>579</v>
      </c>
      <c r="E225" s="15" t="str">
        <f>VLOOKUP($B225,DATA!$C:$AF,29,FALSE)</f>
        <v>29 มิ.ย.69</v>
      </c>
      <c r="F225" s="15">
        <v>0</v>
      </c>
      <c r="G225" s="16">
        <f t="shared" si="12"/>
        <v>1</v>
      </c>
      <c r="H225" s="43"/>
      <c r="I225" s="35">
        <f t="shared" si="13"/>
        <v>1</v>
      </c>
      <c r="J225" s="35">
        <f t="shared" si="14"/>
        <v>0</v>
      </c>
    </row>
    <row r="226" spans="1:10" ht="17.5" thickBot="1">
      <c r="A226" s="41" t="s">
        <v>605</v>
      </c>
      <c r="B226" s="21" t="s">
        <v>413</v>
      </c>
      <c r="C226" s="13" t="s">
        <v>414</v>
      </c>
      <c r="D226" s="41" t="s">
        <v>579</v>
      </c>
      <c r="E226" s="15" t="str">
        <f>VLOOKUP($B226,DATA!$C:$AF,29,FALSE)</f>
        <v>29 มิ.ย.69</v>
      </c>
      <c r="F226" s="15">
        <v>0</v>
      </c>
      <c r="G226" s="16">
        <f t="shared" si="12"/>
        <v>1</v>
      </c>
      <c r="H226" s="43"/>
      <c r="I226" s="35">
        <f t="shared" si="13"/>
        <v>1</v>
      </c>
      <c r="J226" s="35">
        <f t="shared" si="14"/>
        <v>0</v>
      </c>
    </row>
    <row r="227" spans="1:10" ht="17.5" thickBot="1">
      <c r="A227" s="41" t="s">
        <v>605</v>
      </c>
      <c r="B227" s="27" t="s">
        <v>415</v>
      </c>
      <c r="C227" s="13" t="s">
        <v>416</v>
      </c>
      <c r="D227" s="41" t="s">
        <v>579</v>
      </c>
      <c r="E227" s="15" t="str">
        <f>VLOOKUP($B227,DATA!$C:$AF,29,FALSE)</f>
        <v>8 มิ.ย.69</v>
      </c>
      <c r="F227" s="15">
        <v>0</v>
      </c>
      <c r="G227" s="16">
        <f t="shared" si="12"/>
        <v>1</v>
      </c>
      <c r="H227" s="43"/>
      <c r="I227" s="35">
        <f t="shared" si="13"/>
        <v>1</v>
      </c>
      <c r="J227" s="35">
        <f t="shared" si="14"/>
        <v>0</v>
      </c>
    </row>
    <row r="228" spans="1:10" ht="17.5" thickBot="1">
      <c r="A228" s="41" t="s">
        <v>605</v>
      </c>
      <c r="B228" s="21" t="s">
        <v>417</v>
      </c>
      <c r="C228" s="13" t="s">
        <v>418</v>
      </c>
      <c r="D228" s="41" t="s">
        <v>579</v>
      </c>
      <c r="E228" s="15" t="str">
        <f>VLOOKUP($B228,DATA!$C:$AF,29,FALSE)</f>
        <v>30 มิ.ย.69</v>
      </c>
      <c r="F228" s="15">
        <v>0</v>
      </c>
      <c r="G228" s="16">
        <f t="shared" si="12"/>
        <v>1</v>
      </c>
      <c r="H228" s="43"/>
      <c r="I228" s="35">
        <f t="shared" si="13"/>
        <v>1</v>
      </c>
      <c r="J228" s="35">
        <f t="shared" si="14"/>
        <v>0</v>
      </c>
    </row>
    <row r="229" spans="1:10" ht="17.5" thickBot="1">
      <c r="A229" s="41" t="s">
        <v>605</v>
      </c>
      <c r="B229" s="22" t="s">
        <v>530</v>
      </c>
      <c r="C229" s="22" t="s">
        <v>531</v>
      </c>
      <c r="D229" s="41" t="s">
        <v>579</v>
      </c>
      <c r="E229" s="15" t="str">
        <f>VLOOKUP($B229,DATA!$C:$AF,29,FALSE)</f>
        <v>30 มิ.ย.69</v>
      </c>
      <c r="F229" s="15">
        <v>0</v>
      </c>
      <c r="G229" s="16">
        <f t="shared" si="12"/>
        <v>1</v>
      </c>
      <c r="H229" s="43"/>
      <c r="I229" s="35">
        <f t="shared" si="13"/>
        <v>1</v>
      </c>
      <c r="J229" s="35">
        <f t="shared" si="14"/>
        <v>0</v>
      </c>
    </row>
    <row r="230" spans="1:10" ht="17.5" thickBot="1">
      <c r="A230" s="41" t="s">
        <v>605</v>
      </c>
      <c r="B230" s="21" t="s">
        <v>419</v>
      </c>
      <c r="C230" s="13" t="s">
        <v>420</v>
      </c>
      <c r="D230" s="41" t="s">
        <v>579</v>
      </c>
      <c r="E230" s="15" t="str">
        <f>VLOOKUP($B230,DATA!$C:$AF,29,FALSE)</f>
        <v>8 มิ.ย.69</v>
      </c>
      <c r="F230" s="15">
        <v>0</v>
      </c>
      <c r="G230" s="16">
        <f t="shared" si="12"/>
        <v>1</v>
      </c>
      <c r="H230" s="43"/>
      <c r="I230" s="35">
        <f t="shared" si="13"/>
        <v>1</v>
      </c>
      <c r="J230" s="35">
        <f t="shared" si="14"/>
        <v>0</v>
      </c>
    </row>
    <row r="231" spans="1:10" ht="17.5" thickBot="1">
      <c r="A231" s="41" t="s">
        <v>605</v>
      </c>
      <c r="B231" s="21" t="s">
        <v>421</v>
      </c>
      <c r="C231" s="21" t="s">
        <v>422</v>
      </c>
      <c r="D231" s="41" t="s">
        <v>579</v>
      </c>
      <c r="E231" s="15" t="str">
        <f>VLOOKUP($B231,DATA!$C:$AF,29,FALSE)</f>
        <v>8 มิ.ย.69</v>
      </c>
      <c r="F231" s="15">
        <v>0</v>
      </c>
      <c r="G231" s="16">
        <f t="shared" si="12"/>
        <v>1</v>
      </c>
      <c r="H231" s="43"/>
      <c r="I231" s="35">
        <f t="shared" si="13"/>
        <v>1</v>
      </c>
      <c r="J231" s="35">
        <f t="shared" si="14"/>
        <v>0</v>
      </c>
    </row>
    <row r="232" spans="1:10" ht="17.5" thickBot="1">
      <c r="A232" s="41" t="s">
        <v>605</v>
      </c>
      <c r="B232" s="21" t="s">
        <v>423</v>
      </c>
      <c r="C232" s="13" t="s">
        <v>424</v>
      </c>
      <c r="D232" s="41" t="s">
        <v>579</v>
      </c>
      <c r="E232" s="15" t="str">
        <f>VLOOKUP($B232,DATA!$C:$AF,29,FALSE)</f>
        <v>8 มิ.ย.69</v>
      </c>
      <c r="F232" s="15">
        <v>0</v>
      </c>
      <c r="G232" s="16">
        <f t="shared" si="12"/>
        <v>1</v>
      </c>
      <c r="H232" s="43"/>
      <c r="I232" s="35">
        <f t="shared" si="13"/>
        <v>1</v>
      </c>
      <c r="J232" s="35">
        <f t="shared" si="14"/>
        <v>0</v>
      </c>
    </row>
    <row r="233" spans="1:10" ht="17.5" thickBot="1">
      <c r="A233" s="41" t="s">
        <v>605</v>
      </c>
      <c r="B233" s="21" t="s">
        <v>425</v>
      </c>
      <c r="C233" s="13" t="s">
        <v>426</v>
      </c>
      <c r="D233" s="41" t="s">
        <v>579</v>
      </c>
      <c r="E233" s="15" t="str">
        <f>VLOOKUP($B233,DATA!$C:$AF,29,FALSE)</f>
        <v>8 มิ.ย.69</v>
      </c>
      <c r="F233" s="15">
        <v>0</v>
      </c>
      <c r="G233" s="16">
        <f t="shared" si="12"/>
        <v>1</v>
      </c>
      <c r="H233" s="43"/>
      <c r="I233" s="35">
        <f t="shared" si="13"/>
        <v>1</v>
      </c>
      <c r="J233" s="35">
        <f t="shared" si="14"/>
        <v>0</v>
      </c>
    </row>
    <row r="234" spans="1:10" ht="17.5" thickBot="1">
      <c r="A234" s="41" t="s">
        <v>605</v>
      </c>
      <c r="B234" s="21" t="s">
        <v>427</v>
      </c>
      <c r="C234" s="13" t="s">
        <v>428</v>
      </c>
      <c r="D234" s="41" t="s">
        <v>579</v>
      </c>
      <c r="E234" s="15" t="str">
        <f>VLOOKUP($B234,DATA!$C:$AF,29,FALSE)</f>
        <v>8 มิ.ย.69</v>
      </c>
      <c r="F234" s="15">
        <v>0</v>
      </c>
      <c r="G234" s="16">
        <f t="shared" si="12"/>
        <v>1</v>
      </c>
      <c r="H234" s="43"/>
      <c r="I234" s="35">
        <f t="shared" si="13"/>
        <v>1</v>
      </c>
      <c r="J234" s="35">
        <f t="shared" si="14"/>
        <v>0</v>
      </c>
    </row>
    <row r="235" spans="1:10" ht="17.5" thickBot="1">
      <c r="A235" s="41" t="s">
        <v>605</v>
      </c>
      <c r="B235" s="21" t="s">
        <v>429</v>
      </c>
      <c r="C235" s="13" t="s">
        <v>430</v>
      </c>
      <c r="D235" s="41" t="s">
        <v>579</v>
      </c>
      <c r="E235" s="15" t="str">
        <f>VLOOKUP($B235,DATA!$C:$AF,29,FALSE)</f>
        <v>30 มิ.ย.69</v>
      </c>
      <c r="F235" s="15">
        <v>0</v>
      </c>
      <c r="G235" s="16">
        <f t="shared" si="12"/>
        <v>1</v>
      </c>
      <c r="H235" s="43"/>
      <c r="I235" s="35">
        <f t="shared" si="13"/>
        <v>1</v>
      </c>
      <c r="J235" s="35">
        <f t="shared" si="14"/>
        <v>0</v>
      </c>
    </row>
    <row r="236" spans="1:10" ht="17.5" thickBot="1">
      <c r="A236" s="41" t="s">
        <v>605</v>
      </c>
      <c r="B236" s="21" t="s">
        <v>431</v>
      </c>
      <c r="C236" s="13" t="s">
        <v>432</v>
      </c>
      <c r="D236" s="41" t="s">
        <v>579</v>
      </c>
      <c r="E236" s="15" t="str">
        <f>VLOOKUP($B236,DATA!$C:$AF,29,FALSE)</f>
        <v>30 มิ.ย.69</v>
      </c>
      <c r="F236" s="15">
        <v>0</v>
      </c>
      <c r="G236" s="16">
        <f t="shared" si="12"/>
        <v>1</v>
      </c>
      <c r="H236" s="43"/>
      <c r="I236" s="35">
        <f t="shared" si="13"/>
        <v>1</v>
      </c>
      <c r="J236" s="35">
        <f t="shared" si="14"/>
        <v>0</v>
      </c>
    </row>
    <row r="237" spans="1:10" ht="17.5" thickBot="1">
      <c r="A237" s="41" t="s">
        <v>605</v>
      </c>
      <c r="B237" s="21" t="s">
        <v>433</v>
      </c>
      <c r="C237" s="13" t="s">
        <v>434</v>
      </c>
      <c r="D237" s="41" t="s">
        <v>579</v>
      </c>
      <c r="E237" s="15" t="str">
        <f>VLOOKUP($B237,DATA!$C:$AF,29,FALSE)</f>
        <v>30 มิ.ย.69</v>
      </c>
      <c r="F237" s="15">
        <v>0</v>
      </c>
      <c r="G237" s="16">
        <f t="shared" si="12"/>
        <v>1</v>
      </c>
      <c r="H237" s="43"/>
      <c r="I237" s="35">
        <f t="shared" si="13"/>
        <v>1</v>
      </c>
      <c r="J237" s="35">
        <f t="shared" si="14"/>
        <v>0</v>
      </c>
    </row>
    <row r="238" spans="1:10" ht="17.5" thickBot="1">
      <c r="A238" s="41" t="s">
        <v>605</v>
      </c>
      <c r="B238" s="21" t="s">
        <v>435</v>
      </c>
      <c r="C238" s="13" t="s">
        <v>436</v>
      </c>
      <c r="D238" s="41" t="s">
        <v>579</v>
      </c>
      <c r="E238" s="15" t="str">
        <f>VLOOKUP($B238,DATA!$C:$AF,29,FALSE)</f>
        <v>8 มิ.ย.69</v>
      </c>
      <c r="F238" s="15">
        <v>0</v>
      </c>
      <c r="G238" s="16">
        <f t="shared" si="12"/>
        <v>1</v>
      </c>
      <c r="H238" s="43"/>
      <c r="I238" s="35">
        <f t="shared" si="13"/>
        <v>1</v>
      </c>
      <c r="J238" s="35">
        <f t="shared" si="14"/>
        <v>0</v>
      </c>
    </row>
    <row r="239" spans="1:10" ht="17.5" thickBot="1">
      <c r="A239" s="41" t="s">
        <v>605</v>
      </c>
      <c r="B239" s="21" t="s">
        <v>437</v>
      </c>
      <c r="C239" s="13" t="s">
        <v>438</v>
      </c>
      <c r="D239" s="41" t="s">
        <v>579</v>
      </c>
      <c r="E239" s="15" t="str">
        <f>VLOOKUP($B239,DATA!$C:$AF,29,FALSE)</f>
        <v>8 มิ.ย.69</v>
      </c>
      <c r="F239" s="15">
        <v>0</v>
      </c>
      <c r="G239" s="16">
        <f t="shared" si="12"/>
        <v>1</v>
      </c>
      <c r="H239" s="43"/>
      <c r="I239" s="35">
        <f t="shared" si="13"/>
        <v>1</v>
      </c>
      <c r="J239" s="35">
        <f t="shared" si="14"/>
        <v>0</v>
      </c>
    </row>
    <row r="240" spans="1:10" ht="17.5" thickBot="1">
      <c r="A240" s="41" t="s">
        <v>605</v>
      </c>
      <c r="B240" s="19" t="s">
        <v>439</v>
      </c>
      <c r="C240" s="13" t="s">
        <v>440</v>
      </c>
      <c r="D240" s="41" t="s">
        <v>579</v>
      </c>
      <c r="E240" s="15" t="str">
        <f>VLOOKUP($B240,DATA!$C:$AF,29,FALSE)</f>
        <v>8 มิ.ย.69</v>
      </c>
      <c r="F240" s="15">
        <v>0</v>
      </c>
      <c r="G240" s="16">
        <f t="shared" si="12"/>
        <v>1</v>
      </c>
      <c r="H240" s="43"/>
      <c r="I240" s="35">
        <f t="shared" si="13"/>
        <v>1</v>
      </c>
      <c r="J240" s="35">
        <f t="shared" si="14"/>
        <v>0</v>
      </c>
    </row>
    <row r="241" spans="1:10" ht="17.5" thickBot="1">
      <c r="A241" s="41" t="s">
        <v>605</v>
      </c>
      <c r="B241" s="22" t="s">
        <v>441</v>
      </c>
      <c r="C241" s="22" t="s">
        <v>442</v>
      </c>
      <c r="D241" s="41" t="s">
        <v>579</v>
      </c>
      <c r="E241" s="15" t="str">
        <f>VLOOKUP($B241,DATA!$C:$AF,29,FALSE)</f>
        <v>8 มิ.ย.69</v>
      </c>
      <c r="F241" s="15">
        <v>0</v>
      </c>
      <c r="G241" s="16">
        <f t="shared" si="12"/>
        <v>1</v>
      </c>
      <c r="H241" s="43"/>
      <c r="I241" s="35">
        <f t="shared" si="13"/>
        <v>1</v>
      </c>
      <c r="J241" s="35">
        <f t="shared" si="14"/>
        <v>0</v>
      </c>
    </row>
    <row r="242" spans="1:10" ht="17.5" thickBot="1">
      <c r="A242" s="41" t="s">
        <v>605</v>
      </c>
      <c r="B242" s="12" t="s">
        <v>547</v>
      </c>
      <c r="C242" s="32" t="s">
        <v>546</v>
      </c>
      <c r="D242" s="41" t="s">
        <v>579</v>
      </c>
      <c r="E242" s="15" t="str">
        <f>VLOOKUP($B242,DATA!$C:$AF,29,FALSE)</f>
        <v>30 มิ.ย.69</v>
      </c>
      <c r="F242" s="15">
        <v>0</v>
      </c>
      <c r="G242" s="16">
        <f t="shared" si="12"/>
        <v>1</v>
      </c>
      <c r="H242" s="43"/>
      <c r="I242" s="35">
        <f t="shared" si="13"/>
        <v>1</v>
      </c>
      <c r="J242" s="35">
        <f t="shared" si="14"/>
        <v>0</v>
      </c>
    </row>
    <row r="243" spans="1:10" ht="17.5" thickBot="1">
      <c r="A243" s="41" t="s">
        <v>605</v>
      </c>
      <c r="B243" s="12" t="s">
        <v>528</v>
      </c>
      <c r="C243" s="32" t="s">
        <v>529</v>
      </c>
      <c r="D243" s="41" t="s">
        <v>579</v>
      </c>
      <c r="E243" s="15" t="str">
        <f>VLOOKUP($B243,DATA!$C:$AF,29,FALSE)</f>
        <v>30 มิ.ย.69</v>
      </c>
      <c r="F243" s="15">
        <v>0</v>
      </c>
      <c r="G243" s="16">
        <f t="shared" si="12"/>
        <v>1</v>
      </c>
      <c r="H243" s="43"/>
      <c r="I243" s="35">
        <f t="shared" si="13"/>
        <v>1</v>
      </c>
      <c r="J243" s="35">
        <f t="shared" si="14"/>
        <v>0</v>
      </c>
    </row>
    <row r="244" spans="1:10" ht="17.5" thickBot="1">
      <c r="A244" s="41" t="s">
        <v>605</v>
      </c>
      <c r="B244" s="12" t="s">
        <v>814</v>
      </c>
      <c r="C244" s="32" t="s">
        <v>815</v>
      </c>
      <c r="D244" s="41" t="s">
        <v>579</v>
      </c>
      <c r="E244" s="15" t="str">
        <f>VLOOKUP($B244,DATA!$C:$AF,29,FALSE)</f>
        <v>30 มิ.ย.69</v>
      </c>
      <c r="F244" s="15">
        <v>0</v>
      </c>
      <c r="G244" s="16">
        <f t="shared" si="12"/>
        <v>1</v>
      </c>
      <c r="H244" s="43"/>
      <c r="I244" s="35">
        <f t="shared" si="13"/>
        <v>1</v>
      </c>
      <c r="J244" s="35">
        <f t="shared" si="14"/>
        <v>0</v>
      </c>
    </row>
    <row r="245" spans="1:10" ht="17.5" thickBot="1">
      <c r="A245" s="41" t="s">
        <v>605</v>
      </c>
      <c r="B245" s="12" t="s">
        <v>828</v>
      </c>
      <c r="C245" s="32" t="s">
        <v>609</v>
      </c>
      <c r="D245" s="41" t="s">
        <v>579</v>
      </c>
      <c r="E245" s="15" t="str">
        <f>VLOOKUP($B245,DATA!$C:$AF,29,FALSE)</f>
        <v>30 มิ.ย.69</v>
      </c>
      <c r="F245" s="15">
        <v>0</v>
      </c>
      <c r="G245" s="16">
        <f t="shared" si="12"/>
        <v>1</v>
      </c>
      <c r="H245" s="43"/>
      <c r="I245" s="35">
        <f t="shared" si="13"/>
        <v>1</v>
      </c>
      <c r="J245" s="35">
        <f t="shared" si="14"/>
        <v>0</v>
      </c>
    </row>
    <row r="246" spans="1:10" ht="17.5" thickBot="1">
      <c r="A246" s="41" t="s">
        <v>605</v>
      </c>
      <c r="B246" s="21" t="s">
        <v>443</v>
      </c>
      <c r="C246" s="13" t="s">
        <v>444</v>
      </c>
      <c r="D246" s="41" t="s">
        <v>580</v>
      </c>
      <c r="E246" s="15" t="str">
        <f>VLOOKUP($B246,DATA!$C:$AF,29,FALSE)</f>
        <v>30 มิ.ย.69</v>
      </c>
      <c r="F246" s="15">
        <v>0</v>
      </c>
      <c r="G246" s="16">
        <f t="shared" si="12"/>
        <v>1</v>
      </c>
      <c r="H246" s="43"/>
      <c r="I246" s="35">
        <f t="shared" si="13"/>
        <v>1</v>
      </c>
      <c r="J246" s="35">
        <f t="shared" si="14"/>
        <v>0</v>
      </c>
    </row>
    <row r="247" spans="1:10" ht="17.5" thickBot="1">
      <c r="A247" s="41" t="s">
        <v>606</v>
      </c>
      <c r="B247" s="23" t="s">
        <v>445</v>
      </c>
      <c r="C247" s="13" t="s">
        <v>446</v>
      </c>
      <c r="D247" s="41" t="s">
        <v>579</v>
      </c>
      <c r="E247" s="15" t="str">
        <f>VLOOKUP($B247,DATA!$C:$AF,29,FALSE)</f>
        <v>30 มิ.ย.69</v>
      </c>
      <c r="F247" s="15">
        <v>0</v>
      </c>
      <c r="G247" s="16">
        <f t="shared" si="12"/>
        <v>1</v>
      </c>
      <c r="H247" s="43"/>
      <c r="I247" s="35">
        <f t="shared" si="13"/>
        <v>1</v>
      </c>
      <c r="J247" s="35">
        <f t="shared" si="14"/>
        <v>0</v>
      </c>
    </row>
    <row r="248" spans="1:10" ht="17.5" thickBot="1">
      <c r="A248" s="41" t="s">
        <v>606</v>
      </c>
      <c r="B248" s="22" t="s">
        <v>447</v>
      </c>
      <c r="C248" s="13" t="s">
        <v>448</v>
      </c>
      <c r="D248" s="41" t="s">
        <v>579</v>
      </c>
      <c r="E248" s="15" t="str">
        <f>VLOOKUP($B248,DATA!$C:$AF,29,FALSE)</f>
        <v>30 มิ.ย.69</v>
      </c>
      <c r="F248" s="15">
        <v>0</v>
      </c>
      <c r="G248" s="16">
        <f t="shared" si="12"/>
        <v>1</v>
      </c>
      <c r="H248" s="43"/>
      <c r="I248" s="35">
        <f t="shared" si="13"/>
        <v>1</v>
      </c>
      <c r="J248" s="35">
        <f t="shared" si="14"/>
        <v>0</v>
      </c>
    </row>
    <row r="249" spans="1:10" ht="17.5" thickBot="1">
      <c r="A249" s="41" t="s">
        <v>606</v>
      </c>
      <c r="B249" s="13" t="s">
        <v>449</v>
      </c>
      <c r="C249" s="13" t="s">
        <v>450</v>
      </c>
      <c r="D249" s="41" t="s">
        <v>579</v>
      </c>
      <c r="E249" s="15" t="str">
        <f>VLOOKUP($B249,DATA!$C:$AF,29,FALSE)</f>
        <v>18 มิ.ย.69</v>
      </c>
      <c r="F249" s="15">
        <v>0</v>
      </c>
      <c r="G249" s="16">
        <f t="shared" si="12"/>
        <v>1</v>
      </c>
      <c r="H249" s="43"/>
      <c r="I249" s="35">
        <f t="shared" si="13"/>
        <v>1</v>
      </c>
      <c r="J249" s="35">
        <f t="shared" si="14"/>
        <v>0</v>
      </c>
    </row>
    <row r="250" spans="1:10" ht="17.5" thickBot="1">
      <c r="A250" s="41" t="s">
        <v>606</v>
      </c>
      <c r="B250" s="13" t="s">
        <v>451</v>
      </c>
      <c r="C250" s="13" t="s">
        <v>452</v>
      </c>
      <c r="D250" s="41" t="s">
        <v>579</v>
      </c>
      <c r="E250" s="15" t="str">
        <f>VLOOKUP($B250,DATA!$C:$AF,29,FALSE)</f>
        <v>18 มิ.ย.69</v>
      </c>
      <c r="F250" s="15">
        <v>0</v>
      </c>
      <c r="G250" s="16">
        <f t="shared" si="12"/>
        <v>1</v>
      </c>
      <c r="H250" s="43"/>
      <c r="I250" s="35">
        <f t="shared" si="13"/>
        <v>1</v>
      </c>
      <c r="J250" s="35">
        <f t="shared" si="14"/>
        <v>0</v>
      </c>
    </row>
    <row r="251" spans="1:10" ht="17.5" thickBot="1">
      <c r="A251" s="41" t="s">
        <v>606</v>
      </c>
      <c r="B251" s="21" t="s">
        <v>453</v>
      </c>
      <c r="C251" s="13" t="s">
        <v>454</v>
      </c>
      <c r="D251" s="41" t="s">
        <v>579</v>
      </c>
      <c r="E251" s="15" t="str">
        <f>VLOOKUP($B251,DATA!$C:$AF,29,FALSE)</f>
        <v>18 มิ.ย.69</v>
      </c>
      <c r="F251" s="15">
        <v>0</v>
      </c>
      <c r="G251" s="16">
        <f t="shared" si="12"/>
        <v>1</v>
      </c>
      <c r="H251" s="43"/>
      <c r="I251" s="35">
        <f t="shared" si="13"/>
        <v>1</v>
      </c>
      <c r="J251" s="35">
        <f t="shared" si="14"/>
        <v>0</v>
      </c>
    </row>
    <row r="252" spans="1:10" ht="17.5" thickBot="1">
      <c r="A252" s="41" t="s">
        <v>606</v>
      </c>
      <c r="B252" s="21" t="s">
        <v>455</v>
      </c>
      <c r="C252" s="13" t="s">
        <v>456</v>
      </c>
      <c r="D252" s="41" t="s">
        <v>579</v>
      </c>
      <c r="E252" s="15" t="str">
        <f>VLOOKUP($B252,DATA!$C:$AF,29,FALSE)</f>
        <v>18 มิ.ย.69</v>
      </c>
      <c r="F252" s="15">
        <v>0</v>
      </c>
      <c r="G252" s="16">
        <f t="shared" si="12"/>
        <v>1</v>
      </c>
      <c r="H252" s="43"/>
      <c r="I252" s="35">
        <f t="shared" si="13"/>
        <v>1</v>
      </c>
      <c r="J252" s="35">
        <f t="shared" si="14"/>
        <v>0</v>
      </c>
    </row>
    <row r="253" spans="1:10" ht="17.5" thickBot="1">
      <c r="A253" s="41" t="s">
        <v>606</v>
      </c>
      <c r="B253" s="21" t="s">
        <v>457</v>
      </c>
      <c r="C253" s="13" t="s">
        <v>458</v>
      </c>
      <c r="D253" s="41" t="s">
        <v>579</v>
      </c>
      <c r="E253" s="15" t="str">
        <f>VLOOKUP($B253,DATA!$C:$AF,29,FALSE)</f>
        <v>18 มิ.ย.69</v>
      </c>
      <c r="F253" s="15">
        <v>0</v>
      </c>
      <c r="G253" s="16">
        <f t="shared" si="12"/>
        <v>1</v>
      </c>
      <c r="H253" s="43"/>
      <c r="I253" s="35">
        <f t="shared" si="13"/>
        <v>1</v>
      </c>
      <c r="J253" s="35">
        <f t="shared" si="14"/>
        <v>0</v>
      </c>
    </row>
    <row r="254" spans="1:10" ht="17.5" thickBot="1">
      <c r="A254" s="41" t="s">
        <v>606</v>
      </c>
      <c r="B254" s="21" t="s">
        <v>459</v>
      </c>
      <c r="C254" s="13" t="s">
        <v>460</v>
      </c>
      <c r="D254" s="41" t="s">
        <v>579</v>
      </c>
      <c r="E254" s="15" t="str">
        <f>VLOOKUP($B254,DATA!$C:$AF,29,FALSE)</f>
        <v>18 มิ.ย.69</v>
      </c>
      <c r="F254" s="15">
        <v>0</v>
      </c>
      <c r="G254" s="16">
        <f t="shared" si="12"/>
        <v>1</v>
      </c>
      <c r="H254" s="43"/>
      <c r="I254" s="35">
        <f t="shared" si="13"/>
        <v>1</v>
      </c>
      <c r="J254" s="35">
        <f t="shared" si="14"/>
        <v>0</v>
      </c>
    </row>
    <row r="255" spans="1:10" ht="17.5" thickBot="1">
      <c r="A255" s="41" t="s">
        <v>606</v>
      </c>
      <c r="B255" s="21" t="s">
        <v>461</v>
      </c>
      <c r="C255" s="22" t="s">
        <v>462</v>
      </c>
      <c r="D255" s="41" t="s">
        <v>579</v>
      </c>
      <c r="E255" s="15" t="str">
        <f>VLOOKUP($B255,DATA!$C:$AF,29,FALSE)</f>
        <v>18 มิ.ย.69</v>
      </c>
      <c r="F255" s="15">
        <v>0</v>
      </c>
      <c r="G255" s="16">
        <f t="shared" si="12"/>
        <v>1</v>
      </c>
      <c r="H255" s="43"/>
      <c r="I255" s="35">
        <f t="shared" si="13"/>
        <v>1</v>
      </c>
      <c r="J255" s="35">
        <f t="shared" si="14"/>
        <v>0</v>
      </c>
    </row>
    <row r="256" spans="1:10" ht="17.5" thickBot="1">
      <c r="A256" s="41" t="s">
        <v>606</v>
      </c>
      <c r="B256" s="19" t="s">
        <v>463</v>
      </c>
      <c r="C256" s="28" t="s">
        <v>464</v>
      </c>
      <c r="D256" s="41" t="s">
        <v>579</v>
      </c>
      <c r="E256" s="15" t="str">
        <f>VLOOKUP($B256,DATA!$C:$AF,29,FALSE)</f>
        <v>30 มิ.ย.69</v>
      </c>
      <c r="F256" s="15">
        <v>0</v>
      </c>
      <c r="G256" s="16">
        <f t="shared" si="12"/>
        <v>1</v>
      </c>
      <c r="H256" s="43"/>
      <c r="I256" s="35">
        <f t="shared" si="13"/>
        <v>1</v>
      </c>
      <c r="J256" s="35">
        <f t="shared" si="14"/>
        <v>0</v>
      </c>
    </row>
    <row r="257" spans="1:10" ht="17.5" thickBot="1">
      <c r="A257" s="41" t="s">
        <v>606</v>
      </c>
      <c r="B257" s="19" t="s">
        <v>465</v>
      </c>
      <c r="C257" s="13" t="s">
        <v>466</v>
      </c>
      <c r="D257" s="41" t="s">
        <v>579</v>
      </c>
      <c r="E257" s="15" t="str">
        <f>VLOOKUP($B257,DATA!$C:$AF,29,FALSE)</f>
        <v>30 มิ.ย.69</v>
      </c>
      <c r="F257" s="15">
        <v>0</v>
      </c>
      <c r="G257" s="16">
        <f t="shared" si="12"/>
        <v>1</v>
      </c>
      <c r="H257" s="43"/>
      <c r="I257" s="35">
        <f t="shared" si="13"/>
        <v>1</v>
      </c>
      <c r="J257" s="35">
        <f t="shared" si="14"/>
        <v>0</v>
      </c>
    </row>
    <row r="258" spans="1:10" ht="17.5" thickBot="1">
      <c r="A258" s="41" t="s">
        <v>606</v>
      </c>
      <c r="B258" s="19" t="s">
        <v>467</v>
      </c>
      <c r="C258" s="13" t="s">
        <v>468</v>
      </c>
      <c r="D258" s="41" t="s">
        <v>579</v>
      </c>
      <c r="E258" s="15" t="str">
        <f>VLOOKUP($B258,DATA!$C:$AF,29,FALSE)</f>
        <v>30 มิ.ย.69</v>
      </c>
      <c r="F258" s="15">
        <v>0</v>
      </c>
      <c r="G258" s="16">
        <f t="shared" si="12"/>
        <v>1</v>
      </c>
      <c r="H258" s="43"/>
      <c r="I258" s="35">
        <f t="shared" si="13"/>
        <v>1</v>
      </c>
      <c r="J258" s="35">
        <f t="shared" si="14"/>
        <v>0</v>
      </c>
    </row>
    <row r="259" spans="1:10" ht="17.5" thickBot="1">
      <c r="A259" s="41" t="s">
        <v>606</v>
      </c>
      <c r="B259" s="19" t="s">
        <v>469</v>
      </c>
      <c r="C259" s="13" t="s">
        <v>470</v>
      </c>
      <c r="D259" s="41" t="s">
        <v>579</v>
      </c>
      <c r="E259" s="15" t="str">
        <f>VLOOKUP($B259,DATA!$C:$AF,29,FALSE)</f>
        <v>18 มิ.ย.69</v>
      </c>
      <c r="F259" s="15">
        <v>0</v>
      </c>
      <c r="G259" s="16">
        <f t="shared" si="12"/>
        <v>1</v>
      </c>
      <c r="H259" s="43"/>
      <c r="I259" s="35">
        <f t="shared" si="13"/>
        <v>1</v>
      </c>
      <c r="J259" s="35">
        <f t="shared" si="14"/>
        <v>0</v>
      </c>
    </row>
    <row r="260" spans="1:10" ht="17.5" thickBot="1">
      <c r="A260" s="41" t="s">
        <v>606</v>
      </c>
      <c r="B260" s="21" t="s">
        <v>471</v>
      </c>
      <c r="C260" s="13" t="s">
        <v>472</v>
      </c>
      <c r="D260" s="41" t="s">
        <v>579</v>
      </c>
      <c r="E260" s="15" t="str">
        <f>VLOOKUP($B260,DATA!$C:$AF,29,FALSE)</f>
        <v>30 มิ.ย.69</v>
      </c>
      <c r="F260" s="15">
        <v>0</v>
      </c>
      <c r="G260" s="16">
        <f t="shared" si="12"/>
        <v>1</v>
      </c>
      <c r="H260" s="43"/>
      <c r="I260" s="35">
        <f t="shared" si="13"/>
        <v>1</v>
      </c>
      <c r="J260" s="35">
        <f t="shared" si="14"/>
        <v>0</v>
      </c>
    </row>
    <row r="261" spans="1:10" ht="17.5" thickBot="1">
      <c r="A261" s="41" t="s">
        <v>606</v>
      </c>
      <c r="B261" s="13" t="s">
        <v>473</v>
      </c>
      <c r="C261" s="13" t="s">
        <v>474</v>
      </c>
      <c r="D261" s="41" t="s">
        <v>579</v>
      </c>
      <c r="E261" s="15" t="str">
        <f>VLOOKUP($B261,DATA!$C:$AF,29,FALSE)</f>
        <v>18 มิ.ย.69</v>
      </c>
      <c r="F261" s="15">
        <v>0</v>
      </c>
      <c r="G261" s="16">
        <f t="shared" si="12"/>
        <v>1</v>
      </c>
      <c r="H261" s="43"/>
      <c r="I261" s="35">
        <f t="shared" si="13"/>
        <v>1</v>
      </c>
      <c r="J261" s="35">
        <f t="shared" si="14"/>
        <v>0</v>
      </c>
    </row>
    <row r="262" spans="1:10" ht="17.5" thickBot="1">
      <c r="A262" s="41" t="s">
        <v>606</v>
      </c>
      <c r="B262" s="21" t="s">
        <v>475</v>
      </c>
      <c r="C262" s="13" t="s">
        <v>476</v>
      </c>
      <c r="D262" s="41" t="s">
        <v>579</v>
      </c>
      <c r="E262" s="15" t="str">
        <f>VLOOKUP($B262,DATA!$C:$AF,29,FALSE)</f>
        <v>30 มิ.ย.69</v>
      </c>
      <c r="F262" s="15">
        <v>0</v>
      </c>
      <c r="G262" s="16">
        <f t="shared" ref="G262:G285" si="15">SUM(I262:J262)</f>
        <v>1</v>
      </c>
      <c r="H262" s="43"/>
      <c r="I262" s="35">
        <f t="shared" ref="I262:I285" si="16">IF(E262&lt;&gt;0,1,0)</f>
        <v>1</v>
      </c>
      <c r="J262" s="35">
        <f t="shared" ref="J262:J285" si="17">IF(F262&lt;&gt;0,1,0)</f>
        <v>0</v>
      </c>
    </row>
    <row r="263" spans="1:10" ht="17.5" thickBot="1">
      <c r="A263" s="41" t="s">
        <v>606</v>
      </c>
      <c r="B263" s="21" t="s">
        <v>477</v>
      </c>
      <c r="C263" s="13" t="s">
        <v>478</v>
      </c>
      <c r="D263" s="41" t="s">
        <v>579</v>
      </c>
      <c r="E263" s="15" t="str">
        <f>VLOOKUP($B263,DATA!$C:$AF,29,FALSE)</f>
        <v>30 มิ.ย.69</v>
      </c>
      <c r="F263" s="15">
        <v>0</v>
      </c>
      <c r="G263" s="16">
        <f t="shared" si="15"/>
        <v>1</v>
      </c>
      <c r="H263" s="43"/>
      <c r="I263" s="35">
        <f t="shared" si="16"/>
        <v>1</v>
      </c>
      <c r="J263" s="35">
        <f t="shared" si="17"/>
        <v>0</v>
      </c>
    </row>
    <row r="264" spans="1:10" ht="17.5" thickBot="1">
      <c r="A264" s="41" t="s">
        <v>606</v>
      </c>
      <c r="B264" s="21" t="s">
        <v>479</v>
      </c>
      <c r="C264" s="13" t="s">
        <v>480</v>
      </c>
      <c r="D264" s="41" t="s">
        <v>579</v>
      </c>
      <c r="E264" s="15" t="str">
        <f>VLOOKUP($B264,DATA!$C:$AF,29,FALSE)</f>
        <v>22 มิ.ย.69</v>
      </c>
      <c r="F264" s="15">
        <v>0</v>
      </c>
      <c r="G264" s="16">
        <f t="shared" si="15"/>
        <v>1</v>
      </c>
      <c r="H264" s="42"/>
      <c r="I264" s="35">
        <f t="shared" si="16"/>
        <v>1</v>
      </c>
      <c r="J264" s="35">
        <f t="shared" si="17"/>
        <v>0</v>
      </c>
    </row>
    <row r="265" spans="1:10" ht="17.5" thickBot="1">
      <c r="A265" s="41" t="s">
        <v>606</v>
      </c>
      <c r="B265" s="33" t="s">
        <v>481</v>
      </c>
      <c r="C265" s="13" t="s">
        <v>482</v>
      </c>
      <c r="D265" s="41" t="s">
        <v>579</v>
      </c>
      <c r="E265" s="15" t="str">
        <f>VLOOKUP($B265,DATA!$C:$AF,29,FALSE)</f>
        <v>1 เม.ย.69</v>
      </c>
      <c r="F265" s="15">
        <v>0</v>
      </c>
      <c r="G265" s="16">
        <f t="shared" si="15"/>
        <v>1</v>
      </c>
      <c r="H265" s="42"/>
      <c r="I265" s="35">
        <f t="shared" si="16"/>
        <v>1</v>
      </c>
      <c r="J265" s="35">
        <f t="shared" si="17"/>
        <v>0</v>
      </c>
    </row>
    <row r="266" spans="1:10" ht="17.5" thickBot="1">
      <c r="A266" s="41" t="s">
        <v>606</v>
      </c>
      <c r="B266" s="21" t="s">
        <v>483</v>
      </c>
      <c r="C266" s="13" t="s">
        <v>484</v>
      </c>
      <c r="D266" s="41" t="s">
        <v>579</v>
      </c>
      <c r="E266" s="15" t="str">
        <f>VLOOKUP($B266,DATA!$C:$AF,29,FALSE)</f>
        <v>1 เม.ย.69</v>
      </c>
      <c r="F266" s="15">
        <v>0</v>
      </c>
      <c r="G266" s="16">
        <f t="shared" si="15"/>
        <v>1</v>
      </c>
      <c r="H266" s="42"/>
      <c r="I266" s="35">
        <f t="shared" si="16"/>
        <v>1</v>
      </c>
      <c r="J266" s="35">
        <f t="shared" si="17"/>
        <v>0</v>
      </c>
    </row>
    <row r="267" spans="1:10" ht="17.5" thickBot="1">
      <c r="A267" s="41" t="s">
        <v>606</v>
      </c>
      <c r="B267" s="21" t="s">
        <v>485</v>
      </c>
      <c r="C267" s="13" t="s">
        <v>486</v>
      </c>
      <c r="D267" s="41" t="s">
        <v>579</v>
      </c>
      <c r="E267" s="15" t="str">
        <f>VLOOKUP($B267,DATA!$C:$AF,29,FALSE)</f>
        <v>30 มิ.ย.69</v>
      </c>
      <c r="F267" s="15">
        <v>0</v>
      </c>
      <c r="G267" s="16">
        <f t="shared" si="15"/>
        <v>1</v>
      </c>
      <c r="H267" s="42"/>
      <c r="I267" s="35">
        <f t="shared" si="16"/>
        <v>1</v>
      </c>
      <c r="J267" s="35">
        <f t="shared" si="17"/>
        <v>0</v>
      </c>
    </row>
    <row r="268" spans="1:10" ht="17.5" thickBot="1">
      <c r="A268" s="41" t="s">
        <v>606</v>
      </c>
      <c r="B268" s="21" t="s">
        <v>487</v>
      </c>
      <c r="C268" s="13" t="s">
        <v>488</v>
      </c>
      <c r="D268" s="41" t="s">
        <v>579</v>
      </c>
      <c r="E268" s="15" t="str">
        <f>VLOOKUP($B268,DATA!$C:$AF,29,FALSE)</f>
        <v>11 พ.ค.69</v>
      </c>
      <c r="F268" s="15">
        <v>0</v>
      </c>
      <c r="G268" s="16">
        <f t="shared" si="15"/>
        <v>1</v>
      </c>
      <c r="H268" s="42"/>
      <c r="I268" s="35">
        <f t="shared" si="16"/>
        <v>1</v>
      </c>
      <c r="J268" s="35">
        <f t="shared" si="17"/>
        <v>0</v>
      </c>
    </row>
    <row r="269" spans="1:10" ht="17.5" thickBot="1">
      <c r="A269" s="41" t="s">
        <v>606</v>
      </c>
      <c r="B269" s="21" t="s">
        <v>489</v>
      </c>
      <c r="C269" s="13" t="s">
        <v>490</v>
      </c>
      <c r="D269" s="41" t="s">
        <v>579</v>
      </c>
      <c r="E269" s="15" t="str">
        <f>VLOOKUP($B269,DATA!$C:$AF,29,FALSE)</f>
        <v>30 มิ.ย.69</v>
      </c>
      <c r="F269" s="15">
        <v>0</v>
      </c>
      <c r="G269" s="16">
        <f t="shared" si="15"/>
        <v>1</v>
      </c>
      <c r="H269" s="42"/>
      <c r="I269" s="35">
        <f t="shared" si="16"/>
        <v>1</v>
      </c>
      <c r="J269" s="35">
        <f t="shared" si="17"/>
        <v>0</v>
      </c>
    </row>
    <row r="270" spans="1:10" ht="17.5" thickBot="1">
      <c r="A270" s="41" t="s">
        <v>606</v>
      </c>
      <c r="B270" s="22" t="s">
        <v>491</v>
      </c>
      <c r="C270" s="13" t="s">
        <v>492</v>
      </c>
      <c r="D270" s="41" t="s">
        <v>579</v>
      </c>
      <c r="E270" s="15" t="str">
        <f>VLOOKUP($B270,DATA!$C:$AF,29,FALSE)</f>
        <v>30 มิ.ย.69</v>
      </c>
      <c r="F270" s="15">
        <v>0</v>
      </c>
      <c r="G270" s="16">
        <f t="shared" si="15"/>
        <v>1</v>
      </c>
      <c r="H270" s="42"/>
      <c r="I270" s="35">
        <f t="shared" si="16"/>
        <v>1</v>
      </c>
      <c r="J270" s="35">
        <f t="shared" si="17"/>
        <v>0</v>
      </c>
    </row>
    <row r="271" spans="1:10" ht="17.5" thickBot="1">
      <c r="A271" s="41" t="s">
        <v>606</v>
      </c>
      <c r="B271" s="22" t="s">
        <v>508</v>
      </c>
      <c r="C271" s="13" t="s">
        <v>509</v>
      </c>
      <c r="D271" s="41" t="s">
        <v>580</v>
      </c>
      <c r="E271" s="15" t="str">
        <f>VLOOKUP($B271,DATA!$C:$AF,29,FALSE)</f>
        <v>30 มิ.ย.69</v>
      </c>
      <c r="F271" s="15">
        <v>0</v>
      </c>
      <c r="G271" s="16">
        <f t="shared" si="15"/>
        <v>1</v>
      </c>
      <c r="H271" s="43"/>
      <c r="I271" s="35">
        <f t="shared" si="16"/>
        <v>1</v>
      </c>
      <c r="J271" s="35">
        <f t="shared" si="17"/>
        <v>0</v>
      </c>
    </row>
    <row r="272" spans="1:10" ht="17.5" thickBot="1">
      <c r="A272" s="41" t="s">
        <v>606</v>
      </c>
      <c r="B272" s="21" t="s">
        <v>510</v>
      </c>
      <c r="C272" s="13" t="s">
        <v>511</v>
      </c>
      <c r="D272" s="41" t="s">
        <v>580</v>
      </c>
      <c r="E272" s="15" t="str">
        <f>VLOOKUP($B272,DATA!$C:$AF,29,FALSE)</f>
        <v>30 มิ.ย.69</v>
      </c>
      <c r="F272" s="15">
        <v>0</v>
      </c>
      <c r="G272" s="16">
        <f t="shared" si="15"/>
        <v>1</v>
      </c>
      <c r="H272" s="43"/>
      <c r="I272" s="35">
        <f t="shared" si="16"/>
        <v>1</v>
      </c>
      <c r="J272" s="35">
        <f t="shared" si="17"/>
        <v>0</v>
      </c>
    </row>
    <row r="273" spans="1:10" ht="17.5" thickBot="1">
      <c r="A273" s="41" t="s">
        <v>606</v>
      </c>
      <c r="B273" s="22" t="s">
        <v>512</v>
      </c>
      <c r="C273" s="13" t="s">
        <v>513</v>
      </c>
      <c r="D273" s="41" t="s">
        <v>580</v>
      </c>
      <c r="E273" s="15" t="str">
        <f>VLOOKUP($B273,DATA!$C:$AF,29,FALSE)</f>
        <v>23 มิ.ย.69</v>
      </c>
      <c r="F273" s="15">
        <v>0</v>
      </c>
      <c r="G273" s="16">
        <f t="shared" si="15"/>
        <v>1</v>
      </c>
      <c r="H273" s="43"/>
      <c r="I273" s="35">
        <f t="shared" si="16"/>
        <v>1</v>
      </c>
      <c r="J273" s="35">
        <f t="shared" si="17"/>
        <v>0</v>
      </c>
    </row>
    <row r="274" spans="1:10" ht="17.5" thickBot="1">
      <c r="A274" s="41" t="s">
        <v>606</v>
      </c>
      <c r="B274" s="21" t="s">
        <v>514</v>
      </c>
      <c r="C274" s="13" t="s">
        <v>515</v>
      </c>
      <c r="D274" s="41" t="s">
        <v>580</v>
      </c>
      <c r="E274" s="15" t="str">
        <f>VLOOKUP($B274,DATA!$C:$AF,29,FALSE)</f>
        <v>30 มิ.ย.69</v>
      </c>
      <c r="F274" s="15">
        <v>0</v>
      </c>
      <c r="G274" s="16">
        <f t="shared" si="15"/>
        <v>1</v>
      </c>
      <c r="H274" s="43"/>
      <c r="I274" s="35">
        <f t="shared" si="16"/>
        <v>1</v>
      </c>
      <c r="J274" s="35">
        <f t="shared" si="17"/>
        <v>0</v>
      </c>
    </row>
    <row r="275" spans="1:10" ht="17.5" thickBot="1">
      <c r="A275" s="41" t="s">
        <v>606</v>
      </c>
      <c r="B275" s="21" t="s">
        <v>516</v>
      </c>
      <c r="C275" s="13" t="s">
        <v>517</v>
      </c>
      <c r="D275" s="41" t="s">
        <v>580</v>
      </c>
      <c r="E275" s="15" t="str">
        <f>VLOOKUP($B275,DATA!$C:$AF,29,FALSE)</f>
        <v>30 มิ.ย.69</v>
      </c>
      <c r="F275" s="15">
        <v>0</v>
      </c>
      <c r="G275" s="16">
        <f t="shared" si="15"/>
        <v>1</v>
      </c>
      <c r="H275" s="43"/>
      <c r="I275" s="35">
        <f t="shared" si="16"/>
        <v>1</v>
      </c>
      <c r="J275" s="35">
        <f t="shared" si="17"/>
        <v>0</v>
      </c>
    </row>
    <row r="276" spans="1:10" ht="17.5" thickBot="1">
      <c r="A276" s="41" t="s">
        <v>606</v>
      </c>
      <c r="B276" s="22" t="s">
        <v>493</v>
      </c>
      <c r="C276" s="13" t="s">
        <v>494</v>
      </c>
      <c r="D276" s="41" t="s">
        <v>579</v>
      </c>
      <c r="E276" s="15" t="str">
        <f>VLOOKUP($B276,DATA!$C:$AF,29,FALSE)</f>
        <v>27 พ.ค.69</v>
      </c>
      <c r="F276" s="15">
        <v>0</v>
      </c>
      <c r="G276" s="16">
        <f t="shared" si="15"/>
        <v>1</v>
      </c>
      <c r="H276" s="42"/>
      <c r="I276" s="35">
        <f t="shared" si="16"/>
        <v>1</v>
      </c>
      <c r="J276" s="35">
        <f t="shared" si="17"/>
        <v>0</v>
      </c>
    </row>
    <row r="277" spans="1:10" ht="17.5" thickBot="1">
      <c r="A277" s="41" t="s">
        <v>606</v>
      </c>
      <c r="B277" s="22" t="s">
        <v>495</v>
      </c>
      <c r="C277" s="13" t="s">
        <v>496</v>
      </c>
      <c r="D277" s="41" t="s">
        <v>579</v>
      </c>
      <c r="E277" s="15" t="str">
        <f>VLOOKUP($B277,DATA!$C:$AF,29,FALSE)</f>
        <v>12 มิ.ย.69</v>
      </c>
      <c r="F277" s="15">
        <v>0</v>
      </c>
      <c r="G277" s="16">
        <f t="shared" si="15"/>
        <v>1</v>
      </c>
      <c r="H277" s="42"/>
      <c r="I277" s="35">
        <f t="shared" si="16"/>
        <v>1</v>
      </c>
      <c r="J277" s="35">
        <f t="shared" si="17"/>
        <v>0</v>
      </c>
    </row>
    <row r="278" spans="1:10" ht="17.5" thickBot="1">
      <c r="A278" s="41" t="s">
        <v>606</v>
      </c>
      <c r="B278" s="22" t="s">
        <v>497</v>
      </c>
      <c r="C278" s="13" t="s">
        <v>498</v>
      </c>
      <c r="D278" s="41" t="s">
        <v>579</v>
      </c>
      <c r="E278" s="15" t="str">
        <f>VLOOKUP($B278,DATA!$C:$AF,29,FALSE)</f>
        <v>27 พ.ค.69</v>
      </c>
      <c r="F278" s="15">
        <v>0</v>
      </c>
      <c r="G278" s="16">
        <f t="shared" si="15"/>
        <v>1</v>
      </c>
      <c r="H278" s="42"/>
      <c r="I278" s="35">
        <f t="shared" si="16"/>
        <v>1</v>
      </c>
      <c r="J278" s="35">
        <f t="shared" si="17"/>
        <v>0</v>
      </c>
    </row>
    <row r="279" spans="1:10" ht="17.5" thickBot="1">
      <c r="A279" s="41" t="s">
        <v>606</v>
      </c>
      <c r="B279" s="21" t="s">
        <v>499</v>
      </c>
      <c r="C279" s="13" t="s">
        <v>500</v>
      </c>
      <c r="D279" s="41" t="s">
        <v>579</v>
      </c>
      <c r="E279" s="15" t="str">
        <f>VLOOKUP($B279,DATA!$C:$AF,29,FALSE)</f>
        <v>18 มิ.ย.69</v>
      </c>
      <c r="F279" s="15">
        <v>0</v>
      </c>
      <c r="G279" s="16">
        <f t="shared" si="15"/>
        <v>1</v>
      </c>
      <c r="H279" s="42"/>
      <c r="I279" s="35">
        <f t="shared" si="16"/>
        <v>1</v>
      </c>
      <c r="J279" s="35">
        <f t="shared" si="17"/>
        <v>0</v>
      </c>
    </row>
    <row r="280" spans="1:10" ht="17.5" thickBot="1">
      <c r="A280" s="41" t="s">
        <v>606</v>
      </c>
      <c r="B280" s="21" t="s">
        <v>501</v>
      </c>
      <c r="C280" s="13" t="s">
        <v>502</v>
      </c>
      <c r="D280" s="41" t="s">
        <v>579</v>
      </c>
      <c r="E280" s="15" t="str">
        <f>VLOOKUP($B280,DATA!$C:$AF,29,FALSE)</f>
        <v>27 พ.ค.69</v>
      </c>
      <c r="F280" s="15">
        <v>0</v>
      </c>
      <c r="G280" s="16">
        <f t="shared" si="15"/>
        <v>1</v>
      </c>
      <c r="H280" s="42"/>
      <c r="I280" s="35">
        <f t="shared" si="16"/>
        <v>1</v>
      </c>
      <c r="J280" s="35">
        <f t="shared" si="17"/>
        <v>0</v>
      </c>
    </row>
    <row r="281" spans="1:10" ht="17.5" thickBot="1">
      <c r="A281" s="41" t="s">
        <v>606</v>
      </c>
      <c r="B281" s="21" t="s">
        <v>503</v>
      </c>
      <c r="C281" s="13" t="s">
        <v>504</v>
      </c>
      <c r="D281" s="41" t="s">
        <v>579</v>
      </c>
      <c r="E281" s="15" t="str">
        <f>VLOOKUP($B281,DATA!$C:$AF,29,FALSE)</f>
        <v>27 พ.ค.69</v>
      </c>
      <c r="F281" s="15">
        <v>0</v>
      </c>
      <c r="G281" s="16">
        <f t="shared" si="15"/>
        <v>1</v>
      </c>
      <c r="H281" s="42"/>
      <c r="I281" s="35">
        <f t="shared" si="16"/>
        <v>1</v>
      </c>
      <c r="J281" s="35">
        <f t="shared" si="17"/>
        <v>0</v>
      </c>
    </row>
    <row r="282" spans="1:10" ht="17.5" thickBot="1">
      <c r="A282" s="41" t="s">
        <v>606</v>
      </c>
      <c r="B282" s="21" t="s">
        <v>505</v>
      </c>
      <c r="C282" s="13" t="s">
        <v>598</v>
      </c>
      <c r="D282" s="41" t="s">
        <v>579</v>
      </c>
      <c r="E282" s="15" t="str">
        <f>VLOOKUP($B282,DATA!$C:$AF,29,FALSE)</f>
        <v>12 มิ.ย.69</v>
      </c>
      <c r="F282" s="15">
        <v>0</v>
      </c>
      <c r="G282" s="16">
        <f t="shared" si="15"/>
        <v>1</v>
      </c>
      <c r="H282" s="43"/>
      <c r="I282" s="35">
        <f t="shared" si="16"/>
        <v>1</v>
      </c>
      <c r="J282" s="35">
        <f t="shared" si="17"/>
        <v>0</v>
      </c>
    </row>
    <row r="283" spans="1:10" ht="17.5" thickBot="1">
      <c r="A283" s="41" t="s">
        <v>606</v>
      </c>
      <c r="B283" s="21" t="s">
        <v>506</v>
      </c>
      <c r="C283" s="13" t="s">
        <v>507</v>
      </c>
      <c r="D283" s="41" t="s">
        <v>579</v>
      </c>
      <c r="E283" s="15" t="str">
        <f>VLOOKUP($B283,DATA!$C:$AF,29,FALSE)</f>
        <v>27 พ.ค.69</v>
      </c>
      <c r="F283" s="15">
        <v>0</v>
      </c>
      <c r="G283" s="16">
        <f t="shared" si="15"/>
        <v>1</v>
      </c>
      <c r="H283" s="43"/>
      <c r="I283" s="35">
        <f t="shared" si="16"/>
        <v>1</v>
      </c>
      <c r="J283" s="35">
        <f t="shared" si="17"/>
        <v>0</v>
      </c>
    </row>
    <row r="284" spans="1:10" ht="17.5" thickBot="1">
      <c r="A284" s="41" t="s">
        <v>606</v>
      </c>
      <c r="B284" s="22" t="s">
        <v>518</v>
      </c>
      <c r="C284" s="22" t="s">
        <v>519</v>
      </c>
      <c r="D284" s="41" t="s">
        <v>579</v>
      </c>
      <c r="E284" s="15" t="str">
        <f>VLOOKUP($B284,DATA!$C:$AF,29,FALSE)</f>
        <v>18 มิ.ย.69</v>
      </c>
      <c r="F284" s="15">
        <v>0</v>
      </c>
      <c r="G284" s="16">
        <f t="shared" ref="G284" si="18">SUM(I284:J284)</f>
        <v>1</v>
      </c>
      <c r="H284" s="43"/>
      <c r="I284" s="35">
        <f t="shared" ref="I284" si="19">IF(E284&lt;&gt;0,1,0)</f>
        <v>1</v>
      </c>
      <c r="J284" s="35">
        <f t="shared" ref="J284" si="20">IF(F284&lt;&gt;0,1,0)</f>
        <v>0</v>
      </c>
    </row>
    <row r="285" spans="1:10" ht="17.5" thickBot="1">
      <c r="A285" s="41" t="s">
        <v>606</v>
      </c>
      <c r="B285" s="22" t="s">
        <v>868</v>
      </c>
      <c r="C285" s="22" t="s">
        <v>869</v>
      </c>
      <c r="D285" s="41" t="s">
        <v>579</v>
      </c>
      <c r="E285" s="15" t="str">
        <f>VLOOKUP($B285,DATA!$C:$AF,29,FALSE)</f>
        <v>18 มิ.ย.69</v>
      </c>
      <c r="F285" s="15">
        <v>0</v>
      </c>
      <c r="G285" s="16">
        <f t="shared" si="15"/>
        <v>1</v>
      </c>
      <c r="H285" s="43"/>
      <c r="I285" s="35">
        <f t="shared" si="16"/>
        <v>1</v>
      </c>
      <c r="J285" s="35">
        <f t="shared" si="17"/>
        <v>0</v>
      </c>
    </row>
  </sheetData>
  <autoFilter ref="A1:H1" xr:uid="{37C9C0CE-8856-40F0-8E53-039908F395E2}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252333-D825-4146-8F8A-28807AF2F627}">
  <dimension ref="A1:AG291"/>
  <sheetViews>
    <sheetView workbookViewId="0">
      <pane xSplit="5" ySplit="5" topLeftCell="F6" activePane="bottomRight" state="frozen"/>
      <selection pane="topRight" activeCell="F1" sqref="F1"/>
      <selection pane="bottomLeft" activeCell="A6" sqref="A6"/>
      <selection pane="bottomRight" activeCell="D297" sqref="D297"/>
    </sheetView>
  </sheetViews>
  <sheetFormatPr defaultColWidth="9.1796875" defaultRowHeight="12.5"/>
  <cols>
    <col min="1" max="1" width="12.08984375" style="51" customWidth="1"/>
    <col min="2" max="2" width="21.26953125" style="54" hidden="1" customWidth="1"/>
    <col min="3" max="3" width="11.453125" style="55" customWidth="1"/>
    <col min="4" max="4" width="28.54296875" style="51" customWidth="1"/>
    <col min="5" max="5" width="31.1796875" style="51" customWidth="1"/>
    <col min="6" max="6" width="12.26953125" style="51" customWidth="1"/>
    <col min="7" max="7" width="4.453125" style="52" customWidth="1"/>
    <col min="8" max="18" width="4.453125" style="51" customWidth="1"/>
    <col min="19" max="19" width="12.36328125" style="51" customWidth="1"/>
    <col min="20" max="29" width="5.90625" style="51" customWidth="1"/>
    <col min="30" max="30" width="10.453125" style="51" customWidth="1"/>
    <col min="31" max="31" width="10.08984375" style="51" customWidth="1"/>
    <col min="32" max="32" width="9.54296875" style="51" customWidth="1"/>
    <col min="33" max="244" width="9.1796875" style="51"/>
    <col min="245" max="245" width="0" style="51" hidden="1" customWidth="1"/>
    <col min="246" max="246" width="16.54296875" style="51" customWidth="1"/>
    <col min="247" max="247" width="0" style="51" hidden="1" customWidth="1"/>
    <col min="248" max="248" width="21" style="51" customWidth="1"/>
    <col min="249" max="249" width="11.453125" style="51" customWidth="1"/>
    <col min="250" max="250" width="28.1796875" style="51" customWidth="1"/>
    <col min="251" max="251" width="31.6328125" style="51" customWidth="1"/>
    <col min="252" max="253" width="0" style="51" hidden="1" customWidth="1"/>
    <col min="254" max="254" width="19.54296875" style="51" customWidth="1"/>
    <col min="255" max="255" width="13.54296875" style="51" customWidth="1"/>
    <col min="256" max="256" width="28.81640625" style="51" customWidth="1"/>
    <col min="257" max="257" width="16" style="51" customWidth="1"/>
    <col min="258" max="263" width="0" style="51" hidden="1" customWidth="1"/>
    <col min="264" max="500" width="9.1796875" style="51"/>
    <col min="501" max="501" width="0" style="51" hidden="1" customWidth="1"/>
    <col min="502" max="502" width="16.54296875" style="51" customWidth="1"/>
    <col min="503" max="503" width="0" style="51" hidden="1" customWidth="1"/>
    <col min="504" max="504" width="21" style="51" customWidth="1"/>
    <col min="505" max="505" width="11.453125" style="51" customWidth="1"/>
    <col min="506" max="506" width="28.1796875" style="51" customWidth="1"/>
    <col min="507" max="507" width="31.6328125" style="51" customWidth="1"/>
    <col min="508" max="509" width="0" style="51" hidden="1" customWidth="1"/>
    <col min="510" max="510" width="19.54296875" style="51" customWidth="1"/>
    <col min="511" max="511" width="13.54296875" style="51" customWidth="1"/>
    <col min="512" max="512" width="28.81640625" style="51" customWidth="1"/>
    <col min="513" max="513" width="16" style="51" customWidth="1"/>
    <col min="514" max="519" width="0" style="51" hidden="1" customWidth="1"/>
    <col min="520" max="756" width="9.1796875" style="51"/>
    <col min="757" max="757" width="0" style="51" hidden="1" customWidth="1"/>
    <col min="758" max="758" width="16.54296875" style="51" customWidth="1"/>
    <col min="759" max="759" width="0" style="51" hidden="1" customWidth="1"/>
    <col min="760" max="760" width="21" style="51" customWidth="1"/>
    <col min="761" max="761" width="11.453125" style="51" customWidth="1"/>
    <col min="762" max="762" width="28.1796875" style="51" customWidth="1"/>
    <col min="763" max="763" width="31.6328125" style="51" customWidth="1"/>
    <col min="764" max="765" width="0" style="51" hidden="1" customWidth="1"/>
    <col min="766" max="766" width="19.54296875" style="51" customWidth="1"/>
    <col min="767" max="767" width="13.54296875" style="51" customWidth="1"/>
    <col min="768" max="768" width="28.81640625" style="51" customWidth="1"/>
    <col min="769" max="769" width="16" style="51" customWidth="1"/>
    <col min="770" max="775" width="0" style="51" hidden="1" customWidth="1"/>
    <col min="776" max="1012" width="9.1796875" style="51"/>
    <col min="1013" max="1013" width="0" style="51" hidden="1" customWidth="1"/>
    <col min="1014" max="1014" width="16.54296875" style="51" customWidth="1"/>
    <col min="1015" max="1015" width="0" style="51" hidden="1" customWidth="1"/>
    <col min="1016" max="1016" width="21" style="51" customWidth="1"/>
    <col min="1017" max="1017" width="11.453125" style="51" customWidth="1"/>
    <col min="1018" max="1018" width="28.1796875" style="51" customWidth="1"/>
    <col min="1019" max="1019" width="31.6328125" style="51" customWidth="1"/>
    <col min="1020" max="1021" width="0" style="51" hidden="1" customWidth="1"/>
    <col min="1022" max="1022" width="19.54296875" style="51" customWidth="1"/>
    <col min="1023" max="1023" width="13.54296875" style="51" customWidth="1"/>
    <col min="1024" max="1024" width="28.81640625" style="51" customWidth="1"/>
    <col min="1025" max="1025" width="16" style="51" customWidth="1"/>
    <col min="1026" max="1031" width="0" style="51" hidden="1" customWidth="1"/>
    <col min="1032" max="1268" width="9.1796875" style="51"/>
    <col min="1269" max="1269" width="0" style="51" hidden="1" customWidth="1"/>
    <col min="1270" max="1270" width="16.54296875" style="51" customWidth="1"/>
    <col min="1271" max="1271" width="0" style="51" hidden="1" customWidth="1"/>
    <col min="1272" max="1272" width="21" style="51" customWidth="1"/>
    <col min="1273" max="1273" width="11.453125" style="51" customWidth="1"/>
    <col min="1274" max="1274" width="28.1796875" style="51" customWidth="1"/>
    <col min="1275" max="1275" width="31.6328125" style="51" customWidth="1"/>
    <col min="1276" max="1277" width="0" style="51" hidden="1" customWidth="1"/>
    <col min="1278" max="1278" width="19.54296875" style="51" customWidth="1"/>
    <col min="1279" max="1279" width="13.54296875" style="51" customWidth="1"/>
    <col min="1280" max="1280" width="28.81640625" style="51" customWidth="1"/>
    <col min="1281" max="1281" width="16" style="51" customWidth="1"/>
    <col min="1282" max="1287" width="0" style="51" hidden="1" customWidth="1"/>
    <col min="1288" max="1524" width="9.1796875" style="51"/>
    <col min="1525" max="1525" width="0" style="51" hidden="1" customWidth="1"/>
    <col min="1526" max="1526" width="16.54296875" style="51" customWidth="1"/>
    <col min="1527" max="1527" width="0" style="51" hidden="1" customWidth="1"/>
    <col min="1528" max="1528" width="21" style="51" customWidth="1"/>
    <col min="1529" max="1529" width="11.453125" style="51" customWidth="1"/>
    <col min="1530" max="1530" width="28.1796875" style="51" customWidth="1"/>
    <col min="1531" max="1531" width="31.6328125" style="51" customWidth="1"/>
    <col min="1532" max="1533" width="0" style="51" hidden="1" customWidth="1"/>
    <col min="1534" max="1534" width="19.54296875" style="51" customWidth="1"/>
    <col min="1535" max="1535" width="13.54296875" style="51" customWidth="1"/>
    <col min="1536" max="1536" width="28.81640625" style="51" customWidth="1"/>
    <col min="1537" max="1537" width="16" style="51" customWidth="1"/>
    <col min="1538" max="1543" width="0" style="51" hidden="1" customWidth="1"/>
    <col min="1544" max="1780" width="9.1796875" style="51"/>
    <col min="1781" max="1781" width="0" style="51" hidden="1" customWidth="1"/>
    <col min="1782" max="1782" width="16.54296875" style="51" customWidth="1"/>
    <col min="1783" max="1783" width="0" style="51" hidden="1" customWidth="1"/>
    <col min="1784" max="1784" width="21" style="51" customWidth="1"/>
    <col min="1785" max="1785" width="11.453125" style="51" customWidth="1"/>
    <col min="1786" max="1786" width="28.1796875" style="51" customWidth="1"/>
    <col min="1787" max="1787" width="31.6328125" style="51" customWidth="1"/>
    <col min="1788" max="1789" width="0" style="51" hidden="1" customWidth="1"/>
    <col min="1790" max="1790" width="19.54296875" style="51" customWidth="1"/>
    <col min="1791" max="1791" width="13.54296875" style="51" customWidth="1"/>
    <col min="1792" max="1792" width="28.81640625" style="51" customWidth="1"/>
    <col min="1793" max="1793" width="16" style="51" customWidth="1"/>
    <col min="1794" max="1799" width="0" style="51" hidden="1" customWidth="1"/>
    <col min="1800" max="2036" width="9.1796875" style="51"/>
    <col min="2037" max="2037" width="0" style="51" hidden="1" customWidth="1"/>
    <col min="2038" max="2038" width="16.54296875" style="51" customWidth="1"/>
    <col min="2039" max="2039" width="0" style="51" hidden="1" customWidth="1"/>
    <col min="2040" max="2040" width="21" style="51" customWidth="1"/>
    <col min="2041" max="2041" width="11.453125" style="51" customWidth="1"/>
    <col min="2042" max="2042" width="28.1796875" style="51" customWidth="1"/>
    <col min="2043" max="2043" width="31.6328125" style="51" customWidth="1"/>
    <col min="2044" max="2045" width="0" style="51" hidden="1" customWidth="1"/>
    <col min="2046" max="2046" width="19.54296875" style="51" customWidth="1"/>
    <col min="2047" max="2047" width="13.54296875" style="51" customWidth="1"/>
    <col min="2048" max="2048" width="28.81640625" style="51" customWidth="1"/>
    <col min="2049" max="2049" width="16" style="51" customWidth="1"/>
    <col min="2050" max="2055" width="0" style="51" hidden="1" customWidth="1"/>
    <col min="2056" max="2292" width="9.1796875" style="51"/>
    <col min="2293" max="2293" width="0" style="51" hidden="1" customWidth="1"/>
    <col min="2294" max="2294" width="16.54296875" style="51" customWidth="1"/>
    <col min="2295" max="2295" width="0" style="51" hidden="1" customWidth="1"/>
    <col min="2296" max="2296" width="21" style="51" customWidth="1"/>
    <col min="2297" max="2297" width="11.453125" style="51" customWidth="1"/>
    <col min="2298" max="2298" width="28.1796875" style="51" customWidth="1"/>
    <col min="2299" max="2299" width="31.6328125" style="51" customWidth="1"/>
    <col min="2300" max="2301" width="0" style="51" hidden="1" customWidth="1"/>
    <col min="2302" max="2302" width="19.54296875" style="51" customWidth="1"/>
    <col min="2303" max="2303" width="13.54296875" style="51" customWidth="1"/>
    <col min="2304" max="2304" width="28.81640625" style="51" customWidth="1"/>
    <col min="2305" max="2305" width="16" style="51" customWidth="1"/>
    <col min="2306" max="2311" width="0" style="51" hidden="1" customWidth="1"/>
    <col min="2312" max="2548" width="9.1796875" style="51"/>
    <col min="2549" max="2549" width="0" style="51" hidden="1" customWidth="1"/>
    <col min="2550" max="2550" width="16.54296875" style="51" customWidth="1"/>
    <col min="2551" max="2551" width="0" style="51" hidden="1" customWidth="1"/>
    <col min="2552" max="2552" width="21" style="51" customWidth="1"/>
    <col min="2553" max="2553" width="11.453125" style="51" customWidth="1"/>
    <col min="2554" max="2554" width="28.1796875" style="51" customWidth="1"/>
    <col min="2555" max="2555" width="31.6328125" style="51" customWidth="1"/>
    <col min="2556" max="2557" width="0" style="51" hidden="1" customWidth="1"/>
    <col min="2558" max="2558" width="19.54296875" style="51" customWidth="1"/>
    <col min="2559" max="2559" width="13.54296875" style="51" customWidth="1"/>
    <col min="2560" max="2560" width="28.81640625" style="51" customWidth="1"/>
    <col min="2561" max="2561" width="16" style="51" customWidth="1"/>
    <col min="2562" max="2567" width="0" style="51" hidden="1" customWidth="1"/>
    <col min="2568" max="2804" width="9.1796875" style="51"/>
    <col min="2805" max="2805" width="0" style="51" hidden="1" customWidth="1"/>
    <col min="2806" max="2806" width="16.54296875" style="51" customWidth="1"/>
    <col min="2807" max="2807" width="0" style="51" hidden="1" customWidth="1"/>
    <col min="2808" max="2808" width="21" style="51" customWidth="1"/>
    <col min="2809" max="2809" width="11.453125" style="51" customWidth="1"/>
    <col min="2810" max="2810" width="28.1796875" style="51" customWidth="1"/>
    <col min="2811" max="2811" width="31.6328125" style="51" customWidth="1"/>
    <col min="2812" max="2813" width="0" style="51" hidden="1" customWidth="1"/>
    <col min="2814" max="2814" width="19.54296875" style="51" customWidth="1"/>
    <col min="2815" max="2815" width="13.54296875" style="51" customWidth="1"/>
    <col min="2816" max="2816" width="28.81640625" style="51" customWidth="1"/>
    <col min="2817" max="2817" width="16" style="51" customWidth="1"/>
    <col min="2818" max="2823" width="0" style="51" hidden="1" customWidth="1"/>
    <col min="2824" max="3060" width="9.1796875" style="51"/>
    <col min="3061" max="3061" width="0" style="51" hidden="1" customWidth="1"/>
    <col min="3062" max="3062" width="16.54296875" style="51" customWidth="1"/>
    <col min="3063" max="3063" width="0" style="51" hidden="1" customWidth="1"/>
    <col min="3064" max="3064" width="21" style="51" customWidth="1"/>
    <col min="3065" max="3065" width="11.453125" style="51" customWidth="1"/>
    <col min="3066" max="3066" width="28.1796875" style="51" customWidth="1"/>
    <col min="3067" max="3067" width="31.6328125" style="51" customWidth="1"/>
    <col min="3068" max="3069" width="0" style="51" hidden="1" customWidth="1"/>
    <col min="3070" max="3070" width="19.54296875" style="51" customWidth="1"/>
    <col min="3071" max="3071" width="13.54296875" style="51" customWidth="1"/>
    <col min="3072" max="3072" width="28.81640625" style="51" customWidth="1"/>
    <col min="3073" max="3073" width="16" style="51" customWidth="1"/>
    <col min="3074" max="3079" width="0" style="51" hidden="1" customWidth="1"/>
    <col min="3080" max="3316" width="9.1796875" style="51"/>
    <col min="3317" max="3317" width="0" style="51" hidden="1" customWidth="1"/>
    <col min="3318" max="3318" width="16.54296875" style="51" customWidth="1"/>
    <col min="3319" max="3319" width="0" style="51" hidden="1" customWidth="1"/>
    <col min="3320" max="3320" width="21" style="51" customWidth="1"/>
    <col min="3321" max="3321" width="11.453125" style="51" customWidth="1"/>
    <col min="3322" max="3322" width="28.1796875" style="51" customWidth="1"/>
    <col min="3323" max="3323" width="31.6328125" style="51" customWidth="1"/>
    <col min="3324" max="3325" width="0" style="51" hidden="1" customWidth="1"/>
    <col min="3326" max="3326" width="19.54296875" style="51" customWidth="1"/>
    <col min="3327" max="3327" width="13.54296875" style="51" customWidth="1"/>
    <col min="3328" max="3328" width="28.81640625" style="51" customWidth="1"/>
    <col min="3329" max="3329" width="16" style="51" customWidth="1"/>
    <col min="3330" max="3335" width="0" style="51" hidden="1" customWidth="1"/>
    <col min="3336" max="3572" width="9.1796875" style="51"/>
    <col min="3573" max="3573" width="0" style="51" hidden="1" customWidth="1"/>
    <col min="3574" max="3574" width="16.54296875" style="51" customWidth="1"/>
    <col min="3575" max="3575" width="0" style="51" hidden="1" customWidth="1"/>
    <col min="3576" max="3576" width="21" style="51" customWidth="1"/>
    <col min="3577" max="3577" width="11.453125" style="51" customWidth="1"/>
    <col min="3578" max="3578" width="28.1796875" style="51" customWidth="1"/>
    <col min="3579" max="3579" width="31.6328125" style="51" customWidth="1"/>
    <col min="3580" max="3581" width="0" style="51" hidden="1" customWidth="1"/>
    <col min="3582" max="3582" width="19.54296875" style="51" customWidth="1"/>
    <col min="3583" max="3583" width="13.54296875" style="51" customWidth="1"/>
    <col min="3584" max="3584" width="28.81640625" style="51" customWidth="1"/>
    <col min="3585" max="3585" width="16" style="51" customWidth="1"/>
    <col min="3586" max="3591" width="0" style="51" hidden="1" customWidth="1"/>
    <col min="3592" max="3828" width="9.1796875" style="51"/>
    <col min="3829" max="3829" width="0" style="51" hidden="1" customWidth="1"/>
    <col min="3830" max="3830" width="16.54296875" style="51" customWidth="1"/>
    <col min="3831" max="3831" width="0" style="51" hidden="1" customWidth="1"/>
    <col min="3832" max="3832" width="21" style="51" customWidth="1"/>
    <col min="3833" max="3833" width="11.453125" style="51" customWidth="1"/>
    <col min="3834" max="3834" width="28.1796875" style="51" customWidth="1"/>
    <col min="3835" max="3835" width="31.6328125" style="51" customWidth="1"/>
    <col min="3836" max="3837" width="0" style="51" hidden="1" customWidth="1"/>
    <col min="3838" max="3838" width="19.54296875" style="51" customWidth="1"/>
    <col min="3839" max="3839" width="13.54296875" style="51" customWidth="1"/>
    <col min="3840" max="3840" width="28.81640625" style="51" customWidth="1"/>
    <col min="3841" max="3841" width="16" style="51" customWidth="1"/>
    <col min="3842" max="3847" width="0" style="51" hidden="1" customWidth="1"/>
    <col min="3848" max="4084" width="9.1796875" style="51"/>
    <col min="4085" max="4085" width="0" style="51" hidden="1" customWidth="1"/>
    <col min="4086" max="4086" width="16.54296875" style="51" customWidth="1"/>
    <col min="4087" max="4087" width="0" style="51" hidden="1" customWidth="1"/>
    <col min="4088" max="4088" width="21" style="51" customWidth="1"/>
    <col min="4089" max="4089" width="11.453125" style="51" customWidth="1"/>
    <col min="4090" max="4090" width="28.1796875" style="51" customWidth="1"/>
    <col min="4091" max="4091" width="31.6328125" style="51" customWidth="1"/>
    <col min="4092" max="4093" width="0" style="51" hidden="1" customWidth="1"/>
    <col min="4094" max="4094" width="19.54296875" style="51" customWidth="1"/>
    <col min="4095" max="4095" width="13.54296875" style="51" customWidth="1"/>
    <col min="4096" max="4096" width="28.81640625" style="51" customWidth="1"/>
    <col min="4097" max="4097" width="16" style="51" customWidth="1"/>
    <col min="4098" max="4103" width="0" style="51" hidden="1" customWidth="1"/>
    <col min="4104" max="4340" width="9.1796875" style="51"/>
    <col min="4341" max="4341" width="0" style="51" hidden="1" customWidth="1"/>
    <col min="4342" max="4342" width="16.54296875" style="51" customWidth="1"/>
    <col min="4343" max="4343" width="0" style="51" hidden="1" customWidth="1"/>
    <col min="4344" max="4344" width="21" style="51" customWidth="1"/>
    <col min="4345" max="4345" width="11.453125" style="51" customWidth="1"/>
    <col min="4346" max="4346" width="28.1796875" style="51" customWidth="1"/>
    <col min="4347" max="4347" width="31.6328125" style="51" customWidth="1"/>
    <col min="4348" max="4349" width="0" style="51" hidden="1" customWidth="1"/>
    <col min="4350" max="4350" width="19.54296875" style="51" customWidth="1"/>
    <col min="4351" max="4351" width="13.54296875" style="51" customWidth="1"/>
    <col min="4352" max="4352" width="28.81640625" style="51" customWidth="1"/>
    <col min="4353" max="4353" width="16" style="51" customWidth="1"/>
    <col min="4354" max="4359" width="0" style="51" hidden="1" customWidth="1"/>
    <col min="4360" max="4596" width="9.1796875" style="51"/>
    <col min="4597" max="4597" width="0" style="51" hidden="1" customWidth="1"/>
    <col min="4598" max="4598" width="16.54296875" style="51" customWidth="1"/>
    <col min="4599" max="4599" width="0" style="51" hidden="1" customWidth="1"/>
    <col min="4600" max="4600" width="21" style="51" customWidth="1"/>
    <col min="4601" max="4601" width="11.453125" style="51" customWidth="1"/>
    <col min="4602" max="4602" width="28.1796875" style="51" customWidth="1"/>
    <col min="4603" max="4603" width="31.6328125" style="51" customWidth="1"/>
    <col min="4604" max="4605" width="0" style="51" hidden="1" customWidth="1"/>
    <col min="4606" max="4606" width="19.54296875" style="51" customWidth="1"/>
    <col min="4607" max="4607" width="13.54296875" style="51" customWidth="1"/>
    <col min="4608" max="4608" width="28.81640625" style="51" customWidth="1"/>
    <col min="4609" max="4609" width="16" style="51" customWidth="1"/>
    <col min="4610" max="4615" width="0" style="51" hidden="1" customWidth="1"/>
    <col min="4616" max="4852" width="9.1796875" style="51"/>
    <col min="4853" max="4853" width="0" style="51" hidden="1" customWidth="1"/>
    <col min="4854" max="4854" width="16.54296875" style="51" customWidth="1"/>
    <col min="4855" max="4855" width="0" style="51" hidden="1" customWidth="1"/>
    <col min="4856" max="4856" width="21" style="51" customWidth="1"/>
    <col min="4857" max="4857" width="11.453125" style="51" customWidth="1"/>
    <col min="4858" max="4858" width="28.1796875" style="51" customWidth="1"/>
    <col min="4859" max="4859" width="31.6328125" style="51" customWidth="1"/>
    <col min="4860" max="4861" width="0" style="51" hidden="1" customWidth="1"/>
    <col min="4862" max="4862" width="19.54296875" style="51" customWidth="1"/>
    <col min="4863" max="4863" width="13.54296875" style="51" customWidth="1"/>
    <col min="4864" max="4864" width="28.81640625" style="51" customWidth="1"/>
    <col min="4865" max="4865" width="16" style="51" customWidth="1"/>
    <col min="4866" max="4871" width="0" style="51" hidden="1" customWidth="1"/>
    <col min="4872" max="5108" width="9.1796875" style="51"/>
    <col min="5109" max="5109" width="0" style="51" hidden="1" customWidth="1"/>
    <col min="5110" max="5110" width="16.54296875" style="51" customWidth="1"/>
    <col min="5111" max="5111" width="0" style="51" hidden="1" customWidth="1"/>
    <col min="5112" max="5112" width="21" style="51" customWidth="1"/>
    <col min="5113" max="5113" width="11.453125" style="51" customWidth="1"/>
    <col min="5114" max="5114" width="28.1796875" style="51" customWidth="1"/>
    <col min="5115" max="5115" width="31.6328125" style="51" customWidth="1"/>
    <col min="5116" max="5117" width="0" style="51" hidden="1" customWidth="1"/>
    <col min="5118" max="5118" width="19.54296875" style="51" customWidth="1"/>
    <col min="5119" max="5119" width="13.54296875" style="51" customWidth="1"/>
    <col min="5120" max="5120" width="28.81640625" style="51" customWidth="1"/>
    <col min="5121" max="5121" width="16" style="51" customWidth="1"/>
    <col min="5122" max="5127" width="0" style="51" hidden="1" customWidth="1"/>
    <col min="5128" max="5364" width="9.1796875" style="51"/>
    <col min="5365" max="5365" width="0" style="51" hidden="1" customWidth="1"/>
    <col min="5366" max="5366" width="16.54296875" style="51" customWidth="1"/>
    <col min="5367" max="5367" width="0" style="51" hidden="1" customWidth="1"/>
    <col min="5368" max="5368" width="21" style="51" customWidth="1"/>
    <col min="5369" max="5369" width="11.453125" style="51" customWidth="1"/>
    <col min="5370" max="5370" width="28.1796875" style="51" customWidth="1"/>
    <col min="5371" max="5371" width="31.6328125" style="51" customWidth="1"/>
    <col min="5372" max="5373" width="0" style="51" hidden="1" customWidth="1"/>
    <col min="5374" max="5374" width="19.54296875" style="51" customWidth="1"/>
    <col min="5375" max="5375" width="13.54296875" style="51" customWidth="1"/>
    <col min="5376" max="5376" width="28.81640625" style="51" customWidth="1"/>
    <col min="5377" max="5377" width="16" style="51" customWidth="1"/>
    <col min="5378" max="5383" width="0" style="51" hidden="1" customWidth="1"/>
    <col min="5384" max="5620" width="9.1796875" style="51"/>
    <col min="5621" max="5621" width="0" style="51" hidden="1" customWidth="1"/>
    <col min="5622" max="5622" width="16.54296875" style="51" customWidth="1"/>
    <col min="5623" max="5623" width="0" style="51" hidden="1" customWidth="1"/>
    <col min="5624" max="5624" width="21" style="51" customWidth="1"/>
    <col min="5625" max="5625" width="11.453125" style="51" customWidth="1"/>
    <col min="5626" max="5626" width="28.1796875" style="51" customWidth="1"/>
    <col min="5627" max="5627" width="31.6328125" style="51" customWidth="1"/>
    <col min="5628" max="5629" width="0" style="51" hidden="1" customWidth="1"/>
    <col min="5630" max="5630" width="19.54296875" style="51" customWidth="1"/>
    <col min="5631" max="5631" width="13.54296875" style="51" customWidth="1"/>
    <col min="5632" max="5632" width="28.81640625" style="51" customWidth="1"/>
    <col min="5633" max="5633" width="16" style="51" customWidth="1"/>
    <col min="5634" max="5639" width="0" style="51" hidden="1" customWidth="1"/>
    <col min="5640" max="5876" width="9.1796875" style="51"/>
    <col min="5877" max="5877" width="0" style="51" hidden="1" customWidth="1"/>
    <col min="5878" max="5878" width="16.54296875" style="51" customWidth="1"/>
    <col min="5879" max="5879" width="0" style="51" hidden="1" customWidth="1"/>
    <col min="5880" max="5880" width="21" style="51" customWidth="1"/>
    <col min="5881" max="5881" width="11.453125" style="51" customWidth="1"/>
    <col min="5882" max="5882" width="28.1796875" style="51" customWidth="1"/>
    <col min="5883" max="5883" width="31.6328125" style="51" customWidth="1"/>
    <col min="5884" max="5885" width="0" style="51" hidden="1" customWidth="1"/>
    <col min="5886" max="5886" width="19.54296875" style="51" customWidth="1"/>
    <col min="5887" max="5887" width="13.54296875" style="51" customWidth="1"/>
    <col min="5888" max="5888" width="28.81640625" style="51" customWidth="1"/>
    <col min="5889" max="5889" width="16" style="51" customWidth="1"/>
    <col min="5890" max="5895" width="0" style="51" hidden="1" customWidth="1"/>
    <col min="5896" max="6132" width="9.1796875" style="51"/>
    <col min="6133" max="6133" width="0" style="51" hidden="1" customWidth="1"/>
    <col min="6134" max="6134" width="16.54296875" style="51" customWidth="1"/>
    <col min="6135" max="6135" width="0" style="51" hidden="1" customWidth="1"/>
    <col min="6136" max="6136" width="21" style="51" customWidth="1"/>
    <col min="6137" max="6137" width="11.453125" style="51" customWidth="1"/>
    <col min="6138" max="6138" width="28.1796875" style="51" customWidth="1"/>
    <col min="6139" max="6139" width="31.6328125" style="51" customWidth="1"/>
    <col min="6140" max="6141" width="0" style="51" hidden="1" customWidth="1"/>
    <col min="6142" max="6142" width="19.54296875" style="51" customWidth="1"/>
    <col min="6143" max="6143" width="13.54296875" style="51" customWidth="1"/>
    <col min="6144" max="6144" width="28.81640625" style="51" customWidth="1"/>
    <col min="6145" max="6145" width="16" style="51" customWidth="1"/>
    <col min="6146" max="6151" width="0" style="51" hidden="1" customWidth="1"/>
    <col min="6152" max="6388" width="9.1796875" style="51"/>
    <col min="6389" max="6389" width="0" style="51" hidden="1" customWidth="1"/>
    <col min="6390" max="6390" width="16.54296875" style="51" customWidth="1"/>
    <col min="6391" max="6391" width="0" style="51" hidden="1" customWidth="1"/>
    <col min="6392" max="6392" width="21" style="51" customWidth="1"/>
    <col min="6393" max="6393" width="11.453125" style="51" customWidth="1"/>
    <col min="6394" max="6394" width="28.1796875" style="51" customWidth="1"/>
    <col min="6395" max="6395" width="31.6328125" style="51" customWidth="1"/>
    <col min="6396" max="6397" width="0" style="51" hidden="1" customWidth="1"/>
    <col min="6398" max="6398" width="19.54296875" style="51" customWidth="1"/>
    <col min="6399" max="6399" width="13.54296875" style="51" customWidth="1"/>
    <col min="6400" max="6400" width="28.81640625" style="51" customWidth="1"/>
    <col min="6401" max="6401" width="16" style="51" customWidth="1"/>
    <col min="6402" max="6407" width="0" style="51" hidden="1" customWidth="1"/>
    <col min="6408" max="6644" width="9.1796875" style="51"/>
    <col min="6645" max="6645" width="0" style="51" hidden="1" customWidth="1"/>
    <col min="6646" max="6646" width="16.54296875" style="51" customWidth="1"/>
    <col min="6647" max="6647" width="0" style="51" hidden="1" customWidth="1"/>
    <col min="6648" max="6648" width="21" style="51" customWidth="1"/>
    <col min="6649" max="6649" width="11.453125" style="51" customWidth="1"/>
    <col min="6650" max="6650" width="28.1796875" style="51" customWidth="1"/>
    <col min="6651" max="6651" width="31.6328125" style="51" customWidth="1"/>
    <col min="6652" max="6653" width="0" style="51" hidden="1" customWidth="1"/>
    <col min="6654" max="6654" width="19.54296875" style="51" customWidth="1"/>
    <col min="6655" max="6655" width="13.54296875" style="51" customWidth="1"/>
    <col min="6656" max="6656" width="28.81640625" style="51" customWidth="1"/>
    <col min="6657" max="6657" width="16" style="51" customWidth="1"/>
    <col min="6658" max="6663" width="0" style="51" hidden="1" customWidth="1"/>
    <col min="6664" max="6900" width="9.1796875" style="51"/>
    <col min="6901" max="6901" width="0" style="51" hidden="1" customWidth="1"/>
    <col min="6902" max="6902" width="16.54296875" style="51" customWidth="1"/>
    <col min="6903" max="6903" width="0" style="51" hidden="1" customWidth="1"/>
    <col min="6904" max="6904" width="21" style="51" customWidth="1"/>
    <col min="6905" max="6905" width="11.453125" style="51" customWidth="1"/>
    <col min="6906" max="6906" width="28.1796875" style="51" customWidth="1"/>
    <col min="6907" max="6907" width="31.6328125" style="51" customWidth="1"/>
    <col min="6908" max="6909" width="0" style="51" hidden="1" customWidth="1"/>
    <col min="6910" max="6910" width="19.54296875" style="51" customWidth="1"/>
    <col min="6911" max="6911" width="13.54296875" style="51" customWidth="1"/>
    <col min="6912" max="6912" width="28.81640625" style="51" customWidth="1"/>
    <col min="6913" max="6913" width="16" style="51" customWidth="1"/>
    <col min="6914" max="6919" width="0" style="51" hidden="1" customWidth="1"/>
    <col min="6920" max="7156" width="9.1796875" style="51"/>
    <col min="7157" max="7157" width="0" style="51" hidden="1" customWidth="1"/>
    <col min="7158" max="7158" width="16.54296875" style="51" customWidth="1"/>
    <col min="7159" max="7159" width="0" style="51" hidden="1" customWidth="1"/>
    <col min="7160" max="7160" width="21" style="51" customWidth="1"/>
    <col min="7161" max="7161" width="11.453125" style="51" customWidth="1"/>
    <col min="7162" max="7162" width="28.1796875" style="51" customWidth="1"/>
    <col min="7163" max="7163" width="31.6328125" style="51" customWidth="1"/>
    <col min="7164" max="7165" width="0" style="51" hidden="1" customWidth="1"/>
    <col min="7166" max="7166" width="19.54296875" style="51" customWidth="1"/>
    <col min="7167" max="7167" width="13.54296875" style="51" customWidth="1"/>
    <col min="7168" max="7168" width="28.81640625" style="51" customWidth="1"/>
    <col min="7169" max="7169" width="16" style="51" customWidth="1"/>
    <col min="7170" max="7175" width="0" style="51" hidden="1" customWidth="1"/>
    <col min="7176" max="7412" width="9.1796875" style="51"/>
    <col min="7413" max="7413" width="0" style="51" hidden="1" customWidth="1"/>
    <col min="7414" max="7414" width="16.54296875" style="51" customWidth="1"/>
    <col min="7415" max="7415" width="0" style="51" hidden="1" customWidth="1"/>
    <col min="7416" max="7416" width="21" style="51" customWidth="1"/>
    <col min="7417" max="7417" width="11.453125" style="51" customWidth="1"/>
    <col min="7418" max="7418" width="28.1796875" style="51" customWidth="1"/>
    <col min="7419" max="7419" width="31.6328125" style="51" customWidth="1"/>
    <col min="7420" max="7421" width="0" style="51" hidden="1" customWidth="1"/>
    <col min="7422" max="7422" width="19.54296875" style="51" customWidth="1"/>
    <col min="7423" max="7423" width="13.54296875" style="51" customWidth="1"/>
    <col min="7424" max="7424" width="28.81640625" style="51" customWidth="1"/>
    <col min="7425" max="7425" width="16" style="51" customWidth="1"/>
    <col min="7426" max="7431" width="0" style="51" hidden="1" customWidth="1"/>
    <col min="7432" max="7668" width="9.1796875" style="51"/>
    <col min="7669" max="7669" width="0" style="51" hidden="1" customWidth="1"/>
    <col min="7670" max="7670" width="16.54296875" style="51" customWidth="1"/>
    <col min="7671" max="7671" width="0" style="51" hidden="1" customWidth="1"/>
    <col min="7672" max="7672" width="21" style="51" customWidth="1"/>
    <col min="7673" max="7673" width="11.453125" style="51" customWidth="1"/>
    <col min="7674" max="7674" width="28.1796875" style="51" customWidth="1"/>
    <col min="7675" max="7675" width="31.6328125" style="51" customWidth="1"/>
    <col min="7676" max="7677" width="0" style="51" hidden="1" customWidth="1"/>
    <col min="7678" max="7678" width="19.54296875" style="51" customWidth="1"/>
    <col min="7679" max="7679" width="13.54296875" style="51" customWidth="1"/>
    <col min="7680" max="7680" width="28.81640625" style="51" customWidth="1"/>
    <col min="7681" max="7681" width="16" style="51" customWidth="1"/>
    <col min="7682" max="7687" width="0" style="51" hidden="1" customWidth="1"/>
    <col min="7688" max="7924" width="9.1796875" style="51"/>
    <col min="7925" max="7925" width="0" style="51" hidden="1" customWidth="1"/>
    <col min="7926" max="7926" width="16.54296875" style="51" customWidth="1"/>
    <col min="7927" max="7927" width="0" style="51" hidden="1" customWidth="1"/>
    <col min="7928" max="7928" width="21" style="51" customWidth="1"/>
    <col min="7929" max="7929" width="11.453125" style="51" customWidth="1"/>
    <col min="7930" max="7930" width="28.1796875" style="51" customWidth="1"/>
    <col min="7931" max="7931" width="31.6328125" style="51" customWidth="1"/>
    <col min="7932" max="7933" width="0" style="51" hidden="1" customWidth="1"/>
    <col min="7934" max="7934" width="19.54296875" style="51" customWidth="1"/>
    <col min="7935" max="7935" width="13.54296875" style="51" customWidth="1"/>
    <col min="7936" max="7936" width="28.81640625" style="51" customWidth="1"/>
    <col min="7937" max="7937" width="16" style="51" customWidth="1"/>
    <col min="7938" max="7943" width="0" style="51" hidden="1" customWidth="1"/>
    <col min="7944" max="8180" width="9.1796875" style="51"/>
    <col min="8181" max="8181" width="0" style="51" hidden="1" customWidth="1"/>
    <col min="8182" max="8182" width="16.54296875" style="51" customWidth="1"/>
    <col min="8183" max="8183" width="0" style="51" hidden="1" customWidth="1"/>
    <col min="8184" max="8184" width="21" style="51" customWidth="1"/>
    <col min="8185" max="8185" width="11.453125" style="51" customWidth="1"/>
    <col min="8186" max="8186" width="28.1796875" style="51" customWidth="1"/>
    <col min="8187" max="8187" width="31.6328125" style="51" customWidth="1"/>
    <col min="8188" max="8189" width="0" style="51" hidden="1" customWidth="1"/>
    <col min="8190" max="8190" width="19.54296875" style="51" customWidth="1"/>
    <col min="8191" max="8191" width="13.54296875" style="51" customWidth="1"/>
    <col min="8192" max="8192" width="28.81640625" style="51" customWidth="1"/>
    <col min="8193" max="8193" width="16" style="51" customWidth="1"/>
    <col min="8194" max="8199" width="0" style="51" hidden="1" customWidth="1"/>
    <col min="8200" max="8436" width="9.1796875" style="51"/>
    <col min="8437" max="8437" width="0" style="51" hidden="1" customWidth="1"/>
    <col min="8438" max="8438" width="16.54296875" style="51" customWidth="1"/>
    <col min="8439" max="8439" width="0" style="51" hidden="1" customWidth="1"/>
    <col min="8440" max="8440" width="21" style="51" customWidth="1"/>
    <col min="8441" max="8441" width="11.453125" style="51" customWidth="1"/>
    <col min="8442" max="8442" width="28.1796875" style="51" customWidth="1"/>
    <col min="8443" max="8443" width="31.6328125" style="51" customWidth="1"/>
    <col min="8444" max="8445" width="0" style="51" hidden="1" customWidth="1"/>
    <col min="8446" max="8446" width="19.54296875" style="51" customWidth="1"/>
    <col min="8447" max="8447" width="13.54296875" style="51" customWidth="1"/>
    <col min="8448" max="8448" width="28.81640625" style="51" customWidth="1"/>
    <col min="8449" max="8449" width="16" style="51" customWidth="1"/>
    <col min="8450" max="8455" width="0" style="51" hidden="1" customWidth="1"/>
    <col min="8456" max="8692" width="9.1796875" style="51"/>
    <col min="8693" max="8693" width="0" style="51" hidden="1" customWidth="1"/>
    <col min="8694" max="8694" width="16.54296875" style="51" customWidth="1"/>
    <col min="8695" max="8695" width="0" style="51" hidden="1" customWidth="1"/>
    <col min="8696" max="8696" width="21" style="51" customWidth="1"/>
    <col min="8697" max="8697" width="11.453125" style="51" customWidth="1"/>
    <col min="8698" max="8698" width="28.1796875" style="51" customWidth="1"/>
    <col min="8699" max="8699" width="31.6328125" style="51" customWidth="1"/>
    <col min="8700" max="8701" width="0" style="51" hidden="1" customWidth="1"/>
    <col min="8702" max="8702" width="19.54296875" style="51" customWidth="1"/>
    <col min="8703" max="8703" width="13.54296875" style="51" customWidth="1"/>
    <col min="8704" max="8704" width="28.81640625" style="51" customWidth="1"/>
    <col min="8705" max="8705" width="16" style="51" customWidth="1"/>
    <col min="8706" max="8711" width="0" style="51" hidden="1" customWidth="1"/>
    <col min="8712" max="8948" width="9.1796875" style="51"/>
    <col min="8949" max="8949" width="0" style="51" hidden="1" customWidth="1"/>
    <col min="8950" max="8950" width="16.54296875" style="51" customWidth="1"/>
    <col min="8951" max="8951" width="0" style="51" hidden="1" customWidth="1"/>
    <col min="8952" max="8952" width="21" style="51" customWidth="1"/>
    <col min="8953" max="8953" width="11.453125" style="51" customWidth="1"/>
    <col min="8954" max="8954" width="28.1796875" style="51" customWidth="1"/>
    <col min="8955" max="8955" width="31.6328125" style="51" customWidth="1"/>
    <col min="8956" max="8957" width="0" style="51" hidden="1" customWidth="1"/>
    <col min="8958" max="8958" width="19.54296875" style="51" customWidth="1"/>
    <col min="8959" max="8959" width="13.54296875" style="51" customWidth="1"/>
    <col min="8960" max="8960" width="28.81640625" style="51" customWidth="1"/>
    <col min="8961" max="8961" width="16" style="51" customWidth="1"/>
    <col min="8962" max="8967" width="0" style="51" hidden="1" customWidth="1"/>
    <col min="8968" max="9204" width="9.1796875" style="51"/>
    <col min="9205" max="9205" width="0" style="51" hidden="1" customWidth="1"/>
    <col min="9206" max="9206" width="16.54296875" style="51" customWidth="1"/>
    <col min="9207" max="9207" width="0" style="51" hidden="1" customWidth="1"/>
    <col min="9208" max="9208" width="21" style="51" customWidth="1"/>
    <col min="9209" max="9209" width="11.453125" style="51" customWidth="1"/>
    <col min="9210" max="9210" width="28.1796875" style="51" customWidth="1"/>
    <col min="9211" max="9211" width="31.6328125" style="51" customWidth="1"/>
    <col min="9212" max="9213" width="0" style="51" hidden="1" customWidth="1"/>
    <col min="9214" max="9214" width="19.54296875" style="51" customWidth="1"/>
    <col min="9215" max="9215" width="13.54296875" style="51" customWidth="1"/>
    <col min="9216" max="9216" width="28.81640625" style="51" customWidth="1"/>
    <col min="9217" max="9217" width="16" style="51" customWidth="1"/>
    <col min="9218" max="9223" width="0" style="51" hidden="1" customWidth="1"/>
    <col min="9224" max="9460" width="9.1796875" style="51"/>
    <col min="9461" max="9461" width="0" style="51" hidden="1" customWidth="1"/>
    <col min="9462" max="9462" width="16.54296875" style="51" customWidth="1"/>
    <col min="9463" max="9463" width="0" style="51" hidden="1" customWidth="1"/>
    <col min="9464" max="9464" width="21" style="51" customWidth="1"/>
    <col min="9465" max="9465" width="11.453125" style="51" customWidth="1"/>
    <col min="9466" max="9466" width="28.1796875" style="51" customWidth="1"/>
    <col min="9467" max="9467" width="31.6328125" style="51" customWidth="1"/>
    <col min="9468" max="9469" width="0" style="51" hidden="1" customWidth="1"/>
    <col min="9470" max="9470" width="19.54296875" style="51" customWidth="1"/>
    <col min="9471" max="9471" width="13.54296875" style="51" customWidth="1"/>
    <col min="9472" max="9472" width="28.81640625" style="51" customWidth="1"/>
    <col min="9473" max="9473" width="16" style="51" customWidth="1"/>
    <col min="9474" max="9479" width="0" style="51" hidden="1" customWidth="1"/>
    <col min="9480" max="9716" width="9.1796875" style="51"/>
    <col min="9717" max="9717" width="0" style="51" hidden="1" customWidth="1"/>
    <col min="9718" max="9718" width="16.54296875" style="51" customWidth="1"/>
    <col min="9719" max="9719" width="0" style="51" hidden="1" customWidth="1"/>
    <col min="9720" max="9720" width="21" style="51" customWidth="1"/>
    <col min="9721" max="9721" width="11.453125" style="51" customWidth="1"/>
    <col min="9722" max="9722" width="28.1796875" style="51" customWidth="1"/>
    <col min="9723" max="9723" width="31.6328125" style="51" customWidth="1"/>
    <col min="9724" max="9725" width="0" style="51" hidden="1" customWidth="1"/>
    <col min="9726" max="9726" width="19.54296875" style="51" customWidth="1"/>
    <col min="9727" max="9727" width="13.54296875" style="51" customWidth="1"/>
    <col min="9728" max="9728" width="28.81640625" style="51" customWidth="1"/>
    <col min="9729" max="9729" width="16" style="51" customWidth="1"/>
    <col min="9730" max="9735" width="0" style="51" hidden="1" customWidth="1"/>
    <col min="9736" max="9972" width="9.1796875" style="51"/>
    <col min="9973" max="9973" width="0" style="51" hidden="1" customWidth="1"/>
    <col min="9974" max="9974" width="16.54296875" style="51" customWidth="1"/>
    <col min="9975" max="9975" width="0" style="51" hidden="1" customWidth="1"/>
    <col min="9976" max="9976" width="21" style="51" customWidth="1"/>
    <col min="9977" max="9977" width="11.453125" style="51" customWidth="1"/>
    <col min="9978" max="9978" width="28.1796875" style="51" customWidth="1"/>
    <col min="9979" max="9979" width="31.6328125" style="51" customWidth="1"/>
    <col min="9980" max="9981" width="0" style="51" hidden="1" customWidth="1"/>
    <col min="9982" max="9982" width="19.54296875" style="51" customWidth="1"/>
    <col min="9983" max="9983" width="13.54296875" style="51" customWidth="1"/>
    <col min="9984" max="9984" width="28.81640625" style="51" customWidth="1"/>
    <col min="9985" max="9985" width="16" style="51" customWidth="1"/>
    <col min="9986" max="9991" width="0" style="51" hidden="1" customWidth="1"/>
    <col min="9992" max="10228" width="9.1796875" style="51"/>
    <col min="10229" max="10229" width="0" style="51" hidden="1" customWidth="1"/>
    <col min="10230" max="10230" width="16.54296875" style="51" customWidth="1"/>
    <col min="10231" max="10231" width="0" style="51" hidden="1" customWidth="1"/>
    <col min="10232" max="10232" width="21" style="51" customWidth="1"/>
    <col min="10233" max="10233" width="11.453125" style="51" customWidth="1"/>
    <col min="10234" max="10234" width="28.1796875" style="51" customWidth="1"/>
    <col min="10235" max="10235" width="31.6328125" style="51" customWidth="1"/>
    <col min="10236" max="10237" width="0" style="51" hidden="1" customWidth="1"/>
    <col min="10238" max="10238" width="19.54296875" style="51" customWidth="1"/>
    <col min="10239" max="10239" width="13.54296875" style="51" customWidth="1"/>
    <col min="10240" max="10240" width="28.81640625" style="51" customWidth="1"/>
    <col min="10241" max="10241" width="16" style="51" customWidth="1"/>
    <col min="10242" max="10247" width="0" style="51" hidden="1" customWidth="1"/>
    <col min="10248" max="10484" width="9.1796875" style="51"/>
    <col min="10485" max="10485" width="0" style="51" hidden="1" customWidth="1"/>
    <col min="10486" max="10486" width="16.54296875" style="51" customWidth="1"/>
    <col min="10487" max="10487" width="0" style="51" hidden="1" customWidth="1"/>
    <col min="10488" max="10488" width="21" style="51" customWidth="1"/>
    <col min="10489" max="10489" width="11.453125" style="51" customWidth="1"/>
    <col min="10490" max="10490" width="28.1796875" style="51" customWidth="1"/>
    <col min="10491" max="10491" width="31.6328125" style="51" customWidth="1"/>
    <col min="10492" max="10493" width="0" style="51" hidden="1" customWidth="1"/>
    <col min="10494" max="10494" width="19.54296875" style="51" customWidth="1"/>
    <col min="10495" max="10495" width="13.54296875" style="51" customWidth="1"/>
    <col min="10496" max="10496" width="28.81640625" style="51" customWidth="1"/>
    <col min="10497" max="10497" width="16" style="51" customWidth="1"/>
    <col min="10498" max="10503" width="0" style="51" hidden="1" customWidth="1"/>
    <col min="10504" max="10740" width="9.1796875" style="51"/>
    <col min="10741" max="10741" width="0" style="51" hidden="1" customWidth="1"/>
    <col min="10742" max="10742" width="16.54296875" style="51" customWidth="1"/>
    <col min="10743" max="10743" width="0" style="51" hidden="1" customWidth="1"/>
    <col min="10744" max="10744" width="21" style="51" customWidth="1"/>
    <col min="10745" max="10745" width="11.453125" style="51" customWidth="1"/>
    <col min="10746" max="10746" width="28.1796875" style="51" customWidth="1"/>
    <col min="10747" max="10747" width="31.6328125" style="51" customWidth="1"/>
    <col min="10748" max="10749" width="0" style="51" hidden="1" customWidth="1"/>
    <col min="10750" max="10750" width="19.54296875" style="51" customWidth="1"/>
    <col min="10751" max="10751" width="13.54296875" style="51" customWidth="1"/>
    <col min="10752" max="10752" width="28.81640625" style="51" customWidth="1"/>
    <col min="10753" max="10753" width="16" style="51" customWidth="1"/>
    <col min="10754" max="10759" width="0" style="51" hidden="1" customWidth="1"/>
    <col min="10760" max="10996" width="9.1796875" style="51"/>
    <col min="10997" max="10997" width="0" style="51" hidden="1" customWidth="1"/>
    <col min="10998" max="10998" width="16.54296875" style="51" customWidth="1"/>
    <col min="10999" max="10999" width="0" style="51" hidden="1" customWidth="1"/>
    <col min="11000" max="11000" width="21" style="51" customWidth="1"/>
    <col min="11001" max="11001" width="11.453125" style="51" customWidth="1"/>
    <col min="11002" max="11002" width="28.1796875" style="51" customWidth="1"/>
    <col min="11003" max="11003" width="31.6328125" style="51" customWidth="1"/>
    <col min="11004" max="11005" width="0" style="51" hidden="1" customWidth="1"/>
    <col min="11006" max="11006" width="19.54296875" style="51" customWidth="1"/>
    <col min="11007" max="11007" width="13.54296875" style="51" customWidth="1"/>
    <col min="11008" max="11008" width="28.81640625" style="51" customWidth="1"/>
    <col min="11009" max="11009" width="16" style="51" customWidth="1"/>
    <col min="11010" max="11015" width="0" style="51" hidden="1" customWidth="1"/>
    <col min="11016" max="11252" width="9.1796875" style="51"/>
    <col min="11253" max="11253" width="0" style="51" hidden="1" customWidth="1"/>
    <col min="11254" max="11254" width="16.54296875" style="51" customWidth="1"/>
    <col min="11255" max="11255" width="0" style="51" hidden="1" customWidth="1"/>
    <col min="11256" max="11256" width="21" style="51" customWidth="1"/>
    <col min="11257" max="11257" width="11.453125" style="51" customWidth="1"/>
    <col min="11258" max="11258" width="28.1796875" style="51" customWidth="1"/>
    <col min="11259" max="11259" width="31.6328125" style="51" customWidth="1"/>
    <col min="11260" max="11261" width="0" style="51" hidden="1" customWidth="1"/>
    <col min="11262" max="11262" width="19.54296875" style="51" customWidth="1"/>
    <col min="11263" max="11263" width="13.54296875" style="51" customWidth="1"/>
    <col min="11264" max="11264" width="28.81640625" style="51" customWidth="1"/>
    <col min="11265" max="11265" width="16" style="51" customWidth="1"/>
    <col min="11266" max="11271" width="0" style="51" hidden="1" customWidth="1"/>
    <col min="11272" max="11508" width="9.1796875" style="51"/>
    <col min="11509" max="11509" width="0" style="51" hidden="1" customWidth="1"/>
    <col min="11510" max="11510" width="16.54296875" style="51" customWidth="1"/>
    <col min="11511" max="11511" width="0" style="51" hidden="1" customWidth="1"/>
    <col min="11512" max="11512" width="21" style="51" customWidth="1"/>
    <col min="11513" max="11513" width="11.453125" style="51" customWidth="1"/>
    <col min="11514" max="11514" width="28.1796875" style="51" customWidth="1"/>
    <col min="11515" max="11515" width="31.6328125" style="51" customWidth="1"/>
    <col min="11516" max="11517" width="0" style="51" hidden="1" customWidth="1"/>
    <col min="11518" max="11518" width="19.54296875" style="51" customWidth="1"/>
    <col min="11519" max="11519" width="13.54296875" style="51" customWidth="1"/>
    <col min="11520" max="11520" width="28.81640625" style="51" customWidth="1"/>
    <col min="11521" max="11521" width="16" style="51" customWidth="1"/>
    <col min="11522" max="11527" width="0" style="51" hidden="1" customWidth="1"/>
    <col min="11528" max="11764" width="9.1796875" style="51"/>
    <col min="11765" max="11765" width="0" style="51" hidden="1" customWidth="1"/>
    <col min="11766" max="11766" width="16.54296875" style="51" customWidth="1"/>
    <col min="11767" max="11767" width="0" style="51" hidden="1" customWidth="1"/>
    <col min="11768" max="11768" width="21" style="51" customWidth="1"/>
    <col min="11769" max="11769" width="11.453125" style="51" customWidth="1"/>
    <col min="11770" max="11770" width="28.1796875" style="51" customWidth="1"/>
    <col min="11771" max="11771" width="31.6328125" style="51" customWidth="1"/>
    <col min="11772" max="11773" width="0" style="51" hidden="1" customWidth="1"/>
    <col min="11774" max="11774" width="19.54296875" style="51" customWidth="1"/>
    <col min="11775" max="11775" width="13.54296875" style="51" customWidth="1"/>
    <col min="11776" max="11776" width="28.81640625" style="51" customWidth="1"/>
    <col min="11777" max="11777" width="16" style="51" customWidth="1"/>
    <col min="11778" max="11783" width="0" style="51" hidden="1" customWidth="1"/>
    <col min="11784" max="12020" width="9.1796875" style="51"/>
    <col min="12021" max="12021" width="0" style="51" hidden="1" customWidth="1"/>
    <col min="12022" max="12022" width="16.54296875" style="51" customWidth="1"/>
    <col min="12023" max="12023" width="0" style="51" hidden="1" customWidth="1"/>
    <col min="12024" max="12024" width="21" style="51" customWidth="1"/>
    <col min="12025" max="12025" width="11.453125" style="51" customWidth="1"/>
    <col min="12026" max="12026" width="28.1796875" style="51" customWidth="1"/>
    <col min="12027" max="12027" width="31.6328125" style="51" customWidth="1"/>
    <col min="12028" max="12029" width="0" style="51" hidden="1" customWidth="1"/>
    <col min="12030" max="12030" width="19.54296875" style="51" customWidth="1"/>
    <col min="12031" max="12031" width="13.54296875" style="51" customWidth="1"/>
    <col min="12032" max="12032" width="28.81640625" style="51" customWidth="1"/>
    <col min="12033" max="12033" width="16" style="51" customWidth="1"/>
    <col min="12034" max="12039" width="0" style="51" hidden="1" customWidth="1"/>
    <col min="12040" max="12276" width="9.1796875" style="51"/>
    <col min="12277" max="12277" width="0" style="51" hidden="1" customWidth="1"/>
    <col min="12278" max="12278" width="16.54296875" style="51" customWidth="1"/>
    <col min="12279" max="12279" width="0" style="51" hidden="1" customWidth="1"/>
    <col min="12280" max="12280" width="21" style="51" customWidth="1"/>
    <col min="12281" max="12281" width="11.453125" style="51" customWidth="1"/>
    <col min="12282" max="12282" width="28.1796875" style="51" customWidth="1"/>
    <col min="12283" max="12283" width="31.6328125" style="51" customWidth="1"/>
    <col min="12284" max="12285" width="0" style="51" hidden="1" customWidth="1"/>
    <col min="12286" max="12286" width="19.54296875" style="51" customWidth="1"/>
    <col min="12287" max="12287" width="13.54296875" style="51" customWidth="1"/>
    <col min="12288" max="12288" width="28.81640625" style="51" customWidth="1"/>
    <col min="12289" max="12289" width="16" style="51" customWidth="1"/>
    <col min="12290" max="12295" width="0" style="51" hidden="1" customWidth="1"/>
    <col min="12296" max="12532" width="9.1796875" style="51"/>
    <col min="12533" max="12533" width="0" style="51" hidden="1" customWidth="1"/>
    <col min="12534" max="12534" width="16.54296875" style="51" customWidth="1"/>
    <col min="12535" max="12535" width="0" style="51" hidden="1" customWidth="1"/>
    <col min="12536" max="12536" width="21" style="51" customWidth="1"/>
    <col min="12537" max="12537" width="11.453125" style="51" customWidth="1"/>
    <col min="12538" max="12538" width="28.1796875" style="51" customWidth="1"/>
    <col min="12539" max="12539" width="31.6328125" style="51" customWidth="1"/>
    <col min="12540" max="12541" width="0" style="51" hidden="1" customWidth="1"/>
    <col min="12542" max="12542" width="19.54296875" style="51" customWidth="1"/>
    <col min="12543" max="12543" width="13.54296875" style="51" customWidth="1"/>
    <col min="12544" max="12544" width="28.81640625" style="51" customWidth="1"/>
    <col min="12545" max="12545" width="16" style="51" customWidth="1"/>
    <col min="12546" max="12551" width="0" style="51" hidden="1" customWidth="1"/>
    <col min="12552" max="12788" width="9.1796875" style="51"/>
    <col min="12789" max="12789" width="0" style="51" hidden="1" customWidth="1"/>
    <col min="12790" max="12790" width="16.54296875" style="51" customWidth="1"/>
    <col min="12791" max="12791" width="0" style="51" hidden="1" customWidth="1"/>
    <col min="12792" max="12792" width="21" style="51" customWidth="1"/>
    <col min="12793" max="12793" width="11.453125" style="51" customWidth="1"/>
    <col min="12794" max="12794" width="28.1796875" style="51" customWidth="1"/>
    <col min="12795" max="12795" width="31.6328125" style="51" customWidth="1"/>
    <col min="12796" max="12797" width="0" style="51" hidden="1" customWidth="1"/>
    <col min="12798" max="12798" width="19.54296875" style="51" customWidth="1"/>
    <col min="12799" max="12799" width="13.54296875" style="51" customWidth="1"/>
    <col min="12800" max="12800" width="28.81640625" style="51" customWidth="1"/>
    <col min="12801" max="12801" width="16" style="51" customWidth="1"/>
    <col min="12802" max="12807" width="0" style="51" hidden="1" customWidth="1"/>
    <col min="12808" max="13044" width="9.1796875" style="51"/>
    <col min="13045" max="13045" width="0" style="51" hidden="1" customWidth="1"/>
    <col min="13046" max="13046" width="16.54296875" style="51" customWidth="1"/>
    <col min="13047" max="13047" width="0" style="51" hidden="1" customWidth="1"/>
    <col min="13048" max="13048" width="21" style="51" customWidth="1"/>
    <col min="13049" max="13049" width="11.453125" style="51" customWidth="1"/>
    <col min="13050" max="13050" width="28.1796875" style="51" customWidth="1"/>
    <col min="13051" max="13051" width="31.6328125" style="51" customWidth="1"/>
    <col min="13052" max="13053" width="0" style="51" hidden="1" customWidth="1"/>
    <col min="13054" max="13054" width="19.54296875" style="51" customWidth="1"/>
    <col min="13055" max="13055" width="13.54296875" style="51" customWidth="1"/>
    <col min="13056" max="13056" width="28.81640625" style="51" customWidth="1"/>
    <col min="13057" max="13057" width="16" style="51" customWidth="1"/>
    <col min="13058" max="13063" width="0" style="51" hidden="1" customWidth="1"/>
    <col min="13064" max="13300" width="9.1796875" style="51"/>
    <col min="13301" max="13301" width="0" style="51" hidden="1" customWidth="1"/>
    <col min="13302" max="13302" width="16.54296875" style="51" customWidth="1"/>
    <col min="13303" max="13303" width="0" style="51" hidden="1" customWidth="1"/>
    <col min="13304" max="13304" width="21" style="51" customWidth="1"/>
    <col min="13305" max="13305" width="11.453125" style="51" customWidth="1"/>
    <col min="13306" max="13306" width="28.1796875" style="51" customWidth="1"/>
    <col min="13307" max="13307" width="31.6328125" style="51" customWidth="1"/>
    <col min="13308" max="13309" width="0" style="51" hidden="1" customWidth="1"/>
    <col min="13310" max="13310" width="19.54296875" style="51" customWidth="1"/>
    <col min="13311" max="13311" width="13.54296875" style="51" customWidth="1"/>
    <col min="13312" max="13312" width="28.81640625" style="51" customWidth="1"/>
    <col min="13313" max="13313" width="16" style="51" customWidth="1"/>
    <col min="13314" max="13319" width="0" style="51" hidden="1" customWidth="1"/>
    <col min="13320" max="13556" width="9.1796875" style="51"/>
    <col min="13557" max="13557" width="0" style="51" hidden="1" customWidth="1"/>
    <col min="13558" max="13558" width="16.54296875" style="51" customWidth="1"/>
    <col min="13559" max="13559" width="0" style="51" hidden="1" customWidth="1"/>
    <col min="13560" max="13560" width="21" style="51" customWidth="1"/>
    <col min="13561" max="13561" width="11.453125" style="51" customWidth="1"/>
    <col min="13562" max="13562" width="28.1796875" style="51" customWidth="1"/>
    <col min="13563" max="13563" width="31.6328125" style="51" customWidth="1"/>
    <col min="13564" max="13565" width="0" style="51" hidden="1" customWidth="1"/>
    <col min="13566" max="13566" width="19.54296875" style="51" customWidth="1"/>
    <col min="13567" max="13567" width="13.54296875" style="51" customWidth="1"/>
    <col min="13568" max="13568" width="28.81640625" style="51" customWidth="1"/>
    <col min="13569" max="13569" width="16" style="51" customWidth="1"/>
    <col min="13570" max="13575" width="0" style="51" hidden="1" customWidth="1"/>
    <col min="13576" max="13812" width="9.1796875" style="51"/>
    <col min="13813" max="13813" width="0" style="51" hidden="1" customWidth="1"/>
    <col min="13814" max="13814" width="16.54296875" style="51" customWidth="1"/>
    <col min="13815" max="13815" width="0" style="51" hidden="1" customWidth="1"/>
    <col min="13816" max="13816" width="21" style="51" customWidth="1"/>
    <col min="13817" max="13817" width="11.453125" style="51" customWidth="1"/>
    <col min="13818" max="13818" width="28.1796875" style="51" customWidth="1"/>
    <col min="13819" max="13819" width="31.6328125" style="51" customWidth="1"/>
    <col min="13820" max="13821" width="0" style="51" hidden="1" customWidth="1"/>
    <col min="13822" max="13822" width="19.54296875" style="51" customWidth="1"/>
    <col min="13823" max="13823" width="13.54296875" style="51" customWidth="1"/>
    <col min="13824" max="13824" width="28.81640625" style="51" customWidth="1"/>
    <col min="13825" max="13825" width="16" style="51" customWidth="1"/>
    <col min="13826" max="13831" width="0" style="51" hidden="1" customWidth="1"/>
    <col min="13832" max="14068" width="9.1796875" style="51"/>
    <col min="14069" max="14069" width="0" style="51" hidden="1" customWidth="1"/>
    <col min="14070" max="14070" width="16.54296875" style="51" customWidth="1"/>
    <col min="14071" max="14071" width="0" style="51" hidden="1" customWidth="1"/>
    <col min="14072" max="14072" width="21" style="51" customWidth="1"/>
    <col min="14073" max="14073" width="11.453125" style="51" customWidth="1"/>
    <col min="14074" max="14074" width="28.1796875" style="51" customWidth="1"/>
    <col min="14075" max="14075" width="31.6328125" style="51" customWidth="1"/>
    <col min="14076" max="14077" width="0" style="51" hidden="1" customWidth="1"/>
    <col min="14078" max="14078" width="19.54296875" style="51" customWidth="1"/>
    <col min="14079" max="14079" width="13.54296875" style="51" customWidth="1"/>
    <col min="14080" max="14080" width="28.81640625" style="51" customWidth="1"/>
    <col min="14081" max="14081" width="16" style="51" customWidth="1"/>
    <col min="14082" max="14087" width="0" style="51" hidden="1" customWidth="1"/>
    <col min="14088" max="14324" width="9.1796875" style="51"/>
    <col min="14325" max="14325" width="0" style="51" hidden="1" customWidth="1"/>
    <col min="14326" max="14326" width="16.54296875" style="51" customWidth="1"/>
    <col min="14327" max="14327" width="0" style="51" hidden="1" customWidth="1"/>
    <col min="14328" max="14328" width="21" style="51" customWidth="1"/>
    <col min="14329" max="14329" width="11.453125" style="51" customWidth="1"/>
    <col min="14330" max="14330" width="28.1796875" style="51" customWidth="1"/>
    <col min="14331" max="14331" width="31.6328125" style="51" customWidth="1"/>
    <col min="14332" max="14333" width="0" style="51" hidden="1" customWidth="1"/>
    <col min="14334" max="14334" width="19.54296875" style="51" customWidth="1"/>
    <col min="14335" max="14335" width="13.54296875" style="51" customWidth="1"/>
    <col min="14336" max="14336" width="28.81640625" style="51" customWidth="1"/>
    <col min="14337" max="14337" width="16" style="51" customWidth="1"/>
    <col min="14338" max="14343" width="0" style="51" hidden="1" customWidth="1"/>
    <col min="14344" max="14580" width="9.1796875" style="51"/>
    <col min="14581" max="14581" width="0" style="51" hidden="1" customWidth="1"/>
    <col min="14582" max="14582" width="16.54296875" style="51" customWidth="1"/>
    <col min="14583" max="14583" width="0" style="51" hidden="1" customWidth="1"/>
    <col min="14584" max="14584" width="21" style="51" customWidth="1"/>
    <col min="14585" max="14585" width="11.453125" style="51" customWidth="1"/>
    <col min="14586" max="14586" width="28.1796875" style="51" customWidth="1"/>
    <col min="14587" max="14587" width="31.6328125" style="51" customWidth="1"/>
    <col min="14588" max="14589" width="0" style="51" hidden="1" customWidth="1"/>
    <col min="14590" max="14590" width="19.54296875" style="51" customWidth="1"/>
    <col min="14591" max="14591" width="13.54296875" style="51" customWidth="1"/>
    <col min="14592" max="14592" width="28.81640625" style="51" customWidth="1"/>
    <col min="14593" max="14593" width="16" style="51" customWidth="1"/>
    <col min="14594" max="14599" width="0" style="51" hidden="1" customWidth="1"/>
    <col min="14600" max="14836" width="9.1796875" style="51"/>
    <col min="14837" max="14837" width="0" style="51" hidden="1" customWidth="1"/>
    <col min="14838" max="14838" width="16.54296875" style="51" customWidth="1"/>
    <col min="14839" max="14839" width="0" style="51" hidden="1" customWidth="1"/>
    <col min="14840" max="14840" width="21" style="51" customWidth="1"/>
    <col min="14841" max="14841" width="11.453125" style="51" customWidth="1"/>
    <col min="14842" max="14842" width="28.1796875" style="51" customWidth="1"/>
    <col min="14843" max="14843" width="31.6328125" style="51" customWidth="1"/>
    <col min="14844" max="14845" width="0" style="51" hidden="1" customWidth="1"/>
    <col min="14846" max="14846" width="19.54296875" style="51" customWidth="1"/>
    <col min="14847" max="14847" width="13.54296875" style="51" customWidth="1"/>
    <col min="14848" max="14848" width="28.81640625" style="51" customWidth="1"/>
    <col min="14849" max="14849" width="16" style="51" customWidth="1"/>
    <col min="14850" max="14855" width="0" style="51" hidden="1" customWidth="1"/>
    <col min="14856" max="15092" width="9.1796875" style="51"/>
    <col min="15093" max="15093" width="0" style="51" hidden="1" customWidth="1"/>
    <col min="15094" max="15094" width="16.54296875" style="51" customWidth="1"/>
    <col min="15095" max="15095" width="0" style="51" hidden="1" customWidth="1"/>
    <col min="15096" max="15096" width="21" style="51" customWidth="1"/>
    <col min="15097" max="15097" width="11.453125" style="51" customWidth="1"/>
    <col min="15098" max="15098" width="28.1796875" style="51" customWidth="1"/>
    <col min="15099" max="15099" width="31.6328125" style="51" customWidth="1"/>
    <col min="15100" max="15101" width="0" style="51" hidden="1" customWidth="1"/>
    <col min="15102" max="15102" width="19.54296875" style="51" customWidth="1"/>
    <col min="15103" max="15103" width="13.54296875" style="51" customWidth="1"/>
    <col min="15104" max="15104" width="28.81640625" style="51" customWidth="1"/>
    <col min="15105" max="15105" width="16" style="51" customWidth="1"/>
    <col min="15106" max="15111" width="0" style="51" hidden="1" customWidth="1"/>
    <col min="15112" max="15348" width="9.1796875" style="51"/>
    <col min="15349" max="15349" width="0" style="51" hidden="1" customWidth="1"/>
    <col min="15350" max="15350" width="16.54296875" style="51" customWidth="1"/>
    <col min="15351" max="15351" width="0" style="51" hidden="1" customWidth="1"/>
    <col min="15352" max="15352" width="21" style="51" customWidth="1"/>
    <col min="15353" max="15353" width="11.453125" style="51" customWidth="1"/>
    <col min="15354" max="15354" width="28.1796875" style="51" customWidth="1"/>
    <col min="15355" max="15355" width="31.6328125" style="51" customWidth="1"/>
    <col min="15356" max="15357" width="0" style="51" hidden="1" customWidth="1"/>
    <col min="15358" max="15358" width="19.54296875" style="51" customWidth="1"/>
    <col min="15359" max="15359" width="13.54296875" style="51" customWidth="1"/>
    <col min="15360" max="15360" width="28.81640625" style="51" customWidth="1"/>
    <col min="15361" max="15361" width="16" style="51" customWidth="1"/>
    <col min="15362" max="15367" width="0" style="51" hidden="1" customWidth="1"/>
    <col min="15368" max="15604" width="9.1796875" style="51"/>
    <col min="15605" max="15605" width="0" style="51" hidden="1" customWidth="1"/>
    <col min="15606" max="15606" width="16.54296875" style="51" customWidth="1"/>
    <col min="15607" max="15607" width="0" style="51" hidden="1" customWidth="1"/>
    <col min="15608" max="15608" width="21" style="51" customWidth="1"/>
    <col min="15609" max="15609" width="11.453125" style="51" customWidth="1"/>
    <col min="15610" max="15610" width="28.1796875" style="51" customWidth="1"/>
    <col min="15611" max="15611" width="31.6328125" style="51" customWidth="1"/>
    <col min="15612" max="15613" width="0" style="51" hidden="1" customWidth="1"/>
    <col min="15614" max="15614" width="19.54296875" style="51" customWidth="1"/>
    <col min="15615" max="15615" width="13.54296875" style="51" customWidth="1"/>
    <col min="15616" max="15616" width="28.81640625" style="51" customWidth="1"/>
    <col min="15617" max="15617" width="16" style="51" customWidth="1"/>
    <col min="15618" max="15623" width="0" style="51" hidden="1" customWidth="1"/>
    <col min="15624" max="15860" width="9.1796875" style="51"/>
    <col min="15861" max="15861" width="0" style="51" hidden="1" customWidth="1"/>
    <col min="15862" max="15862" width="16.54296875" style="51" customWidth="1"/>
    <col min="15863" max="15863" width="0" style="51" hidden="1" customWidth="1"/>
    <col min="15864" max="15864" width="21" style="51" customWidth="1"/>
    <col min="15865" max="15865" width="11.453125" style="51" customWidth="1"/>
    <col min="15866" max="15866" width="28.1796875" style="51" customWidth="1"/>
    <col min="15867" max="15867" width="31.6328125" style="51" customWidth="1"/>
    <col min="15868" max="15869" width="0" style="51" hidden="1" customWidth="1"/>
    <col min="15870" max="15870" width="19.54296875" style="51" customWidth="1"/>
    <col min="15871" max="15871" width="13.54296875" style="51" customWidth="1"/>
    <col min="15872" max="15872" width="28.81640625" style="51" customWidth="1"/>
    <col min="15873" max="15873" width="16" style="51" customWidth="1"/>
    <col min="15874" max="15879" width="0" style="51" hidden="1" customWidth="1"/>
    <col min="15880" max="16116" width="9.1796875" style="51"/>
    <col min="16117" max="16117" width="0" style="51" hidden="1" customWidth="1"/>
    <col min="16118" max="16118" width="16.54296875" style="51" customWidth="1"/>
    <col min="16119" max="16119" width="0" style="51" hidden="1" customWidth="1"/>
    <col min="16120" max="16120" width="21" style="51" customWidth="1"/>
    <col min="16121" max="16121" width="11.453125" style="51" customWidth="1"/>
    <col min="16122" max="16122" width="28.1796875" style="51" customWidth="1"/>
    <col min="16123" max="16123" width="31.6328125" style="51" customWidth="1"/>
    <col min="16124" max="16125" width="0" style="51" hidden="1" customWidth="1"/>
    <col min="16126" max="16126" width="19.54296875" style="51" customWidth="1"/>
    <col min="16127" max="16127" width="13.54296875" style="51" customWidth="1"/>
    <col min="16128" max="16128" width="28.81640625" style="51" customWidth="1"/>
    <col min="16129" max="16129" width="16" style="51" customWidth="1"/>
    <col min="16130" max="16135" width="0" style="51" hidden="1" customWidth="1"/>
    <col min="16136" max="16384" width="9.1796875" style="51"/>
  </cols>
  <sheetData>
    <row r="1" spans="1:33" ht="14">
      <c r="A1" s="48" t="s">
        <v>610</v>
      </c>
      <c r="B1" s="49"/>
      <c r="C1" s="50"/>
      <c r="D1" s="50"/>
      <c r="E1" s="50"/>
    </row>
    <row r="3" spans="1:33" ht="13.5" thickBot="1">
      <c r="A3" s="53" t="s">
        <v>611</v>
      </c>
    </row>
    <row r="4" spans="1:33" ht="25" customHeight="1" thickBot="1">
      <c r="A4" s="56" t="s">
        <v>0</v>
      </c>
      <c r="B4" s="56" t="s">
        <v>612</v>
      </c>
      <c r="C4" s="57" t="s">
        <v>613</v>
      </c>
      <c r="D4" s="58" t="s">
        <v>614</v>
      </c>
      <c r="E4" s="58" t="s">
        <v>615</v>
      </c>
      <c r="F4" s="59" t="s">
        <v>616</v>
      </c>
      <c r="G4" s="325" t="s">
        <v>617</v>
      </c>
      <c r="H4" s="326"/>
      <c r="I4" s="326"/>
      <c r="J4" s="326"/>
      <c r="K4" s="326"/>
      <c r="L4" s="326"/>
      <c r="M4" s="326"/>
      <c r="N4" s="326"/>
      <c r="O4" s="326"/>
      <c r="P4" s="326"/>
      <c r="Q4" s="326"/>
      <c r="R4" s="327"/>
      <c r="S4" s="60" t="s">
        <v>618</v>
      </c>
      <c r="T4" s="328" t="s">
        <v>619</v>
      </c>
      <c r="U4" s="329"/>
      <c r="V4" s="329"/>
      <c r="W4" s="329"/>
      <c r="X4" s="329"/>
      <c r="Y4" s="329"/>
      <c r="Z4" s="329"/>
      <c r="AA4" s="329"/>
      <c r="AB4" s="329"/>
      <c r="AC4" s="329"/>
      <c r="AD4" s="61" t="s">
        <v>620</v>
      </c>
      <c r="AE4" s="330" t="s">
        <v>621</v>
      </c>
      <c r="AF4" s="331"/>
    </row>
    <row r="5" spans="1:33" ht="25" customHeight="1" thickBot="1">
      <c r="A5" s="62"/>
      <c r="B5" s="62"/>
      <c r="C5" s="63"/>
      <c r="D5" s="64"/>
      <c r="E5" s="64"/>
      <c r="F5" s="65" t="s">
        <v>622</v>
      </c>
      <c r="G5" s="66">
        <v>1</v>
      </c>
      <c r="H5" s="67">
        <v>2</v>
      </c>
      <c r="I5" s="67">
        <v>3</v>
      </c>
      <c r="J5" s="67">
        <v>4</v>
      </c>
      <c r="K5" s="67">
        <v>5</v>
      </c>
      <c r="L5" s="67">
        <v>6</v>
      </c>
      <c r="M5" s="67">
        <v>7</v>
      </c>
      <c r="N5" s="67">
        <v>8</v>
      </c>
      <c r="O5" s="67">
        <v>9</v>
      </c>
      <c r="P5" s="67">
        <v>10</v>
      </c>
      <c r="Q5" s="68">
        <v>11</v>
      </c>
      <c r="R5" s="69">
        <v>12</v>
      </c>
      <c r="S5" s="70" t="s">
        <v>622</v>
      </c>
      <c r="T5" s="71">
        <v>1</v>
      </c>
      <c r="U5" s="72">
        <v>2</v>
      </c>
      <c r="V5" s="72">
        <v>3</v>
      </c>
      <c r="W5" s="72">
        <v>4</v>
      </c>
      <c r="X5" s="72">
        <v>5</v>
      </c>
      <c r="Y5" s="72">
        <v>6</v>
      </c>
      <c r="Z5" s="72">
        <v>7</v>
      </c>
      <c r="AA5" s="72">
        <v>8</v>
      </c>
      <c r="AB5" s="72">
        <v>9</v>
      </c>
      <c r="AC5" s="73">
        <v>10</v>
      </c>
      <c r="AD5" s="74" t="s">
        <v>623</v>
      </c>
      <c r="AE5" s="75" t="s">
        <v>521</v>
      </c>
      <c r="AF5" s="75" t="s">
        <v>522</v>
      </c>
    </row>
    <row r="6" spans="1:33" s="55" customFormat="1" ht="16.5" customHeight="1">
      <c r="A6" s="76" t="s">
        <v>624</v>
      </c>
      <c r="B6" s="77" t="s">
        <v>625</v>
      </c>
      <c r="C6" s="78" t="s">
        <v>1</v>
      </c>
      <c r="D6" s="79" t="s">
        <v>2</v>
      </c>
      <c r="E6" s="80" t="s">
        <v>626</v>
      </c>
      <c r="F6" s="81"/>
      <c r="G6" s="82"/>
      <c r="H6" s="82"/>
      <c r="I6" s="82"/>
      <c r="J6" s="82"/>
      <c r="K6" s="82"/>
      <c r="L6" s="82"/>
      <c r="M6" s="82"/>
      <c r="N6" s="82"/>
      <c r="O6" s="82"/>
      <c r="P6" s="82"/>
      <c r="Q6" s="82"/>
      <c r="R6" s="82"/>
      <c r="S6" s="83"/>
      <c r="T6" s="82"/>
      <c r="U6" s="82"/>
      <c r="V6" s="82"/>
      <c r="W6" s="82"/>
      <c r="X6" s="82"/>
      <c r="Y6" s="82"/>
      <c r="Z6" s="82"/>
      <c r="AA6" s="82"/>
      <c r="AB6" s="82"/>
      <c r="AC6" s="84"/>
      <c r="AD6" s="85"/>
      <c r="AE6" s="86" t="s">
        <v>557</v>
      </c>
      <c r="AF6" s="87"/>
      <c r="AG6" s="55" t="str">
        <f>VLOOKUP(C6,'Safety-Plant'!B:B,1,FALSE)</f>
        <v>FC139</v>
      </c>
    </row>
    <row r="7" spans="1:33" s="100" customFormat="1" ht="16.5" customHeight="1">
      <c r="A7" s="88" t="s">
        <v>624</v>
      </c>
      <c r="B7" s="89" t="s">
        <v>627</v>
      </c>
      <c r="C7" s="90" t="s">
        <v>3</v>
      </c>
      <c r="D7" s="91" t="s">
        <v>4</v>
      </c>
      <c r="E7" s="92" t="s">
        <v>628</v>
      </c>
      <c r="F7" s="93"/>
      <c r="G7" s="94"/>
      <c r="H7" s="95"/>
      <c r="I7" s="95"/>
      <c r="J7" s="95"/>
      <c r="K7" s="95"/>
      <c r="L7" s="95"/>
      <c r="M7" s="95"/>
      <c r="N7" s="95"/>
      <c r="O7" s="95"/>
      <c r="P7" s="95"/>
      <c r="Q7" s="95"/>
      <c r="R7" s="95"/>
      <c r="S7" s="96"/>
      <c r="T7" s="95"/>
      <c r="U7" s="95"/>
      <c r="V7" s="95"/>
      <c r="W7" s="95"/>
      <c r="X7" s="95"/>
      <c r="Y7" s="95"/>
      <c r="Z7" s="95"/>
      <c r="AA7" s="95"/>
      <c r="AB7" s="95"/>
      <c r="AC7" s="97"/>
      <c r="AD7" s="85"/>
      <c r="AE7" s="98" t="s">
        <v>559</v>
      </c>
      <c r="AF7" s="99"/>
      <c r="AG7" s="55" t="str">
        <f>VLOOKUP(C7,'Safety-Plant'!B:B,1,FALSE)</f>
        <v>31EF</v>
      </c>
    </row>
    <row r="8" spans="1:33" s="100" customFormat="1" ht="16.5" customHeight="1">
      <c r="A8" s="88" t="s">
        <v>624</v>
      </c>
      <c r="B8" s="101" t="s">
        <v>629</v>
      </c>
      <c r="C8" s="90" t="s">
        <v>5</v>
      </c>
      <c r="D8" s="102" t="s">
        <v>6</v>
      </c>
      <c r="E8" s="103" t="s">
        <v>630</v>
      </c>
      <c r="F8" s="93"/>
      <c r="G8" s="95"/>
      <c r="H8" s="95"/>
      <c r="I8" s="95"/>
      <c r="J8" s="95"/>
      <c r="K8" s="95"/>
      <c r="L8" s="95"/>
      <c r="M8" s="95"/>
      <c r="N8" s="95"/>
      <c r="O8" s="95"/>
      <c r="P8" s="95"/>
      <c r="Q8" s="95"/>
      <c r="R8" s="95"/>
      <c r="S8" s="96"/>
      <c r="T8" s="95"/>
      <c r="U8" s="95"/>
      <c r="V8" s="95"/>
      <c r="W8" s="95"/>
      <c r="X8" s="95"/>
      <c r="Y8" s="95"/>
      <c r="Z8" s="95"/>
      <c r="AA8" s="95"/>
      <c r="AB8" s="95"/>
      <c r="AC8" s="97"/>
      <c r="AD8" s="85"/>
      <c r="AE8" s="86" t="s">
        <v>560</v>
      </c>
      <c r="AF8" s="99"/>
      <c r="AG8" s="55" t="str">
        <f>VLOOKUP(C8,'Safety-Plant'!B:B,1,FALSE)</f>
        <v>31EC</v>
      </c>
    </row>
    <row r="9" spans="1:33" s="55" customFormat="1" ht="16.5" customHeight="1" thickBot="1">
      <c r="A9" s="104" t="s">
        <v>624</v>
      </c>
      <c r="B9" s="105"/>
      <c r="C9" s="106" t="s">
        <v>7</v>
      </c>
      <c r="D9" s="107" t="s">
        <v>8</v>
      </c>
      <c r="E9" s="108" t="s">
        <v>631</v>
      </c>
      <c r="F9" s="109"/>
      <c r="G9" s="110"/>
      <c r="H9" s="110"/>
      <c r="I9" s="110"/>
      <c r="J9" s="110"/>
      <c r="K9" s="110"/>
      <c r="L9" s="110"/>
      <c r="M9" s="110"/>
      <c r="N9" s="110"/>
      <c r="O9" s="110"/>
      <c r="P9" s="110"/>
      <c r="Q9" s="110"/>
      <c r="R9" s="110"/>
      <c r="S9" s="111"/>
      <c r="T9" s="110"/>
      <c r="U9" s="110"/>
      <c r="V9" s="110"/>
      <c r="W9" s="110"/>
      <c r="X9" s="110"/>
      <c r="Y9" s="110"/>
      <c r="Z9" s="110"/>
      <c r="AA9" s="110"/>
      <c r="AB9" s="110"/>
      <c r="AC9" s="112"/>
      <c r="AD9" s="113"/>
      <c r="AE9" s="114" t="s">
        <v>560</v>
      </c>
      <c r="AF9" s="115"/>
      <c r="AG9" s="55" t="str">
        <f>VLOOKUP(C9,'Safety-Plant'!B:B,1,FALSE)</f>
        <v>31ED</v>
      </c>
    </row>
    <row r="10" spans="1:33" s="55" customFormat="1" ht="16.5" customHeight="1">
      <c r="A10" s="88" t="s">
        <v>632</v>
      </c>
      <c r="B10" s="116" t="s">
        <v>633</v>
      </c>
      <c r="C10" s="103" t="s">
        <v>9</v>
      </c>
      <c r="D10" s="117" t="s">
        <v>10</v>
      </c>
      <c r="E10" s="103" t="s">
        <v>634</v>
      </c>
      <c r="F10" s="81"/>
      <c r="G10" s="82"/>
      <c r="H10" s="82"/>
      <c r="I10" s="82"/>
      <c r="J10" s="82"/>
      <c r="K10" s="82"/>
      <c r="L10" s="82"/>
      <c r="M10" s="82"/>
      <c r="N10" s="82"/>
      <c r="O10" s="82"/>
      <c r="P10" s="82"/>
      <c r="Q10" s="82"/>
      <c r="R10" s="82"/>
      <c r="S10" s="83"/>
      <c r="T10" s="82"/>
      <c r="U10" s="82"/>
      <c r="V10" s="82"/>
      <c r="W10" s="82"/>
      <c r="X10" s="82"/>
      <c r="Y10" s="82"/>
      <c r="Z10" s="82"/>
      <c r="AA10" s="82"/>
      <c r="AB10" s="82"/>
      <c r="AC10" s="84"/>
      <c r="AD10" s="118"/>
      <c r="AE10" s="86" t="s">
        <v>558</v>
      </c>
      <c r="AF10" s="99"/>
      <c r="AG10" s="55" t="str">
        <f>VLOOKUP(C10,'Safety-Plant'!B:B,1,FALSE)</f>
        <v>FC249</v>
      </c>
    </row>
    <row r="11" spans="1:33" s="55" customFormat="1" ht="16.5" customHeight="1">
      <c r="A11" s="88" t="s">
        <v>632</v>
      </c>
      <c r="B11" s="119"/>
      <c r="C11" s="120" t="s">
        <v>11</v>
      </c>
      <c r="D11" s="117" t="s">
        <v>12</v>
      </c>
      <c r="E11" s="103" t="s">
        <v>634</v>
      </c>
      <c r="F11" s="81"/>
      <c r="G11" s="82"/>
      <c r="H11" s="82"/>
      <c r="I11" s="82"/>
      <c r="J11" s="82"/>
      <c r="K11" s="82"/>
      <c r="L11" s="82"/>
      <c r="M11" s="82"/>
      <c r="N11" s="82"/>
      <c r="O11" s="82"/>
      <c r="P11" s="82"/>
      <c r="Q11" s="82"/>
      <c r="R11" s="82"/>
      <c r="S11" s="83"/>
      <c r="T11" s="82"/>
      <c r="U11" s="82"/>
      <c r="V11" s="82"/>
      <c r="W11" s="82"/>
      <c r="X11" s="82"/>
      <c r="Y11" s="82"/>
      <c r="Z11" s="82"/>
      <c r="AA11" s="82"/>
      <c r="AB11" s="82"/>
      <c r="AC11" s="84"/>
      <c r="AD11" s="118"/>
      <c r="AE11" s="86" t="s">
        <v>558</v>
      </c>
      <c r="AF11" s="99"/>
      <c r="AG11" s="55" t="str">
        <f>VLOOKUP(C11,'Safety-Plant'!B:B,1,FALSE)</f>
        <v>FC092</v>
      </c>
    </row>
    <row r="12" spans="1:33" s="55" customFormat="1" ht="16.5" customHeight="1">
      <c r="A12" s="88" t="s">
        <v>632</v>
      </c>
      <c r="B12" s="119"/>
      <c r="C12" s="120" t="s">
        <v>13</v>
      </c>
      <c r="D12" s="117" t="s">
        <v>14</v>
      </c>
      <c r="E12" s="103" t="s">
        <v>634</v>
      </c>
      <c r="F12" s="121"/>
      <c r="G12" s="122"/>
      <c r="H12" s="122"/>
      <c r="I12" s="122"/>
      <c r="J12" s="122"/>
      <c r="K12" s="122"/>
      <c r="L12" s="122"/>
      <c r="M12" s="122"/>
      <c r="N12" s="122"/>
      <c r="O12" s="122"/>
      <c r="P12" s="122"/>
      <c r="Q12" s="122"/>
      <c r="R12" s="122"/>
      <c r="S12" s="123"/>
      <c r="T12" s="122"/>
      <c r="U12" s="122"/>
      <c r="V12" s="122"/>
      <c r="W12" s="122"/>
      <c r="X12" s="122"/>
      <c r="Y12" s="122"/>
      <c r="Z12" s="122"/>
      <c r="AA12" s="122"/>
      <c r="AB12" s="122"/>
      <c r="AC12" s="124"/>
      <c r="AD12" s="125"/>
      <c r="AE12" s="86" t="s">
        <v>558</v>
      </c>
      <c r="AF12" s="126"/>
      <c r="AG12" s="55" t="str">
        <f>VLOOKUP(C12,'Safety-Plant'!B:B,1,FALSE)</f>
        <v>FC142</v>
      </c>
    </row>
    <row r="13" spans="1:33" s="55" customFormat="1" ht="16.5" customHeight="1">
      <c r="A13" s="88" t="s">
        <v>632</v>
      </c>
      <c r="B13" s="119"/>
      <c r="C13" s="120" t="s">
        <v>15</v>
      </c>
      <c r="D13" s="117" t="s">
        <v>16</v>
      </c>
      <c r="E13" s="103" t="s">
        <v>635</v>
      </c>
      <c r="F13" s="81"/>
      <c r="G13" s="82"/>
      <c r="H13" s="82"/>
      <c r="I13" s="82"/>
      <c r="J13" s="82"/>
      <c r="K13" s="82"/>
      <c r="L13" s="82"/>
      <c r="M13" s="82"/>
      <c r="N13" s="82"/>
      <c r="O13" s="82"/>
      <c r="P13" s="82"/>
      <c r="Q13" s="82"/>
      <c r="R13" s="82"/>
      <c r="S13" s="83"/>
      <c r="T13" s="82"/>
      <c r="U13" s="82"/>
      <c r="V13" s="82"/>
      <c r="W13" s="82"/>
      <c r="X13" s="82"/>
      <c r="Y13" s="82"/>
      <c r="Z13" s="82"/>
      <c r="AA13" s="82"/>
      <c r="AB13" s="82"/>
      <c r="AC13" s="84"/>
      <c r="AD13" s="118"/>
      <c r="AE13" s="86" t="s">
        <v>558</v>
      </c>
      <c r="AF13" s="99"/>
      <c r="AG13" s="55" t="str">
        <f>VLOOKUP(C13,'Safety-Plant'!B:B,1,FALSE)</f>
        <v>FC176</v>
      </c>
    </row>
    <row r="14" spans="1:33" s="55" customFormat="1" ht="16.5" customHeight="1">
      <c r="A14" s="88" t="s">
        <v>632</v>
      </c>
      <c r="B14" s="119"/>
      <c r="C14" s="120" t="s">
        <v>17</v>
      </c>
      <c r="D14" s="117" t="s">
        <v>18</v>
      </c>
      <c r="E14" s="103" t="s">
        <v>635</v>
      </c>
      <c r="F14" s="81"/>
      <c r="G14" s="82"/>
      <c r="H14" s="82"/>
      <c r="I14" s="82"/>
      <c r="J14" s="82"/>
      <c r="K14" s="82"/>
      <c r="L14" s="82"/>
      <c r="M14" s="82"/>
      <c r="N14" s="82"/>
      <c r="O14" s="82"/>
      <c r="P14" s="82"/>
      <c r="Q14" s="82"/>
      <c r="R14" s="82"/>
      <c r="S14" s="83"/>
      <c r="T14" s="82"/>
      <c r="U14" s="82"/>
      <c r="V14" s="82"/>
      <c r="W14" s="82"/>
      <c r="X14" s="82"/>
      <c r="Y14" s="82"/>
      <c r="Z14" s="82"/>
      <c r="AA14" s="82"/>
      <c r="AB14" s="82"/>
      <c r="AC14" s="84"/>
      <c r="AD14" s="118"/>
      <c r="AE14" s="86" t="s">
        <v>558</v>
      </c>
      <c r="AF14" s="99"/>
      <c r="AG14" s="55" t="str">
        <f>VLOOKUP(C14,'Safety-Plant'!B:B,1,FALSE)</f>
        <v>FC201</v>
      </c>
    </row>
    <row r="15" spans="1:33" s="55" customFormat="1" ht="16.5" customHeight="1">
      <c r="A15" s="88" t="s">
        <v>632</v>
      </c>
      <c r="B15" s="119"/>
      <c r="C15" s="120" t="s">
        <v>19</v>
      </c>
      <c r="D15" s="127" t="s">
        <v>556</v>
      </c>
      <c r="E15" s="103" t="s">
        <v>635</v>
      </c>
      <c r="F15" s="81"/>
      <c r="G15" s="82"/>
      <c r="H15" s="82"/>
      <c r="I15" s="82"/>
      <c r="J15" s="82"/>
      <c r="K15" s="82"/>
      <c r="L15" s="82"/>
      <c r="M15" s="82"/>
      <c r="N15" s="82"/>
      <c r="O15" s="82"/>
      <c r="P15" s="82"/>
      <c r="Q15" s="82"/>
      <c r="R15" s="82"/>
      <c r="S15" s="83"/>
      <c r="T15" s="82"/>
      <c r="U15" s="82"/>
      <c r="V15" s="82"/>
      <c r="W15" s="82"/>
      <c r="X15" s="82"/>
      <c r="Y15" s="82"/>
      <c r="Z15" s="82"/>
      <c r="AA15" s="82"/>
      <c r="AB15" s="82"/>
      <c r="AC15" s="84"/>
      <c r="AD15" s="118"/>
      <c r="AE15" s="86" t="s">
        <v>558</v>
      </c>
      <c r="AF15" s="99"/>
      <c r="AG15" s="55" t="str">
        <f>VLOOKUP(C15,'Safety-Plant'!B:B,1,FALSE)</f>
        <v>FC214</v>
      </c>
    </row>
    <row r="16" spans="1:33" s="55" customFormat="1" ht="16.5" customHeight="1">
      <c r="A16" s="88" t="s">
        <v>632</v>
      </c>
      <c r="B16" s="128"/>
      <c r="C16" s="120" t="s">
        <v>20</v>
      </c>
      <c r="D16" s="117" t="s">
        <v>21</v>
      </c>
      <c r="E16" s="103" t="s">
        <v>635</v>
      </c>
      <c r="F16" s="81"/>
      <c r="G16" s="82"/>
      <c r="H16" s="82"/>
      <c r="I16" s="82"/>
      <c r="J16" s="82"/>
      <c r="K16" s="82"/>
      <c r="L16" s="82"/>
      <c r="M16" s="82"/>
      <c r="N16" s="82"/>
      <c r="O16" s="82"/>
      <c r="P16" s="82"/>
      <c r="Q16" s="82"/>
      <c r="R16" s="82"/>
      <c r="S16" s="83"/>
      <c r="T16" s="82"/>
      <c r="U16" s="82"/>
      <c r="V16" s="82"/>
      <c r="W16" s="82"/>
      <c r="X16" s="82"/>
      <c r="Y16" s="82"/>
      <c r="Z16" s="82"/>
      <c r="AA16" s="82"/>
      <c r="AB16" s="82"/>
      <c r="AC16" s="84"/>
      <c r="AD16" s="118"/>
      <c r="AE16" s="86" t="s">
        <v>558</v>
      </c>
      <c r="AF16" s="99"/>
      <c r="AG16" s="55" t="str">
        <f>VLOOKUP(C16,'Safety-Plant'!B:B,1,FALSE)</f>
        <v>FC248</v>
      </c>
    </row>
    <row r="17" spans="1:33" s="55" customFormat="1" ht="14.5" customHeight="1">
      <c r="A17" s="88" t="s">
        <v>632</v>
      </c>
      <c r="B17" s="128"/>
      <c r="C17" s="120" t="s">
        <v>22</v>
      </c>
      <c r="D17" s="117" t="s">
        <v>555</v>
      </c>
      <c r="E17" s="103" t="s">
        <v>635</v>
      </c>
      <c r="F17" s="81"/>
      <c r="G17" s="82"/>
      <c r="H17" s="82"/>
      <c r="I17" s="82"/>
      <c r="J17" s="82"/>
      <c r="K17" s="82"/>
      <c r="L17" s="82"/>
      <c r="M17" s="82"/>
      <c r="N17" s="82"/>
      <c r="O17" s="82"/>
      <c r="P17" s="82"/>
      <c r="Q17" s="82"/>
      <c r="R17" s="82"/>
      <c r="S17" s="83"/>
      <c r="T17" s="82"/>
      <c r="U17" s="82"/>
      <c r="V17" s="82"/>
      <c r="W17" s="82"/>
      <c r="X17" s="82"/>
      <c r="Y17" s="82"/>
      <c r="Z17" s="82"/>
      <c r="AA17" s="82"/>
      <c r="AB17" s="82"/>
      <c r="AC17" s="84"/>
      <c r="AD17" s="118"/>
      <c r="AE17" s="86" t="s">
        <v>558</v>
      </c>
      <c r="AF17" s="99"/>
      <c r="AG17" s="55" t="str">
        <f>VLOOKUP(C17,'Safety-Plant'!B:B,1,FALSE)</f>
        <v>FC299</v>
      </c>
    </row>
    <row r="18" spans="1:33" ht="16.5" customHeight="1">
      <c r="A18" s="88" t="s">
        <v>632</v>
      </c>
      <c r="B18" s="119"/>
      <c r="C18" s="120" t="s">
        <v>23</v>
      </c>
      <c r="D18" s="117" t="s">
        <v>24</v>
      </c>
      <c r="E18" s="103" t="s">
        <v>636</v>
      </c>
      <c r="F18" s="81"/>
      <c r="G18" s="82"/>
      <c r="H18" s="82"/>
      <c r="I18" s="82"/>
      <c r="J18" s="82"/>
      <c r="K18" s="82"/>
      <c r="L18" s="82"/>
      <c r="M18" s="82"/>
      <c r="N18" s="82"/>
      <c r="O18" s="82"/>
      <c r="P18" s="82"/>
      <c r="Q18" s="82"/>
      <c r="R18" s="82"/>
      <c r="S18" s="83"/>
      <c r="T18" s="82"/>
      <c r="U18" s="82"/>
      <c r="V18" s="82"/>
      <c r="W18" s="82"/>
      <c r="X18" s="82"/>
      <c r="Y18" s="82"/>
      <c r="Z18" s="82"/>
      <c r="AA18" s="82"/>
      <c r="AB18" s="82"/>
      <c r="AC18" s="84"/>
      <c r="AD18" s="118"/>
      <c r="AE18" s="86" t="s">
        <v>558</v>
      </c>
      <c r="AF18" s="99"/>
      <c r="AG18" s="55" t="str">
        <f>VLOOKUP(C18,'Safety-Plant'!B:B,1,FALSE)</f>
        <v>FC138</v>
      </c>
    </row>
    <row r="19" spans="1:33" ht="16.5" customHeight="1">
      <c r="A19" s="88" t="s">
        <v>632</v>
      </c>
      <c r="B19" s="129"/>
      <c r="C19" s="120" t="s">
        <v>25</v>
      </c>
      <c r="D19" s="117" t="s">
        <v>26</v>
      </c>
      <c r="E19" s="103" t="s">
        <v>637</v>
      </c>
      <c r="F19" s="81"/>
      <c r="G19" s="82"/>
      <c r="H19" s="82"/>
      <c r="I19" s="82"/>
      <c r="J19" s="82"/>
      <c r="K19" s="82"/>
      <c r="L19" s="82"/>
      <c r="M19" s="82"/>
      <c r="N19" s="82"/>
      <c r="O19" s="82"/>
      <c r="P19" s="82"/>
      <c r="Q19" s="82"/>
      <c r="R19" s="82"/>
      <c r="S19" s="83"/>
      <c r="T19" s="82"/>
      <c r="U19" s="82"/>
      <c r="V19" s="82"/>
      <c r="W19" s="82"/>
      <c r="X19" s="82"/>
      <c r="Y19" s="82"/>
      <c r="Z19" s="82"/>
      <c r="AA19" s="82"/>
      <c r="AB19" s="82"/>
      <c r="AC19" s="84"/>
      <c r="AD19" s="118"/>
      <c r="AE19" s="86" t="s">
        <v>558</v>
      </c>
      <c r="AF19" s="99"/>
      <c r="AG19" s="55" t="str">
        <f>VLOOKUP(C19,'Safety-Plant'!B:B,1,FALSE)</f>
        <v>FC197</v>
      </c>
    </row>
    <row r="20" spans="1:33" s="55" customFormat="1" ht="16.5" customHeight="1">
      <c r="A20" s="88" t="s">
        <v>632</v>
      </c>
      <c r="B20" s="130" t="s">
        <v>638</v>
      </c>
      <c r="C20" s="131" t="s">
        <v>27</v>
      </c>
      <c r="D20" s="117" t="s">
        <v>28</v>
      </c>
      <c r="E20" s="103" t="s">
        <v>639</v>
      </c>
      <c r="F20" s="81"/>
      <c r="G20" s="82"/>
      <c r="H20" s="82"/>
      <c r="I20" s="82"/>
      <c r="J20" s="82"/>
      <c r="K20" s="82"/>
      <c r="L20" s="82"/>
      <c r="M20" s="82"/>
      <c r="N20" s="82"/>
      <c r="O20" s="82"/>
      <c r="P20" s="82"/>
      <c r="Q20" s="82"/>
      <c r="R20" s="82"/>
      <c r="S20" s="83"/>
      <c r="T20" s="82"/>
      <c r="U20" s="82"/>
      <c r="V20" s="82"/>
      <c r="W20" s="82"/>
      <c r="X20" s="82"/>
      <c r="Y20" s="82"/>
      <c r="Z20" s="82"/>
      <c r="AA20" s="82"/>
      <c r="AB20" s="82"/>
      <c r="AC20" s="84"/>
      <c r="AD20" s="118"/>
      <c r="AE20" s="132" t="s">
        <v>545</v>
      </c>
      <c r="AF20" s="126"/>
      <c r="AG20" s="55" t="str">
        <f>VLOOKUP(C20,'Safety-Plant'!B:B,1,FALSE)</f>
        <v>FC369</v>
      </c>
    </row>
    <row r="21" spans="1:33" s="55" customFormat="1" ht="16.5" customHeight="1">
      <c r="A21" s="88" t="s">
        <v>632</v>
      </c>
      <c r="B21" s="119"/>
      <c r="C21" s="120" t="s">
        <v>29</v>
      </c>
      <c r="D21" s="117" t="s">
        <v>30</v>
      </c>
      <c r="E21" s="103" t="s">
        <v>639</v>
      </c>
      <c r="F21" s="81"/>
      <c r="G21" s="82"/>
      <c r="H21" s="82"/>
      <c r="I21" s="82"/>
      <c r="J21" s="82"/>
      <c r="K21" s="82"/>
      <c r="L21" s="82"/>
      <c r="M21" s="82"/>
      <c r="N21" s="82"/>
      <c r="O21" s="82"/>
      <c r="P21" s="82"/>
      <c r="Q21" s="82"/>
      <c r="R21" s="82"/>
      <c r="S21" s="83"/>
      <c r="T21" s="82"/>
      <c r="U21" s="82"/>
      <c r="V21" s="82"/>
      <c r="W21" s="82"/>
      <c r="X21" s="82"/>
      <c r="Y21" s="82"/>
      <c r="Z21" s="82"/>
      <c r="AA21" s="82"/>
      <c r="AB21" s="82"/>
      <c r="AC21" s="84"/>
      <c r="AD21" s="118"/>
      <c r="AE21" s="132" t="s">
        <v>545</v>
      </c>
      <c r="AF21" s="126"/>
      <c r="AG21" s="55" t="str">
        <f>VLOOKUP(C21,'Safety-Plant'!B:B,1,FALSE)</f>
        <v>FC070</v>
      </c>
    </row>
    <row r="22" spans="1:33" s="55" customFormat="1" ht="16.5" customHeight="1">
      <c r="A22" s="88" t="s">
        <v>632</v>
      </c>
      <c r="B22" s="119"/>
      <c r="C22" s="120" t="s">
        <v>31</v>
      </c>
      <c r="D22" s="117" t="s">
        <v>32</v>
      </c>
      <c r="E22" s="103" t="s">
        <v>639</v>
      </c>
      <c r="F22" s="81"/>
      <c r="G22" s="82"/>
      <c r="H22" s="82"/>
      <c r="I22" s="82"/>
      <c r="J22" s="82"/>
      <c r="K22" s="82"/>
      <c r="L22" s="82"/>
      <c r="M22" s="82"/>
      <c r="N22" s="82"/>
      <c r="O22" s="82"/>
      <c r="P22" s="82"/>
      <c r="Q22" s="82"/>
      <c r="R22" s="82"/>
      <c r="S22" s="83"/>
      <c r="T22" s="82"/>
      <c r="U22" s="82"/>
      <c r="V22" s="82"/>
      <c r="W22" s="82"/>
      <c r="X22" s="82"/>
      <c r="Y22" s="82"/>
      <c r="Z22" s="82"/>
      <c r="AA22" s="82"/>
      <c r="AB22" s="82"/>
      <c r="AC22" s="84"/>
      <c r="AD22" s="118"/>
      <c r="AE22" s="132" t="s">
        <v>545</v>
      </c>
      <c r="AF22" s="126"/>
      <c r="AG22" s="55" t="str">
        <f>VLOOKUP(C22,'Safety-Plant'!B:B,1,FALSE)</f>
        <v>FC254</v>
      </c>
    </row>
    <row r="23" spans="1:33" s="55" customFormat="1" ht="16.5" customHeight="1">
      <c r="A23" s="88" t="s">
        <v>632</v>
      </c>
      <c r="B23" s="119"/>
      <c r="C23" s="92" t="s">
        <v>33</v>
      </c>
      <c r="D23" s="117" t="s">
        <v>34</v>
      </c>
      <c r="E23" s="103" t="s">
        <v>639</v>
      </c>
      <c r="F23" s="81"/>
      <c r="G23" s="82"/>
      <c r="H23" s="82"/>
      <c r="I23" s="82"/>
      <c r="J23" s="82"/>
      <c r="K23" s="82"/>
      <c r="L23" s="82"/>
      <c r="M23" s="82"/>
      <c r="N23" s="82"/>
      <c r="O23" s="82"/>
      <c r="P23" s="82"/>
      <c r="Q23" s="82"/>
      <c r="R23" s="82"/>
      <c r="S23" s="83"/>
      <c r="T23" s="82"/>
      <c r="U23" s="82"/>
      <c r="V23" s="82"/>
      <c r="W23" s="82"/>
      <c r="X23" s="82"/>
      <c r="Y23" s="82"/>
      <c r="Z23" s="82"/>
      <c r="AA23" s="82"/>
      <c r="AB23" s="82"/>
      <c r="AC23" s="84"/>
      <c r="AD23" s="118"/>
      <c r="AE23" s="132" t="s">
        <v>545</v>
      </c>
      <c r="AF23" s="126"/>
      <c r="AG23" s="55" t="str">
        <f>VLOOKUP(C23,'Safety-Plant'!B:B,1,FALSE)</f>
        <v>FC397</v>
      </c>
    </row>
    <row r="24" spans="1:33" s="55" customFormat="1" ht="16.5" customHeight="1">
      <c r="A24" s="88" t="s">
        <v>632</v>
      </c>
      <c r="B24" s="133"/>
      <c r="C24" s="120" t="s">
        <v>35</v>
      </c>
      <c r="D24" s="117" t="s">
        <v>36</v>
      </c>
      <c r="E24" s="120" t="s">
        <v>640</v>
      </c>
      <c r="F24" s="93"/>
      <c r="G24" s="94"/>
      <c r="H24" s="82"/>
      <c r="I24" s="82"/>
      <c r="J24" s="82"/>
      <c r="K24" s="82"/>
      <c r="L24" s="82"/>
      <c r="M24" s="94"/>
      <c r="N24" s="94"/>
      <c r="O24" s="94"/>
      <c r="P24" s="82"/>
      <c r="Q24" s="82"/>
      <c r="R24" s="82"/>
      <c r="S24" s="96"/>
      <c r="T24" s="82"/>
      <c r="U24" s="82"/>
      <c r="V24" s="82"/>
      <c r="W24" s="82"/>
      <c r="X24" s="82"/>
      <c r="Y24" s="82"/>
      <c r="Z24" s="82"/>
      <c r="AA24" s="82"/>
      <c r="AB24" s="82"/>
      <c r="AC24" s="84"/>
      <c r="AD24" s="118"/>
      <c r="AE24" s="132" t="s">
        <v>545</v>
      </c>
      <c r="AF24" s="99"/>
      <c r="AG24" s="55" t="str">
        <f>VLOOKUP(C24,'Safety-Plant'!B:B,1,FALSE)</f>
        <v>FC069</v>
      </c>
    </row>
    <row r="25" spans="1:33" s="55" customFormat="1" ht="16.5" customHeight="1">
      <c r="A25" s="88" t="s">
        <v>632</v>
      </c>
      <c r="B25" s="128"/>
      <c r="C25" s="131" t="s">
        <v>37</v>
      </c>
      <c r="D25" s="117" t="s">
        <v>38</v>
      </c>
      <c r="E25" s="103" t="s">
        <v>641</v>
      </c>
      <c r="F25" s="81"/>
      <c r="G25" s="82"/>
      <c r="H25" s="82"/>
      <c r="I25" s="82"/>
      <c r="J25" s="82"/>
      <c r="K25" s="82"/>
      <c r="L25" s="82"/>
      <c r="M25" s="82"/>
      <c r="N25" s="82"/>
      <c r="O25" s="82"/>
      <c r="P25" s="82"/>
      <c r="Q25" s="82"/>
      <c r="R25" s="82"/>
      <c r="S25" s="83"/>
      <c r="T25" s="82"/>
      <c r="U25" s="82"/>
      <c r="V25" s="82"/>
      <c r="W25" s="82"/>
      <c r="X25" s="82"/>
      <c r="Y25" s="82"/>
      <c r="Z25" s="82"/>
      <c r="AA25" s="82"/>
      <c r="AB25" s="82"/>
      <c r="AC25" s="84"/>
      <c r="AD25" s="118"/>
      <c r="AE25" s="132" t="s">
        <v>561</v>
      </c>
      <c r="AF25" s="99"/>
      <c r="AG25" s="55" t="str">
        <f>VLOOKUP(C25,'Safety-Plant'!B:B,1,FALSE)</f>
        <v>FC137</v>
      </c>
    </row>
    <row r="26" spans="1:33" s="55" customFormat="1" ht="16.5" customHeight="1">
      <c r="A26" s="88" t="s">
        <v>632</v>
      </c>
      <c r="B26" s="119"/>
      <c r="C26" s="120" t="s">
        <v>39</v>
      </c>
      <c r="D26" s="117" t="s">
        <v>40</v>
      </c>
      <c r="E26" s="103" t="s">
        <v>642</v>
      </c>
      <c r="F26" s="81"/>
      <c r="G26" s="82"/>
      <c r="H26" s="82"/>
      <c r="I26" s="82"/>
      <c r="J26" s="82"/>
      <c r="K26" s="82"/>
      <c r="L26" s="82"/>
      <c r="M26" s="82"/>
      <c r="N26" s="82"/>
      <c r="O26" s="82"/>
      <c r="P26" s="82"/>
      <c r="Q26" s="82"/>
      <c r="R26" s="82"/>
      <c r="S26" s="83"/>
      <c r="T26" s="82"/>
      <c r="U26" s="82"/>
      <c r="V26" s="82"/>
      <c r="W26" s="82"/>
      <c r="X26" s="82"/>
      <c r="Y26" s="82"/>
      <c r="Z26" s="82"/>
      <c r="AA26" s="82"/>
      <c r="AB26" s="82"/>
      <c r="AC26" s="84"/>
      <c r="AD26" s="118"/>
      <c r="AE26" s="132" t="s">
        <v>545</v>
      </c>
      <c r="AF26" s="99"/>
      <c r="AG26" s="55" t="str">
        <f>VLOOKUP(C26,'Safety-Plant'!B:B,1,FALSE)</f>
        <v>FC158</v>
      </c>
    </row>
    <row r="27" spans="1:33" s="55" customFormat="1" ht="16.5" customHeight="1">
      <c r="A27" s="88" t="s">
        <v>632</v>
      </c>
      <c r="B27" s="128"/>
      <c r="C27" s="131" t="s">
        <v>41</v>
      </c>
      <c r="D27" s="117" t="s">
        <v>42</v>
      </c>
      <c r="E27" s="103" t="s">
        <v>643</v>
      </c>
      <c r="F27" s="81"/>
      <c r="G27" s="82"/>
      <c r="H27" s="82"/>
      <c r="I27" s="82"/>
      <c r="J27" s="82"/>
      <c r="K27" s="82"/>
      <c r="L27" s="82"/>
      <c r="M27" s="82"/>
      <c r="N27" s="82"/>
      <c r="O27" s="82"/>
      <c r="P27" s="82"/>
      <c r="Q27" s="82"/>
      <c r="R27" s="82"/>
      <c r="S27" s="83"/>
      <c r="T27" s="82"/>
      <c r="U27" s="82"/>
      <c r="V27" s="82"/>
      <c r="W27" s="82"/>
      <c r="X27" s="82"/>
      <c r="Y27" s="82"/>
      <c r="Z27" s="82"/>
      <c r="AA27" s="82"/>
      <c r="AB27" s="82"/>
      <c r="AC27" s="84"/>
      <c r="AD27" s="118"/>
      <c r="AE27" s="132" t="s">
        <v>561</v>
      </c>
      <c r="AF27" s="99"/>
      <c r="AG27" s="55" t="str">
        <f>VLOOKUP(C27,'Safety-Plant'!B:B,1,FALSE)</f>
        <v>FC009</v>
      </c>
    </row>
    <row r="28" spans="1:33" s="55" customFormat="1" ht="16.5" customHeight="1">
      <c r="A28" s="88" t="s">
        <v>632</v>
      </c>
      <c r="B28" s="119"/>
      <c r="C28" s="120" t="s">
        <v>43</v>
      </c>
      <c r="D28" s="117" t="s">
        <v>44</v>
      </c>
      <c r="E28" s="103" t="s">
        <v>644</v>
      </c>
      <c r="F28" s="81"/>
      <c r="G28" s="82"/>
      <c r="H28" s="82"/>
      <c r="I28" s="82"/>
      <c r="J28" s="82"/>
      <c r="K28" s="82"/>
      <c r="L28" s="82"/>
      <c r="M28" s="82"/>
      <c r="N28" s="82"/>
      <c r="O28" s="82"/>
      <c r="P28" s="82"/>
      <c r="Q28" s="82"/>
      <c r="R28" s="82"/>
      <c r="S28" s="83"/>
      <c r="T28" s="82"/>
      <c r="U28" s="82"/>
      <c r="V28" s="82"/>
      <c r="W28" s="82"/>
      <c r="X28" s="82"/>
      <c r="Y28" s="82"/>
      <c r="Z28" s="82"/>
      <c r="AA28" s="82"/>
      <c r="AB28" s="82"/>
      <c r="AC28" s="84"/>
      <c r="AD28" s="118"/>
      <c r="AE28" s="132" t="s">
        <v>561</v>
      </c>
      <c r="AF28" s="99"/>
      <c r="AG28" s="55" t="str">
        <f>VLOOKUP(C28,'Safety-Plant'!B:B,1,FALSE)</f>
        <v>FC035</v>
      </c>
    </row>
    <row r="29" spans="1:33" s="55" customFormat="1" ht="16.5" customHeight="1" thickBot="1">
      <c r="A29" s="104" t="s">
        <v>632</v>
      </c>
      <c r="B29" s="134"/>
      <c r="C29" s="135" t="s">
        <v>45</v>
      </c>
      <c r="D29" s="136" t="s">
        <v>46</v>
      </c>
      <c r="E29" s="137" t="s">
        <v>645</v>
      </c>
      <c r="F29" s="109"/>
      <c r="G29" s="110"/>
      <c r="H29" s="110"/>
      <c r="I29" s="110"/>
      <c r="J29" s="110"/>
      <c r="K29" s="110"/>
      <c r="L29" s="110"/>
      <c r="M29" s="110"/>
      <c r="N29" s="110"/>
      <c r="O29" s="110"/>
      <c r="P29" s="110"/>
      <c r="Q29" s="110"/>
      <c r="R29" s="110"/>
      <c r="S29" s="111"/>
      <c r="T29" s="110"/>
      <c r="U29" s="110"/>
      <c r="V29" s="110"/>
      <c r="W29" s="110"/>
      <c r="X29" s="110"/>
      <c r="Y29" s="110"/>
      <c r="Z29" s="110"/>
      <c r="AA29" s="110"/>
      <c r="AB29" s="110"/>
      <c r="AC29" s="112"/>
      <c r="AD29" s="113"/>
      <c r="AE29" s="138" t="s">
        <v>561</v>
      </c>
      <c r="AF29" s="139"/>
      <c r="AG29" s="55" t="str">
        <f>VLOOKUP(C29,'Safety-Plant'!B:B,1,FALSE)</f>
        <v>FC236</v>
      </c>
    </row>
    <row r="30" spans="1:33" ht="16.5" customHeight="1">
      <c r="A30" s="76" t="s">
        <v>646</v>
      </c>
      <c r="B30" s="140" t="s">
        <v>625</v>
      </c>
      <c r="C30" s="141" t="s">
        <v>581</v>
      </c>
      <c r="D30" s="79" t="s">
        <v>538</v>
      </c>
      <c r="E30" s="80" t="s">
        <v>647</v>
      </c>
      <c r="F30" s="93"/>
      <c r="G30" s="95"/>
      <c r="H30" s="95"/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6"/>
      <c r="T30" s="95"/>
      <c r="U30" s="95"/>
      <c r="V30" s="95"/>
      <c r="W30" s="95"/>
      <c r="X30" s="95"/>
      <c r="Y30" s="95"/>
      <c r="Z30" s="95"/>
      <c r="AA30" s="95"/>
      <c r="AB30" s="95"/>
      <c r="AC30" s="97"/>
      <c r="AD30" s="85"/>
      <c r="AE30" s="142" t="s">
        <v>562</v>
      </c>
      <c r="AF30" s="143"/>
      <c r="AG30" s="55" t="str">
        <f>VLOOKUP(C30,'Safety-Plant'!B:B,1,FALSE)</f>
        <v>FC111</v>
      </c>
    </row>
    <row r="31" spans="1:33" ht="16.5" customHeight="1">
      <c r="A31" s="88" t="s">
        <v>646</v>
      </c>
      <c r="B31" s="119"/>
      <c r="C31" s="120" t="s">
        <v>47</v>
      </c>
      <c r="D31" s="117" t="s">
        <v>48</v>
      </c>
      <c r="E31" s="120" t="s">
        <v>648</v>
      </c>
      <c r="F31" s="93"/>
      <c r="G31" s="95"/>
      <c r="H31" s="95"/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6"/>
      <c r="T31" s="95"/>
      <c r="U31" s="95"/>
      <c r="V31" s="95"/>
      <c r="W31" s="95"/>
      <c r="X31" s="95"/>
      <c r="Y31" s="95"/>
      <c r="Z31" s="95"/>
      <c r="AA31" s="95"/>
      <c r="AB31" s="95"/>
      <c r="AC31" s="97"/>
      <c r="AD31" s="85"/>
      <c r="AE31" s="86" t="s">
        <v>560</v>
      </c>
      <c r="AF31" s="99"/>
      <c r="AG31" s="55" t="str">
        <f>VLOOKUP(C31,'Safety-Plant'!B:B,1,FALSE)</f>
        <v>FC209</v>
      </c>
    </row>
    <row r="32" spans="1:33" ht="16.5" customHeight="1">
      <c r="A32" s="88" t="s">
        <v>646</v>
      </c>
      <c r="B32" s="119"/>
      <c r="C32" s="120" t="s">
        <v>49</v>
      </c>
      <c r="D32" s="117" t="s">
        <v>50</v>
      </c>
      <c r="E32" s="120" t="s">
        <v>648</v>
      </c>
      <c r="F32" s="93"/>
      <c r="G32" s="95"/>
      <c r="H32" s="95"/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6"/>
      <c r="T32" s="95"/>
      <c r="U32" s="95"/>
      <c r="V32" s="95"/>
      <c r="W32" s="95"/>
      <c r="X32" s="95"/>
      <c r="Y32" s="95"/>
      <c r="Z32" s="95"/>
      <c r="AA32" s="95"/>
      <c r="AB32" s="95"/>
      <c r="AC32" s="97"/>
      <c r="AD32" s="85"/>
      <c r="AE32" s="86" t="s">
        <v>560</v>
      </c>
      <c r="AF32" s="99"/>
      <c r="AG32" s="55" t="str">
        <f>VLOOKUP(C32,'Safety-Plant'!B:B,1,FALSE)</f>
        <v>FC389</v>
      </c>
    </row>
    <row r="33" spans="1:33" ht="16.5" customHeight="1">
      <c r="A33" s="88" t="s">
        <v>646</v>
      </c>
      <c r="B33" s="133"/>
      <c r="C33" s="120" t="s">
        <v>51</v>
      </c>
      <c r="D33" s="117" t="s">
        <v>52</v>
      </c>
      <c r="E33" s="103" t="s">
        <v>649</v>
      </c>
      <c r="F33" s="93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6"/>
      <c r="T33" s="95"/>
      <c r="U33" s="95"/>
      <c r="V33" s="95"/>
      <c r="W33" s="95"/>
      <c r="X33" s="95"/>
      <c r="Y33" s="95"/>
      <c r="Z33" s="95"/>
      <c r="AA33" s="95"/>
      <c r="AB33" s="95"/>
      <c r="AC33" s="97"/>
      <c r="AD33" s="85"/>
      <c r="AE33" s="86" t="s">
        <v>560</v>
      </c>
      <c r="AF33" s="99"/>
      <c r="AG33" s="55" t="str">
        <f>VLOOKUP(C33,'Safety-Plant'!B:B,1,FALSE)</f>
        <v>FC013</v>
      </c>
    </row>
    <row r="34" spans="1:33" ht="16.5" customHeight="1">
      <c r="A34" s="88" t="s">
        <v>646</v>
      </c>
      <c r="B34" s="119"/>
      <c r="C34" s="120" t="s">
        <v>53</v>
      </c>
      <c r="D34" s="117" t="s">
        <v>54</v>
      </c>
      <c r="E34" s="103" t="s">
        <v>637</v>
      </c>
      <c r="F34" s="93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6"/>
      <c r="T34" s="95"/>
      <c r="U34" s="95"/>
      <c r="V34" s="95"/>
      <c r="W34" s="95"/>
      <c r="X34" s="95"/>
      <c r="Y34" s="95"/>
      <c r="Z34" s="95"/>
      <c r="AA34" s="95"/>
      <c r="AB34" s="95"/>
      <c r="AC34" s="97"/>
      <c r="AD34" s="85"/>
      <c r="AE34" s="86" t="s">
        <v>560</v>
      </c>
      <c r="AF34" s="99"/>
      <c r="AG34" s="55" t="str">
        <f>VLOOKUP(C34,'Safety-Plant'!B:B,1,FALSE)</f>
        <v>FC015</v>
      </c>
    </row>
    <row r="35" spans="1:33" ht="16.5" customHeight="1">
      <c r="A35" s="88" t="s">
        <v>646</v>
      </c>
      <c r="B35" s="119"/>
      <c r="C35" s="120" t="s">
        <v>55</v>
      </c>
      <c r="D35" s="117" t="s">
        <v>56</v>
      </c>
      <c r="E35" s="103" t="s">
        <v>650</v>
      </c>
      <c r="F35" s="93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6"/>
      <c r="T35" s="95"/>
      <c r="U35" s="95"/>
      <c r="V35" s="95"/>
      <c r="W35" s="95"/>
      <c r="X35" s="95"/>
      <c r="Y35" s="95"/>
      <c r="Z35" s="95"/>
      <c r="AA35" s="95"/>
      <c r="AB35" s="95"/>
      <c r="AC35" s="97"/>
      <c r="AD35" s="85"/>
      <c r="AE35" s="86" t="s">
        <v>560</v>
      </c>
      <c r="AF35" s="99"/>
      <c r="AG35" s="55" t="str">
        <f>VLOOKUP(C35,'Safety-Plant'!B:B,1,FALSE)</f>
        <v>FC065</v>
      </c>
    </row>
    <row r="36" spans="1:33" ht="16.5" customHeight="1">
      <c r="A36" s="88" t="s">
        <v>646</v>
      </c>
      <c r="B36" s="119"/>
      <c r="C36" s="120" t="s">
        <v>57</v>
      </c>
      <c r="D36" s="117" t="s">
        <v>58</v>
      </c>
      <c r="E36" s="103" t="s">
        <v>626</v>
      </c>
      <c r="F36" s="93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6"/>
      <c r="T36" s="95"/>
      <c r="U36" s="95"/>
      <c r="V36" s="95"/>
      <c r="W36" s="95"/>
      <c r="X36" s="95"/>
      <c r="Y36" s="95"/>
      <c r="Z36" s="95"/>
      <c r="AA36" s="95"/>
      <c r="AB36" s="95"/>
      <c r="AC36" s="97"/>
      <c r="AD36" s="85"/>
      <c r="AE36" s="86" t="s">
        <v>558</v>
      </c>
      <c r="AF36" s="99"/>
      <c r="AG36" s="55" t="str">
        <f>VLOOKUP(C36,'Safety-Plant'!B:B,1,FALSE)</f>
        <v>FC046</v>
      </c>
    </row>
    <row r="37" spans="1:33" ht="16.5" customHeight="1">
      <c r="A37" s="88" t="s">
        <v>646</v>
      </c>
      <c r="B37" s="119"/>
      <c r="C37" s="120" t="s">
        <v>59</v>
      </c>
      <c r="D37" s="117" t="s">
        <v>60</v>
      </c>
      <c r="E37" s="103" t="s">
        <v>626</v>
      </c>
      <c r="F37" s="93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6"/>
      <c r="T37" s="95"/>
      <c r="U37" s="95"/>
      <c r="V37" s="95"/>
      <c r="W37" s="95"/>
      <c r="X37" s="95"/>
      <c r="Y37" s="95"/>
      <c r="Z37" s="95"/>
      <c r="AA37" s="95"/>
      <c r="AB37" s="95"/>
      <c r="AC37" s="97"/>
      <c r="AD37" s="85"/>
      <c r="AE37" s="86" t="s">
        <v>558</v>
      </c>
      <c r="AF37" s="99"/>
      <c r="AG37" s="55" t="str">
        <f>VLOOKUP(C37,'Safety-Plant'!B:B,1,FALSE)</f>
        <v>FC095</v>
      </c>
    </row>
    <row r="38" spans="1:33" ht="16.5" customHeight="1">
      <c r="A38" s="88" t="s">
        <v>646</v>
      </c>
      <c r="B38" s="119"/>
      <c r="C38" s="120" t="s">
        <v>61</v>
      </c>
      <c r="D38" s="117" t="s">
        <v>62</v>
      </c>
      <c r="E38" s="103" t="s">
        <v>626</v>
      </c>
      <c r="F38" s="93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6"/>
      <c r="T38" s="95"/>
      <c r="U38" s="95"/>
      <c r="V38" s="95"/>
      <c r="W38" s="95"/>
      <c r="X38" s="95"/>
      <c r="Y38" s="95"/>
      <c r="Z38" s="95"/>
      <c r="AA38" s="95"/>
      <c r="AB38" s="95"/>
      <c r="AC38" s="97"/>
      <c r="AD38" s="85"/>
      <c r="AE38" s="86" t="s">
        <v>558</v>
      </c>
      <c r="AF38" s="99"/>
      <c r="AG38" s="55" t="str">
        <f>VLOOKUP(C38,'Safety-Plant'!B:B,1,FALSE)</f>
        <v>FC175</v>
      </c>
    </row>
    <row r="39" spans="1:33" ht="16.5" customHeight="1">
      <c r="A39" s="88" t="s">
        <v>646</v>
      </c>
      <c r="B39" s="119"/>
      <c r="C39" s="120" t="s">
        <v>63</v>
      </c>
      <c r="D39" s="117" t="s">
        <v>64</v>
      </c>
      <c r="E39" s="103" t="s">
        <v>626</v>
      </c>
      <c r="F39" s="93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6"/>
      <c r="T39" s="95"/>
      <c r="U39" s="95"/>
      <c r="V39" s="95"/>
      <c r="W39" s="95"/>
      <c r="X39" s="95"/>
      <c r="Y39" s="95"/>
      <c r="Z39" s="95"/>
      <c r="AA39" s="95"/>
      <c r="AB39" s="95"/>
      <c r="AC39" s="97"/>
      <c r="AD39" s="85"/>
      <c r="AE39" s="86" t="s">
        <v>558</v>
      </c>
      <c r="AF39" s="99"/>
      <c r="AG39" s="55" t="str">
        <f>VLOOKUP(C39,'Safety-Plant'!B:B,1,FALSE)</f>
        <v>FC390</v>
      </c>
    </row>
    <row r="40" spans="1:33" ht="16.5" customHeight="1">
      <c r="A40" s="88" t="s">
        <v>646</v>
      </c>
      <c r="B40" s="119"/>
      <c r="C40" s="120" t="s">
        <v>65</v>
      </c>
      <c r="D40" s="117" t="s">
        <v>66</v>
      </c>
      <c r="E40" s="120" t="s">
        <v>651</v>
      </c>
      <c r="F40" s="93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6"/>
      <c r="T40" s="95"/>
      <c r="U40" s="95"/>
      <c r="V40" s="95"/>
      <c r="W40" s="95"/>
      <c r="X40" s="95"/>
      <c r="Y40" s="95"/>
      <c r="Z40" s="95"/>
      <c r="AA40" s="95"/>
      <c r="AB40" s="95"/>
      <c r="AC40" s="97"/>
      <c r="AD40" s="85"/>
      <c r="AE40" s="86" t="s">
        <v>560</v>
      </c>
      <c r="AF40" s="99"/>
      <c r="AG40" s="55" t="str">
        <f>VLOOKUP(C40,'Safety-Plant'!B:B,1,FALSE)</f>
        <v>FC323</v>
      </c>
    </row>
    <row r="41" spans="1:33" s="52" customFormat="1" ht="16.5" customHeight="1">
      <c r="A41" s="88" t="s">
        <v>646</v>
      </c>
      <c r="B41" s="128"/>
      <c r="C41" s="131" t="s">
        <v>67</v>
      </c>
      <c r="D41" s="117" t="s">
        <v>68</v>
      </c>
      <c r="E41" s="103" t="s">
        <v>652</v>
      </c>
      <c r="F41" s="93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6"/>
      <c r="T41" s="95"/>
      <c r="U41" s="95"/>
      <c r="V41" s="95"/>
      <c r="W41" s="95"/>
      <c r="X41" s="95"/>
      <c r="Y41" s="95"/>
      <c r="Z41" s="95"/>
      <c r="AA41" s="95"/>
      <c r="AB41" s="95"/>
      <c r="AC41" s="97"/>
      <c r="AD41" s="85"/>
      <c r="AE41" s="86" t="s">
        <v>560</v>
      </c>
      <c r="AF41" s="99"/>
      <c r="AG41" s="55" t="str">
        <f>VLOOKUP(C41,'Safety-Plant'!B:B,1,FALSE)</f>
        <v>FC056</v>
      </c>
    </row>
    <row r="42" spans="1:33" s="52" customFormat="1" ht="16.5" customHeight="1">
      <c r="A42" s="88" t="s">
        <v>646</v>
      </c>
      <c r="B42" s="119"/>
      <c r="C42" s="120" t="s">
        <v>103</v>
      </c>
      <c r="D42" s="117" t="s">
        <v>104</v>
      </c>
      <c r="E42" s="120" t="s">
        <v>653</v>
      </c>
      <c r="F42" s="93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6"/>
      <c r="T42" s="95"/>
      <c r="U42" s="95"/>
      <c r="V42" s="95"/>
      <c r="W42" s="95"/>
      <c r="X42" s="95"/>
      <c r="Y42" s="95"/>
      <c r="Z42" s="95"/>
      <c r="AA42" s="95"/>
      <c r="AB42" s="95"/>
      <c r="AC42" s="97"/>
      <c r="AD42" s="85"/>
      <c r="AE42" s="86" t="s">
        <v>560</v>
      </c>
      <c r="AF42" s="99"/>
      <c r="AG42" s="55" t="str">
        <f>VLOOKUP(C42,'Safety-Plant'!B:B,1,FALSE)</f>
        <v>FC308</v>
      </c>
    </row>
    <row r="43" spans="1:33" s="52" customFormat="1" ht="16.5" customHeight="1">
      <c r="A43" s="88" t="s">
        <v>646</v>
      </c>
      <c r="B43" s="144"/>
      <c r="C43" s="90" t="s">
        <v>69</v>
      </c>
      <c r="D43" s="102" t="s">
        <v>70</v>
      </c>
      <c r="E43" s="103" t="s">
        <v>654</v>
      </c>
      <c r="F43" s="81">
        <v>12</v>
      </c>
      <c r="G43" s="145" t="s">
        <v>520</v>
      </c>
      <c r="H43" s="145" t="s">
        <v>520</v>
      </c>
      <c r="I43" s="145" t="s">
        <v>520</v>
      </c>
      <c r="J43" s="145" t="s">
        <v>520</v>
      </c>
      <c r="K43" s="145" t="s">
        <v>520</v>
      </c>
      <c r="L43" s="145" t="s">
        <v>520</v>
      </c>
      <c r="M43" s="145" t="s">
        <v>520</v>
      </c>
      <c r="N43" s="145" t="s">
        <v>520</v>
      </c>
      <c r="O43" s="145" t="s">
        <v>520</v>
      </c>
      <c r="P43" s="145" t="s">
        <v>520</v>
      </c>
      <c r="Q43" s="145" t="s">
        <v>520</v>
      </c>
      <c r="R43" s="145" t="s">
        <v>520</v>
      </c>
      <c r="S43" s="146">
        <v>10</v>
      </c>
      <c r="T43" s="145" t="s">
        <v>520</v>
      </c>
      <c r="U43" s="145" t="s">
        <v>520</v>
      </c>
      <c r="V43" s="145" t="s">
        <v>520</v>
      </c>
      <c r="W43" s="145" t="s">
        <v>520</v>
      </c>
      <c r="X43" s="145" t="s">
        <v>520</v>
      </c>
      <c r="Y43" s="145" t="s">
        <v>520</v>
      </c>
      <c r="Z43" s="145" t="s">
        <v>520</v>
      </c>
      <c r="AA43" s="145" t="s">
        <v>520</v>
      </c>
      <c r="AB43" s="145" t="s">
        <v>520</v>
      </c>
      <c r="AC43" s="147" t="s">
        <v>520</v>
      </c>
      <c r="AD43" s="148" t="s">
        <v>655</v>
      </c>
      <c r="AE43" s="86" t="s">
        <v>560</v>
      </c>
      <c r="AF43" s="99"/>
      <c r="AG43" s="55" t="str">
        <f>VLOOKUP(C43,'Safety-Plant'!B:B,1,FALSE)</f>
        <v>13O4</v>
      </c>
    </row>
    <row r="44" spans="1:33" s="52" customFormat="1" ht="16.5" customHeight="1">
      <c r="A44" s="88" t="s">
        <v>646</v>
      </c>
      <c r="B44" s="101" t="s">
        <v>656</v>
      </c>
      <c r="C44" s="149" t="s">
        <v>71</v>
      </c>
      <c r="D44" s="117" t="s">
        <v>72</v>
      </c>
      <c r="E44" s="103" t="s">
        <v>657</v>
      </c>
      <c r="F44" s="93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6"/>
      <c r="T44" s="95"/>
      <c r="U44" s="95"/>
      <c r="V44" s="95"/>
      <c r="W44" s="95"/>
      <c r="X44" s="95"/>
      <c r="Y44" s="95"/>
      <c r="Z44" s="95"/>
      <c r="AA44" s="95"/>
      <c r="AB44" s="95"/>
      <c r="AC44" s="97"/>
      <c r="AD44" s="85"/>
      <c r="AE44" s="86" t="s">
        <v>558</v>
      </c>
      <c r="AF44" s="99"/>
      <c r="AG44" s="55" t="str">
        <f>VLOOKUP(C44,'Safety-Plant'!B:B,1,FALSE)</f>
        <v>FC088</v>
      </c>
    </row>
    <row r="45" spans="1:33" s="52" customFormat="1" ht="16.5" customHeight="1">
      <c r="A45" s="88" t="s">
        <v>646</v>
      </c>
      <c r="B45" s="119"/>
      <c r="C45" s="149" t="s">
        <v>73</v>
      </c>
      <c r="D45" s="117" t="s">
        <v>74</v>
      </c>
      <c r="E45" s="103" t="s">
        <v>657</v>
      </c>
      <c r="F45" s="93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6"/>
      <c r="T45" s="95"/>
      <c r="U45" s="95"/>
      <c r="V45" s="95"/>
      <c r="W45" s="95"/>
      <c r="X45" s="95"/>
      <c r="Y45" s="95"/>
      <c r="Z45" s="95"/>
      <c r="AA45" s="95"/>
      <c r="AB45" s="95"/>
      <c r="AC45" s="97"/>
      <c r="AD45" s="85"/>
      <c r="AE45" s="86" t="s">
        <v>558</v>
      </c>
      <c r="AF45" s="99"/>
      <c r="AG45" s="55" t="str">
        <f>VLOOKUP(C45,'Safety-Plant'!B:B,1,FALSE)</f>
        <v>FC309</v>
      </c>
    </row>
    <row r="46" spans="1:33" s="52" customFormat="1" ht="16.5" customHeight="1">
      <c r="A46" s="88" t="s">
        <v>646</v>
      </c>
      <c r="B46" s="119"/>
      <c r="C46" s="149" t="s">
        <v>75</v>
      </c>
      <c r="D46" s="117" t="s">
        <v>76</v>
      </c>
      <c r="E46" s="103" t="s">
        <v>658</v>
      </c>
      <c r="F46" s="93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6"/>
      <c r="T46" s="95"/>
      <c r="U46" s="95"/>
      <c r="V46" s="95"/>
      <c r="W46" s="95"/>
      <c r="X46" s="95"/>
      <c r="Y46" s="95"/>
      <c r="Z46" s="95"/>
      <c r="AA46" s="95"/>
      <c r="AB46" s="95"/>
      <c r="AC46" s="97"/>
      <c r="AD46" s="85"/>
      <c r="AE46" s="98" t="s">
        <v>560</v>
      </c>
      <c r="AF46" s="99"/>
      <c r="AG46" s="55" t="str">
        <f>VLOOKUP(C46,'Safety-Plant'!B:B,1,FALSE)</f>
        <v>FC256</v>
      </c>
    </row>
    <row r="47" spans="1:33" s="52" customFormat="1" ht="16.5" customHeight="1">
      <c r="A47" s="88" t="s">
        <v>646</v>
      </c>
      <c r="B47" s="119"/>
      <c r="C47" s="149" t="s">
        <v>554</v>
      </c>
      <c r="D47" s="117" t="s">
        <v>659</v>
      </c>
      <c r="E47" s="103" t="s">
        <v>658</v>
      </c>
      <c r="F47" s="93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6"/>
      <c r="T47" s="95"/>
      <c r="U47" s="95"/>
      <c r="V47" s="95"/>
      <c r="W47" s="95"/>
      <c r="X47" s="95"/>
      <c r="Y47" s="95"/>
      <c r="Z47" s="95"/>
      <c r="AA47" s="95"/>
      <c r="AB47" s="95"/>
      <c r="AC47" s="97"/>
      <c r="AD47" s="85"/>
      <c r="AE47" s="98" t="s">
        <v>560</v>
      </c>
      <c r="AF47" s="99"/>
      <c r="AG47" s="55" t="str">
        <f>VLOOKUP(C47,'Safety-Plant'!B:B,1,FALSE)</f>
        <v>FC410</v>
      </c>
    </row>
    <row r="48" spans="1:33" s="52" customFormat="1" ht="16.5" customHeight="1">
      <c r="A48" s="88" t="s">
        <v>646</v>
      </c>
      <c r="B48" s="150"/>
      <c r="C48" s="131" t="s">
        <v>77</v>
      </c>
      <c r="D48" s="117" t="s">
        <v>78</v>
      </c>
      <c r="E48" s="103" t="s">
        <v>658</v>
      </c>
      <c r="F48" s="93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6"/>
      <c r="T48" s="95"/>
      <c r="U48" s="95"/>
      <c r="V48" s="95"/>
      <c r="W48" s="95"/>
      <c r="X48" s="95"/>
      <c r="Y48" s="95"/>
      <c r="Z48" s="95"/>
      <c r="AA48" s="95"/>
      <c r="AB48" s="95"/>
      <c r="AC48" s="97"/>
      <c r="AD48" s="85"/>
      <c r="AE48" s="98" t="s">
        <v>560</v>
      </c>
      <c r="AF48" s="99"/>
      <c r="AG48" s="55" t="str">
        <f>VLOOKUP(C48,'Safety-Plant'!B:B,1,FALSE)</f>
        <v>FC272</v>
      </c>
    </row>
    <row r="49" spans="1:33" s="52" customFormat="1" ht="16.5" customHeight="1">
      <c r="A49" s="88" t="s">
        <v>646</v>
      </c>
      <c r="B49" s="150"/>
      <c r="C49" s="103" t="s">
        <v>79</v>
      </c>
      <c r="D49" s="117" t="s">
        <v>80</v>
      </c>
      <c r="E49" s="103" t="s">
        <v>658</v>
      </c>
      <c r="F49" s="93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6"/>
      <c r="T49" s="95"/>
      <c r="U49" s="95"/>
      <c r="V49" s="95"/>
      <c r="W49" s="95"/>
      <c r="X49" s="95"/>
      <c r="Y49" s="95"/>
      <c r="Z49" s="95"/>
      <c r="AA49" s="95"/>
      <c r="AB49" s="95"/>
      <c r="AC49" s="97"/>
      <c r="AD49" s="85"/>
      <c r="AE49" s="98" t="s">
        <v>560</v>
      </c>
      <c r="AF49" s="99"/>
      <c r="AG49" s="55" t="str">
        <f>VLOOKUP(C49,'Safety-Plant'!B:B,1,FALSE)</f>
        <v>FC300</v>
      </c>
    </row>
    <row r="50" spans="1:33" s="52" customFormat="1" ht="16.5" customHeight="1">
      <c r="A50" s="88" t="s">
        <v>646</v>
      </c>
      <c r="B50" s="119"/>
      <c r="C50" s="103" t="s">
        <v>81</v>
      </c>
      <c r="D50" s="117" t="s">
        <v>82</v>
      </c>
      <c r="E50" s="103" t="s">
        <v>658</v>
      </c>
      <c r="F50" s="93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6"/>
      <c r="T50" s="95"/>
      <c r="U50" s="95"/>
      <c r="V50" s="95"/>
      <c r="W50" s="95"/>
      <c r="X50" s="95"/>
      <c r="Y50" s="95"/>
      <c r="Z50" s="95"/>
      <c r="AA50" s="95"/>
      <c r="AB50" s="95"/>
      <c r="AC50" s="97"/>
      <c r="AD50" s="85"/>
      <c r="AE50" s="98" t="s">
        <v>560</v>
      </c>
      <c r="AF50" s="99"/>
      <c r="AG50" s="55" t="str">
        <f>VLOOKUP(C50,'Safety-Plant'!B:B,1,FALSE)</f>
        <v>FC071</v>
      </c>
    </row>
    <row r="51" spans="1:33" s="52" customFormat="1" ht="16.5" customHeight="1">
      <c r="A51" s="88" t="s">
        <v>646</v>
      </c>
      <c r="B51" s="119"/>
      <c r="C51" s="120" t="s">
        <v>83</v>
      </c>
      <c r="D51" s="117" t="s">
        <v>84</v>
      </c>
      <c r="E51" s="103" t="s">
        <v>658</v>
      </c>
      <c r="F51" s="93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6"/>
      <c r="T51" s="95"/>
      <c r="U51" s="95"/>
      <c r="V51" s="95"/>
      <c r="W51" s="95"/>
      <c r="X51" s="95"/>
      <c r="Y51" s="95"/>
      <c r="Z51" s="95"/>
      <c r="AA51" s="95"/>
      <c r="AB51" s="95"/>
      <c r="AC51" s="97"/>
      <c r="AD51" s="85"/>
      <c r="AE51" s="98" t="s">
        <v>563</v>
      </c>
      <c r="AF51" s="99"/>
      <c r="AG51" s="55" t="str">
        <f>VLOOKUP(C51,'Safety-Plant'!B:B,1,FALSE)</f>
        <v>FC332</v>
      </c>
    </row>
    <row r="52" spans="1:33" s="52" customFormat="1" ht="16.5" customHeight="1">
      <c r="A52" s="88" t="s">
        <v>646</v>
      </c>
      <c r="B52" s="119"/>
      <c r="C52" s="120" t="s">
        <v>85</v>
      </c>
      <c r="D52" s="117" t="s">
        <v>86</v>
      </c>
      <c r="E52" s="103" t="s">
        <v>658</v>
      </c>
      <c r="F52" s="93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6"/>
      <c r="T52" s="95"/>
      <c r="U52" s="95"/>
      <c r="V52" s="95"/>
      <c r="W52" s="95"/>
      <c r="X52" s="95"/>
      <c r="Y52" s="95"/>
      <c r="Z52" s="95"/>
      <c r="AA52" s="95"/>
      <c r="AB52" s="95"/>
      <c r="AC52" s="97"/>
      <c r="AD52" s="85"/>
      <c r="AE52" s="98" t="s">
        <v>560</v>
      </c>
      <c r="AF52" s="99"/>
      <c r="AG52" s="55" t="str">
        <f>VLOOKUP(C52,'Safety-Plant'!B:B,1,FALSE)</f>
        <v>FC402</v>
      </c>
    </row>
    <row r="53" spans="1:33" s="52" customFormat="1" ht="16.5" customHeight="1">
      <c r="A53" s="88" t="s">
        <v>646</v>
      </c>
      <c r="B53" s="119"/>
      <c r="C53" s="151" t="s">
        <v>536</v>
      </c>
      <c r="D53" s="152" t="s">
        <v>537</v>
      </c>
      <c r="E53" s="117" t="s">
        <v>658</v>
      </c>
      <c r="F53" s="93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6"/>
      <c r="T53" s="95"/>
      <c r="U53" s="95"/>
      <c r="V53" s="95"/>
      <c r="W53" s="95"/>
      <c r="X53" s="95"/>
      <c r="Y53" s="95"/>
      <c r="Z53" s="95"/>
      <c r="AA53" s="95"/>
      <c r="AB53" s="95"/>
      <c r="AC53" s="97"/>
      <c r="AD53" s="85"/>
      <c r="AE53" s="98" t="s">
        <v>560</v>
      </c>
      <c r="AF53" s="99"/>
      <c r="AG53" s="55" t="str">
        <f>VLOOKUP(C53,'Safety-Plant'!B:B,1,FALSE)</f>
        <v>FC401</v>
      </c>
    </row>
    <row r="54" spans="1:33" s="52" customFormat="1" ht="16.5" customHeight="1">
      <c r="A54" s="88" t="s">
        <v>646</v>
      </c>
      <c r="B54" s="119"/>
      <c r="C54" s="92" t="s">
        <v>532</v>
      </c>
      <c r="D54" s="153" t="s">
        <v>533</v>
      </c>
      <c r="E54" s="117" t="s">
        <v>658</v>
      </c>
      <c r="F54" s="93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6"/>
      <c r="T54" s="95"/>
      <c r="U54" s="95"/>
      <c r="V54" s="95"/>
      <c r="W54" s="95"/>
      <c r="X54" s="95"/>
      <c r="Y54" s="95"/>
      <c r="Z54" s="95"/>
      <c r="AA54" s="95"/>
      <c r="AB54" s="95"/>
      <c r="AC54" s="97"/>
      <c r="AD54" s="85"/>
      <c r="AE54" s="98" t="s">
        <v>560</v>
      </c>
      <c r="AF54" s="99"/>
      <c r="AG54" s="55" t="str">
        <f>VLOOKUP(C54,'Safety-Plant'!B:B,1,FALSE)</f>
        <v>FC406</v>
      </c>
    </row>
    <row r="55" spans="1:33" s="52" customFormat="1" ht="16.5" customHeight="1">
      <c r="A55" s="88" t="s">
        <v>646</v>
      </c>
      <c r="B55" s="154"/>
      <c r="C55" s="103" t="s">
        <v>87</v>
      </c>
      <c r="D55" s="117" t="s">
        <v>88</v>
      </c>
      <c r="E55" s="103" t="s">
        <v>660</v>
      </c>
      <c r="F55" s="93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6"/>
      <c r="T55" s="95"/>
      <c r="U55" s="95"/>
      <c r="V55" s="95"/>
      <c r="W55" s="95"/>
      <c r="X55" s="95"/>
      <c r="Y55" s="95"/>
      <c r="Z55" s="95"/>
      <c r="AA55" s="95"/>
      <c r="AB55" s="95"/>
      <c r="AC55" s="97"/>
      <c r="AD55" s="85"/>
      <c r="AE55" s="98" t="s">
        <v>560</v>
      </c>
      <c r="AF55" s="99"/>
      <c r="AG55" s="55" t="str">
        <f>VLOOKUP(C55,'Safety-Plant'!B:B,1,FALSE)</f>
        <v>FC228</v>
      </c>
    </row>
    <row r="56" spans="1:33" s="52" customFormat="1" ht="16.5" customHeight="1">
      <c r="A56" s="88" t="s">
        <v>646</v>
      </c>
      <c r="B56" s="155"/>
      <c r="C56" s="92" t="s">
        <v>89</v>
      </c>
      <c r="D56" s="156" t="s">
        <v>90</v>
      </c>
      <c r="E56" s="103" t="s">
        <v>660</v>
      </c>
      <c r="F56" s="93"/>
      <c r="G56" s="95"/>
      <c r="H56" s="95"/>
      <c r="I56" s="95"/>
      <c r="J56" s="95"/>
      <c r="K56" s="95"/>
      <c r="L56" s="95"/>
      <c r="M56" s="82"/>
      <c r="N56" s="82"/>
      <c r="O56" s="82"/>
      <c r="P56" s="82"/>
      <c r="Q56" s="82"/>
      <c r="R56" s="82"/>
      <c r="S56" s="83"/>
      <c r="T56" s="82"/>
      <c r="U56" s="82"/>
      <c r="V56" s="82"/>
      <c r="W56" s="82"/>
      <c r="X56" s="95"/>
      <c r="Y56" s="95"/>
      <c r="Z56" s="95"/>
      <c r="AA56" s="95"/>
      <c r="AB56" s="95"/>
      <c r="AC56" s="97"/>
      <c r="AD56" s="85"/>
      <c r="AE56" s="98" t="s">
        <v>560</v>
      </c>
      <c r="AF56" s="99"/>
      <c r="AG56" s="55" t="str">
        <f>VLOOKUP(C56,'Safety-Plant'!B:B,1,FALSE)</f>
        <v>FC388</v>
      </c>
    </row>
    <row r="57" spans="1:33" s="52" customFormat="1" ht="16.5" customHeight="1">
      <c r="A57" s="88" t="s">
        <v>646</v>
      </c>
      <c r="B57" s="157"/>
      <c r="C57" s="158" t="s">
        <v>91</v>
      </c>
      <c r="D57" s="102" t="s">
        <v>92</v>
      </c>
      <c r="E57" s="120" t="s">
        <v>661</v>
      </c>
      <c r="F57" s="93"/>
      <c r="G57" s="95"/>
      <c r="H57" s="95"/>
      <c r="I57" s="95"/>
      <c r="J57" s="95"/>
      <c r="K57" s="95"/>
      <c r="L57" s="95"/>
      <c r="M57" s="94"/>
      <c r="N57" s="82"/>
      <c r="O57" s="82"/>
      <c r="P57" s="82"/>
      <c r="Q57" s="82"/>
      <c r="R57" s="82"/>
      <c r="S57" s="159"/>
      <c r="T57" s="82"/>
      <c r="U57" s="82"/>
      <c r="V57" s="94"/>
      <c r="W57" s="94"/>
      <c r="X57" s="95"/>
      <c r="Y57" s="95"/>
      <c r="Z57" s="95"/>
      <c r="AA57" s="95"/>
      <c r="AB57" s="95"/>
      <c r="AC57" s="97"/>
      <c r="AD57" s="85"/>
      <c r="AE57" s="86" t="s">
        <v>558</v>
      </c>
      <c r="AF57" s="99"/>
      <c r="AG57" s="55" t="str">
        <f>VLOOKUP(C57,'Safety-Plant'!B:B,1,FALSE)</f>
        <v>31IH</v>
      </c>
    </row>
    <row r="58" spans="1:33" s="52" customFormat="1" ht="16.5" customHeight="1">
      <c r="A58" s="88" t="s">
        <v>646</v>
      </c>
      <c r="B58" s="140" t="s">
        <v>662</v>
      </c>
      <c r="C58" s="103" t="s">
        <v>93</v>
      </c>
      <c r="D58" s="117" t="s">
        <v>94</v>
      </c>
      <c r="E58" s="103" t="s">
        <v>663</v>
      </c>
      <c r="F58" s="93"/>
      <c r="G58" s="95"/>
      <c r="H58" s="95"/>
      <c r="I58" s="95"/>
      <c r="J58" s="95"/>
      <c r="K58" s="95"/>
      <c r="L58" s="95"/>
      <c r="M58" s="82"/>
      <c r="N58" s="82"/>
      <c r="O58" s="82"/>
      <c r="P58" s="82"/>
      <c r="Q58" s="82"/>
      <c r="R58" s="82"/>
      <c r="S58" s="83"/>
      <c r="T58" s="82"/>
      <c r="U58" s="82"/>
      <c r="V58" s="82"/>
      <c r="W58" s="82"/>
      <c r="X58" s="95"/>
      <c r="Y58" s="95"/>
      <c r="Z58" s="95"/>
      <c r="AA58" s="95"/>
      <c r="AB58" s="95"/>
      <c r="AC58" s="97"/>
      <c r="AD58" s="85"/>
      <c r="AE58" s="160" t="s">
        <v>560</v>
      </c>
      <c r="AF58" s="161"/>
      <c r="AG58" s="55" t="str">
        <f>VLOOKUP(C58,'Safety-Plant'!B:B,1,FALSE)</f>
        <v>FC068</v>
      </c>
    </row>
    <row r="59" spans="1:33" s="52" customFormat="1" ht="16.5" customHeight="1">
      <c r="A59" s="88" t="s">
        <v>646</v>
      </c>
      <c r="B59" s="119"/>
      <c r="C59" s="120" t="s">
        <v>95</v>
      </c>
      <c r="D59" s="117" t="s">
        <v>96</v>
      </c>
      <c r="E59" s="103" t="s">
        <v>663</v>
      </c>
      <c r="F59" s="93"/>
      <c r="G59" s="95"/>
      <c r="H59" s="95"/>
      <c r="I59" s="95"/>
      <c r="J59" s="95"/>
      <c r="K59" s="95"/>
      <c r="L59" s="95"/>
      <c r="M59" s="82"/>
      <c r="N59" s="82"/>
      <c r="O59" s="82"/>
      <c r="P59" s="82"/>
      <c r="Q59" s="82"/>
      <c r="R59" s="82"/>
      <c r="S59" s="83"/>
      <c r="T59" s="82"/>
      <c r="U59" s="82"/>
      <c r="V59" s="82"/>
      <c r="W59" s="82"/>
      <c r="X59" s="95"/>
      <c r="Y59" s="95"/>
      <c r="Z59" s="95"/>
      <c r="AA59" s="95"/>
      <c r="AB59" s="95"/>
      <c r="AC59" s="97"/>
      <c r="AD59" s="85"/>
      <c r="AE59" s="160" t="s">
        <v>560</v>
      </c>
      <c r="AF59" s="161"/>
      <c r="AG59" s="55" t="str">
        <f>VLOOKUP(C59,'Safety-Plant'!B:B,1,FALSE)</f>
        <v>FC117</v>
      </c>
    </row>
    <row r="60" spans="1:33" s="52" customFormat="1" ht="16.5" customHeight="1">
      <c r="A60" s="88" t="s">
        <v>646</v>
      </c>
      <c r="B60" s="119"/>
      <c r="C60" s="120" t="s">
        <v>97</v>
      </c>
      <c r="D60" s="117" t="s">
        <v>98</v>
      </c>
      <c r="E60" s="103" t="s">
        <v>663</v>
      </c>
      <c r="F60" s="93"/>
      <c r="G60" s="95"/>
      <c r="H60" s="95"/>
      <c r="I60" s="95"/>
      <c r="J60" s="95"/>
      <c r="K60" s="95"/>
      <c r="L60" s="95"/>
      <c r="M60" s="82"/>
      <c r="N60" s="82"/>
      <c r="O60" s="82"/>
      <c r="P60" s="82"/>
      <c r="Q60" s="82"/>
      <c r="R60" s="82"/>
      <c r="S60" s="83"/>
      <c r="T60" s="82"/>
      <c r="U60" s="94"/>
      <c r="V60" s="82"/>
      <c r="W60" s="82"/>
      <c r="X60" s="95"/>
      <c r="Y60" s="95"/>
      <c r="Z60" s="95"/>
      <c r="AA60" s="95"/>
      <c r="AB60" s="95"/>
      <c r="AC60" s="97"/>
      <c r="AD60" s="85"/>
      <c r="AE60" s="160" t="s">
        <v>560</v>
      </c>
      <c r="AF60" s="162"/>
      <c r="AG60" s="55" t="str">
        <f>VLOOKUP(C60,'Safety-Plant'!B:B,1,FALSE)</f>
        <v>FC169</v>
      </c>
    </row>
    <row r="61" spans="1:33" s="52" customFormat="1" ht="16.5" customHeight="1">
      <c r="A61" s="88" t="s">
        <v>646</v>
      </c>
      <c r="B61" s="119"/>
      <c r="C61" s="120" t="s">
        <v>99</v>
      </c>
      <c r="D61" s="117" t="s">
        <v>100</v>
      </c>
      <c r="E61" s="103" t="s">
        <v>663</v>
      </c>
      <c r="F61" s="93"/>
      <c r="G61" s="95"/>
      <c r="H61" s="95"/>
      <c r="I61" s="95"/>
      <c r="J61" s="95"/>
      <c r="K61" s="95"/>
      <c r="L61" s="95"/>
      <c r="M61" s="82"/>
      <c r="N61" s="82"/>
      <c r="O61" s="82"/>
      <c r="P61" s="82"/>
      <c r="Q61" s="82"/>
      <c r="R61" s="82"/>
      <c r="S61" s="83"/>
      <c r="T61" s="82"/>
      <c r="U61" s="82"/>
      <c r="V61" s="82"/>
      <c r="W61" s="82"/>
      <c r="X61" s="95"/>
      <c r="Y61" s="95"/>
      <c r="Z61" s="95"/>
      <c r="AA61" s="94"/>
      <c r="AB61" s="95"/>
      <c r="AC61" s="97"/>
      <c r="AD61" s="85"/>
      <c r="AE61" s="160" t="s">
        <v>560</v>
      </c>
      <c r="AF61" s="161"/>
      <c r="AG61" s="55" t="str">
        <f>VLOOKUP(C61,'Safety-Plant'!B:B,1,FALSE)</f>
        <v>FC273</v>
      </c>
    </row>
    <row r="62" spans="1:33" s="52" customFormat="1" ht="16.5" customHeight="1">
      <c r="A62" s="88" t="s">
        <v>646</v>
      </c>
      <c r="B62" s="119"/>
      <c r="C62" s="103" t="s">
        <v>101</v>
      </c>
      <c r="D62" s="117" t="s">
        <v>102</v>
      </c>
      <c r="E62" s="103" t="s">
        <v>664</v>
      </c>
      <c r="F62" s="93"/>
      <c r="G62" s="95"/>
      <c r="H62" s="95"/>
      <c r="I62" s="95"/>
      <c r="J62" s="95"/>
      <c r="K62" s="95"/>
      <c r="L62" s="95"/>
      <c r="M62" s="82"/>
      <c r="N62" s="82"/>
      <c r="O62" s="82"/>
      <c r="P62" s="82"/>
      <c r="Q62" s="82"/>
      <c r="R62" s="82"/>
      <c r="S62" s="83"/>
      <c r="T62" s="82"/>
      <c r="U62" s="82"/>
      <c r="V62" s="82"/>
      <c r="W62" s="82"/>
      <c r="X62" s="95"/>
      <c r="Y62" s="95"/>
      <c r="Z62" s="95"/>
      <c r="AA62" s="95"/>
      <c r="AB62" s="95"/>
      <c r="AC62" s="97"/>
      <c r="AD62" s="85"/>
      <c r="AE62" s="160" t="s">
        <v>560</v>
      </c>
      <c r="AF62" s="162"/>
      <c r="AG62" s="55" t="str">
        <f>VLOOKUP(C62,'Safety-Plant'!B:B,1,FALSE)</f>
        <v>FC105</v>
      </c>
    </row>
    <row r="63" spans="1:33" s="52" customFormat="1" ht="16.5" customHeight="1">
      <c r="A63" s="88" t="s">
        <v>646</v>
      </c>
      <c r="B63" s="133"/>
      <c r="C63" s="103" t="s">
        <v>105</v>
      </c>
      <c r="D63" s="117" t="s">
        <v>106</v>
      </c>
      <c r="E63" s="103" t="s">
        <v>653</v>
      </c>
      <c r="F63" s="93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6"/>
      <c r="T63" s="95"/>
      <c r="U63" s="95"/>
      <c r="V63" s="95"/>
      <c r="W63" s="95"/>
      <c r="X63" s="95"/>
      <c r="Y63" s="95"/>
      <c r="Z63" s="95"/>
      <c r="AA63" s="95"/>
      <c r="AB63" s="95"/>
      <c r="AC63" s="97"/>
      <c r="AD63" s="85"/>
      <c r="AE63" s="160" t="s">
        <v>563</v>
      </c>
      <c r="AF63" s="162"/>
      <c r="AG63" s="55" t="str">
        <f>VLOOKUP(C63,'Safety-Plant'!B:B,1,FALSE)</f>
        <v>FC017</v>
      </c>
    </row>
    <row r="64" spans="1:33" s="52" customFormat="1" ht="16.5" customHeight="1">
      <c r="A64" s="88" t="s">
        <v>646</v>
      </c>
      <c r="B64" s="119"/>
      <c r="C64" s="120" t="s">
        <v>107</v>
      </c>
      <c r="D64" s="163" t="s">
        <v>108</v>
      </c>
      <c r="E64" s="103" t="s">
        <v>665</v>
      </c>
      <c r="F64" s="164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6"/>
      <c r="T64" s="95"/>
      <c r="U64" s="95"/>
      <c r="V64" s="95"/>
      <c r="W64" s="95"/>
      <c r="X64" s="95"/>
      <c r="Y64" s="95"/>
      <c r="Z64" s="95"/>
      <c r="AA64" s="95"/>
      <c r="AB64" s="95"/>
      <c r="AC64" s="97"/>
      <c r="AD64" s="85"/>
      <c r="AE64" s="160" t="s">
        <v>563</v>
      </c>
      <c r="AF64" s="162"/>
      <c r="AG64" s="55" t="str">
        <f>VLOOKUP(C64,'Safety-Plant'!B:B,1,FALSE)</f>
        <v>FC043</v>
      </c>
    </row>
    <row r="65" spans="1:33" s="52" customFormat="1" ht="16.5" customHeight="1">
      <c r="A65" s="88" t="s">
        <v>646</v>
      </c>
      <c r="B65" s="119"/>
      <c r="C65" s="165" t="s">
        <v>523</v>
      </c>
      <c r="D65" s="166" t="s">
        <v>524</v>
      </c>
      <c r="E65" s="167" t="s">
        <v>666</v>
      </c>
      <c r="F65" s="164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6"/>
      <c r="T65" s="95"/>
      <c r="U65" s="95"/>
      <c r="V65" s="95"/>
      <c r="W65" s="95"/>
      <c r="X65" s="95"/>
      <c r="Y65" s="95"/>
      <c r="Z65" s="95"/>
      <c r="AA65" s="95"/>
      <c r="AB65" s="95"/>
      <c r="AC65" s="97"/>
      <c r="AD65" s="85"/>
      <c r="AE65" s="160" t="s">
        <v>563</v>
      </c>
      <c r="AF65" s="162"/>
      <c r="AG65" s="55" t="str">
        <f>VLOOKUP(C65,'Safety-Plant'!B:B,1,FALSE)</f>
        <v>FC399</v>
      </c>
    </row>
    <row r="66" spans="1:33" s="52" customFormat="1" ht="16.5" customHeight="1">
      <c r="A66" s="88" t="s">
        <v>646</v>
      </c>
      <c r="B66" s="168"/>
      <c r="C66" s="169" t="s">
        <v>534</v>
      </c>
      <c r="D66" s="170" t="s">
        <v>535</v>
      </c>
      <c r="E66" s="171" t="s">
        <v>667</v>
      </c>
      <c r="F66" s="172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6"/>
      <c r="T66" s="95"/>
      <c r="U66" s="95"/>
      <c r="V66" s="95"/>
      <c r="W66" s="95"/>
      <c r="X66" s="95"/>
      <c r="Y66" s="95"/>
      <c r="Z66" s="95"/>
      <c r="AA66" s="95"/>
      <c r="AB66" s="95"/>
      <c r="AC66" s="97"/>
      <c r="AD66" s="85"/>
      <c r="AE66" s="86" t="s">
        <v>560</v>
      </c>
      <c r="AF66" s="161"/>
      <c r="AG66" s="55" t="str">
        <f>VLOOKUP(C66,'Safety-Plant'!B:B,1,FALSE)</f>
        <v>13O6</v>
      </c>
    </row>
    <row r="67" spans="1:33" s="52" customFormat="1" ht="16.5" customHeight="1" thickBot="1">
      <c r="A67" s="104" t="s">
        <v>646</v>
      </c>
      <c r="B67" s="173" t="s">
        <v>668</v>
      </c>
      <c r="C67" s="174" t="s">
        <v>109</v>
      </c>
      <c r="D67" s="175" t="s">
        <v>669</v>
      </c>
      <c r="E67" s="176" t="s">
        <v>670</v>
      </c>
      <c r="F67" s="177"/>
      <c r="G67" s="110"/>
      <c r="H67" s="110"/>
      <c r="I67" s="110"/>
      <c r="J67" s="110"/>
      <c r="K67" s="110"/>
      <c r="L67" s="178"/>
      <c r="M67" s="178"/>
      <c r="N67" s="110"/>
      <c r="O67" s="110"/>
      <c r="P67" s="110"/>
      <c r="Q67" s="110"/>
      <c r="R67" s="110"/>
      <c r="S67" s="179"/>
      <c r="T67" s="110"/>
      <c r="U67" s="110"/>
      <c r="V67" s="110"/>
      <c r="W67" s="110"/>
      <c r="X67" s="110"/>
      <c r="Y67" s="110"/>
      <c r="Z67" s="110"/>
      <c r="AA67" s="178"/>
      <c r="AB67" s="110"/>
      <c r="AC67" s="180"/>
      <c r="AD67" s="181"/>
      <c r="AE67" s="114" t="s">
        <v>560</v>
      </c>
      <c r="AF67" s="182"/>
      <c r="AG67" s="55" t="str">
        <f>VLOOKUP(C67,'Safety-Plant'!B:B,1,FALSE)</f>
        <v>13O3</v>
      </c>
    </row>
    <row r="68" spans="1:33" s="52" customFormat="1" ht="16.5" customHeight="1">
      <c r="A68" s="76" t="s">
        <v>671</v>
      </c>
      <c r="B68" s="183" t="s">
        <v>672</v>
      </c>
      <c r="C68" s="184" t="s">
        <v>110</v>
      </c>
      <c r="D68" s="79" t="s">
        <v>111</v>
      </c>
      <c r="E68" s="80" t="s">
        <v>673</v>
      </c>
      <c r="F68" s="81">
        <v>12</v>
      </c>
      <c r="G68" s="145" t="s">
        <v>520</v>
      </c>
      <c r="H68" s="145" t="s">
        <v>520</v>
      </c>
      <c r="I68" s="145" t="s">
        <v>520</v>
      </c>
      <c r="J68" s="145" t="s">
        <v>520</v>
      </c>
      <c r="K68" s="145" t="s">
        <v>520</v>
      </c>
      <c r="L68" s="145" t="s">
        <v>520</v>
      </c>
      <c r="M68" s="145" t="s">
        <v>520</v>
      </c>
      <c r="N68" s="145" t="s">
        <v>520</v>
      </c>
      <c r="O68" s="145" t="s">
        <v>520</v>
      </c>
      <c r="P68" s="145" t="s">
        <v>520</v>
      </c>
      <c r="Q68" s="145" t="s">
        <v>520</v>
      </c>
      <c r="R68" s="145" t="s">
        <v>520</v>
      </c>
      <c r="S68" s="146">
        <v>10</v>
      </c>
      <c r="T68" s="145" t="s">
        <v>520</v>
      </c>
      <c r="U68" s="145" t="s">
        <v>520</v>
      </c>
      <c r="V68" s="145" t="s">
        <v>520</v>
      </c>
      <c r="W68" s="145" t="s">
        <v>520</v>
      </c>
      <c r="X68" s="145" t="s">
        <v>520</v>
      </c>
      <c r="Y68" s="145" t="s">
        <v>520</v>
      </c>
      <c r="Z68" s="145" t="s">
        <v>520</v>
      </c>
      <c r="AA68" s="145" t="s">
        <v>520</v>
      </c>
      <c r="AB68" s="145" t="s">
        <v>520</v>
      </c>
      <c r="AC68" s="147" t="s">
        <v>520</v>
      </c>
      <c r="AD68" s="185" t="s">
        <v>674</v>
      </c>
      <c r="AE68" s="186" t="s">
        <v>564</v>
      </c>
      <c r="AF68" s="143"/>
      <c r="AG68" s="55" t="str">
        <f>VLOOKUP(C68,'Safety-Plant'!B:B,1,FALSE)</f>
        <v>FC216</v>
      </c>
    </row>
    <row r="69" spans="1:33" s="52" customFormat="1" ht="16.5" customHeight="1">
      <c r="A69" s="88" t="s">
        <v>671</v>
      </c>
      <c r="B69" s="187"/>
      <c r="C69" s="120" t="s">
        <v>112</v>
      </c>
      <c r="D69" s="117" t="s">
        <v>113</v>
      </c>
      <c r="E69" s="103" t="s">
        <v>675</v>
      </c>
      <c r="F69" s="81">
        <v>12</v>
      </c>
      <c r="G69" s="145" t="s">
        <v>520</v>
      </c>
      <c r="H69" s="145" t="s">
        <v>520</v>
      </c>
      <c r="I69" s="145" t="s">
        <v>520</v>
      </c>
      <c r="J69" s="145" t="s">
        <v>520</v>
      </c>
      <c r="K69" s="145" t="s">
        <v>520</v>
      </c>
      <c r="L69" s="145" t="s">
        <v>520</v>
      </c>
      <c r="M69" s="145" t="s">
        <v>520</v>
      </c>
      <c r="N69" s="145" t="s">
        <v>520</v>
      </c>
      <c r="O69" s="145" t="s">
        <v>520</v>
      </c>
      <c r="P69" s="145" t="s">
        <v>520</v>
      </c>
      <c r="Q69" s="145" t="s">
        <v>520</v>
      </c>
      <c r="R69" s="145" t="s">
        <v>520</v>
      </c>
      <c r="S69" s="146">
        <v>10</v>
      </c>
      <c r="T69" s="145" t="s">
        <v>520</v>
      </c>
      <c r="U69" s="145" t="s">
        <v>520</v>
      </c>
      <c r="V69" s="145" t="s">
        <v>520</v>
      </c>
      <c r="W69" s="145" t="s">
        <v>520</v>
      </c>
      <c r="X69" s="145" t="s">
        <v>520</v>
      </c>
      <c r="Y69" s="145" t="s">
        <v>520</v>
      </c>
      <c r="Z69" s="145" t="s">
        <v>520</v>
      </c>
      <c r="AA69" s="145" t="s">
        <v>520</v>
      </c>
      <c r="AB69" s="145" t="s">
        <v>520</v>
      </c>
      <c r="AC69" s="147" t="s">
        <v>520</v>
      </c>
      <c r="AD69" s="148" t="s">
        <v>676</v>
      </c>
      <c r="AE69" s="132" t="s">
        <v>564</v>
      </c>
      <c r="AF69" s="99"/>
      <c r="AG69" s="55" t="str">
        <f>VLOOKUP(C69,'Safety-Plant'!B:B,1,FALSE)</f>
        <v>FC146</v>
      </c>
    </row>
    <row r="70" spans="1:33" s="52" customFormat="1" ht="16.5" customHeight="1">
      <c r="A70" s="88" t="s">
        <v>671</v>
      </c>
      <c r="B70" s="119"/>
      <c r="C70" s="120" t="s">
        <v>114</v>
      </c>
      <c r="D70" s="117" t="s">
        <v>115</v>
      </c>
      <c r="E70" s="103" t="s">
        <v>675</v>
      </c>
      <c r="F70" s="81">
        <v>12</v>
      </c>
      <c r="G70" s="145" t="s">
        <v>520</v>
      </c>
      <c r="H70" s="145" t="s">
        <v>520</v>
      </c>
      <c r="I70" s="145" t="s">
        <v>520</v>
      </c>
      <c r="J70" s="145" t="s">
        <v>520</v>
      </c>
      <c r="K70" s="145" t="s">
        <v>520</v>
      </c>
      <c r="L70" s="145" t="s">
        <v>520</v>
      </c>
      <c r="M70" s="145" t="s">
        <v>520</v>
      </c>
      <c r="N70" s="145" t="s">
        <v>520</v>
      </c>
      <c r="O70" s="145" t="s">
        <v>520</v>
      </c>
      <c r="P70" s="145" t="s">
        <v>520</v>
      </c>
      <c r="Q70" s="145" t="s">
        <v>520</v>
      </c>
      <c r="R70" s="145" t="s">
        <v>520</v>
      </c>
      <c r="S70" s="146">
        <v>10</v>
      </c>
      <c r="T70" s="145" t="s">
        <v>520</v>
      </c>
      <c r="U70" s="145" t="s">
        <v>520</v>
      </c>
      <c r="V70" s="145" t="s">
        <v>520</v>
      </c>
      <c r="W70" s="145" t="s">
        <v>520</v>
      </c>
      <c r="X70" s="145" t="s">
        <v>520</v>
      </c>
      <c r="Y70" s="145" t="s">
        <v>520</v>
      </c>
      <c r="Z70" s="145" t="s">
        <v>520</v>
      </c>
      <c r="AA70" s="145" t="s">
        <v>520</v>
      </c>
      <c r="AB70" s="145" t="s">
        <v>520</v>
      </c>
      <c r="AC70" s="147" t="s">
        <v>520</v>
      </c>
      <c r="AD70" s="148" t="s">
        <v>676</v>
      </c>
      <c r="AE70" s="132" t="s">
        <v>564</v>
      </c>
      <c r="AF70" s="99"/>
      <c r="AG70" s="55" t="str">
        <f>VLOOKUP(C70,'Safety-Plant'!B:B,1,FALSE)</f>
        <v>FC276</v>
      </c>
    </row>
    <row r="71" spans="1:33" ht="16.5" customHeight="1">
      <c r="A71" s="88" t="s">
        <v>671</v>
      </c>
      <c r="B71" s="119"/>
      <c r="C71" s="120" t="s">
        <v>116</v>
      </c>
      <c r="D71" s="117" t="s">
        <v>117</v>
      </c>
      <c r="E71" s="188" t="s">
        <v>675</v>
      </c>
      <c r="F71" s="81">
        <v>12</v>
      </c>
      <c r="G71" s="145" t="s">
        <v>520</v>
      </c>
      <c r="H71" s="145" t="s">
        <v>520</v>
      </c>
      <c r="I71" s="145" t="s">
        <v>520</v>
      </c>
      <c r="J71" s="145" t="s">
        <v>520</v>
      </c>
      <c r="K71" s="145" t="s">
        <v>520</v>
      </c>
      <c r="L71" s="145" t="s">
        <v>520</v>
      </c>
      <c r="M71" s="145" t="s">
        <v>520</v>
      </c>
      <c r="N71" s="145" t="s">
        <v>520</v>
      </c>
      <c r="O71" s="145" t="s">
        <v>520</v>
      </c>
      <c r="P71" s="145" t="s">
        <v>520</v>
      </c>
      <c r="Q71" s="145" t="s">
        <v>520</v>
      </c>
      <c r="R71" s="145" t="s">
        <v>520</v>
      </c>
      <c r="S71" s="146">
        <v>10</v>
      </c>
      <c r="T71" s="145" t="s">
        <v>520</v>
      </c>
      <c r="U71" s="145" t="s">
        <v>520</v>
      </c>
      <c r="V71" s="145" t="s">
        <v>520</v>
      </c>
      <c r="W71" s="145" t="s">
        <v>520</v>
      </c>
      <c r="X71" s="145" t="s">
        <v>520</v>
      </c>
      <c r="Y71" s="145" t="s">
        <v>520</v>
      </c>
      <c r="Z71" s="145" t="s">
        <v>520</v>
      </c>
      <c r="AA71" s="145" t="s">
        <v>520</v>
      </c>
      <c r="AB71" s="145" t="s">
        <v>520</v>
      </c>
      <c r="AC71" s="147" t="s">
        <v>520</v>
      </c>
      <c r="AD71" s="148" t="s">
        <v>676</v>
      </c>
      <c r="AE71" s="132" t="s">
        <v>564</v>
      </c>
      <c r="AF71" s="99"/>
      <c r="AG71" s="55" t="str">
        <f>VLOOKUP(C71,'Safety-Plant'!B:B,1,FALSE)</f>
        <v>FC322</v>
      </c>
    </row>
    <row r="72" spans="1:33" ht="16.5" customHeight="1">
      <c r="A72" s="88" t="s">
        <v>671</v>
      </c>
      <c r="B72" s="119"/>
      <c r="C72" s="189" t="s">
        <v>118</v>
      </c>
      <c r="D72" s="190" t="s">
        <v>119</v>
      </c>
      <c r="E72" s="189" t="s">
        <v>677</v>
      </c>
      <c r="F72" s="81">
        <v>12</v>
      </c>
      <c r="G72" s="145" t="s">
        <v>520</v>
      </c>
      <c r="H72" s="145" t="s">
        <v>520</v>
      </c>
      <c r="I72" s="145" t="s">
        <v>520</v>
      </c>
      <c r="J72" s="145" t="s">
        <v>520</v>
      </c>
      <c r="K72" s="145" t="s">
        <v>520</v>
      </c>
      <c r="L72" s="145" t="s">
        <v>520</v>
      </c>
      <c r="M72" s="145" t="s">
        <v>520</v>
      </c>
      <c r="N72" s="145" t="s">
        <v>520</v>
      </c>
      <c r="O72" s="145" t="s">
        <v>520</v>
      </c>
      <c r="P72" s="145" t="s">
        <v>520</v>
      </c>
      <c r="Q72" s="145" t="s">
        <v>520</v>
      </c>
      <c r="R72" s="145" t="s">
        <v>520</v>
      </c>
      <c r="S72" s="146">
        <v>10</v>
      </c>
      <c r="T72" s="145" t="s">
        <v>520</v>
      </c>
      <c r="U72" s="145" t="s">
        <v>520</v>
      </c>
      <c r="V72" s="145" t="s">
        <v>520</v>
      </c>
      <c r="W72" s="145" t="s">
        <v>520</v>
      </c>
      <c r="X72" s="145" t="s">
        <v>520</v>
      </c>
      <c r="Y72" s="145" t="s">
        <v>520</v>
      </c>
      <c r="Z72" s="145" t="s">
        <v>520</v>
      </c>
      <c r="AA72" s="145" t="s">
        <v>520</v>
      </c>
      <c r="AB72" s="145" t="s">
        <v>520</v>
      </c>
      <c r="AC72" s="147" t="s">
        <v>520</v>
      </c>
      <c r="AD72" s="148" t="s">
        <v>676</v>
      </c>
      <c r="AE72" s="191" t="s">
        <v>560</v>
      </c>
      <c r="AF72" s="99"/>
      <c r="AG72" s="55" t="str">
        <f>VLOOKUP(C72,'Safety-Plant'!B:B,1,FALSE)</f>
        <v>FC007</v>
      </c>
    </row>
    <row r="73" spans="1:33" ht="16.5" customHeight="1">
      <c r="A73" s="88" t="s">
        <v>671</v>
      </c>
      <c r="B73" s="119"/>
      <c r="C73" s="120" t="s">
        <v>120</v>
      </c>
      <c r="D73" s="190" t="s">
        <v>121</v>
      </c>
      <c r="E73" s="188" t="s">
        <v>678</v>
      </c>
      <c r="F73" s="81">
        <v>12</v>
      </c>
      <c r="G73" s="145" t="s">
        <v>520</v>
      </c>
      <c r="H73" s="145" t="s">
        <v>520</v>
      </c>
      <c r="I73" s="145" t="s">
        <v>520</v>
      </c>
      <c r="J73" s="145" t="s">
        <v>520</v>
      </c>
      <c r="K73" s="145" t="s">
        <v>520</v>
      </c>
      <c r="L73" s="145" t="s">
        <v>520</v>
      </c>
      <c r="M73" s="145" t="s">
        <v>520</v>
      </c>
      <c r="N73" s="145" t="s">
        <v>520</v>
      </c>
      <c r="O73" s="145" t="s">
        <v>520</v>
      </c>
      <c r="P73" s="145" t="s">
        <v>520</v>
      </c>
      <c r="Q73" s="145" t="s">
        <v>520</v>
      </c>
      <c r="R73" s="145" t="s">
        <v>520</v>
      </c>
      <c r="S73" s="146">
        <v>10</v>
      </c>
      <c r="T73" s="145" t="s">
        <v>520</v>
      </c>
      <c r="U73" s="145" t="s">
        <v>520</v>
      </c>
      <c r="V73" s="145" t="s">
        <v>520</v>
      </c>
      <c r="W73" s="145" t="s">
        <v>520</v>
      </c>
      <c r="X73" s="145" t="s">
        <v>520</v>
      </c>
      <c r="Y73" s="145" t="s">
        <v>520</v>
      </c>
      <c r="Z73" s="145" t="s">
        <v>520</v>
      </c>
      <c r="AA73" s="145" t="s">
        <v>520</v>
      </c>
      <c r="AB73" s="145" t="s">
        <v>520</v>
      </c>
      <c r="AC73" s="147" t="s">
        <v>520</v>
      </c>
      <c r="AD73" s="148" t="s">
        <v>676</v>
      </c>
      <c r="AE73" s="132" t="s">
        <v>564</v>
      </c>
      <c r="AF73" s="99"/>
      <c r="AG73" s="55" t="str">
        <f>VLOOKUP(C73,'Safety-Plant'!B:B,1,FALSE)</f>
        <v>FC297</v>
      </c>
    </row>
    <row r="74" spans="1:33" ht="16.5" customHeight="1">
      <c r="A74" s="88" t="s">
        <v>671</v>
      </c>
      <c r="B74" s="119"/>
      <c r="C74" s="92" t="s">
        <v>122</v>
      </c>
      <c r="D74" s="192" t="s">
        <v>123</v>
      </c>
      <c r="E74" s="92" t="s">
        <v>678</v>
      </c>
      <c r="F74" s="81">
        <v>12</v>
      </c>
      <c r="G74" s="145" t="s">
        <v>520</v>
      </c>
      <c r="H74" s="145" t="s">
        <v>520</v>
      </c>
      <c r="I74" s="145" t="s">
        <v>520</v>
      </c>
      <c r="J74" s="145" t="s">
        <v>520</v>
      </c>
      <c r="K74" s="145" t="s">
        <v>520</v>
      </c>
      <c r="L74" s="145" t="s">
        <v>520</v>
      </c>
      <c r="M74" s="145" t="s">
        <v>520</v>
      </c>
      <c r="N74" s="145" t="s">
        <v>520</v>
      </c>
      <c r="O74" s="145" t="s">
        <v>520</v>
      </c>
      <c r="P74" s="145" t="s">
        <v>520</v>
      </c>
      <c r="Q74" s="145" t="s">
        <v>520</v>
      </c>
      <c r="R74" s="145" t="s">
        <v>520</v>
      </c>
      <c r="S74" s="146">
        <v>10</v>
      </c>
      <c r="T74" s="145" t="s">
        <v>520</v>
      </c>
      <c r="U74" s="145" t="s">
        <v>520</v>
      </c>
      <c r="V74" s="145" t="s">
        <v>520</v>
      </c>
      <c r="W74" s="145" t="s">
        <v>520</v>
      </c>
      <c r="X74" s="145" t="s">
        <v>520</v>
      </c>
      <c r="Y74" s="145" t="s">
        <v>520</v>
      </c>
      <c r="Z74" s="145" t="s">
        <v>520</v>
      </c>
      <c r="AA74" s="145" t="s">
        <v>520</v>
      </c>
      <c r="AB74" s="145" t="s">
        <v>520</v>
      </c>
      <c r="AC74" s="147" t="s">
        <v>520</v>
      </c>
      <c r="AD74" s="148" t="s">
        <v>674</v>
      </c>
      <c r="AE74" s="132" t="s">
        <v>564</v>
      </c>
      <c r="AF74" s="99"/>
      <c r="AG74" s="55" t="str">
        <f>VLOOKUP(C74,'Safety-Plant'!B:B,1,FALSE)</f>
        <v>FC393</v>
      </c>
    </row>
    <row r="75" spans="1:33" ht="16.5" customHeight="1">
      <c r="A75" s="88" t="s">
        <v>671</v>
      </c>
      <c r="B75" s="119"/>
      <c r="C75" s="120" t="s">
        <v>124</v>
      </c>
      <c r="D75" s="117" t="s">
        <v>125</v>
      </c>
      <c r="E75" s="103" t="s">
        <v>679</v>
      </c>
      <c r="F75" s="81">
        <v>12</v>
      </c>
      <c r="G75" s="145" t="s">
        <v>520</v>
      </c>
      <c r="H75" s="145" t="s">
        <v>520</v>
      </c>
      <c r="I75" s="145" t="s">
        <v>520</v>
      </c>
      <c r="J75" s="145" t="s">
        <v>520</v>
      </c>
      <c r="K75" s="145" t="s">
        <v>520</v>
      </c>
      <c r="L75" s="145" t="s">
        <v>520</v>
      </c>
      <c r="M75" s="145" t="s">
        <v>520</v>
      </c>
      <c r="N75" s="145" t="s">
        <v>520</v>
      </c>
      <c r="O75" s="145" t="s">
        <v>520</v>
      </c>
      <c r="P75" s="145" t="s">
        <v>520</v>
      </c>
      <c r="Q75" s="145" t="s">
        <v>520</v>
      </c>
      <c r="R75" s="145" t="s">
        <v>520</v>
      </c>
      <c r="S75" s="146">
        <v>10</v>
      </c>
      <c r="T75" s="145" t="s">
        <v>520</v>
      </c>
      <c r="U75" s="145" t="s">
        <v>520</v>
      </c>
      <c r="V75" s="145" t="s">
        <v>520</v>
      </c>
      <c r="W75" s="145" t="s">
        <v>520</v>
      </c>
      <c r="X75" s="145" t="s">
        <v>520</v>
      </c>
      <c r="Y75" s="145" t="s">
        <v>520</v>
      </c>
      <c r="Z75" s="145" t="s">
        <v>520</v>
      </c>
      <c r="AA75" s="145" t="s">
        <v>520</v>
      </c>
      <c r="AB75" s="145" t="s">
        <v>520</v>
      </c>
      <c r="AC75" s="147" t="s">
        <v>520</v>
      </c>
      <c r="AD75" s="148" t="s">
        <v>676</v>
      </c>
      <c r="AE75" s="132" t="s">
        <v>564</v>
      </c>
      <c r="AF75" s="99"/>
      <c r="AG75" s="55" t="str">
        <f>VLOOKUP(C75,'Safety-Plant'!B:B,1,FALSE)</f>
        <v>FC205</v>
      </c>
    </row>
    <row r="76" spans="1:33" ht="16.5" customHeight="1">
      <c r="A76" s="88" t="s">
        <v>671</v>
      </c>
      <c r="B76" s="119"/>
      <c r="C76" s="120" t="s">
        <v>126</v>
      </c>
      <c r="D76" s="117" t="s">
        <v>127</v>
      </c>
      <c r="E76" s="193" t="s">
        <v>680</v>
      </c>
      <c r="F76" s="81">
        <v>12</v>
      </c>
      <c r="G76" s="145" t="s">
        <v>520</v>
      </c>
      <c r="H76" s="145" t="s">
        <v>520</v>
      </c>
      <c r="I76" s="145" t="s">
        <v>520</v>
      </c>
      <c r="J76" s="145" t="s">
        <v>520</v>
      </c>
      <c r="K76" s="145" t="s">
        <v>520</v>
      </c>
      <c r="L76" s="145" t="s">
        <v>520</v>
      </c>
      <c r="M76" s="145" t="s">
        <v>520</v>
      </c>
      <c r="N76" s="145" t="s">
        <v>520</v>
      </c>
      <c r="O76" s="145" t="s">
        <v>520</v>
      </c>
      <c r="P76" s="145" t="s">
        <v>520</v>
      </c>
      <c r="Q76" s="145" t="s">
        <v>520</v>
      </c>
      <c r="R76" s="145" t="s">
        <v>520</v>
      </c>
      <c r="S76" s="146">
        <v>10</v>
      </c>
      <c r="T76" s="145" t="s">
        <v>520</v>
      </c>
      <c r="U76" s="145" t="s">
        <v>520</v>
      </c>
      <c r="V76" s="145" t="s">
        <v>520</v>
      </c>
      <c r="W76" s="145" t="s">
        <v>520</v>
      </c>
      <c r="X76" s="145" t="s">
        <v>520</v>
      </c>
      <c r="Y76" s="145" t="s">
        <v>520</v>
      </c>
      <c r="Z76" s="145" t="s">
        <v>520</v>
      </c>
      <c r="AA76" s="145" t="s">
        <v>520</v>
      </c>
      <c r="AB76" s="145" t="s">
        <v>520</v>
      </c>
      <c r="AC76" s="147" t="s">
        <v>520</v>
      </c>
      <c r="AD76" s="148" t="s">
        <v>674</v>
      </c>
      <c r="AE76" s="132" t="s">
        <v>564</v>
      </c>
      <c r="AF76" s="99"/>
      <c r="AG76" s="55" t="str">
        <f>VLOOKUP(C76,'Safety-Plant'!B:B,1,FALSE)</f>
        <v>FC348</v>
      </c>
    </row>
    <row r="77" spans="1:33" ht="16.5" customHeight="1">
      <c r="A77" s="88" t="s">
        <v>671</v>
      </c>
      <c r="B77" s="119"/>
      <c r="C77" s="120" t="s">
        <v>128</v>
      </c>
      <c r="D77" s="192" t="s">
        <v>129</v>
      </c>
      <c r="E77" s="194" t="s">
        <v>681</v>
      </c>
      <c r="F77" s="195">
        <v>7</v>
      </c>
      <c r="G77" s="196" t="s">
        <v>520</v>
      </c>
      <c r="H77" s="196" t="s">
        <v>520</v>
      </c>
      <c r="I77" s="196" t="s">
        <v>520</v>
      </c>
      <c r="J77" s="196" t="s">
        <v>520</v>
      </c>
      <c r="K77" s="196" t="s">
        <v>520</v>
      </c>
      <c r="L77" s="196" t="s">
        <v>520</v>
      </c>
      <c r="M77" s="196" t="s">
        <v>520</v>
      </c>
      <c r="N77" s="197"/>
      <c r="O77" s="197"/>
      <c r="P77" s="197"/>
      <c r="Q77" s="197"/>
      <c r="R77" s="197"/>
      <c r="S77" s="198">
        <v>6</v>
      </c>
      <c r="T77" s="196" t="s">
        <v>520</v>
      </c>
      <c r="U77" s="196" t="s">
        <v>520</v>
      </c>
      <c r="V77" s="196" t="s">
        <v>520</v>
      </c>
      <c r="W77" s="196" t="s">
        <v>520</v>
      </c>
      <c r="X77" s="196" t="s">
        <v>520</v>
      </c>
      <c r="Y77" s="196" t="s">
        <v>520</v>
      </c>
      <c r="Z77" s="199"/>
      <c r="AA77" s="199"/>
      <c r="AB77" s="199"/>
      <c r="AC77" s="200"/>
      <c r="AD77" s="148" t="s">
        <v>676</v>
      </c>
      <c r="AE77" s="132" t="s">
        <v>564</v>
      </c>
      <c r="AF77" s="99"/>
      <c r="AG77" s="55" t="str">
        <f>VLOOKUP(C77,'Safety-Plant'!B:B,1,FALSE)</f>
        <v>FC368</v>
      </c>
    </row>
    <row r="78" spans="1:33" ht="16.5" customHeight="1">
      <c r="A78" s="88" t="s">
        <v>671</v>
      </c>
      <c r="B78" s="119"/>
      <c r="C78" s="201" t="s">
        <v>527</v>
      </c>
      <c r="D78" s="202" t="s">
        <v>544</v>
      </c>
      <c r="E78" s="203" t="s">
        <v>681</v>
      </c>
      <c r="F78" s="204">
        <v>7</v>
      </c>
      <c r="G78" s="196" t="s">
        <v>520</v>
      </c>
      <c r="H78" s="196" t="s">
        <v>520</v>
      </c>
      <c r="I78" s="196" t="s">
        <v>520</v>
      </c>
      <c r="J78" s="196" t="s">
        <v>520</v>
      </c>
      <c r="K78" s="196" t="s">
        <v>520</v>
      </c>
      <c r="L78" s="196" t="s">
        <v>520</v>
      </c>
      <c r="M78" s="196" t="s">
        <v>520</v>
      </c>
      <c r="N78" s="205"/>
      <c r="O78" s="205"/>
      <c r="P78" s="205"/>
      <c r="Q78" s="205"/>
      <c r="R78" s="205"/>
      <c r="S78" s="206">
        <v>6</v>
      </c>
      <c r="T78" s="196" t="s">
        <v>520</v>
      </c>
      <c r="U78" s="196" t="s">
        <v>520</v>
      </c>
      <c r="V78" s="196" t="s">
        <v>520</v>
      </c>
      <c r="W78" s="196" t="s">
        <v>520</v>
      </c>
      <c r="X78" s="196" t="s">
        <v>520</v>
      </c>
      <c r="Y78" s="196" t="s">
        <v>520</v>
      </c>
      <c r="Z78" s="199"/>
      <c r="AA78" s="199"/>
      <c r="AB78" s="199"/>
      <c r="AC78" s="200"/>
      <c r="AD78" s="148" t="s">
        <v>676</v>
      </c>
      <c r="AE78" s="132" t="s">
        <v>564</v>
      </c>
      <c r="AF78" s="99"/>
      <c r="AG78" s="55" t="str">
        <f>VLOOKUP(C78,'Safety-Plant'!B:B,1,FALSE)</f>
        <v>FC408</v>
      </c>
    </row>
    <row r="79" spans="1:33" ht="16.5" customHeight="1">
      <c r="A79" s="88" t="s">
        <v>671</v>
      </c>
      <c r="B79" s="119"/>
      <c r="C79" s="120" t="s">
        <v>130</v>
      </c>
      <c r="D79" s="207" t="s">
        <v>131</v>
      </c>
      <c r="E79" s="194" t="s">
        <v>682</v>
      </c>
      <c r="F79" s="204">
        <v>7</v>
      </c>
      <c r="G79" s="196" t="s">
        <v>520</v>
      </c>
      <c r="H79" s="196" t="s">
        <v>520</v>
      </c>
      <c r="I79" s="196" t="s">
        <v>520</v>
      </c>
      <c r="J79" s="196" t="s">
        <v>520</v>
      </c>
      <c r="K79" s="196" t="s">
        <v>520</v>
      </c>
      <c r="L79" s="196" t="s">
        <v>520</v>
      </c>
      <c r="M79" s="196" t="s">
        <v>520</v>
      </c>
      <c r="N79" s="205"/>
      <c r="O79" s="205"/>
      <c r="P79" s="205"/>
      <c r="Q79" s="205"/>
      <c r="R79" s="205"/>
      <c r="S79" s="206">
        <v>6</v>
      </c>
      <c r="T79" s="196" t="s">
        <v>520</v>
      </c>
      <c r="U79" s="196" t="s">
        <v>520</v>
      </c>
      <c r="V79" s="196" t="s">
        <v>520</v>
      </c>
      <c r="W79" s="196" t="s">
        <v>520</v>
      </c>
      <c r="X79" s="196" t="s">
        <v>520</v>
      </c>
      <c r="Y79" s="196" t="s">
        <v>520</v>
      </c>
      <c r="Z79" s="199"/>
      <c r="AA79" s="199"/>
      <c r="AB79" s="199"/>
      <c r="AC79" s="200"/>
      <c r="AD79" s="148" t="s">
        <v>676</v>
      </c>
      <c r="AE79" s="132" t="s">
        <v>564</v>
      </c>
      <c r="AF79" s="99"/>
      <c r="AG79" s="55" t="str">
        <f>VLOOKUP(C79,'Safety-Plant'!B:B,1,FALSE)</f>
        <v>FC364</v>
      </c>
    </row>
    <row r="80" spans="1:33" ht="16.5" customHeight="1">
      <c r="A80" s="88" t="s">
        <v>671</v>
      </c>
      <c r="B80" s="168"/>
      <c r="C80" s="92" t="s">
        <v>132</v>
      </c>
      <c r="D80" s="208" t="s">
        <v>133</v>
      </c>
      <c r="E80" s="209" t="s">
        <v>683</v>
      </c>
      <c r="F80" s="204">
        <v>7</v>
      </c>
      <c r="G80" s="196" t="s">
        <v>520</v>
      </c>
      <c r="H80" s="196" t="s">
        <v>520</v>
      </c>
      <c r="I80" s="196" t="s">
        <v>520</v>
      </c>
      <c r="J80" s="196" t="s">
        <v>520</v>
      </c>
      <c r="K80" s="196" t="s">
        <v>520</v>
      </c>
      <c r="L80" s="196" t="s">
        <v>520</v>
      </c>
      <c r="M80" s="196" t="s">
        <v>520</v>
      </c>
      <c r="N80" s="205"/>
      <c r="O80" s="205"/>
      <c r="P80" s="205"/>
      <c r="Q80" s="205"/>
      <c r="R80" s="205"/>
      <c r="S80" s="206">
        <v>6</v>
      </c>
      <c r="T80" s="196" t="s">
        <v>520</v>
      </c>
      <c r="U80" s="196" t="s">
        <v>520</v>
      </c>
      <c r="V80" s="196" t="s">
        <v>520</v>
      </c>
      <c r="W80" s="196" t="s">
        <v>520</v>
      </c>
      <c r="X80" s="196" t="s">
        <v>520</v>
      </c>
      <c r="Y80" s="196" t="s">
        <v>520</v>
      </c>
      <c r="Z80" s="199"/>
      <c r="AA80" s="199"/>
      <c r="AB80" s="199"/>
      <c r="AC80" s="200"/>
      <c r="AD80" s="148" t="s">
        <v>674</v>
      </c>
      <c r="AE80" s="132" t="s">
        <v>564</v>
      </c>
      <c r="AF80" s="99"/>
      <c r="AG80" s="55" t="str">
        <f>VLOOKUP(C80,'Safety-Plant'!B:B,1,FALSE)</f>
        <v>FC392</v>
      </c>
    </row>
    <row r="81" spans="1:33" s="52" customFormat="1" ht="16.5" customHeight="1">
      <c r="A81" s="88" t="s">
        <v>671</v>
      </c>
      <c r="B81" s="210" t="s">
        <v>684</v>
      </c>
      <c r="C81" s="92" t="s">
        <v>150</v>
      </c>
      <c r="D81" s="211" t="s">
        <v>151</v>
      </c>
      <c r="E81" s="103" t="s">
        <v>685</v>
      </c>
      <c r="F81" s="81">
        <v>12</v>
      </c>
      <c r="G81" s="212" t="s">
        <v>520</v>
      </c>
      <c r="H81" s="212" t="s">
        <v>520</v>
      </c>
      <c r="I81" s="212" t="s">
        <v>520</v>
      </c>
      <c r="J81" s="212" t="s">
        <v>520</v>
      </c>
      <c r="K81" s="212" t="s">
        <v>520</v>
      </c>
      <c r="L81" s="212" t="s">
        <v>520</v>
      </c>
      <c r="M81" s="212" t="s">
        <v>520</v>
      </c>
      <c r="N81" s="212" t="s">
        <v>520</v>
      </c>
      <c r="O81" s="212" t="s">
        <v>520</v>
      </c>
      <c r="P81" s="212" t="s">
        <v>520</v>
      </c>
      <c r="Q81" s="212" t="s">
        <v>520</v>
      </c>
      <c r="R81" s="212" t="s">
        <v>520</v>
      </c>
      <c r="S81" s="213">
        <v>10</v>
      </c>
      <c r="T81" s="212" t="s">
        <v>520</v>
      </c>
      <c r="U81" s="212" t="s">
        <v>520</v>
      </c>
      <c r="V81" s="212" t="s">
        <v>520</v>
      </c>
      <c r="W81" s="212" t="s">
        <v>520</v>
      </c>
      <c r="X81" s="212" t="s">
        <v>520</v>
      </c>
      <c r="Y81" s="212" t="s">
        <v>520</v>
      </c>
      <c r="Z81" s="212" t="s">
        <v>520</v>
      </c>
      <c r="AA81" s="212" t="s">
        <v>520</v>
      </c>
      <c r="AB81" s="212" t="s">
        <v>520</v>
      </c>
      <c r="AC81" s="214" t="s">
        <v>520</v>
      </c>
      <c r="AD81" s="148" t="s">
        <v>545</v>
      </c>
      <c r="AE81" s="132" t="s">
        <v>560</v>
      </c>
      <c r="AF81" s="99"/>
      <c r="AG81" s="55" t="str">
        <f>VLOOKUP(C81,'Safety-Plant'!B:B,1,FALSE)</f>
        <v>FC195</v>
      </c>
    </row>
    <row r="82" spans="1:33" s="52" customFormat="1" ht="16.5" customHeight="1">
      <c r="A82" s="88" t="s">
        <v>671</v>
      </c>
      <c r="B82" s="119"/>
      <c r="C82" s="92" t="s">
        <v>152</v>
      </c>
      <c r="D82" s="211" t="s">
        <v>153</v>
      </c>
      <c r="E82" s="103" t="s">
        <v>685</v>
      </c>
      <c r="F82" s="81">
        <v>12</v>
      </c>
      <c r="G82" s="212" t="s">
        <v>520</v>
      </c>
      <c r="H82" s="212" t="s">
        <v>520</v>
      </c>
      <c r="I82" s="212" t="s">
        <v>520</v>
      </c>
      <c r="J82" s="212" t="s">
        <v>520</v>
      </c>
      <c r="K82" s="212" t="s">
        <v>520</v>
      </c>
      <c r="L82" s="212" t="s">
        <v>520</v>
      </c>
      <c r="M82" s="212" t="s">
        <v>520</v>
      </c>
      <c r="N82" s="212" t="s">
        <v>520</v>
      </c>
      <c r="O82" s="212" t="s">
        <v>520</v>
      </c>
      <c r="P82" s="212" t="s">
        <v>520</v>
      </c>
      <c r="Q82" s="212" t="s">
        <v>520</v>
      </c>
      <c r="R82" s="212" t="s">
        <v>520</v>
      </c>
      <c r="S82" s="213">
        <v>10</v>
      </c>
      <c r="T82" s="212" t="s">
        <v>520</v>
      </c>
      <c r="U82" s="212" t="s">
        <v>520</v>
      </c>
      <c r="V82" s="212" t="s">
        <v>520</v>
      </c>
      <c r="W82" s="212" t="s">
        <v>520</v>
      </c>
      <c r="X82" s="212" t="s">
        <v>520</v>
      </c>
      <c r="Y82" s="212" t="s">
        <v>520</v>
      </c>
      <c r="Z82" s="212" t="s">
        <v>520</v>
      </c>
      <c r="AA82" s="212" t="s">
        <v>520</v>
      </c>
      <c r="AB82" s="212" t="s">
        <v>520</v>
      </c>
      <c r="AC82" s="214" t="s">
        <v>520</v>
      </c>
      <c r="AD82" s="148" t="s">
        <v>545</v>
      </c>
      <c r="AE82" s="132" t="s">
        <v>560</v>
      </c>
      <c r="AF82" s="99"/>
      <c r="AG82" s="55" t="str">
        <f>VLOOKUP(C82,'Safety-Plant'!B:B,1,FALSE)</f>
        <v>FC194</v>
      </c>
    </row>
    <row r="83" spans="1:33" s="52" customFormat="1" ht="16.5" customHeight="1">
      <c r="A83" s="88" t="s">
        <v>671</v>
      </c>
      <c r="B83" s="119"/>
      <c r="C83" s="92" t="s">
        <v>154</v>
      </c>
      <c r="D83" s="211" t="s">
        <v>155</v>
      </c>
      <c r="E83" s="103" t="s">
        <v>685</v>
      </c>
      <c r="F83" s="81">
        <v>12</v>
      </c>
      <c r="G83" s="212" t="s">
        <v>520</v>
      </c>
      <c r="H83" s="212" t="s">
        <v>520</v>
      </c>
      <c r="I83" s="212" t="s">
        <v>520</v>
      </c>
      <c r="J83" s="212" t="s">
        <v>520</v>
      </c>
      <c r="K83" s="212" t="s">
        <v>520</v>
      </c>
      <c r="L83" s="212" t="s">
        <v>520</v>
      </c>
      <c r="M83" s="212" t="s">
        <v>520</v>
      </c>
      <c r="N83" s="212" t="s">
        <v>520</v>
      </c>
      <c r="O83" s="212" t="s">
        <v>520</v>
      </c>
      <c r="P83" s="212" t="s">
        <v>520</v>
      </c>
      <c r="Q83" s="212" t="s">
        <v>520</v>
      </c>
      <c r="R83" s="212" t="s">
        <v>520</v>
      </c>
      <c r="S83" s="213">
        <v>10</v>
      </c>
      <c r="T83" s="212" t="s">
        <v>520</v>
      </c>
      <c r="U83" s="212" t="s">
        <v>520</v>
      </c>
      <c r="V83" s="212" t="s">
        <v>520</v>
      </c>
      <c r="W83" s="212" t="s">
        <v>520</v>
      </c>
      <c r="X83" s="212" t="s">
        <v>520</v>
      </c>
      <c r="Y83" s="212" t="s">
        <v>520</v>
      </c>
      <c r="Z83" s="212" t="s">
        <v>520</v>
      </c>
      <c r="AA83" s="212" t="s">
        <v>520</v>
      </c>
      <c r="AB83" s="212" t="s">
        <v>520</v>
      </c>
      <c r="AC83" s="214" t="s">
        <v>520</v>
      </c>
      <c r="AD83" s="148" t="s">
        <v>545</v>
      </c>
      <c r="AE83" s="132" t="s">
        <v>560</v>
      </c>
      <c r="AF83" s="99"/>
      <c r="AG83" s="55" t="str">
        <f>VLOOKUP(C83,'Safety-Plant'!B:B,1,FALSE)</f>
        <v>FC247</v>
      </c>
    </row>
    <row r="84" spans="1:33" s="52" customFormat="1" ht="16.5" customHeight="1">
      <c r="A84" s="88" t="s">
        <v>671</v>
      </c>
      <c r="B84" s="119"/>
      <c r="C84" s="201" t="s">
        <v>525</v>
      </c>
      <c r="D84" s="215" t="s">
        <v>526</v>
      </c>
      <c r="E84" s="216" t="s">
        <v>685</v>
      </c>
      <c r="F84" s="81">
        <v>12</v>
      </c>
      <c r="G84" s="212" t="s">
        <v>520</v>
      </c>
      <c r="H84" s="212" t="s">
        <v>520</v>
      </c>
      <c r="I84" s="212" t="s">
        <v>520</v>
      </c>
      <c r="J84" s="212" t="s">
        <v>520</v>
      </c>
      <c r="K84" s="212" t="s">
        <v>520</v>
      </c>
      <c r="L84" s="212" t="s">
        <v>520</v>
      </c>
      <c r="M84" s="212" t="s">
        <v>520</v>
      </c>
      <c r="N84" s="212" t="s">
        <v>520</v>
      </c>
      <c r="O84" s="212" t="s">
        <v>520</v>
      </c>
      <c r="P84" s="212" t="s">
        <v>520</v>
      </c>
      <c r="Q84" s="212" t="s">
        <v>520</v>
      </c>
      <c r="R84" s="212" t="s">
        <v>520</v>
      </c>
      <c r="S84" s="213">
        <v>10</v>
      </c>
      <c r="T84" s="212" t="s">
        <v>520</v>
      </c>
      <c r="U84" s="212" t="s">
        <v>520</v>
      </c>
      <c r="V84" s="212" t="s">
        <v>520</v>
      </c>
      <c r="W84" s="212" t="s">
        <v>520</v>
      </c>
      <c r="X84" s="212" t="s">
        <v>520</v>
      </c>
      <c r="Y84" s="212" t="s">
        <v>520</v>
      </c>
      <c r="Z84" s="212" t="s">
        <v>520</v>
      </c>
      <c r="AA84" s="212" t="s">
        <v>520</v>
      </c>
      <c r="AB84" s="212" t="s">
        <v>520</v>
      </c>
      <c r="AC84" s="214" t="s">
        <v>520</v>
      </c>
      <c r="AD84" s="148" t="s">
        <v>545</v>
      </c>
      <c r="AE84" s="132" t="s">
        <v>560</v>
      </c>
      <c r="AF84" s="99"/>
      <c r="AG84" s="55" t="str">
        <f>VLOOKUP(C84,'Safety-Plant'!B:B,1,FALSE)</f>
        <v>FC404</v>
      </c>
    </row>
    <row r="85" spans="1:33" s="52" customFormat="1" ht="16.5" customHeight="1">
      <c r="A85" s="88" t="s">
        <v>671</v>
      </c>
      <c r="B85" s="119"/>
      <c r="C85" s="92" t="s">
        <v>156</v>
      </c>
      <c r="D85" s="211" t="s">
        <v>157</v>
      </c>
      <c r="E85" s="103" t="s">
        <v>685</v>
      </c>
      <c r="F85" s="81">
        <v>12</v>
      </c>
      <c r="G85" s="212" t="s">
        <v>520</v>
      </c>
      <c r="H85" s="212" t="s">
        <v>520</v>
      </c>
      <c r="I85" s="212" t="s">
        <v>520</v>
      </c>
      <c r="J85" s="212" t="s">
        <v>520</v>
      </c>
      <c r="K85" s="212" t="s">
        <v>520</v>
      </c>
      <c r="L85" s="212" t="s">
        <v>520</v>
      </c>
      <c r="M85" s="212" t="s">
        <v>520</v>
      </c>
      <c r="N85" s="212" t="s">
        <v>520</v>
      </c>
      <c r="O85" s="212" t="s">
        <v>520</v>
      </c>
      <c r="P85" s="212" t="s">
        <v>520</v>
      </c>
      <c r="Q85" s="212" t="s">
        <v>520</v>
      </c>
      <c r="R85" s="212" t="s">
        <v>520</v>
      </c>
      <c r="S85" s="213">
        <v>10</v>
      </c>
      <c r="T85" s="212" t="s">
        <v>520</v>
      </c>
      <c r="U85" s="212" t="s">
        <v>520</v>
      </c>
      <c r="V85" s="212" t="s">
        <v>520</v>
      </c>
      <c r="W85" s="212" t="s">
        <v>520</v>
      </c>
      <c r="X85" s="212" t="s">
        <v>520</v>
      </c>
      <c r="Y85" s="212" t="s">
        <v>520</v>
      </c>
      <c r="Z85" s="212" t="s">
        <v>520</v>
      </c>
      <c r="AA85" s="212" t="s">
        <v>520</v>
      </c>
      <c r="AB85" s="212" t="s">
        <v>520</v>
      </c>
      <c r="AC85" s="214" t="s">
        <v>520</v>
      </c>
      <c r="AD85" s="148" t="s">
        <v>545</v>
      </c>
      <c r="AE85" s="132" t="s">
        <v>560</v>
      </c>
      <c r="AF85" s="99"/>
      <c r="AG85" s="55" t="str">
        <f>VLOOKUP(C85,'Safety-Plant'!B:B,1,FALSE)</f>
        <v>FC265</v>
      </c>
    </row>
    <row r="86" spans="1:33" s="52" customFormat="1" ht="16.5" customHeight="1">
      <c r="A86" s="88" t="s">
        <v>671</v>
      </c>
      <c r="B86" s="119"/>
      <c r="C86" s="92" t="s">
        <v>158</v>
      </c>
      <c r="D86" s="211" t="s">
        <v>159</v>
      </c>
      <c r="E86" s="103" t="s">
        <v>685</v>
      </c>
      <c r="F86" s="81">
        <v>12</v>
      </c>
      <c r="G86" s="212" t="s">
        <v>520</v>
      </c>
      <c r="H86" s="212" t="s">
        <v>520</v>
      </c>
      <c r="I86" s="212" t="s">
        <v>520</v>
      </c>
      <c r="J86" s="212" t="s">
        <v>520</v>
      </c>
      <c r="K86" s="212" t="s">
        <v>520</v>
      </c>
      <c r="L86" s="212" t="s">
        <v>520</v>
      </c>
      <c r="M86" s="212" t="s">
        <v>520</v>
      </c>
      <c r="N86" s="212" t="s">
        <v>520</v>
      </c>
      <c r="O86" s="212" t="s">
        <v>520</v>
      </c>
      <c r="P86" s="212" t="s">
        <v>520</v>
      </c>
      <c r="Q86" s="212" t="s">
        <v>520</v>
      </c>
      <c r="R86" s="212" t="s">
        <v>520</v>
      </c>
      <c r="S86" s="213">
        <v>10</v>
      </c>
      <c r="T86" s="212" t="s">
        <v>520</v>
      </c>
      <c r="U86" s="212" t="s">
        <v>520</v>
      </c>
      <c r="V86" s="212" t="s">
        <v>520</v>
      </c>
      <c r="W86" s="212" t="s">
        <v>520</v>
      </c>
      <c r="X86" s="212" t="s">
        <v>520</v>
      </c>
      <c r="Y86" s="212" t="s">
        <v>520</v>
      </c>
      <c r="Z86" s="212" t="s">
        <v>520</v>
      </c>
      <c r="AA86" s="212" t="s">
        <v>520</v>
      </c>
      <c r="AB86" s="212" t="s">
        <v>520</v>
      </c>
      <c r="AC86" s="214" t="s">
        <v>520</v>
      </c>
      <c r="AD86" s="148" t="s">
        <v>545</v>
      </c>
      <c r="AE86" s="132" t="s">
        <v>560</v>
      </c>
      <c r="AF86" s="99"/>
      <c r="AG86" s="55" t="str">
        <f>VLOOKUP(C86,'Safety-Plant'!B:B,1,FALSE)</f>
        <v>FC280</v>
      </c>
    </row>
    <row r="87" spans="1:33" s="52" customFormat="1" ht="16.5" customHeight="1">
      <c r="A87" s="88" t="s">
        <v>671</v>
      </c>
      <c r="B87" s="128"/>
      <c r="C87" s="149" t="s">
        <v>160</v>
      </c>
      <c r="D87" s="211" t="s">
        <v>161</v>
      </c>
      <c r="E87" s="103" t="s">
        <v>686</v>
      </c>
      <c r="F87" s="81">
        <v>12</v>
      </c>
      <c r="G87" s="212" t="s">
        <v>520</v>
      </c>
      <c r="H87" s="212" t="s">
        <v>520</v>
      </c>
      <c r="I87" s="212" t="s">
        <v>520</v>
      </c>
      <c r="J87" s="212" t="s">
        <v>520</v>
      </c>
      <c r="K87" s="212" t="s">
        <v>520</v>
      </c>
      <c r="L87" s="212" t="s">
        <v>520</v>
      </c>
      <c r="M87" s="212" t="s">
        <v>520</v>
      </c>
      <c r="N87" s="212" t="s">
        <v>520</v>
      </c>
      <c r="O87" s="212" t="s">
        <v>520</v>
      </c>
      <c r="P87" s="212" t="s">
        <v>520</v>
      </c>
      <c r="Q87" s="212" t="s">
        <v>520</v>
      </c>
      <c r="R87" s="212" t="s">
        <v>520</v>
      </c>
      <c r="S87" s="213">
        <v>10</v>
      </c>
      <c r="T87" s="212" t="s">
        <v>520</v>
      </c>
      <c r="U87" s="212" t="s">
        <v>520</v>
      </c>
      <c r="V87" s="212" t="s">
        <v>520</v>
      </c>
      <c r="W87" s="212" t="s">
        <v>520</v>
      </c>
      <c r="X87" s="212" t="s">
        <v>520</v>
      </c>
      <c r="Y87" s="212" t="s">
        <v>520</v>
      </c>
      <c r="Z87" s="212" t="s">
        <v>520</v>
      </c>
      <c r="AA87" s="212" t="s">
        <v>520</v>
      </c>
      <c r="AB87" s="212" t="s">
        <v>520</v>
      </c>
      <c r="AC87" s="214" t="s">
        <v>520</v>
      </c>
      <c r="AD87" s="148" t="s">
        <v>687</v>
      </c>
      <c r="AE87" s="132" t="s">
        <v>560</v>
      </c>
      <c r="AF87" s="99"/>
      <c r="AG87" s="55" t="str">
        <f>VLOOKUP(C87,'Safety-Plant'!B:B,1,FALSE)</f>
        <v>FC048</v>
      </c>
    </row>
    <row r="88" spans="1:33" s="52" customFormat="1" ht="16.5" customHeight="1">
      <c r="A88" s="88" t="s">
        <v>671</v>
      </c>
      <c r="B88" s="119"/>
      <c r="C88" s="92" t="s">
        <v>162</v>
      </c>
      <c r="D88" s="211" t="s">
        <v>163</v>
      </c>
      <c r="E88" s="103" t="s">
        <v>688</v>
      </c>
      <c r="F88" s="81">
        <v>12</v>
      </c>
      <c r="G88" s="212" t="s">
        <v>520</v>
      </c>
      <c r="H88" s="212" t="s">
        <v>520</v>
      </c>
      <c r="I88" s="212" t="s">
        <v>520</v>
      </c>
      <c r="J88" s="212" t="s">
        <v>520</v>
      </c>
      <c r="K88" s="212" t="s">
        <v>520</v>
      </c>
      <c r="L88" s="212" t="s">
        <v>520</v>
      </c>
      <c r="M88" s="212" t="s">
        <v>520</v>
      </c>
      <c r="N88" s="212" t="s">
        <v>520</v>
      </c>
      <c r="O88" s="212" t="s">
        <v>520</v>
      </c>
      <c r="P88" s="212" t="s">
        <v>520</v>
      </c>
      <c r="Q88" s="212" t="s">
        <v>520</v>
      </c>
      <c r="R88" s="212" t="s">
        <v>520</v>
      </c>
      <c r="S88" s="213">
        <v>10</v>
      </c>
      <c r="T88" s="212" t="s">
        <v>520</v>
      </c>
      <c r="U88" s="212" t="s">
        <v>520</v>
      </c>
      <c r="V88" s="212" t="s">
        <v>520</v>
      </c>
      <c r="W88" s="212" t="s">
        <v>520</v>
      </c>
      <c r="X88" s="212" t="s">
        <v>520</v>
      </c>
      <c r="Y88" s="212" t="s">
        <v>520</v>
      </c>
      <c r="Z88" s="212" t="s">
        <v>520</v>
      </c>
      <c r="AA88" s="212" t="s">
        <v>520</v>
      </c>
      <c r="AB88" s="212" t="s">
        <v>520</v>
      </c>
      <c r="AC88" s="214" t="s">
        <v>520</v>
      </c>
      <c r="AD88" s="148" t="s">
        <v>687</v>
      </c>
      <c r="AE88" s="132" t="s">
        <v>560</v>
      </c>
      <c r="AF88" s="99"/>
      <c r="AG88" s="55" t="str">
        <f>VLOOKUP(C88,'Safety-Plant'!B:B,1,FALSE)</f>
        <v>FC049</v>
      </c>
    </row>
    <row r="89" spans="1:33" s="52" customFormat="1" ht="16.5" customHeight="1">
      <c r="A89" s="88" t="s">
        <v>671</v>
      </c>
      <c r="B89" s="119"/>
      <c r="C89" s="92" t="s">
        <v>164</v>
      </c>
      <c r="D89" s="211" t="s">
        <v>165</v>
      </c>
      <c r="E89" s="103" t="s">
        <v>689</v>
      </c>
      <c r="F89" s="81">
        <v>12</v>
      </c>
      <c r="G89" s="212" t="s">
        <v>520</v>
      </c>
      <c r="H89" s="212" t="s">
        <v>520</v>
      </c>
      <c r="I89" s="212" t="s">
        <v>520</v>
      </c>
      <c r="J89" s="212" t="s">
        <v>520</v>
      </c>
      <c r="K89" s="212" t="s">
        <v>520</v>
      </c>
      <c r="L89" s="212" t="s">
        <v>520</v>
      </c>
      <c r="M89" s="212" t="s">
        <v>520</v>
      </c>
      <c r="N89" s="212" t="s">
        <v>520</v>
      </c>
      <c r="O89" s="212" t="s">
        <v>520</v>
      </c>
      <c r="P89" s="212" t="s">
        <v>520</v>
      </c>
      <c r="Q89" s="212" t="s">
        <v>520</v>
      </c>
      <c r="R89" s="212" t="s">
        <v>520</v>
      </c>
      <c r="S89" s="213">
        <v>10</v>
      </c>
      <c r="T89" s="212" t="s">
        <v>520</v>
      </c>
      <c r="U89" s="212" t="s">
        <v>520</v>
      </c>
      <c r="V89" s="212" t="s">
        <v>520</v>
      </c>
      <c r="W89" s="212" t="s">
        <v>520</v>
      </c>
      <c r="X89" s="212" t="s">
        <v>520</v>
      </c>
      <c r="Y89" s="212" t="s">
        <v>520</v>
      </c>
      <c r="Z89" s="212" t="s">
        <v>520</v>
      </c>
      <c r="AA89" s="212" t="s">
        <v>520</v>
      </c>
      <c r="AB89" s="212" t="s">
        <v>520</v>
      </c>
      <c r="AC89" s="214" t="s">
        <v>520</v>
      </c>
      <c r="AD89" s="148" t="s">
        <v>687</v>
      </c>
      <c r="AE89" s="132" t="s">
        <v>560</v>
      </c>
      <c r="AF89" s="99"/>
      <c r="AG89" s="55" t="str">
        <f>VLOOKUP(C89,'Safety-Plant'!B:B,1,FALSE)</f>
        <v>FC204</v>
      </c>
    </row>
    <row r="90" spans="1:33" s="52" customFormat="1" ht="16.5" customHeight="1">
      <c r="A90" s="88" t="s">
        <v>671</v>
      </c>
      <c r="B90" s="119"/>
      <c r="C90" s="92" t="s">
        <v>166</v>
      </c>
      <c r="D90" s="211" t="s">
        <v>167</v>
      </c>
      <c r="E90" s="103" t="s">
        <v>690</v>
      </c>
      <c r="F90" s="81">
        <v>12</v>
      </c>
      <c r="G90" s="212" t="s">
        <v>520</v>
      </c>
      <c r="H90" s="212" t="s">
        <v>520</v>
      </c>
      <c r="I90" s="212" t="s">
        <v>520</v>
      </c>
      <c r="J90" s="212" t="s">
        <v>520</v>
      </c>
      <c r="K90" s="212" t="s">
        <v>520</v>
      </c>
      <c r="L90" s="212" t="s">
        <v>520</v>
      </c>
      <c r="M90" s="212" t="s">
        <v>520</v>
      </c>
      <c r="N90" s="212" t="s">
        <v>520</v>
      </c>
      <c r="O90" s="212" t="s">
        <v>520</v>
      </c>
      <c r="P90" s="212" t="s">
        <v>520</v>
      </c>
      <c r="Q90" s="212" t="s">
        <v>520</v>
      </c>
      <c r="R90" s="212" t="s">
        <v>520</v>
      </c>
      <c r="S90" s="213">
        <v>10</v>
      </c>
      <c r="T90" s="212" t="s">
        <v>520</v>
      </c>
      <c r="U90" s="212" t="s">
        <v>520</v>
      </c>
      <c r="V90" s="212" t="s">
        <v>520</v>
      </c>
      <c r="W90" s="212" t="s">
        <v>520</v>
      </c>
      <c r="X90" s="212" t="s">
        <v>520</v>
      </c>
      <c r="Y90" s="212" t="s">
        <v>520</v>
      </c>
      <c r="Z90" s="212" t="s">
        <v>520</v>
      </c>
      <c r="AA90" s="212" t="s">
        <v>520</v>
      </c>
      <c r="AB90" s="212" t="s">
        <v>520</v>
      </c>
      <c r="AC90" s="214" t="s">
        <v>520</v>
      </c>
      <c r="AD90" s="148" t="s">
        <v>687</v>
      </c>
      <c r="AE90" s="132" t="s">
        <v>560</v>
      </c>
      <c r="AF90" s="99"/>
      <c r="AG90" s="55" t="str">
        <f>VLOOKUP(C90,'Safety-Plant'!B:B,1,FALSE)</f>
        <v>FC174</v>
      </c>
    </row>
    <row r="91" spans="1:33" s="52" customFormat="1" ht="16.5" customHeight="1">
      <c r="A91" s="88" t="s">
        <v>671</v>
      </c>
      <c r="B91" s="217"/>
      <c r="C91" s="149" t="s">
        <v>170</v>
      </c>
      <c r="D91" s="218" t="s">
        <v>171</v>
      </c>
      <c r="E91" s="219" t="s">
        <v>691</v>
      </c>
      <c r="F91" s="81">
        <v>12</v>
      </c>
      <c r="G91" s="212" t="s">
        <v>520</v>
      </c>
      <c r="H91" s="212" t="s">
        <v>520</v>
      </c>
      <c r="I91" s="212" t="s">
        <v>520</v>
      </c>
      <c r="J91" s="212" t="s">
        <v>520</v>
      </c>
      <c r="K91" s="212" t="s">
        <v>520</v>
      </c>
      <c r="L91" s="212" t="s">
        <v>520</v>
      </c>
      <c r="M91" s="212" t="s">
        <v>520</v>
      </c>
      <c r="N91" s="212" t="s">
        <v>520</v>
      </c>
      <c r="O91" s="212" t="s">
        <v>520</v>
      </c>
      <c r="P91" s="212" t="s">
        <v>520</v>
      </c>
      <c r="Q91" s="212" t="s">
        <v>520</v>
      </c>
      <c r="R91" s="212" t="s">
        <v>520</v>
      </c>
      <c r="S91" s="213">
        <v>10</v>
      </c>
      <c r="T91" s="212" t="s">
        <v>520</v>
      </c>
      <c r="U91" s="212" t="s">
        <v>520</v>
      </c>
      <c r="V91" s="212" t="s">
        <v>520</v>
      </c>
      <c r="W91" s="212" t="s">
        <v>520</v>
      </c>
      <c r="X91" s="212" t="s">
        <v>520</v>
      </c>
      <c r="Y91" s="212" t="s">
        <v>520</v>
      </c>
      <c r="Z91" s="212" t="s">
        <v>520</v>
      </c>
      <c r="AA91" s="212" t="s">
        <v>520</v>
      </c>
      <c r="AB91" s="212" t="s">
        <v>520</v>
      </c>
      <c r="AC91" s="214" t="s">
        <v>520</v>
      </c>
      <c r="AD91" s="148" t="s">
        <v>687</v>
      </c>
      <c r="AE91" s="132" t="s">
        <v>560</v>
      </c>
      <c r="AF91" s="99"/>
      <c r="AG91" s="55" t="str">
        <f>VLOOKUP(C91,'Safety-Plant'!B:B,1,FALSE)</f>
        <v>FC372</v>
      </c>
    </row>
    <row r="92" spans="1:33" ht="16.5" customHeight="1">
      <c r="A92" s="88" t="s">
        <v>671</v>
      </c>
      <c r="B92" s="220" t="s">
        <v>692</v>
      </c>
      <c r="C92" s="92" t="s">
        <v>134</v>
      </c>
      <c r="D92" s="211" t="s">
        <v>135</v>
      </c>
      <c r="E92" s="103" t="s">
        <v>693</v>
      </c>
      <c r="F92" s="81">
        <v>12</v>
      </c>
      <c r="G92" s="212" t="s">
        <v>520</v>
      </c>
      <c r="H92" s="212" t="s">
        <v>520</v>
      </c>
      <c r="I92" s="212" t="s">
        <v>520</v>
      </c>
      <c r="J92" s="212" t="s">
        <v>520</v>
      </c>
      <c r="K92" s="212" t="s">
        <v>520</v>
      </c>
      <c r="L92" s="212" t="s">
        <v>520</v>
      </c>
      <c r="M92" s="212" t="s">
        <v>520</v>
      </c>
      <c r="N92" s="212" t="s">
        <v>520</v>
      </c>
      <c r="O92" s="212" t="s">
        <v>520</v>
      </c>
      <c r="P92" s="212" t="s">
        <v>520</v>
      </c>
      <c r="Q92" s="212" t="s">
        <v>520</v>
      </c>
      <c r="R92" s="212" t="s">
        <v>520</v>
      </c>
      <c r="S92" s="213">
        <v>10</v>
      </c>
      <c r="T92" s="212" t="s">
        <v>520</v>
      </c>
      <c r="U92" s="212" t="s">
        <v>520</v>
      </c>
      <c r="V92" s="212" t="s">
        <v>520</v>
      </c>
      <c r="W92" s="212" t="s">
        <v>520</v>
      </c>
      <c r="X92" s="212" t="s">
        <v>520</v>
      </c>
      <c r="Y92" s="212" t="s">
        <v>520</v>
      </c>
      <c r="Z92" s="212" t="s">
        <v>520</v>
      </c>
      <c r="AA92" s="212" t="s">
        <v>520</v>
      </c>
      <c r="AB92" s="212" t="s">
        <v>520</v>
      </c>
      <c r="AC92" s="214" t="s">
        <v>520</v>
      </c>
      <c r="AD92" s="148" t="s">
        <v>694</v>
      </c>
      <c r="AE92" s="221" t="s">
        <v>548</v>
      </c>
      <c r="AF92" s="99"/>
      <c r="AG92" s="55" t="str">
        <f>VLOOKUP(C92,'Safety-Plant'!B:B,1,FALSE)</f>
        <v>FC219</v>
      </c>
    </row>
    <row r="93" spans="1:33" ht="16.5" customHeight="1">
      <c r="A93" s="88" t="s">
        <v>671</v>
      </c>
      <c r="B93" s="222"/>
      <c r="C93" s="149" t="s">
        <v>136</v>
      </c>
      <c r="D93" s="223" t="s">
        <v>137</v>
      </c>
      <c r="E93" s="194" t="s">
        <v>695</v>
      </c>
      <c r="F93" s="204">
        <v>7</v>
      </c>
      <c r="G93" s="196" t="s">
        <v>520</v>
      </c>
      <c r="H93" s="196" t="s">
        <v>520</v>
      </c>
      <c r="I93" s="196" t="s">
        <v>520</v>
      </c>
      <c r="J93" s="196" t="s">
        <v>520</v>
      </c>
      <c r="K93" s="196" t="s">
        <v>520</v>
      </c>
      <c r="L93" s="196" t="s">
        <v>520</v>
      </c>
      <c r="M93" s="196" t="s">
        <v>520</v>
      </c>
      <c r="N93" s="205"/>
      <c r="O93" s="205"/>
      <c r="P93" s="205"/>
      <c r="Q93" s="205"/>
      <c r="R93" s="205"/>
      <c r="S93" s="206">
        <v>6</v>
      </c>
      <c r="T93" s="196" t="s">
        <v>520</v>
      </c>
      <c r="U93" s="196" t="s">
        <v>520</v>
      </c>
      <c r="V93" s="196" t="s">
        <v>520</v>
      </c>
      <c r="W93" s="196" t="s">
        <v>520</v>
      </c>
      <c r="X93" s="196" t="s">
        <v>520</v>
      </c>
      <c r="Y93" s="196" t="s">
        <v>520</v>
      </c>
      <c r="Z93" s="199"/>
      <c r="AA93" s="199"/>
      <c r="AB93" s="199"/>
      <c r="AC93" s="200"/>
      <c r="AD93" s="148" t="s">
        <v>694</v>
      </c>
      <c r="AE93" s="221" t="s">
        <v>548</v>
      </c>
      <c r="AF93" s="99"/>
      <c r="AG93" s="55" t="str">
        <f>VLOOKUP(C93,'Safety-Plant'!B:B,1,FALSE)</f>
        <v>FC362</v>
      </c>
    </row>
    <row r="94" spans="1:33" ht="16.5" customHeight="1">
      <c r="A94" s="88" t="s">
        <v>671</v>
      </c>
      <c r="B94" s="119"/>
      <c r="C94" s="92" t="s">
        <v>138</v>
      </c>
      <c r="D94" s="211" t="s">
        <v>139</v>
      </c>
      <c r="E94" s="224" t="s">
        <v>696</v>
      </c>
      <c r="F94" s="93">
        <v>12</v>
      </c>
      <c r="G94" s="212" t="s">
        <v>520</v>
      </c>
      <c r="H94" s="212" t="s">
        <v>520</v>
      </c>
      <c r="I94" s="212" t="s">
        <v>520</v>
      </c>
      <c r="J94" s="212" t="s">
        <v>520</v>
      </c>
      <c r="K94" s="212" t="s">
        <v>520</v>
      </c>
      <c r="L94" s="212" t="s">
        <v>520</v>
      </c>
      <c r="M94" s="212" t="s">
        <v>520</v>
      </c>
      <c r="N94" s="212" t="s">
        <v>520</v>
      </c>
      <c r="O94" s="212" t="s">
        <v>520</v>
      </c>
      <c r="P94" s="212" t="s">
        <v>520</v>
      </c>
      <c r="Q94" s="212" t="s">
        <v>520</v>
      </c>
      <c r="R94" s="212" t="s">
        <v>520</v>
      </c>
      <c r="S94" s="213">
        <v>10</v>
      </c>
      <c r="T94" s="212" t="s">
        <v>520</v>
      </c>
      <c r="U94" s="212" t="s">
        <v>520</v>
      </c>
      <c r="V94" s="212" t="s">
        <v>520</v>
      </c>
      <c r="W94" s="212" t="s">
        <v>520</v>
      </c>
      <c r="X94" s="212" t="s">
        <v>520</v>
      </c>
      <c r="Y94" s="212" t="s">
        <v>520</v>
      </c>
      <c r="Z94" s="212" t="s">
        <v>520</v>
      </c>
      <c r="AA94" s="212" t="s">
        <v>520</v>
      </c>
      <c r="AB94" s="212" t="s">
        <v>520</v>
      </c>
      <c r="AC94" s="214" t="s">
        <v>520</v>
      </c>
      <c r="AD94" s="148" t="s">
        <v>694</v>
      </c>
      <c r="AE94" s="221" t="s">
        <v>549</v>
      </c>
      <c r="AF94" s="99"/>
      <c r="AG94" s="55" t="str">
        <f>VLOOKUP(C94,'Safety-Plant'!B:B,1,FALSE)</f>
        <v>FC306</v>
      </c>
    </row>
    <row r="95" spans="1:33" ht="16.5" customHeight="1">
      <c r="A95" s="88" t="s">
        <v>671</v>
      </c>
      <c r="B95" s="119"/>
      <c r="C95" s="92" t="s">
        <v>140</v>
      </c>
      <c r="D95" s="211" t="s">
        <v>141</v>
      </c>
      <c r="E95" s="103" t="s">
        <v>697</v>
      </c>
      <c r="F95" s="81">
        <v>12</v>
      </c>
      <c r="G95" s="212" t="s">
        <v>520</v>
      </c>
      <c r="H95" s="212" t="s">
        <v>520</v>
      </c>
      <c r="I95" s="212" t="s">
        <v>520</v>
      </c>
      <c r="J95" s="212" t="s">
        <v>520</v>
      </c>
      <c r="K95" s="212" t="s">
        <v>520</v>
      </c>
      <c r="L95" s="212" t="s">
        <v>520</v>
      </c>
      <c r="M95" s="212" t="s">
        <v>520</v>
      </c>
      <c r="N95" s="212" t="s">
        <v>520</v>
      </c>
      <c r="O95" s="212" t="s">
        <v>520</v>
      </c>
      <c r="P95" s="212" t="s">
        <v>520</v>
      </c>
      <c r="Q95" s="212" t="s">
        <v>520</v>
      </c>
      <c r="R95" s="212" t="s">
        <v>520</v>
      </c>
      <c r="S95" s="213">
        <v>10</v>
      </c>
      <c r="T95" s="212" t="s">
        <v>520</v>
      </c>
      <c r="U95" s="212" t="s">
        <v>520</v>
      </c>
      <c r="V95" s="212" t="s">
        <v>520</v>
      </c>
      <c r="W95" s="212" t="s">
        <v>520</v>
      </c>
      <c r="X95" s="212" t="s">
        <v>520</v>
      </c>
      <c r="Y95" s="212" t="s">
        <v>520</v>
      </c>
      <c r="Z95" s="212" t="s">
        <v>520</v>
      </c>
      <c r="AA95" s="212" t="s">
        <v>520</v>
      </c>
      <c r="AB95" s="212" t="s">
        <v>520</v>
      </c>
      <c r="AC95" s="214" t="s">
        <v>520</v>
      </c>
      <c r="AD95" s="148" t="s">
        <v>694</v>
      </c>
      <c r="AE95" s="221" t="s">
        <v>550</v>
      </c>
      <c r="AF95" s="126"/>
      <c r="AG95" s="55" t="str">
        <f>VLOOKUP(C95,'Safety-Plant'!B:B,1,FALSE)</f>
        <v>FC172</v>
      </c>
    </row>
    <row r="96" spans="1:33" s="52" customFormat="1" ht="16.5" customHeight="1">
      <c r="A96" s="88" t="s">
        <v>671</v>
      </c>
      <c r="B96" s="222"/>
      <c r="C96" s="149" t="s">
        <v>142</v>
      </c>
      <c r="D96" s="223" t="s">
        <v>143</v>
      </c>
      <c r="E96" s="189" t="s">
        <v>698</v>
      </c>
      <c r="F96" s="204">
        <v>7</v>
      </c>
      <c r="G96" s="196" t="s">
        <v>520</v>
      </c>
      <c r="H96" s="196" t="s">
        <v>520</v>
      </c>
      <c r="I96" s="196" t="s">
        <v>520</v>
      </c>
      <c r="J96" s="196" t="s">
        <v>520</v>
      </c>
      <c r="K96" s="196" t="s">
        <v>520</v>
      </c>
      <c r="L96" s="196" t="s">
        <v>520</v>
      </c>
      <c r="M96" s="196" t="s">
        <v>520</v>
      </c>
      <c r="N96" s="205"/>
      <c r="O96" s="205"/>
      <c r="P96" s="205"/>
      <c r="Q96" s="205"/>
      <c r="R96" s="205"/>
      <c r="S96" s="225">
        <v>6</v>
      </c>
      <c r="T96" s="196" t="s">
        <v>520</v>
      </c>
      <c r="U96" s="196" t="s">
        <v>520</v>
      </c>
      <c r="V96" s="196" t="s">
        <v>520</v>
      </c>
      <c r="W96" s="196" t="s">
        <v>520</v>
      </c>
      <c r="X96" s="196" t="s">
        <v>520</v>
      </c>
      <c r="Y96" s="196" t="s">
        <v>520</v>
      </c>
      <c r="Z96" s="199"/>
      <c r="AA96" s="199"/>
      <c r="AB96" s="199"/>
      <c r="AC96" s="200"/>
      <c r="AD96" s="148" t="s">
        <v>694</v>
      </c>
      <c r="AE96" s="221" t="s">
        <v>548</v>
      </c>
      <c r="AF96" s="99"/>
      <c r="AG96" s="55" t="str">
        <f>VLOOKUP(C96,'Safety-Plant'!B:B,1,FALSE)</f>
        <v>FC357</v>
      </c>
    </row>
    <row r="97" spans="1:33" s="52" customFormat="1" ht="16.5" customHeight="1">
      <c r="A97" s="88" t="s">
        <v>671</v>
      </c>
      <c r="B97" s="222"/>
      <c r="C97" s="149" t="s">
        <v>168</v>
      </c>
      <c r="D97" s="226" t="s">
        <v>169</v>
      </c>
      <c r="E97" s="194" t="s">
        <v>699</v>
      </c>
      <c r="F97" s="204">
        <v>7</v>
      </c>
      <c r="G97" s="196" t="s">
        <v>520</v>
      </c>
      <c r="H97" s="196" t="s">
        <v>520</v>
      </c>
      <c r="I97" s="196" t="s">
        <v>520</v>
      </c>
      <c r="J97" s="196" t="s">
        <v>520</v>
      </c>
      <c r="K97" s="196" t="s">
        <v>520</v>
      </c>
      <c r="L97" s="196" t="s">
        <v>520</v>
      </c>
      <c r="M97" s="196" t="s">
        <v>520</v>
      </c>
      <c r="N97" s="205"/>
      <c r="O97" s="205"/>
      <c r="P97" s="205"/>
      <c r="Q97" s="205"/>
      <c r="R97" s="205"/>
      <c r="S97" s="225">
        <v>6</v>
      </c>
      <c r="T97" s="196" t="s">
        <v>520</v>
      </c>
      <c r="U97" s="196" t="s">
        <v>520</v>
      </c>
      <c r="V97" s="196" t="s">
        <v>520</v>
      </c>
      <c r="W97" s="196" t="s">
        <v>520</v>
      </c>
      <c r="X97" s="196" t="s">
        <v>520</v>
      </c>
      <c r="Y97" s="196" t="s">
        <v>520</v>
      </c>
      <c r="Z97" s="199"/>
      <c r="AA97" s="199"/>
      <c r="AB97" s="199"/>
      <c r="AC97" s="200"/>
      <c r="AD97" s="148" t="s">
        <v>694</v>
      </c>
      <c r="AE97" s="221" t="s">
        <v>550</v>
      </c>
      <c r="AF97" s="99"/>
      <c r="AG97" s="55" t="str">
        <f>VLOOKUP(C97,'Safety-Plant'!B:B,1,FALSE)</f>
        <v>FC371</v>
      </c>
    </row>
    <row r="98" spans="1:33" s="52" customFormat="1" ht="16.5" customHeight="1">
      <c r="A98" s="88" t="s">
        <v>671</v>
      </c>
      <c r="B98" s="222"/>
      <c r="C98" s="149" t="s">
        <v>144</v>
      </c>
      <c r="D98" s="223" t="s">
        <v>145</v>
      </c>
      <c r="E98" s="189" t="s">
        <v>700</v>
      </c>
      <c r="F98" s="81">
        <v>12</v>
      </c>
      <c r="G98" s="212" t="s">
        <v>520</v>
      </c>
      <c r="H98" s="212" t="s">
        <v>520</v>
      </c>
      <c r="I98" s="212" t="s">
        <v>520</v>
      </c>
      <c r="J98" s="212" t="s">
        <v>520</v>
      </c>
      <c r="K98" s="212" t="s">
        <v>520</v>
      </c>
      <c r="L98" s="212" t="s">
        <v>520</v>
      </c>
      <c r="M98" s="212" t="s">
        <v>520</v>
      </c>
      <c r="N98" s="212" t="s">
        <v>520</v>
      </c>
      <c r="O98" s="212" t="s">
        <v>520</v>
      </c>
      <c r="P98" s="212" t="s">
        <v>520</v>
      </c>
      <c r="Q98" s="212" t="s">
        <v>520</v>
      </c>
      <c r="R98" s="212" t="s">
        <v>520</v>
      </c>
      <c r="S98" s="96">
        <v>10</v>
      </c>
      <c r="T98" s="196" t="s">
        <v>520</v>
      </c>
      <c r="U98" s="212" t="s">
        <v>520</v>
      </c>
      <c r="V98" s="212" t="s">
        <v>520</v>
      </c>
      <c r="W98" s="212" t="s">
        <v>520</v>
      </c>
      <c r="X98" s="212" t="s">
        <v>520</v>
      </c>
      <c r="Y98" s="212" t="s">
        <v>520</v>
      </c>
      <c r="Z98" s="212" t="s">
        <v>520</v>
      </c>
      <c r="AA98" s="212" t="s">
        <v>520</v>
      </c>
      <c r="AB98" s="212" t="s">
        <v>520</v>
      </c>
      <c r="AC98" s="214" t="s">
        <v>520</v>
      </c>
      <c r="AD98" s="148" t="s">
        <v>694</v>
      </c>
      <c r="AE98" s="221" t="s">
        <v>551</v>
      </c>
      <c r="AF98" s="99"/>
      <c r="AG98" s="55" t="str">
        <f>VLOOKUP(C98,'Safety-Plant'!B:B,1,FALSE)</f>
        <v>FC057</v>
      </c>
    </row>
    <row r="99" spans="1:33" s="52" customFormat="1" ht="16.5" customHeight="1">
      <c r="A99" s="88" t="s">
        <v>671</v>
      </c>
      <c r="B99" s="119"/>
      <c r="C99" s="92" t="s">
        <v>146</v>
      </c>
      <c r="D99" s="227" t="s">
        <v>147</v>
      </c>
      <c r="E99" s="228" t="s">
        <v>701</v>
      </c>
      <c r="F99" s="81">
        <v>12</v>
      </c>
      <c r="G99" s="212" t="s">
        <v>520</v>
      </c>
      <c r="H99" s="212" t="s">
        <v>520</v>
      </c>
      <c r="I99" s="212" t="s">
        <v>520</v>
      </c>
      <c r="J99" s="212" t="s">
        <v>520</v>
      </c>
      <c r="K99" s="212" t="s">
        <v>520</v>
      </c>
      <c r="L99" s="212" t="s">
        <v>520</v>
      </c>
      <c r="M99" s="212" t="s">
        <v>520</v>
      </c>
      <c r="N99" s="212" t="s">
        <v>520</v>
      </c>
      <c r="O99" s="212" t="s">
        <v>520</v>
      </c>
      <c r="P99" s="212" t="s">
        <v>520</v>
      </c>
      <c r="Q99" s="212" t="s">
        <v>520</v>
      </c>
      <c r="R99" s="212" t="s">
        <v>520</v>
      </c>
      <c r="S99" s="96">
        <v>10</v>
      </c>
      <c r="T99" s="212" t="s">
        <v>520</v>
      </c>
      <c r="U99" s="212" t="s">
        <v>520</v>
      </c>
      <c r="V99" s="212" t="s">
        <v>520</v>
      </c>
      <c r="W99" s="212" t="s">
        <v>520</v>
      </c>
      <c r="X99" s="212" t="s">
        <v>520</v>
      </c>
      <c r="Y99" s="212" t="s">
        <v>520</v>
      </c>
      <c r="Z99" s="212" t="s">
        <v>520</v>
      </c>
      <c r="AA99" s="212" t="s">
        <v>520</v>
      </c>
      <c r="AB99" s="212" t="s">
        <v>520</v>
      </c>
      <c r="AC99" s="214" t="s">
        <v>520</v>
      </c>
      <c r="AD99" s="148" t="s">
        <v>694</v>
      </c>
      <c r="AE99" s="221" t="s">
        <v>552</v>
      </c>
      <c r="AF99" s="99"/>
      <c r="AG99" s="55" t="str">
        <f>VLOOKUP(C99,'Safety-Plant'!B:B,1,FALSE)</f>
        <v>FC374</v>
      </c>
    </row>
    <row r="100" spans="1:33" s="52" customFormat="1" ht="16.5" customHeight="1">
      <c r="A100" s="88" t="s">
        <v>671</v>
      </c>
      <c r="B100" s="119"/>
      <c r="C100" s="92" t="s">
        <v>148</v>
      </c>
      <c r="D100" s="211" t="s">
        <v>149</v>
      </c>
      <c r="E100" s="194" t="s">
        <v>702</v>
      </c>
      <c r="F100" s="81">
        <v>12</v>
      </c>
      <c r="G100" s="212" t="s">
        <v>520</v>
      </c>
      <c r="H100" s="212" t="s">
        <v>520</v>
      </c>
      <c r="I100" s="212" t="s">
        <v>520</v>
      </c>
      <c r="J100" s="212" t="s">
        <v>520</v>
      </c>
      <c r="K100" s="212" t="s">
        <v>520</v>
      </c>
      <c r="L100" s="212" t="s">
        <v>520</v>
      </c>
      <c r="M100" s="212" t="s">
        <v>520</v>
      </c>
      <c r="N100" s="212" t="s">
        <v>520</v>
      </c>
      <c r="O100" s="212" t="s">
        <v>520</v>
      </c>
      <c r="P100" s="212" t="s">
        <v>520</v>
      </c>
      <c r="Q100" s="212" t="s">
        <v>520</v>
      </c>
      <c r="R100" s="212" t="s">
        <v>520</v>
      </c>
      <c r="S100" s="213">
        <v>10</v>
      </c>
      <c r="T100" s="212" t="s">
        <v>520</v>
      </c>
      <c r="U100" s="212" t="s">
        <v>520</v>
      </c>
      <c r="V100" s="212" t="s">
        <v>520</v>
      </c>
      <c r="W100" s="212" t="s">
        <v>520</v>
      </c>
      <c r="X100" s="212" t="s">
        <v>520</v>
      </c>
      <c r="Y100" s="212" t="s">
        <v>520</v>
      </c>
      <c r="Z100" s="212" t="s">
        <v>520</v>
      </c>
      <c r="AA100" s="212" t="s">
        <v>520</v>
      </c>
      <c r="AB100" s="212" t="s">
        <v>520</v>
      </c>
      <c r="AC100" s="214" t="s">
        <v>520</v>
      </c>
      <c r="AD100" s="148" t="s">
        <v>694</v>
      </c>
      <c r="AE100" s="221" t="s">
        <v>549</v>
      </c>
      <c r="AF100" s="99"/>
      <c r="AG100" s="55" t="str">
        <f>VLOOKUP(C100,'Safety-Plant'!B:B,1,FALSE)</f>
        <v>FC360</v>
      </c>
    </row>
    <row r="101" spans="1:33" s="52" customFormat="1" ht="16.5" customHeight="1">
      <c r="A101" s="88"/>
      <c r="B101" s="119"/>
      <c r="C101" s="92" t="s">
        <v>539</v>
      </c>
      <c r="D101" s="211" t="s">
        <v>540</v>
      </c>
      <c r="E101" s="194" t="s">
        <v>703</v>
      </c>
      <c r="F101" s="204">
        <v>7</v>
      </c>
      <c r="G101" s="196" t="s">
        <v>520</v>
      </c>
      <c r="H101" s="196" t="s">
        <v>520</v>
      </c>
      <c r="I101" s="196" t="s">
        <v>520</v>
      </c>
      <c r="J101" s="196" t="s">
        <v>520</v>
      </c>
      <c r="K101" s="196" t="s">
        <v>520</v>
      </c>
      <c r="L101" s="196" t="s">
        <v>520</v>
      </c>
      <c r="M101" s="196" t="s">
        <v>520</v>
      </c>
      <c r="N101" s="205"/>
      <c r="O101" s="205"/>
      <c r="P101" s="205"/>
      <c r="Q101" s="205"/>
      <c r="R101" s="205"/>
      <c r="S101" s="225">
        <v>6</v>
      </c>
      <c r="T101" s="196" t="s">
        <v>520</v>
      </c>
      <c r="U101" s="196" t="s">
        <v>520</v>
      </c>
      <c r="V101" s="196" t="s">
        <v>520</v>
      </c>
      <c r="W101" s="196" t="s">
        <v>520</v>
      </c>
      <c r="X101" s="196" t="s">
        <v>520</v>
      </c>
      <c r="Y101" s="196" t="s">
        <v>520</v>
      </c>
      <c r="Z101" s="199"/>
      <c r="AA101" s="199"/>
      <c r="AB101" s="199"/>
      <c r="AC101" s="200"/>
      <c r="AD101" s="148" t="s">
        <v>694</v>
      </c>
      <c r="AE101" s="221" t="s">
        <v>551</v>
      </c>
      <c r="AF101" s="229"/>
      <c r="AG101" s="55" t="str">
        <f>VLOOKUP(C101,'Safety-Plant'!B:B,1,FALSE)</f>
        <v>FC403</v>
      </c>
    </row>
    <row r="102" spans="1:33" s="52" customFormat="1" ht="16.5" customHeight="1">
      <c r="A102" s="88" t="s">
        <v>671</v>
      </c>
      <c r="B102" s="230" t="s">
        <v>704</v>
      </c>
      <c r="C102" s="231" t="s">
        <v>172</v>
      </c>
      <c r="D102" s="218" t="s">
        <v>705</v>
      </c>
      <c r="E102" s="194" t="s">
        <v>706</v>
      </c>
      <c r="F102" s="81">
        <v>12</v>
      </c>
      <c r="G102" s="212" t="s">
        <v>520</v>
      </c>
      <c r="H102" s="212" t="s">
        <v>520</v>
      </c>
      <c r="I102" s="212" t="s">
        <v>520</v>
      </c>
      <c r="J102" s="212" t="s">
        <v>520</v>
      </c>
      <c r="K102" s="212" t="s">
        <v>520</v>
      </c>
      <c r="L102" s="212" t="s">
        <v>520</v>
      </c>
      <c r="M102" s="212" t="s">
        <v>520</v>
      </c>
      <c r="N102" s="212" t="s">
        <v>520</v>
      </c>
      <c r="O102" s="212" t="s">
        <v>520</v>
      </c>
      <c r="P102" s="212" t="s">
        <v>520</v>
      </c>
      <c r="Q102" s="212" t="s">
        <v>520</v>
      </c>
      <c r="R102" s="212" t="s">
        <v>520</v>
      </c>
      <c r="S102" s="213">
        <v>10</v>
      </c>
      <c r="T102" s="212" t="s">
        <v>520</v>
      </c>
      <c r="U102" s="212" t="s">
        <v>520</v>
      </c>
      <c r="V102" s="212" t="s">
        <v>520</v>
      </c>
      <c r="W102" s="212" t="s">
        <v>520</v>
      </c>
      <c r="X102" s="212" t="s">
        <v>520</v>
      </c>
      <c r="Y102" s="212" t="s">
        <v>520</v>
      </c>
      <c r="Z102" s="212" t="s">
        <v>520</v>
      </c>
      <c r="AA102" s="212" t="s">
        <v>520</v>
      </c>
      <c r="AB102" s="212" t="s">
        <v>520</v>
      </c>
      <c r="AC102" s="214" t="s">
        <v>520</v>
      </c>
      <c r="AD102" s="148" t="s">
        <v>694</v>
      </c>
      <c r="AE102" s="86" t="s">
        <v>558</v>
      </c>
      <c r="AF102" s="99"/>
      <c r="AG102" s="55" t="str">
        <f>VLOOKUP(C102,'Safety-Plant'!B:B,1,FALSE)</f>
        <v>19FJ</v>
      </c>
    </row>
    <row r="103" spans="1:33" s="52" customFormat="1" ht="16.5" customHeight="1">
      <c r="A103" s="88" t="s">
        <v>671</v>
      </c>
      <c r="B103" s="119"/>
      <c r="C103" s="231" t="s">
        <v>173</v>
      </c>
      <c r="D103" s="218" t="s">
        <v>707</v>
      </c>
      <c r="E103" s="194" t="s">
        <v>708</v>
      </c>
      <c r="F103" s="81">
        <v>12</v>
      </c>
      <c r="G103" s="212" t="s">
        <v>520</v>
      </c>
      <c r="H103" s="212" t="s">
        <v>520</v>
      </c>
      <c r="I103" s="212" t="s">
        <v>520</v>
      </c>
      <c r="J103" s="212" t="s">
        <v>520</v>
      </c>
      <c r="K103" s="212" t="s">
        <v>520</v>
      </c>
      <c r="L103" s="212" t="s">
        <v>520</v>
      </c>
      <c r="M103" s="212" t="s">
        <v>520</v>
      </c>
      <c r="N103" s="212" t="s">
        <v>520</v>
      </c>
      <c r="O103" s="212" t="s">
        <v>520</v>
      </c>
      <c r="P103" s="212" t="s">
        <v>520</v>
      </c>
      <c r="Q103" s="212" t="s">
        <v>520</v>
      </c>
      <c r="R103" s="212" t="s">
        <v>520</v>
      </c>
      <c r="S103" s="213">
        <v>10</v>
      </c>
      <c r="T103" s="212" t="s">
        <v>520</v>
      </c>
      <c r="U103" s="212" t="s">
        <v>520</v>
      </c>
      <c r="V103" s="212" t="s">
        <v>520</v>
      </c>
      <c r="W103" s="212" t="s">
        <v>520</v>
      </c>
      <c r="X103" s="212" t="s">
        <v>520</v>
      </c>
      <c r="Y103" s="212" t="s">
        <v>520</v>
      </c>
      <c r="Z103" s="212" t="s">
        <v>520</v>
      </c>
      <c r="AA103" s="212" t="s">
        <v>520</v>
      </c>
      <c r="AB103" s="212" t="s">
        <v>520</v>
      </c>
      <c r="AC103" s="214" t="s">
        <v>520</v>
      </c>
      <c r="AD103" s="148" t="s">
        <v>694</v>
      </c>
      <c r="AE103" s="86" t="s">
        <v>558</v>
      </c>
      <c r="AF103" s="99"/>
      <c r="AG103" s="55" t="str">
        <f>VLOOKUP(C103,'Safety-Plant'!B:B,1,FALSE)</f>
        <v>19FD</v>
      </c>
    </row>
    <row r="104" spans="1:33" s="52" customFormat="1" ht="16.5" customHeight="1">
      <c r="A104" s="88" t="s">
        <v>671</v>
      </c>
      <c r="B104" s="119"/>
      <c r="C104" s="231" t="s">
        <v>174</v>
      </c>
      <c r="D104" s="218" t="s">
        <v>709</v>
      </c>
      <c r="E104" s="232" t="s">
        <v>710</v>
      </c>
      <c r="F104" s="81">
        <v>12</v>
      </c>
      <c r="G104" s="212" t="s">
        <v>520</v>
      </c>
      <c r="H104" s="212" t="s">
        <v>520</v>
      </c>
      <c r="I104" s="212" t="s">
        <v>520</v>
      </c>
      <c r="J104" s="212" t="s">
        <v>520</v>
      </c>
      <c r="K104" s="212" t="s">
        <v>520</v>
      </c>
      <c r="L104" s="212" t="s">
        <v>520</v>
      </c>
      <c r="M104" s="212" t="s">
        <v>520</v>
      </c>
      <c r="N104" s="212" t="s">
        <v>520</v>
      </c>
      <c r="O104" s="212" t="s">
        <v>520</v>
      </c>
      <c r="P104" s="212" t="s">
        <v>520</v>
      </c>
      <c r="Q104" s="212" t="s">
        <v>520</v>
      </c>
      <c r="R104" s="212" t="s">
        <v>520</v>
      </c>
      <c r="S104" s="213">
        <v>10</v>
      </c>
      <c r="T104" s="212" t="s">
        <v>520</v>
      </c>
      <c r="U104" s="212" t="s">
        <v>520</v>
      </c>
      <c r="V104" s="212" t="s">
        <v>520</v>
      </c>
      <c r="W104" s="212" t="s">
        <v>520</v>
      </c>
      <c r="X104" s="212" t="s">
        <v>520</v>
      </c>
      <c r="Y104" s="212" t="s">
        <v>520</v>
      </c>
      <c r="Z104" s="212" t="s">
        <v>520</v>
      </c>
      <c r="AA104" s="212" t="s">
        <v>520</v>
      </c>
      <c r="AB104" s="212" t="s">
        <v>520</v>
      </c>
      <c r="AC104" s="214" t="s">
        <v>520</v>
      </c>
      <c r="AD104" s="148" t="s">
        <v>694</v>
      </c>
      <c r="AE104" s="86" t="s">
        <v>558</v>
      </c>
      <c r="AF104" s="99"/>
      <c r="AG104" s="55" t="str">
        <f>VLOOKUP(C104,'Safety-Plant'!B:B,1,FALSE)</f>
        <v>19FE</v>
      </c>
    </row>
    <row r="105" spans="1:33" s="52" customFormat="1" ht="16.5" customHeight="1">
      <c r="A105" s="88" t="s">
        <v>671</v>
      </c>
      <c r="B105" s="222"/>
      <c r="C105" s="233" t="s">
        <v>175</v>
      </c>
      <c r="D105" s="226" t="s">
        <v>711</v>
      </c>
      <c r="E105" s="194" t="s">
        <v>703</v>
      </c>
      <c r="F105" s="81">
        <v>12</v>
      </c>
      <c r="G105" s="212" t="s">
        <v>520</v>
      </c>
      <c r="H105" s="212" t="s">
        <v>520</v>
      </c>
      <c r="I105" s="212" t="s">
        <v>520</v>
      </c>
      <c r="J105" s="212" t="s">
        <v>520</v>
      </c>
      <c r="K105" s="212" t="s">
        <v>520</v>
      </c>
      <c r="L105" s="212" t="s">
        <v>520</v>
      </c>
      <c r="M105" s="212" t="s">
        <v>520</v>
      </c>
      <c r="N105" s="212" t="s">
        <v>520</v>
      </c>
      <c r="O105" s="212" t="s">
        <v>520</v>
      </c>
      <c r="P105" s="212" t="s">
        <v>520</v>
      </c>
      <c r="Q105" s="212" t="s">
        <v>520</v>
      </c>
      <c r="R105" s="212" t="s">
        <v>520</v>
      </c>
      <c r="S105" s="213">
        <v>10</v>
      </c>
      <c r="T105" s="212" t="s">
        <v>520</v>
      </c>
      <c r="U105" s="212" t="s">
        <v>520</v>
      </c>
      <c r="V105" s="212" t="s">
        <v>520</v>
      </c>
      <c r="W105" s="212" t="s">
        <v>520</v>
      </c>
      <c r="X105" s="212" t="s">
        <v>520</v>
      </c>
      <c r="Y105" s="212" t="s">
        <v>520</v>
      </c>
      <c r="Z105" s="212" t="s">
        <v>520</v>
      </c>
      <c r="AA105" s="212" t="s">
        <v>520</v>
      </c>
      <c r="AB105" s="212" t="s">
        <v>520</v>
      </c>
      <c r="AC105" s="214" t="s">
        <v>520</v>
      </c>
      <c r="AD105" s="148" t="s">
        <v>694</v>
      </c>
      <c r="AE105" s="86" t="s">
        <v>558</v>
      </c>
      <c r="AF105" s="99"/>
      <c r="AG105" s="55" t="str">
        <f>VLOOKUP(C105,'Safety-Plant'!B:B,1,FALSE)</f>
        <v>19AP</v>
      </c>
    </row>
    <row r="106" spans="1:33" s="52" customFormat="1" ht="16.5" customHeight="1">
      <c r="A106" s="88" t="s">
        <v>671</v>
      </c>
      <c r="B106" s="210" t="s">
        <v>712</v>
      </c>
      <c r="C106" s="103" t="s">
        <v>176</v>
      </c>
      <c r="D106" s="211" t="s">
        <v>177</v>
      </c>
      <c r="E106" s="103" t="s">
        <v>713</v>
      </c>
      <c r="F106" s="81">
        <v>12</v>
      </c>
      <c r="G106" s="212" t="s">
        <v>520</v>
      </c>
      <c r="H106" s="212" t="s">
        <v>520</v>
      </c>
      <c r="I106" s="212" t="s">
        <v>520</v>
      </c>
      <c r="J106" s="212" t="s">
        <v>520</v>
      </c>
      <c r="K106" s="212" t="s">
        <v>520</v>
      </c>
      <c r="L106" s="212" t="s">
        <v>520</v>
      </c>
      <c r="M106" s="212" t="s">
        <v>520</v>
      </c>
      <c r="N106" s="212" t="s">
        <v>520</v>
      </c>
      <c r="O106" s="212" t="s">
        <v>520</v>
      </c>
      <c r="P106" s="212" t="s">
        <v>520</v>
      </c>
      <c r="Q106" s="212" t="s">
        <v>520</v>
      </c>
      <c r="R106" s="212" t="s">
        <v>520</v>
      </c>
      <c r="S106" s="213">
        <v>10</v>
      </c>
      <c r="T106" s="212" t="s">
        <v>520</v>
      </c>
      <c r="U106" s="212" t="s">
        <v>520</v>
      </c>
      <c r="V106" s="212" t="s">
        <v>520</v>
      </c>
      <c r="W106" s="212" t="s">
        <v>520</v>
      </c>
      <c r="X106" s="212" t="s">
        <v>520</v>
      </c>
      <c r="Y106" s="212" t="s">
        <v>520</v>
      </c>
      <c r="Z106" s="212" t="s">
        <v>520</v>
      </c>
      <c r="AA106" s="212" t="s">
        <v>520</v>
      </c>
      <c r="AB106" s="212" t="s">
        <v>520</v>
      </c>
      <c r="AC106" s="214" t="s">
        <v>520</v>
      </c>
      <c r="AD106" s="148" t="s">
        <v>674</v>
      </c>
      <c r="AE106" s="132" t="s">
        <v>564</v>
      </c>
      <c r="AF106" s="99"/>
      <c r="AG106" s="55" t="str">
        <f>VLOOKUP(C106,'Safety-Plant'!B:B,1,FALSE)</f>
        <v>FC289</v>
      </c>
    </row>
    <row r="107" spans="1:33" s="52" customFormat="1" ht="16.5" customHeight="1">
      <c r="A107" s="88" t="s">
        <v>671</v>
      </c>
      <c r="B107" s="119"/>
      <c r="C107" s="120" t="s">
        <v>178</v>
      </c>
      <c r="D107" s="211" t="s">
        <v>179</v>
      </c>
      <c r="E107" s="103" t="s">
        <v>713</v>
      </c>
      <c r="F107" s="81">
        <v>12</v>
      </c>
      <c r="G107" s="212" t="s">
        <v>520</v>
      </c>
      <c r="H107" s="212" t="s">
        <v>520</v>
      </c>
      <c r="I107" s="212" t="s">
        <v>520</v>
      </c>
      <c r="J107" s="212" t="s">
        <v>520</v>
      </c>
      <c r="K107" s="212" t="s">
        <v>520</v>
      </c>
      <c r="L107" s="212" t="s">
        <v>520</v>
      </c>
      <c r="M107" s="212" t="s">
        <v>520</v>
      </c>
      <c r="N107" s="212" t="s">
        <v>520</v>
      </c>
      <c r="O107" s="212" t="s">
        <v>520</v>
      </c>
      <c r="P107" s="212" t="s">
        <v>520</v>
      </c>
      <c r="Q107" s="212" t="s">
        <v>520</v>
      </c>
      <c r="R107" s="212" t="s">
        <v>520</v>
      </c>
      <c r="S107" s="213">
        <v>10</v>
      </c>
      <c r="T107" s="212" t="s">
        <v>520</v>
      </c>
      <c r="U107" s="212" t="s">
        <v>520</v>
      </c>
      <c r="V107" s="212" t="s">
        <v>520</v>
      </c>
      <c r="W107" s="212" t="s">
        <v>520</v>
      </c>
      <c r="X107" s="212" t="s">
        <v>520</v>
      </c>
      <c r="Y107" s="212" t="s">
        <v>520</v>
      </c>
      <c r="Z107" s="212" t="s">
        <v>520</v>
      </c>
      <c r="AA107" s="212" t="s">
        <v>520</v>
      </c>
      <c r="AB107" s="212" t="s">
        <v>520</v>
      </c>
      <c r="AC107" s="214" t="s">
        <v>520</v>
      </c>
      <c r="AD107" s="148" t="s">
        <v>674</v>
      </c>
      <c r="AE107" s="132" t="s">
        <v>564</v>
      </c>
      <c r="AF107" s="99"/>
      <c r="AG107" s="55" t="str">
        <f>VLOOKUP(C107,'Safety-Plant'!B:B,1,FALSE)</f>
        <v>FC045</v>
      </c>
    </row>
    <row r="108" spans="1:33" s="52" customFormat="1" ht="16.5" customHeight="1">
      <c r="A108" s="88" t="s">
        <v>671</v>
      </c>
      <c r="B108" s="128"/>
      <c r="C108" s="131" t="s">
        <v>180</v>
      </c>
      <c r="D108" s="211" t="s">
        <v>181</v>
      </c>
      <c r="E108" s="103" t="s">
        <v>714</v>
      </c>
      <c r="F108" s="81">
        <v>12</v>
      </c>
      <c r="G108" s="212" t="s">
        <v>520</v>
      </c>
      <c r="H108" s="212" t="s">
        <v>520</v>
      </c>
      <c r="I108" s="212" t="s">
        <v>520</v>
      </c>
      <c r="J108" s="212" t="s">
        <v>520</v>
      </c>
      <c r="K108" s="212" t="s">
        <v>520</v>
      </c>
      <c r="L108" s="212" t="s">
        <v>520</v>
      </c>
      <c r="M108" s="212" t="s">
        <v>520</v>
      </c>
      <c r="N108" s="212" t="s">
        <v>520</v>
      </c>
      <c r="O108" s="212" t="s">
        <v>520</v>
      </c>
      <c r="P108" s="212" t="s">
        <v>520</v>
      </c>
      <c r="Q108" s="212" t="s">
        <v>520</v>
      </c>
      <c r="R108" s="212" t="s">
        <v>520</v>
      </c>
      <c r="S108" s="213">
        <v>10</v>
      </c>
      <c r="T108" s="212" t="s">
        <v>520</v>
      </c>
      <c r="U108" s="212" t="s">
        <v>520</v>
      </c>
      <c r="V108" s="212" t="s">
        <v>520</v>
      </c>
      <c r="W108" s="212" t="s">
        <v>520</v>
      </c>
      <c r="X108" s="212" t="s">
        <v>520</v>
      </c>
      <c r="Y108" s="212" t="s">
        <v>520</v>
      </c>
      <c r="Z108" s="212" t="s">
        <v>520</v>
      </c>
      <c r="AA108" s="212" t="s">
        <v>520</v>
      </c>
      <c r="AB108" s="212" t="s">
        <v>520</v>
      </c>
      <c r="AC108" s="214" t="s">
        <v>520</v>
      </c>
      <c r="AD108" s="148" t="s">
        <v>715</v>
      </c>
      <c r="AE108" s="132" t="s">
        <v>564</v>
      </c>
      <c r="AF108" s="99"/>
      <c r="AG108" s="55" t="str">
        <f>VLOOKUP(C108,'Safety-Plant'!B:B,1,FALSE)</f>
        <v>FC067</v>
      </c>
    </row>
    <row r="109" spans="1:33" s="52" customFormat="1" ht="16.5" customHeight="1">
      <c r="A109" s="88" t="s">
        <v>671</v>
      </c>
      <c r="B109" s="119"/>
      <c r="C109" s="120" t="s">
        <v>716</v>
      </c>
      <c r="D109" s="211" t="s">
        <v>717</v>
      </c>
      <c r="E109" s="103" t="s">
        <v>713</v>
      </c>
      <c r="F109" s="81">
        <v>12</v>
      </c>
      <c r="G109" s="212" t="s">
        <v>520</v>
      </c>
      <c r="H109" s="212" t="s">
        <v>520</v>
      </c>
      <c r="I109" s="212" t="s">
        <v>520</v>
      </c>
      <c r="J109" s="212" t="s">
        <v>520</v>
      </c>
      <c r="K109" s="212" t="s">
        <v>520</v>
      </c>
      <c r="L109" s="212" t="s">
        <v>520</v>
      </c>
      <c r="M109" s="212" t="s">
        <v>520</v>
      </c>
      <c r="N109" s="212" t="s">
        <v>520</v>
      </c>
      <c r="O109" s="212" t="s">
        <v>520</v>
      </c>
      <c r="P109" s="212" t="s">
        <v>520</v>
      </c>
      <c r="Q109" s="212" t="s">
        <v>520</v>
      </c>
      <c r="R109" s="212" t="s">
        <v>520</v>
      </c>
      <c r="S109" s="213">
        <v>10</v>
      </c>
      <c r="T109" s="212" t="s">
        <v>520</v>
      </c>
      <c r="U109" s="212" t="s">
        <v>520</v>
      </c>
      <c r="V109" s="212" t="s">
        <v>520</v>
      </c>
      <c r="W109" s="212" t="s">
        <v>520</v>
      </c>
      <c r="X109" s="212" t="s">
        <v>520</v>
      </c>
      <c r="Y109" s="212" t="s">
        <v>520</v>
      </c>
      <c r="Z109" s="212" t="s">
        <v>520</v>
      </c>
      <c r="AA109" s="212" t="s">
        <v>520</v>
      </c>
      <c r="AB109" s="212" t="s">
        <v>520</v>
      </c>
      <c r="AC109" s="214" t="s">
        <v>520</v>
      </c>
      <c r="AD109" s="148" t="s">
        <v>715</v>
      </c>
      <c r="AE109" s="132" t="s">
        <v>564</v>
      </c>
      <c r="AF109" s="99"/>
      <c r="AG109" s="55" t="str">
        <f>VLOOKUP(C109,'Safety-Plant'!B:B,1,FALSE)</f>
        <v>FC255</v>
      </c>
    </row>
    <row r="110" spans="1:33" s="52" customFormat="1" ht="16.5" customHeight="1">
      <c r="A110" s="88" t="s">
        <v>671</v>
      </c>
      <c r="B110" s="119"/>
      <c r="C110" s="120" t="s">
        <v>182</v>
      </c>
      <c r="D110" s="211" t="s">
        <v>183</v>
      </c>
      <c r="E110" s="103" t="s">
        <v>713</v>
      </c>
      <c r="F110" s="81">
        <v>12</v>
      </c>
      <c r="G110" s="212" t="s">
        <v>520</v>
      </c>
      <c r="H110" s="212" t="s">
        <v>520</v>
      </c>
      <c r="I110" s="212" t="s">
        <v>520</v>
      </c>
      <c r="J110" s="212" t="s">
        <v>520</v>
      </c>
      <c r="K110" s="212" t="s">
        <v>520</v>
      </c>
      <c r="L110" s="212" t="s">
        <v>520</v>
      </c>
      <c r="M110" s="212" t="s">
        <v>520</v>
      </c>
      <c r="N110" s="212" t="s">
        <v>520</v>
      </c>
      <c r="O110" s="212" t="s">
        <v>520</v>
      </c>
      <c r="P110" s="212" t="s">
        <v>520</v>
      </c>
      <c r="Q110" s="212" t="s">
        <v>520</v>
      </c>
      <c r="R110" s="212" t="s">
        <v>520</v>
      </c>
      <c r="S110" s="213">
        <v>10</v>
      </c>
      <c r="T110" s="212" t="s">
        <v>520</v>
      </c>
      <c r="U110" s="212" t="s">
        <v>520</v>
      </c>
      <c r="V110" s="212" t="s">
        <v>520</v>
      </c>
      <c r="W110" s="212" t="s">
        <v>520</v>
      </c>
      <c r="X110" s="212" t="s">
        <v>520</v>
      </c>
      <c r="Y110" s="212" t="s">
        <v>520</v>
      </c>
      <c r="Z110" s="212" t="s">
        <v>520</v>
      </c>
      <c r="AA110" s="212" t="s">
        <v>520</v>
      </c>
      <c r="AB110" s="212" t="s">
        <v>520</v>
      </c>
      <c r="AC110" s="214" t="s">
        <v>520</v>
      </c>
      <c r="AD110" s="148" t="s">
        <v>715</v>
      </c>
      <c r="AE110" s="132" t="s">
        <v>564</v>
      </c>
      <c r="AF110" s="99"/>
      <c r="AG110" s="55" t="str">
        <f>VLOOKUP(C110,'Safety-Plant'!B:B,1,FALSE)</f>
        <v>FC382</v>
      </c>
    </row>
    <row r="111" spans="1:33" ht="16.5" customHeight="1">
      <c r="A111" s="88" t="s">
        <v>671</v>
      </c>
      <c r="B111" s="119"/>
      <c r="C111" s="103" t="s">
        <v>188</v>
      </c>
      <c r="D111" s="211" t="s">
        <v>189</v>
      </c>
      <c r="E111" s="103" t="s">
        <v>718</v>
      </c>
      <c r="F111" s="81">
        <v>12</v>
      </c>
      <c r="G111" s="212" t="s">
        <v>520</v>
      </c>
      <c r="H111" s="212" t="s">
        <v>520</v>
      </c>
      <c r="I111" s="212" t="s">
        <v>520</v>
      </c>
      <c r="J111" s="212" t="s">
        <v>520</v>
      </c>
      <c r="K111" s="212" t="s">
        <v>520</v>
      </c>
      <c r="L111" s="212" t="s">
        <v>520</v>
      </c>
      <c r="M111" s="212" t="s">
        <v>520</v>
      </c>
      <c r="N111" s="212" t="s">
        <v>520</v>
      </c>
      <c r="O111" s="212" t="s">
        <v>520</v>
      </c>
      <c r="P111" s="212" t="s">
        <v>520</v>
      </c>
      <c r="Q111" s="212" t="s">
        <v>520</v>
      </c>
      <c r="R111" s="212" t="s">
        <v>520</v>
      </c>
      <c r="S111" s="213">
        <v>10</v>
      </c>
      <c r="T111" s="212" t="s">
        <v>520</v>
      </c>
      <c r="U111" s="212" t="s">
        <v>520</v>
      </c>
      <c r="V111" s="212" t="s">
        <v>520</v>
      </c>
      <c r="W111" s="212" t="s">
        <v>520</v>
      </c>
      <c r="X111" s="212" t="s">
        <v>520</v>
      </c>
      <c r="Y111" s="212" t="s">
        <v>520</v>
      </c>
      <c r="Z111" s="212" t="s">
        <v>520</v>
      </c>
      <c r="AA111" s="212" t="s">
        <v>520</v>
      </c>
      <c r="AB111" s="212" t="s">
        <v>520</v>
      </c>
      <c r="AC111" s="214" t="s">
        <v>520</v>
      </c>
      <c r="AD111" s="148" t="s">
        <v>715</v>
      </c>
      <c r="AE111" s="132" t="s">
        <v>564</v>
      </c>
      <c r="AF111" s="99"/>
      <c r="AG111" s="55" t="str">
        <f>VLOOKUP(C111,'Safety-Plant'!B:B,1,FALSE)</f>
        <v>FC118</v>
      </c>
    </row>
    <row r="112" spans="1:33" ht="16.5" customHeight="1">
      <c r="A112" s="88" t="s">
        <v>671</v>
      </c>
      <c r="B112" s="119"/>
      <c r="C112" s="120" t="s">
        <v>190</v>
      </c>
      <c r="D112" s="211" t="s">
        <v>191</v>
      </c>
      <c r="E112" s="103" t="s">
        <v>718</v>
      </c>
      <c r="F112" s="81">
        <v>12</v>
      </c>
      <c r="G112" s="212" t="s">
        <v>520</v>
      </c>
      <c r="H112" s="212" t="s">
        <v>520</v>
      </c>
      <c r="I112" s="212" t="s">
        <v>520</v>
      </c>
      <c r="J112" s="212" t="s">
        <v>520</v>
      </c>
      <c r="K112" s="212" t="s">
        <v>520</v>
      </c>
      <c r="L112" s="212" t="s">
        <v>520</v>
      </c>
      <c r="M112" s="212" t="s">
        <v>520</v>
      </c>
      <c r="N112" s="212" t="s">
        <v>520</v>
      </c>
      <c r="O112" s="212" t="s">
        <v>520</v>
      </c>
      <c r="P112" s="212" t="s">
        <v>520</v>
      </c>
      <c r="Q112" s="212" t="s">
        <v>520</v>
      </c>
      <c r="R112" s="212" t="s">
        <v>520</v>
      </c>
      <c r="S112" s="213">
        <v>10</v>
      </c>
      <c r="T112" s="212" t="s">
        <v>520</v>
      </c>
      <c r="U112" s="212" t="s">
        <v>520</v>
      </c>
      <c r="V112" s="212" t="s">
        <v>520</v>
      </c>
      <c r="W112" s="212" t="s">
        <v>520</v>
      </c>
      <c r="X112" s="212" t="s">
        <v>520</v>
      </c>
      <c r="Y112" s="212" t="s">
        <v>520</v>
      </c>
      <c r="Z112" s="212" t="s">
        <v>520</v>
      </c>
      <c r="AA112" s="212" t="s">
        <v>520</v>
      </c>
      <c r="AB112" s="212" t="s">
        <v>520</v>
      </c>
      <c r="AC112" s="214" t="s">
        <v>520</v>
      </c>
      <c r="AD112" s="148" t="s">
        <v>715</v>
      </c>
      <c r="AE112" s="132" t="s">
        <v>564</v>
      </c>
      <c r="AF112" s="99"/>
      <c r="AG112" s="55" t="str">
        <f>VLOOKUP(C112,'Safety-Plant'!B:B,1,FALSE)</f>
        <v>FC178</v>
      </c>
    </row>
    <row r="113" spans="1:33" ht="16.5" customHeight="1">
      <c r="A113" s="88" t="s">
        <v>671</v>
      </c>
      <c r="B113" s="119"/>
      <c r="C113" s="120" t="s">
        <v>192</v>
      </c>
      <c r="D113" s="211" t="s">
        <v>193</v>
      </c>
      <c r="E113" s="103" t="s">
        <v>719</v>
      </c>
      <c r="F113" s="81">
        <v>12</v>
      </c>
      <c r="G113" s="212" t="s">
        <v>520</v>
      </c>
      <c r="H113" s="212" t="s">
        <v>520</v>
      </c>
      <c r="I113" s="212" t="s">
        <v>520</v>
      </c>
      <c r="J113" s="212" t="s">
        <v>520</v>
      </c>
      <c r="K113" s="212" t="s">
        <v>520</v>
      </c>
      <c r="L113" s="212" t="s">
        <v>520</v>
      </c>
      <c r="M113" s="212" t="s">
        <v>520</v>
      </c>
      <c r="N113" s="212" t="s">
        <v>520</v>
      </c>
      <c r="O113" s="212" t="s">
        <v>520</v>
      </c>
      <c r="P113" s="212" t="s">
        <v>520</v>
      </c>
      <c r="Q113" s="212" t="s">
        <v>520</v>
      </c>
      <c r="R113" s="212" t="s">
        <v>520</v>
      </c>
      <c r="S113" s="213">
        <v>10</v>
      </c>
      <c r="T113" s="212" t="s">
        <v>520</v>
      </c>
      <c r="U113" s="212" t="s">
        <v>520</v>
      </c>
      <c r="V113" s="212" t="s">
        <v>520</v>
      </c>
      <c r="W113" s="212" t="s">
        <v>520</v>
      </c>
      <c r="X113" s="212" t="s">
        <v>520</v>
      </c>
      <c r="Y113" s="212" t="s">
        <v>520</v>
      </c>
      <c r="Z113" s="212" t="s">
        <v>520</v>
      </c>
      <c r="AA113" s="212" t="s">
        <v>520</v>
      </c>
      <c r="AB113" s="212" t="s">
        <v>520</v>
      </c>
      <c r="AC113" s="214" t="s">
        <v>520</v>
      </c>
      <c r="AD113" s="148" t="s">
        <v>715</v>
      </c>
      <c r="AE113" s="132" t="s">
        <v>564</v>
      </c>
      <c r="AF113" s="99"/>
      <c r="AG113" s="55" t="str">
        <f>VLOOKUP(C113,'Safety-Plant'!B:B,1,FALSE)</f>
        <v>FC261</v>
      </c>
    </row>
    <row r="114" spans="1:33" ht="16.5" customHeight="1">
      <c r="A114" s="88" t="s">
        <v>671</v>
      </c>
      <c r="B114" s="119"/>
      <c r="C114" s="120" t="s">
        <v>194</v>
      </c>
      <c r="D114" s="211" t="s">
        <v>195</v>
      </c>
      <c r="E114" s="103" t="s">
        <v>719</v>
      </c>
      <c r="F114" s="81">
        <v>12</v>
      </c>
      <c r="G114" s="212" t="s">
        <v>520</v>
      </c>
      <c r="H114" s="212" t="s">
        <v>520</v>
      </c>
      <c r="I114" s="212" t="s">
        <v>520</v>
      </c>
      <c r="J114" s="212" t="s">
        <v>520</v>
      </c>
      <c r="K114" s="212" t="s">
        <v>520</v>
      </c>
      <c r="L114" s="212" t="s">
        <v>520</v>
      </c>
      <c r="M114" s="212" t="s">
        <v>520</v>
      </c>
      <c r="N114" s="212" t="s">
        <v>520</v>
      </c>
      <c r="O114" s="212" t="s">
        <v>520</v>
      </c>
      <c r="P114" s="212" t="s">
        <v>520</v>
      </c>
      <c r="Q114" s="212" t="s">
        <v>520</v>
      </c>
      <c r="R114" s="212" t="s">
        <v>520</v>
      </c>
      <c r="S114" s="213">
        <v>10</v>
      </c>
      <c r="T114" s="212" t="s">
        <v>520</v>
      </c>
      <c r="U114" s="212" t="s">
        <v>520</v>
      </c>
      <c r="V114" s="212" t="s">
        <v>520</v>
      </c>
      <c r="W114" s="212" t="s">
        <v>520</v>
      </c>
      <c r="X114" s="212" t="s">
        <v>520</v>
      </c>
      <c r="Y114" s="212" t="s">
        <v>520</v>
      </c>
      <c r="Z114" s="212" t="s">
        <v>520</v>
      </c>
      <c r="AA114" s="212" t="s">
        <v>520</v>
      </c>
      <c r="AB114" s="212" t="s">
        <v>520</v>
      </c>
      <c r="AC114" s="214" t="s">
        <v>520</v>
      </c>
      <c r="AD114" s="148" t="s">
        <v>715</v>
      </c>
      <c r="AE114" s="132" t="s">
        <v>564</v>
      </c>
      <c r="AF114" s="99"/>
      <c r="AG114" s="55" t="str">
        <f>VLOOKUP(C114,'Safety-Plant'!B:B,1,FALSE)</f>
        <v>FC293</v>
      </c>
    </row>
    <row r="115" spans="1:33" ht="16.5" customHeight="1">
      <c r="A115" s="88" t="s">
        <v>671</v>
      </c>
      <c r="B115" s="119"/>
      <c r="C115" s="120" t="s">
        <v>196</v>
      </c>
      <c r="D115" s="211" t="s">
        <v>197</v>
      </c>
      <c r="E115" s="103" t="s">
        <v>719</v>
      </c>
      <c r="F115" s="81">
        <v>12</v>
      </c>
      <c r="G115" s="212" t="s">
        <v>520</v>
      </c>
      <c r="H115" s="212" t="s">
        <v>520</v>
      </c>
      <c r="I115" s="212" t="s">
        <v>520</v>
      </c>
      <c r="J115" s="212" t="s">
        <v>520</v>
      </c>
      <c r="K115" s="212" t="s">
        <v>520</v>
      </c>
      <c r="L115" s="212" t="s">
        <v>520</v>
      </c>
      <c r="M115" s="212" t="s">
        <v>520</v>
      </c>
      <c r="N115" s="212" t="s">
        <v>520</v>
      </c>
      <c r="O115" s="212" t="s">
        <v>520</v>
      </c>
      <c r="P115" s="212" t="s">
        <v>520</v>
      </c>
      <c r="Q115" s="212" t="s">
        <v>520</v>
      </c>
      <c r="R115" s="212" t="s">
        <v>520</v>
      </c>
      <c r="S115" s="213">
        <v>10</v>
      </c>
      <c r="T115" s="212" t="s">
        <v>520</v>
      </c>
      <c r="U115" s="212" t="s">
        <v>520</v>
      </c>
      <c r="V115" s="212" t="s">
        <v>520</v>
      </c>
      <c r="W115" s="212" t="s">
        <v>520</v>
      </c>
      <c r="X115" s="212" t="s">
        <v>520</v>
      </c>
      <c r="Y115" s="212" t="s">
        <v>520</v>
      </c>
      <c r="Z115" s="212" t="s">
        <v>520</v>
      </c>
      <c r="AA115" s="212" t="s">
        <v>520</v>
      </c>
      <c r="AB115" s="212" t="s">
        <v>520</v>
      </c>
      <c r="AC115" s="214" t="s">
        <v>520</v>
      </c>
      <c r="AD115" s="148" t="s">
        <v>715</v>
      </c>
      <c r="AE115" s="132" t="s">
        <v>564</v>
      </c>
      <c r="AF115" s="99"/>
      <c r="AG115" s="55" t="str">
        <f>VLOOKUP(C115,'Safety-Plant'!B:B,1,FALSE)</f>
        <v>FC303</v>
      </c>
    </row>
    <row r="116" spans="1:33" ht="16.5" customHeight="1">
      <c r="A116" s="88" t="s">
        <v>671</v>
      </c>
      <c r="B116" s="119"/>
      <c r="C116" s="120" t="s">
        <v>198</v>
      </c>
      <c r="D116" s="211" t="s">
        <v>199</v>
      </c>
      <c r="E116" s="103" t="s">
        <v>719</v>
      </c>
      <c r="F116" s="81">
        <v>12</v>
      </c>
      <c r="G116" s="212" t="s">
        <v>520</v>
      </c>
      <c r="H116" s="212" t="s">
        <v>520</v>
      </c>
      <c r="I116" s="212" t="s">
        <v>520</v>
      </c>
      <c r="J116" s="212" t="s">
        <v>520</v>
      </c>
      <c r="K116" s="212" t="s">
        <v>520</v>
      </c>
      <c r="L116" s="212" t="s">
        <v>520</v>
      </c>
      <c r="M116" s="212" t="s">
        <v>520</v>
      </c>
      <c r="N116" s="212" t="s">
        <v>520</v>
      </c>
      <c r="O116" s="212" t="s">
        <v>520</v>
      </c>
      <c r="P116" s="212" t="s">
        <v>520</v>
      </c>
      <c r="Q116" s="212" t="s">
        <v>520</v>
      </c>
      <c r="R116" s="212" t="s">
        <v>520</v>
      </c>
      <c r="S116" s="213">
        <v>10</v>
      </c>
      <c r="T116" s="212" t="s">
        <v>520</v>
      </c>
      <c r="U116" s="212" t="s">
        <v>520</v>
      </c>
      <c r="V116" s="212" t="s">
        <v>520</v>
      </c>
      <c r="W116" s="212" t="s">
        <v>520</v>
      </c>
      <c r="X116" s="212" t="s">
        <v>520</v>
      </c>
      <c r="Y116" s="212" t="s">
        <v>520</v>
      </c>
      <c r="Z116" s="212" t="s">
        <v>520</v>
      </c>
      <c r="AA116" s="212" t="s">
        <v>520</v>
      </c>
      <c r="AB116" s="212" t="s">
        <v>520</v>
      </c>
      <c r="AC116" s="214" t="s">
        <v>520</v>
      </c>
      <c r="AD116" s="148" t="s">
        <v>715</v>
      </c>
      <c r="AE116" s="132" t="s">
        <v>564</v>
      </c>
      <c r="AF116" s="99"/>
      <c r="AG116" s="55" t="str">
        <f>VLOOKUP(C116,'Safety-Plant'!B:B,1,FALSE)</f>
        <v>FC333</v>
      </c>
    </row>
    <row r="117" spans="1:33" ht="16.5" customHeight="1">
      <c r="A117" s="88" t="s">
        <v>671</v>
      </c>
      <c r="B117" s="119"/>
      <c r="C117" s="92" t="s">
        <v>200</v>
      </c>
      <c r="D117" s="211" t="s">
        <v>201</v>
      </c>
      <c r="E117" s="103" t="s">
        <v>720</v>
      </c>
      <c r="F117" s="81">
        <v>12</v>
      </c>
      <c r="G117" s="212" t="s">
        <v>520</v>
      </c>
      <c r="H117" s="212" t="s">
        <v>520</v>
      </c>
      <c r="I117" s="212" t="s">
        <v>520</v>
      </c>
      <c r="J117" s="212" t="s">
        <v>520</v>
      </c>
      <c r="K117" s="212" t="s">
        <v>520</v>
      </c>
      <c r="L117" s="212" t="s">
        <v>520</v>
      </c>
      <c r="M117" s="212" t="s">
        <v>520</v>
      </c>
      <c r="N117" s="212" t="s">
        <v>520</v>
      </c>
      <c r="O117" s="212" t="s">
        <v>520</v>
      </c>
      <c r="P117" s="212" t="s">
        <v>520</v>
      </c>
      <c r="Q117" s="212" t="s">
        <v>520</v>
      </c>
      <c r="R117" s="212" t="s">
        <v>520</v>
      </c>
      <c r="S117" s="213">
        <v>10</v>
      </c>
      <c r="T117" s="212" t="s">
        <v>520</v>
      </c>
      <c r="U117" s="212" t="s">
        <v>520</v>
      </c>
      <c r="V117" s="212" t="s">
        <v>520</v>
      </c>
      <c r="W117" s="212" t="s">
        <v>520</v>
      </c>
      <c r="X117" s="212" t="s">
        <v>520</v>
      </c>
      <c r="Y117" s="212" t="s">
        <v>520</v>
      </c>
      <c r="Z117" s="212" t="s">
        <v>520</v>
      </c>
      <c r="AA117" s="212" t="s">
        <v>520</v>
      </c>
      <c r="AB117" s="212" t="s">
        <v>520</v>
      </c>
      <c r="AC117" s="214" t="s">
        <v>520</v>
      </c>
      <c r="AD117" s="148" t="s">
        <v>715</v>
      </c>
      <c r="AE117" s="132" t="s">
        <v>564</v>
      </c>
      <c r="AF117" s="99"/>
      <c r="AG117" s="55" t="str">
        <f>VLOOKUP(C117,'Safety-Plant'!B:B,1,FALSE)</f>
        <v>FC121</v>
      </c>
    </row>
    <row r="118" spans="1:33" ht="16.5" customHeight="1">
      <c r="A118" s="88" t="s">
        <v>671</v>
      </c>
      <c r="B118" s="234" t="s">
        <v>721</v>
      </c>
      <c r="C118" s="149" t="s">
        <v>206</v>
      </c>
      <c r="D118" s="211" t="s">
        <v>207</v>
      </c>
      <c r="E118" s="103" t="s">
        <v>722</v>
      </c>
      <c r="F118" s="93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6"/>
      <c r="T118" s="95"/>
      <c r="U118" s="95"/>
      <c r="V118" s="95"/>
      <c r="W118" s="95"/>
      <c r="X118" s="95"/>
      <c r="Y118" s="95"/>
      <c r="Z118" s="95"/>
      <c r="AA118" s="95"/>
      <c r="AB118" s="95"/>
      <c r="AC118" s="97"/>
      <c r="AD118" s="85"/>
      <c r="AE118" s="86" t="s">
        <v>558</v>
      </c>
      <c r="AF118" s="99"/>
      <c r="AG118" s="55" t="str">
        <f>VLOOKUP(C118,'Safety-Plant'!B:B,1,FALSE)</f>
        <v>FC036</v>
      </c>
    </row>
    <row r="119" spans="1:33" ht="16.5" customHeight="1">
      <c r="A119" s="88" t="s">
        <v>671</v>
      </c>
      <c r="B119" s="235"/>
      <c r="C119" s="92" t="s">
        <v>208</v>
      </c>
      <c r="D119" s="211" t="s">
        <v>209</v>
      </c>
      <c r="E119" s="103" t="s">
        <v>722</v>
      </c>
      <c r="F119" s="93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6"/>
      <c r="T119" s="95"/>
      <c r="U119" s="95"/>
      <c r="V119" s="95"/>
      <c r="W119" s="95"/>
      <c r="X119" s="95"/>
      <c r="Y119" s="95"/>
      <c r="Z119" s="95"/>
      <c r="AA119" s="95"/>
      <c r="AB119" s="95"/>
      <c r="AC119" s="97"/>
      <c r="AD119" s="85"/>
      <c r="AE119" s="86" t="s">
        <v>558</v>
      </c>
      <c r="AF119" s="99"/>
      <c r="AG119" s="55" t="str">
        <f>VLOOKUP(C119,'Safety-Plant'!B:B,1,FALSE)</f>
        <v>FC051</v>
      </c>
    </row>
    <row r="120" spans="1:33" ht="16.5" customHeight="1">
      <c r="A120" s="88" t="s">
        <v>671</v>
      </c>
      <c r="B120" s="119"/>
      <c r="C120" s="92" t="s">
        <v>210</v>
      </c>
      <c r="D120" s="211" t="s">
        <v>211</v>
      </c>
      <c r="E120" s="103" t="s">
        <v>722</v>
      </c>
      <c r="F120" s="93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6"/>
      <c r="T120" s="95"/>
      <c r="U120" s="95"/>
      <c r="V120" s="95"/>
      <c r="W120" s="95"/>
      <c r="X120" s="95"/>
      <c r="Y120" s="95"/>
      <c r="Z120" s="95"/>
      <c r="AA120" s="95"/>
      <c r="AB120" s="95"/>
      <c r="AC120" s="97"/>
      <c r="AD120" s="85"/>
      <c r="AE120" s="86" t="s">
        <v>558</v>
      </c>
      <c r="AF120" s="99"/>
      <c r="AG120" s="55" t="str">
        <f>VLOOKUP(C120,'Safety-Plant'!B:B,1,FALSE)</f>
        <v>FC053</v>
      </c>
    </row>
    <row r="121" spans="1:33" ht="16.5" customHeight="1">
      <c r="A121" s="88" t="s">
        <v>671</v>
      </c>
      <c r="B121" s="119"/>
      <c r="C121" s="92" t="s">
        <v>212</v>
      </c>
      <c r="D121" s="211" t="s">
        <v>213</v>
      </c>
      <c r="E121" s="103" t="s">
        <v>722</v>
      </c>
      <c r="F121" s="93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6"/>
      <c r="T121" s="95"/>
      <c r="U121" s="95"/>
      <c r="V121" s="95"/>
      <c r="W121" s="95"/>
      <c r="X121" s="95"/>
      <c r="Y121" s="95"/>
      <c r="Z121" s="95"/>
      <c r="AA121" s="95"/>
      <c r="AB121" s="95"/>
      <c r="AC121" s="97"/>
      <c r="AD121" s="85"/>
      <c r="AE121" s="86" t="s">
        <v>558</v>
      </c>
      <c r="AF121" s="99"/>
      <c r="AG121" s="55" t="str">
        <f>VLOOKUP(C121,'Safety-Plant'!B:B,1,FALSE)</f>
        <v>FC259</v>
      </c>
    </row>
    <row r="122" spans="1:33" ht="16.5" customHeight="1">
      <c r="A122" s="88" t="s">
        <v>671</v>
      </c>
      <c r="B122" s="119"/>
      <c r="C122" s="92" t="s">
        <v>214</v>
      </c>
      <c r="D122" s="211" t="s">
        <v>215</v>
      </c>
      <c r="E122" s="103" t="s">
        <v>722</v>
      </c>
      <c r="F122" s="93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6"/>
      <c r="T122" s="95"/>
      <c r="U122" s="95"/>
      <c r="V122" s="95"/>
      <c r="W122" s="95"/>
      <c r="X122" s="95"/>
      <c r="Y122" s="95"/>
      <c r="Z122" s="95"/>
      <c r="AA122" s="95"/>
      <c r="AB122" s="95"/>
      <c r="AC122" s="97"/>
      <c r="AD122" s="85"/>
      <c r="AE122" s="86" t="s">
        <v>558</v>
      </c>
      <c r="AF122" s="99"/>
      <c r="AG122" s="55" t="str">
        <f>VLOOKUP(C122,'Safety-Plant'!B:B,1,FALSE)</f>
        <v>FC278</v>
      </c>
    </row>
    <row r="123" spans="1:33" s="52" customFormat="1" ht="16.5" customHeight="1">
      <c r="A123" s="88" t="s">
        <v>671</v>
      </c>
      <c r="B123" s="119"/>
      <c r="C123" s="92" t="s">
        <v>216</v>
      </c>
      <c r="D123" s="211" t="s">
        <v>217</v>
      </c>
      <c r="E123" s="188" t="s">
        <v>723</v>
      </c>
      <c r="F123" s="93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6"/>
      <c r="T123" s="95"/>
      <c r="U123" s="95"/>
      <c r="V123" s="95"/>
      <c r="W123" s="95"/>
      <c r="X123" s="95"/>
      <c r="Y123" s="95"/>
      <c r="Z123" s="95"/>
      <c r="AA123" s="95"/>
      <c r="AB123" s="95"/>
      <c r="AC123" s="97"/>
      <c r="AD123" s="85"/>
      <c r="AE123" s="86" t="s">
        <v>558</v>
      </c>
      <c r="AF123" s="99"/>
      <c r="AG123" s="55" t="str">
        <f>VLOOKUP(C123,'Safety-Plant'!B:B,1,FALSE)</f>
        <v>FC246</v>
      </c>
    </row>
    <row r="124" spans="1:33" s="52" customFormat="1" ht="16.5" customHeight="1">
      <c r="A124" s="88" t="s">
        <v>671</v>
      </c>
      <c r="B124" s="119"/>
      <c r="C124" s="92" t="s">
        <v>218</v>
      </c>
      <c r="D124" s="211" t="s">
        <v>219</v>
      </c>
      <c r="E124" s="103" t="s">
        <v>724</v>
      </c>
      <c r="F124" s="93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6"/>
      <c r="T124" s="95"/>
      <c r="U124" s="95"/>
      <c r="V124" s="95"/>
      <c r="W124" s="95"/>
      <c r="X124" s="95"/>
      <c r="Y124" s="95"/>
      <c r="Z124" s="95"/>
      <c r="AA124" s="95"/>
      <c r="AB124" s="95"/>
      <c r="AC124" s="97"/>
      <c r="AD124" s="85"/>
      <c r="AE124" s="86" t="s">
        <v>558</v>
      </c>
      <c r="AF124" s="99"/>
      <c r="AG124" s="55" t="str">
        <f>VLOOKUP(C124,'Safety-Plant'!B:B,1,FALSE)</f>
        <v>FC153</v>
      </c>
    </row>
    <row r="125" spans="1:33" s="52" customFormat="1" ht="16.5" customHeight="1">
      <c r="A125" s="88" t="s">
        <v>671</v>
      </c>
      <c r="B125" s="119"/>
      <c r="C125" s="92" t="s">
        <v>220</v>
      </c>
      <c r="D125" s="211" t="s">
        <v>221</v>
      </c>
      <c r="E125" s="103" t="s">
        <v>724</v>
      </c>
      <c r="F125" s="93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6"/>
      <c r="T125" s="95"/>
      <c r="U125" s="95"/>
      <c r="V125" s="95"/>
      <c r="W125" s="95"/>
      <c r="X125" s="95"/>
      <c r="Y125" s="95"/>
      <c r="Z125" s="95"/>
      <c r="AA125" s="95"/>
      <c r="AB125" s="95"/>
      <c r="AC125" s="97"/>
      <c r="AD125" s="85"/>
      <c r="AE125" s="86" t="s">
        <v>558</v>
      </c>
      <c r="AF125" s="99"/>
      <c r="AG125" s="55" t="str">
        <f>VLOOKUP(C125,'Safety-Plant'!B:B,1,FALSE)</f>
        <v>FC154</v>
      </c>
    </row>
    <row r="126" spans="1:33" s="52" customFormat="1" ht="16.5" customHeight="1">
      <c r="A126" s="88" t="s">
        <v>671</v>
      </c>
      <c r="B126" s="119"/>
      <c r="C126" s="120" t="s">
        <v>222</v>
      </c>
      <c r="D126" s="211" t="s">
        <v>223</v>
      </c>
      <c r="E126" s="103" t="s">
        <v>725</v>
      </c>
      <c r="F126" s="93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6"/>
      <c r="T126" s="95"/>
      <c r="U126" s="95"/>
      <c r="V126" s="95"/>
      <c r="W126" s="95"/>
      <c r="X126" s="95"/>
      <c r="Y126" s="95"/>
      <c r="Z126" s="95"/>
      <c r="AA126" s="95"/>
      <c r="AB126" s="95"/>
      <c r="AC126" s="97"/>
      <c r="AD126" s="85"/>
      <c r="AE126" s="86" t="s">
        <v>558</v>
      </c>
      <c r="AF126" s="99"/>
      <c r="AG126" s="55" t="str">
        <f>VLOOKUP(C126,'Safety-Plant'!B:B,1,FALSE)</f>
        <v>FC101</v>
      </c>
    </row>
    <row r="127" spans="1:33" s="52" customFormat="1" ht="16.5" customHeight="1">
      <c r="A127" s="88" t="s">
        <v>671</v>
      </c>
      <c r="B127" s="133"/>
      <c r="C127" s="120" t="s">
        <v>184</v>
      </c>
      <c r="D127" s="211" t="s">
        <v>185</v>
      </c>
      <c r="E127" s="103" t="s">
        <v>726</v>
      </c>
      <c r="F127" s="93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6"/>
      <c r="T127" s="95"/>
      <c r="U127" s="95"/>
      <c r="V127" s="95"/>
      <c r="W127" s="95"/>
      <c r="X127" s="95"/>
      <c r="Y127" s="95"/>
      <c r="Z127" s="95"/>
      <c r="AA127" s="95"/>
      <c r="AB127" s="95"/>
      <c r="AC127" s="97"/>
      <c r="AD127" s="85"/>
      <c r="AE127" s="86" t="s">
        <v>558</v>
      </c>
      <c r="AF127" s="99"/>
      <c r="AG127" s="55" t="str">
        <f>VLOOKUP(C127,'Safety-Plant'!B:B,1,FALSE)</f>
        <v>FC025</v>
      </c>
    </row>
    <row r="128" spans="1:33" s="52" customFormat="1" ht="16.5" customHeight="1">
      <c r="A128" s="88" t="s">
        <v>671</v>
      </c>
      <c r="B128" s="128"/>
      <c r="C128" s="103" t="s">
        <v>186</v>
      </c>
      <c r="D128" s="211" t="s">
        <v>187</v>
      </c>
      <c r="E128" s="103" t="s">
        <v>727</v>
      </c>
      <c r="F128" s="81">
        <v>12</v>
      </c>
      <c r="G128" s="212" t="s">
        <v>520</v>
      </c>
      <c r="H128" s="212" t="s">
        <v>520</v>
      </c>
      <c r="I128" s="212" t="s">
        <v>520</v>
      </c>
      <c r="J128" s="212" t="s">
        <v>520</v>
      </c>
      <c r="K128" s="212" t="s">
        <v>520</v>
      </c>
      <c r="L128" s="212" t="s">
        <v>520</v>
      </c>
      <c r="M128" s="212" t="s">
        <v>520</v>
      </c>
      <c r="N128" s="212" t="s">
        <v>520</v>
      </c>
      <c r="O128" s="212" t="s">
        <v>520</v>
      </c>
      <c r="P128" s="212" t="s">
        <v>520</v>
      </c>
      <c r="Q128" s="212" t="s">
        <v>520</v>
      </c>
      <c r="R128" s="212" t="s">
        <v>520</v>
      </c>
      <c r="S128" s="213">
        <v>10</v>
      </c>
      <c r="T128" s="212" t="s">
        <v>520</v>
      </c>
      <c r="U128" s="212" t="s">
        <v>520</v>
      </c>
      <c r="V128" s="212" t="s">
        <v>520</v>
      </c>
      <c r="W128" s="212" t="s">
        <v>520</v>
      </c>
      <c r="X128" s="212" t="s">
        <v>520</v>
      </c>
      <c r="Y128" s="212" t="s">
        <v>520</v>
      </c>
      <c r="Z128" s="212" t="s">
        <v>520</v>
      </c>
      <c r="AA128" s="212" t="s">
        <v>520</v>
      </c>
      <c r="AB128" s="212" t="s">
        <v>520</v>
      </c>
      <c r="AC128" s="214" t="s">
        <v>520</v>
      </c>
      <c r="AD128" s="148" t="s">
        <v>674</v>
      </c>
      <c r="AE128" s="86" t="s">
        <v>558</v>
      </c>
      <c r="AF128" s="99"/>
      <c r="AG128" s="55" t="str">
        <f>VLOOKUP(C128,'Safety-Plant'!B:B,1,FALSE)</f>
        <v>FC165</v>
      </c>
    </row>
    <row r="129" spans="1:33" s="52" customFormat="1" ht="16.5" customHeight="1">
      <c r="A129" s="88" t="s">
        <v>671</v>
      </c>
      <c r="B129" s="168"/>
      <c r="C129" s="120" t="s">
        <v>224</v>
      </c>
      <c r="D129" s="211" t="s">
        <v>225</v>
      </c>
      <c r="E129" s="103" t="s">
        <v>728</v>
      </c>
      <c r="F129" s="93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6"/>
      <c r="T129" s="95"/>
      <c r="U129" s="95"/>
      <c r="V129" s="95"/>
      <c r="W129" s="95"/>
      <c r="X129" s="95"/>
      <c r="Y129" s="95"/>
      <c r="Z129" s="95"/>
      <c r="AA129" s="95"/>
      <c r="AB129" s="95"/>
      <c r="AC129" s="97"/>
      <c r="AD129" s="85"/>
      <c r="AE129" s="86" t="s">
        <v>558</v>
      </c>
      <c r="AF129" s="99"/>
      <c r="AG129" s="55" t="str">
        <f>VLOOKUP(C129,'Safety-Plant'!B:B,1,FALSE)</f>
        <v>FC130</v>
      </c>
    </row>
    <row r="130" spans="1:33" s="52" customFormat="1" ht="16.5" customHeight="1">
      <c r="A130" s="88" t="s">
        <v>671</v>
      </c>
      <c r="B130" s="119" t="s">
        <v>729</v>
      </c>
      <c r="C130" s="92" t="s">
        <v>226</v>
      </c>
      <c r="D130" s="211" t="s">
        <v>227</v>
      </c>
      <c r="E130" s="103" t="s">
        <v>730</v>
      </c>
      <c r="F130" s="81">
        <v>12</v>
      </c>
      <c r="G130" s="212" t="s">
        <v>520</v>
      </c>
      <c r="H130" s="212" t="s">
        <v>520</v>
      </c>
      <c r="I130" s="212" t="s">
        <v>520</v>
      </c>
      <c r="J130" s="212" t="s">
        <v>520</v>
      </c>
      <c r="K130" s="212" t="s">
        <v>520</v>
      </c>
      <c r="L130" s="212" t="s">
        <v>520</v>
      </c>
      <c r="M130" s="212" t="s">
        <v>520</v>
      </c>
      <c r="N130" s="212" t="s">
        <v>520</v>
      </c>
      <c r="O130" s="212" t="s">
        <v>520</v>
      </c>
      <c r="P130" s="212" t="s">
        <v>520</v>
      </c>
      <c r="Q130" s="212" t="s">
        <v>520</v>
      </c>
      <c r="R130" s="212" t="s">
        <v>520</v>
      </c>
      <c r="S130" s="213">
        <v>10</v>
      </c>
      <c r="T130" s="212" t="s">
        <v>520</v>
      </c>
      <c r="U130" s="212" t="s">
        <v>520</v>
      </c>
      <c r="V130" s="212" t="s">
        <v>520</v>
      </c>
      <c r="W130" s="212" t="s">
        <v>520</v>
      </c>
      <c r="X130" s="212" t="s">
        <v>520</v>
      </c>
      <c r="Y130" s="212" t="s">
        <v>520</v>
      </c>
      <c r="Z130" s="212" t="s">
        <v>520</v>
      </c>
      <c r="AA130" s="212" t="s">
        <v>520</v>
      </c>
      <c r="AB130" s="212" t="s">
        <v>520</v>
      </c>
      <c r="AC130" s="214" t="s">
        <v>520</v>
      </c>
      <c r="AD130" s="148" t="s">
        <v>674</v>
      </c>
      <c r="AE130" s="132" t="s">
        <v>564</v>
      </c>
      <c r="AF130" s="236"/>
      <c r="AG130" s="55" t="str">
        <f>VLOOKUP(C130,'Safety-Plant'!B:B,1,FALSE)</f>
        <v>FC208</v>
      </c>
    </row>
    <row r="131" spans="1:33" s="52" customFormat="1" ht="16.5" customHeight="1">
      <c r="A131" s="88" t="s">
        <v>671</v>
      </c>
      <c r="B131" s="119"/>
      <c r="C131" s="92" t="s">
        <v>228</v>
      </c>
      <c r="D131" s="211" t="s">
        <v>229</v>
      </c>
      <c r="E131" s="103" t="s">
        <v>731</v>
      </c>
      <c r="F131" s="81">
        <v>12</v>
      </c>
      <c r="G131" s="212" t="s">
        <v>520</v>
      </c>
      <c r="H131" s="212" t="s">
        <v>520</v>
      </c>
      <c r="I131" s="212" t="s">
        <v>520</v>
      </c>
      <c r="J131" s="212" t="s">
        <v>520</v>
      </c>
      <c r="K131" s="212" t="s">
        <v>520</v>
      </c>
      <c r="L131" s="212" t="s">
        <v>520</v>
      </c>
      <c r="M131" s="212" t="s">
        <v>520</v>
      </c>
      <c r="N131" s="212" t="s">
        <v>520</v>
      </c>
      <c r="O131" s="212" t="s">
        <v>520</v>
      </c>
      <c r="P131" s="212" t="s">
        <v>520</v>
      </c>
      <c r="Q131" s="212" t="s">
        <v>520</v>
      </c>
      <c r="R131" s="212" t="s">
        <v>520</v>
      </c>
      <c r="S131" s="213">
        <v>10</v>
      </c>
      <c r="T131" s="212" t="s">
        <v>520</v>
      </c>
      <c r="U131" s="212" t="s">
        <v>520</v>
      </c>
      <c r="V131" s="212" t="s">
        <v>520</v>
      </c>
      <c r="W131" s="212" t="s">
        <v>520</v>
      </c>
      <c r="X131" s="212" t="s">
        <v>520</v>
      </c>
      <c r="Y131" s="212" t="s">
        <v>520</v>
      </c>
      <c r="Z131" s="212" t="s">
        <v>520</v>
      </c>
      <c r="AA131" s="212" t="s">
        <v>520</v>
      </c>
      <c r="AB131" s="212" t="s">
        <v>520</v>
      </c>
      <c r="AC131" s="214" t="s">
        <v>520</v>
      </c>
      <c r="AD131" s="148" t="s">
        <v>674</v>
      </c>
      <c r="AE131" s="191" t="s">
        <v>564</v>
      </c>
      <c r="AF131" s="237"/>
      <c r="AG131" s="55" t="str">
        <f>VLOOKUP(C131,'Safety-Plant'!B:B,1,FALSE)</f>
        <v>FC167</v>
      </c>
    </row>
    <row r="132" spans="1:33" ht="16.5" customHeight="1">
      <c r="A132" s="88" t="s">
        <v>671</v>
      </c>
      <c r="B132" s="128"/>
      <c r="C132" s="92" t="s">
        <v>202</v>
      </c>
      <c r="D132" s="211" t="s">
        <v>203</v>
      </c>
      <c r="E132" s="103" t="s">
        <v>732</v>
      </c>
      <c r="F132" s="81">
        <v>12</v>
      </c>
      <c r="G132" s="212" t="s">
        <v>520</v>
      </c>
      <c r="H132" s="212" t="s">
        <v>520</v>
      </c>
      <c r="I132" s="212" t="s">
        <v>520</v>
      </c>
      <c r="J132" s="212" t="s">
        <v>520</v>
      </c>
      <c r="K132" s="212" t="s">
        <v>520</v>
      </c>
      <c r="L132" s="212" t="s">
        <v>520</v>
      </c>
      <c r="M132" s="212" t="s">
        <v>520</v>
      </c>
      <c r="N132" s="212" t="s">
        <v>520</v>
      </c>
      <c r="O132" s="212" t="s">
        <v>520</v>
      </c>
      <c r="P132" s="212" t="s">
        <v>520</v>
      </c>
      <c r="Q132" s="212" t="s">
        <v>520</v>
      </c>
      <c r="R132" s="212" t="s">
        <v>520</v>
      </c>
      <c r="S132" s="213">
        <v>10</v>
      </c>
      <c r="T132" s="212" t="s">
        <v>520</v>
      </c>
      <c r="U132" s="212" t="s">
        <v>520</v>
      </c>
      <c r="V132" s="212" t="s">
        <v>520</v>
      </c>
      <c r="W132" s="212" t="s">
        <v>520</v>
      </c>
      <c r="X132" s="212" t="s">
        <v>520</v>
      </c>
      <c r="Y132" s="212" t="s">
        <v>520</v>
      </c>
      <c r="Z132" s="212" t="s">
        <v>520</v>
      </c>
      <c r="AA132" s="212" t="s">
        <v>520</v>
      </c>
      <c r="AB132" s="212" t="s">
        <v>520</v>
      </c>
      <c r="AC132" s="214" t="s">
        <v>520</v>
      </c>
      <c r="AD132" s="148" t="s">
        <v>674</v>
      </c>
      <c r="AE132" s="191" t="s">
        <v>564</v>
      </c>
      <c r="AF132" s="238"/>
      <c r="AG132" s="55" t="str">
        <f>VLOOKUP(C132,'Safety-Plant'!B:B,1,FALSE)</f>
        <v>FC148</v>
      </c>
    </row>
    <row r="133" spans="1:33" s="52" customFormat="1" ht="16.5" customHeight="1">
      <c r="A133" s="88" t="s">
        <v>671</v>
      </c>
      <c r="B133" s="128"/>
      <c r="C133" s="92" t="s">
        <v>230</v>
      </c>
      <c r="D133" s="211" t="s">
        <v>231</v>
      </c>
      <c r="E133" s="103" t="s">
        <v>733</v>
      </c>
      <c r="F133" s="93"/>
      <c r="G133" s="239"/>
      <c r="H133" s="239"/>
      <c r="I133" s="239"/>
      <c r="J133" s="239"/>
      <c r="K133" s="239"/>
      <c r="L133" s="239"/>
      <c r="M133" s="239"/>
      <c r="N133" s="239"/>
      <c r="O133" s="239"/>
      <c r="P133" s="239"/>
      <c r="Q133" s="239"/>
      <c r="R133" s="239"/>
      <c r="S133" s="240"/>
      <c r="T133" s="239"/>
      <c r="U133" s="239"/>
      <c r="V133" s="239"/>
      <c r="W133" s="239"/>
      <c r="X133" s="95"/>
      <c r="Y133" s="95"/>
      <c r="Z133" s="239"/>
      <c r="AA133" s="239"/>
      <c r="AB133" s="239"/>
      <c r="AC133" s="97"/>
      <c r="AD133" s="85"/>
      <c r="AE133" s="132" t="s">
        <v>564</v>
      </c>
      <c r="AF133" s="99"/>
      <c r="AG133" s="55" t="str">
        <f>VLOOKUP(C133,'Safety-Plant'!B:B,1,FALSE)</f>
        <v>FC240</v>
      </c>
    </row>
    <row r="134" spans="1:33" s="52" customFormat="1" ht="16.5" customHeight="1">
      <c r="A134" s="88" t="s">
        <v>671</v>
      </c>
      <c r="B134" s="119"/>
      <c r="C134" s="92" t="s">
        <v>232</v>
      </c>
      <c r="D134" s="211" t="s">
        <v>233</v>
      </c>
      <c r="E134" s="103" t="s">
        <v>734</v>
      </c>
      <c r="F134" s="93"/>
      <c r="G134" s="239"/>
      <c r="H134" s="239"/>
      <c r="I134" s="239"/>
      <c r="J134" s="239"/>
      <c r="K134" s="239"/>
      <c r="L134" s="239"/>
      <c r="M134" s="239"/>
      <c r="N134" s="239"/>
      <c r="O134" s="239"/>
      <c r="P134" s="239"/>
      <c r="Q134" s="239"/>
      <c r="R134" s="239"/>
      <c r="S134" s="240"/>
      <c r="T134" s="239"/>
      <c r="U134" s="239"/>
      <c r="V134" s="239"/>
      <c r="W134" s="239"/>
      <c r="X134" s="95"/>
      <c r="Y134" s="95"/>
      <c r="Z134" s="95"/>
      <c r="AA134" s="95"/>
      <c r="AB134" s="95"/>
      <c r="AC134" s="97"/>
      <c r="AD134" s="85"/>
      <c r="AE134" s="132" t="s">
        <v>564</v>
      </c>
      <c r="AF134" s="99"/>
      <c r="AG134" s="55" t="str">
        <f>VLOOKUP(C134,'Safety-Plant'!B:B,1,FALSE)</f>
        <v>FC187</v>
      </c>
    </row>
    <row r="135" spans="1:33" s="52" customFormat="1" ht="16.5" customHeight="1">
      <c r="A135" s="88" t="s">
        <v>671</v>
      </c>
      <c r="B135" s="119"/>
      <c r="C135" s="92" t="s">
        <v>234</v>
      </c>
      <c r="D135" s="211" t="s">
        <v>235</v>
      </c>
      <c r="E135" s="193" t="s">
        <v>735</v>
      </c>
      <c r="F135" s="241"/>
      <c r="G135" s="242"/>
      <c r="H135" s="242"/>
      <c r="I135" s="242"/>
      <c r="J135" s="239"/>
      <c r="K135" s="242"/>
      <c r="L135" s="242"/>
      <c r="M135" s="239"/>
      <c r="N135" s="243"/>
      <c r="O135" s="243"/>
      <c r="P135" s="243"/>
      <c r="Q135" s="243"/>
      <c r="R135" s="243"/>
      <c r="S135" s="240"/>
      <c r="T135" s="239"/>
      <c r="U135" s="239"/>
      <c r="V135" s="239"/>
      <c r="W135" s="239"/>
      <c r="X135" s="95"/>
      <c r="Y135" s="95"/>
      <c r="Z135" s="244"/>
      <c r="AA135" s="244"/>
      <c r="AB135" s="244"/>
      <c r="AC135" s="245"/>
      <c r="AD135" s="85"/>
      <c r="AE135" s="132" t="s">
        <v>564</v>
      </c>
      <c r="AF135" s="99"/>
      <c r="AG135" s="55" t="str">
        <f>VLOOKUP(C135,'Safety-Plant'!B:B,1,FALSE)</f>
        <v>FC347</v>
      </c>
    </row>
    <row r="136" spans="1:33" s="52" customFormat="1" ht="16.5" customHeight="1">
      <c r="A136" s="88" t="s">
        <v>671</v>
      </c>
      <c r="B136" s="119"/>
      <c r="C136" s="92" t="s">
        <v>236</v>
      </c>
      <c r="D136" s="211" t="s">
        <v>237</v>
      </c>
      <c r="E136" s="103" t="s">
        <v>736</v>
      </c>
      <c r="F136" s="93"/>
      <c r="G136" s="239"/>
      <c r="H136" s="239"/>
      <c r="I136" s="239"/>
      <c r="J136" s="239"/>
      <c r="K136" s="239"/>
      <c r="L136" s="239"/>
      <c r="M136" s="239"/>
      <c r="N136" s="239"/>
      <c r="O136" s="239"/>
      <c r="P136" s="239"/>
      <c r="Q136" s="239"/>
      <c r="R136" s="239"/>
      <c r="S136" s="240"/>
      <c r="T136" s="239"/>
      <c r="U136" s="239"/>
      <c r="V136" s="239"/>
      <c r="W136" s="239"/>
      <c r="X136" s="95"/>
      <c r="Y136" s="95"/>
      <c r="Z136" s="95"/>
      <c r="AA136" s="95"/>
      <c r="AB136" s="95"/>
      <c r="AC136" s="97"/>
      <c r="AD136" s="85"/>
      <c r="AE136" s="132" t="s">
        <v>564</v>
      </c>
      <c r="AF136" s="99"/>
      <c r="AG136" s="55" t="str">
        <f>VLOOKUP(C136,'Safety-Plant'!B:B,1,FALSE)</f>
        <v>FC094</v>
      </c>
    </row>
    <row r="137" spans="1:33" ht="16.5" customHeight="1">
      <c r="A137" s="88" t="s">
        <v>671</v>
      </c>
      <c r="B137" s="119"/>
      <c r="C137" s="92" t="s">
        <v>204</v>
      </c>
      <c r="D137" s="211" t="s">
        <v>205</v>
      </c>
      <c r="E137" s="188" t="s">
        <v>736</v>
      </c>
      <c r="F137" s="93"/>
      <c r="G137" s="239"/>
      <c r="H137" s="239"/>
      <c r="I137" s="239"/>
      <c r="J137" s="239"/>
      <c r="K137" s="239"/>
      <c r="L137" s="239"/>
      <c r="M137" s="239"/>
      <c r="N137" s="239"/>
      <c r="O137" s="239"/>
      <c r="P137" s="239"/>
      <c r="Q137" s="239"/>
      <c r="R137" s="239"/>
      <c r="S137" s="240"/>
      <c r="T137" s="239"/>
      <c r="U137" s="239"/>
      <c r="V137" s="239"/>
      <c r="W137" s="239"/>
      <c r="X137" s="95"/>
      <c r="Y137" s="95"/>
      <c r="Z137" s="95"/>
      <c r="AA137" s="95"/>
      <c r="AB137" s="95"/>
      <c r="AC137" s="97"/>
      <c r="AD137" s="85"/>
      <c r="AE137" s="132" t="s">
        <v>564</v>
      </c>
      <c r="AF137" s="99"/>
      <c r="AG137" s="55" t="str">
        <f>VLOOKUP(C137,'Safety-Plant'!B:B,1,FALSE)</f>
        <v>FC250</v>
      </c>
    </row>
    <row r="138" spans="1:33" s="52" customFormat="1" ht="16.5" customHeight="1">
      <c r="A138" s="88" t="s">
        <v>671</v>
      </c>
      <c r="B138" s="119"/>
      <c r="C138" s="92" t="s">
        <v>238</v>
      </c>
      <c r="D138" s="211" t="s">
        <v>239</v>
      </c>
      <c r="E138" s="103" t="s">
        <v>737</v>
      </c>
      <c r="F138" s="93"/>
      <c r="G138" s="239"/>
      <c r="H138" s="239"/>
      <c r="I138" s="239"/>
      <c r="J138" s="239"/>
      <c r="K138" s="239"/>
      <c r="L138" s="239"/>
      <c r="M138" s="239"/>
      <c r="N138" s="239"/>
      <c r="O138" s="239"/>
      <c r="P138" s="239"/>
      <c r="Q138" s="239"/>
      <c r="R138" s="239"/>
      <c r="S138" s="240"/>
      <c r="T138" s="239"/>
      <c r="U138" s="239"/>
      <c r="V138" s="239"/>
      <c r="W138" s="239"/>
      <c r="X138" s="95"/>
      <c r="Y138" s="95"/>
      <c r="Z138" s="95"/>
      <c r="AA138" s="95"/>
      <c r="AB138" s="95"/>
      <c r="AC138" s="97"/>
      <c r="AD138" s="85"/>
      <c r="AE138" s="132" t="s">
        <v>564</v>
      </c>
      <c r="AF138" s="99"/>
      <c r="AG138" s="55" t="str">
        <f>VLOOKUP(C138,'Safety-Plant'!B:B,1,FALSE)</f>
        <v>FC207</v>
      </c>
    </row>
    <row r="139" spans="1:33" s="52" customFormat="1" ht="16.5" customHeight="1" thickBot="1">
      <c r="A139" s="104" t="s">
        <v>671</v>
      </c>
      <c r="B139" s="134"/>
      <c r="C139" s="108" t="s">
        <v>240</v>
      </c>
      <c r="D139" s="136" t="s">
        <v>241</v>
      </c>
      <c r="E139" s="246" t="s">
        <v>738</v>
      </c>
      <c r="F139" s="109"/>
      <c r="G139" s="110"/>
      <c r="H139" s="110"/>
      <c r="I139" s="110"/>
      <c r="J139" s="110"/>
      <c r="K139" s="110"/>
      <c r="L139" s="110"/>
      <c r="M139" s="110"/>
      <c r="N139" s="110"/>
      <c r="O139" s="110"/>
      <c r="P139" s="110"/>
      <c r="Q139" s="110"/>
      <c r="R139" s="110"/>
      <c r="S139" s="247"/>
      <c r="T139" s="248"/>
      <c r="U139" s="248"/>
      <c r="V139" s="248"/>
      <c r="W139" s="248"/>
      <c r="X139" s="248"/>
      <c r="Y139" s="248"/>
      <c r="Z139" s="248"/>
      <c r="AA139" s="248"/>
      <c r="AB139" s="248"/>
      <c r="AC139" s="249"/>
      <c r="AD139" s="113"/>
      <c r="AE139" s="138" t="s">
        <v>564</v>
      </c>
      <c r="AF139" s="115"/>
      <c r="AG139" s="55" t="str">
        <f>VLOOKUP(C139,'Safety-Plant'!B:B,1,FALSE)</f>
        <v>FC373</v>
      </c>
    </row>
    <row r="140" spans="1:33" s="52" customFormat="1" ht="16.5" customHeight="1">
      <c r="A140" s="76" t="s">
        <v>739</v>
      </c>
      <c r="B140" s="250" t="s">
        <v>740</v>
      </c>
      <c r="C140" s="184" t="s">
        <v>242</v>
      </c>
      <c r="D140" s="79" t="s">
        <v>243</v>
      </c>
      <c r="E140" s="80" t="s">
        <v>741</v>
      </c>
      <c r="F140" s="93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6"/>
      <c r="T140" s="95"/>
      <c r="U140" s="95"/>
      <c r="V140" s="95"/>
      <c r="W140" s="95"/>
      <c r="X140" s="95"/>
      <c r="Y140" s="95"/>
      <c r="Z140" s="95"/>
      <c r="AA140" s="95"/>
      <c r="AB140" s="95"/>
      <c r="AC140" s="97"/>
      <c r="AD140" s="85"/>
      <c r="AE140" s="142" t="s">
        <v>558</v>
      </c>
      <c r="AF140" s="99"/>
      <c r="AG140" s="55" t="str">
        <f>VLOOKUP(C140,'Safety-Plant'!B:B,1,FALSE)</f>
        <v>FC031</v>
      </c>
    </row>
    <row r="141" spans="1:33" s="52" customFormat="1" ht="16.5" customHeight="1">
      <c r="A141" s="88" t="s">
        <v>739</v>
      </c>
      <c r="B141" s="119"/>
      <c r="C141" s="149" t="s">
        <v>244</v>
      </c>
      <c r="D141" s="211" t="s">
        <v>245</v>
      </c>
      <c r="E141" s="103" t="s">
        <v>742</v>
      </c>
      <c r="F141" s="81">
        <v>12</v>
      </c>
      <c r="G141" s="212" t="s">
        <v>520</v>
      </c>
      <c r="H141" s="212" t="s">
        <v>520</v>
      </c>
      <c r="I141" s="212" t="s">
        <v>520</v>
      </c>
      <c r="J141" s="212" t="s">
        <v>520</v>
      </c>
      <c r="K141" s="212" t="s">
        <v>520</v>
      </c>
      <c r="L141" s="212" t="s">
        <v>520</v>
      </c>
      <c r="M141" s="212" t="s">
        <v>520</v>
      </c>
      <c r="N141" s="212" t="s">
        <v>520</v>
      </c>
      <c r="O141" s="212" t="s">
        <v>520</v>
      </c>
      <c r="P141" s="212" t="s">
        <v>520</v>
      </c>
      <c r="Q141" s="212" t="s">
        <v>520</v>
      </c>
      <c r="R141" s="212" t="s">
        <v>520</v>
      </c>
      <c r="S141" s="213">
        <v>10</v>
      </c>
      <c r="T141" s="212" t="s">
        <v>520</v>
      </c>
      <c r="U141" s="212" t="s">
        <v>520</v>
      </c>
      <c r="V141" s="212" t="s">
        <v>520</v>
      </c>
      <c r="W141" s="212" t="s">
        <v>520</v>
      </c>
      <c r="X141" s="212" t="s">
        <v>520</v>
      </c>
      <c r="Y141" s="212" t="s">
        <v>520</v>
      </c>
      <c r="Z141" s="212" t="s">
        <v>520</v>
      </c>
      <c r="AA141" s="212" t="s">
        <v>520</v>
      </c>
      <c r="AB141" s="212" t="s">
        <v>520</v>
      </c>
      <c r="AC141" s="214" t="s">
        <v>520</v>
      </c>
      <c r="AD141" s="148" t="s">
        <v>743</v>
      </c>
      <c r="AE141" s="132" t="s">
        <v>565</v>
      </c>
      <c r="AF141" s="99"/>
      <c r="AG141" s="55" t="str">
        <f>VLOOKUP(C141,'Safety-Plant'!B:B,1,FALSE)</f>
        <v>FC050</v>
      </c>
    </row>
    <row r="142" spans="1:33" s="52" customFormat="1" ht="16.5" customHeight="1">
      <c r="A142" s="88" t="s">
        <v>739</v>
      </c>
      <c r="B142" s="119"/>
      <c r="C142" s="120" t="s">
        <v>246</v>
      </c>
      <c r="D142" s="211" t="s">
        <v>247</v>
      </c>
      <c r="E142" s="103" t="s">
        <v>742</v>
      </c>
      <c r="F142" s="81">
        <v>12</v>
      </c>
      <c r="G142" s="212" t="s">
        <v>520</v>
      </c>
      <c r="H142" s="212" t="s">
        <v>520</v>
      </c>
      <c r="I142" s="212" t="s">
        <v>520</v>
      </c>
      <c r="J142" s="212" t="s">
        <v>520</v>
      </c>
      <c r="K142" s="212" t="s">
        <v>520</v>
      </c>
      <c r="L142" s="212" t="s">
        <v>520</v>
      </c>
      <c r="M142" s="212" t="s">
        <v>520</v>
      </c>
      <c r="N142" s="212" t="s">
        <v>520</v>
      </c>
      <c r="O142" s="212" t="s">
        <v>520</v>
      </c>
      <c r="P142" s="212" t="s">
        <v>520</v>
      </c>
      <c r="Q142" s="212" t="s">
        <v>520</v>
      </c>
      <c r="R142" s="212" t="s">
        <v>520</v>
      </c>
      <c r="S142" s="213">
        <v>10</v>
      </c>
      <c r="T142" s="212" t="s">
        <v>520</v>
      </c>
      <c r="U142" s="212" t="s">
        <v>520</v>
      </c>
      <c r="V142" s="212" t="s">
        <v>520</v>
      </c>
      <c r="W142" s="212" t="s">
        <v>520</v>
      </c>
      <c r="X142" s="212" t="s">
        <v>520</v>
      </c>
      <c r="Y142" s="212" t="s">
        <v>520</v>
      </c>
      <c r="Z142" s="212" t="s">
        <v>520</v>
      </c>
      <c r="AA142" s="212" t="s">
        <v>520</v>
      </c>
      <c r="AB142" s="212" t="s">
        <v>520</v>
      </c>
      <c r="AC142" s="214" t="s">
        <v>520</v>
      </c>
      <c r="AD142" s="148" t="s">
        <v>743</v>
      </c>
      <c r="AE142" s="132" t="s">
        <v>565</v>
      </c>
      <c r="AF142" s="99"/>
      <c r="AG142" s="55" t="str">
        <f>VLOOKUP(C142,'Safety-Plant'!B:B,1,FALSE)</f>
        <v>FC114</v>
      </c>
    </row>
    <row r="143" spans="1:33" s="52" customFormat="1" ht="16.5" customHeight="1">
      <c r="A143" s="88" t="s">
        <v>739</v>
      </c>
      <c r="B143" s="119"/>
      <c r="C143" s="120" t="s">
        <v>248</v>
      </c>
      <c r="D143" s="211" t="s">
        <v>249</v>
      </c>
      <c r="E143" s="103" t="s">
        <v>742</v>
      </c>
      <c r="F143" s="81">
        <v>12</v>
      </c>
      <c r="G143" s="212" t="s">
        <v>520</v>
      </c>
      <c r="H143" s="212" t="s">
        <v>520</v>
      </c>
      <c r="I143" s="212" t="s">
        <v>520</v>
      </c>
      <c r="J143" s="212" t="s">
        <v>520</v>
      </c>
      <c r="K143" s="212" t="s">
        <v>520</v>
      </c>
      <c r="L143" s="212" t="s">
        <v>520</v>
      </c>
      <c r="M143" s="212" t="s">
        <v>520</v>
      </c>
      <c r="N143" s="212" t="s">
        <v>520</v>
      </c>
      <c r="O143" s="212" t="s">
        <v>520</v>
      </c>
      <c r="P143" s="212" t="s">
        <v>520</v>
      </c>
      <c r="Q143" s="212" t="s">
        <v>520</v>
      </c>
      <c r="R143" s="212" t="s">
        <v>520</v>
      </c>
      <c r="S143" s="213">
        <v>10</v>
      </c>
      <c r="T143" s="212" t="s">
        <v>520</v>
      </c>
      <c r="U143" s="212" t="s">
        <v>520</v>
      </c>
      <c r="V143" s="212" t="s">
        <v>520</v>
      </c>
      <c r="W143" s="212" t="s">
        <v>520</v>
      </c>
      <c r="X143" s="212" t="s">
        <v>520</v>
      </c>
      <c r="Y143" s="212" t="s">
        <v>520</v>
      </c>
      <c r="Z143" s="212" t="s">
        <v>520</v>
      </c>
      <c r="AA143" s="212" t="s">
        <v>520</v>
      </c>
      <c r="AB143" s="212" t="s">
        <v>520</v>
      </c>
      <c r="AC143" s="214" t="s">
        <v>520</v>
      </c>
      <c r="AD143" s="148" t="s">
        <v>743</v>
      </c>
      <c r="AE143" s="132" t="s">
        <v>565</v>
      </c>
      <c r="AF143" s="99"/>
      <c r="AG143" s="55" t="str">
        <f>VLOOKUP(C143,'Safety-Plant'!B:B,1,FALSE)</f>
        <v>FC144</v>
      </c>
    </row>
    <row r="144" spans="1:33" s="52" customFormat="1" ht="16.5" customHeight="1">
      <c r="A144" s="88" t="s">
        <v>739</v>
      </c>
      <c r="B144" s="119"/>
      <c r="C144" s="120" t="s">
        <v>250</v>
      </c>
      <c r="D144" s="211" t="s">
        <v>251</v>
      </c>
      <c r="E144" s="103" t="s">
        <v>742</v>
      </c>
      <c r="F144" s="81">
        <v>12</v>
      </c>
      <c r="G144" s="212" t="s">
        <v>520</v>
      </c>
      <c r="H144" s="212" t="s">
        <v>520</v>
      </c>
      <c r="I144" s="212" t="s">
        <v>520</v>
      </c>
      <c r="J144" s="212" t="s">
        <v>520</v>
      </c>
      <c r="K144" s="212" t="s">
        <v>520</v>
      </c>
      <c r="L144" s="212" t="s">
        <v>520</v>
      </c>
      <c r="M144" s="212" t="s">
        <v>520</v>
      </c>
      <c r="N144" s="212" t="s">
        <v>520</v>
      </c>
      <c r="O144" s="212" t="s">
        <v>520</v>
      </c>
      <c r="P144" s="212" t="s">
        <v>520</v>
      </c>
      <c r="Q144" s="212" t="s">
        <v>520</v>
      </c>
      <c r="R144" s="212" t="s">
        <v>520</v>
      </c>
      <c r="S144" s="213">
        <v>10</v>
      </c>
      <c r="T144" s="212" t="s">
        <v>520</v>
      </c>
      <c r="U144" s="212" t="s">
        <v>520</v>
      </c>
      <c r="V144" s="212" t="s">
        <v>520</v>
      </c>
      <c r="W144" s="212" t="s">
        <v>520</v>
      </c>
      <c r="X144" s="212" t="s">
        <v>520</v>
      </c>
      <c r="Y144" s="212" t="s">
        <v>520</v>
      </c>
      <c r="Z144" s="212" t="s">
        <v>520</v>
      </c>
      <c r="AA144" s="212" t="s">
        <v>520</v>
      </c>
      <c r="AB144" s="212" t="s">
        <v>520</v>
      </c>
      <c r="AC144" s="214" t="s">
        <v>520</v>
      </c>
      <c r="AD144" s="148" t="s">
        <v>743</v>
      </c>
      <c r="AE144" s="132" t="s">
        <v>565</v>
      </c>
      <c r="AF144" s="99"/>
      <c r="AG144" s="55" t="str">
        <f>VLOOKUP(C144,'Safety-Plant'!B:B,1,FALSE)</f>
        <v>FC157</v>
      </c>
    </row>
    <row r="145" spans="1:33" s="52" customFormat="1" ht="16.5" customHeight="1">
      <c r="A145" s="88" t="s">
        <v>739</v>
      </c>
      <c r="B145" s="119"/>
      <c r="C145" s="120" t="s">
        <v>252</v>
      </c>
      <c r="D145" s="211" t="s">
        <v>253</v>
      </c>
      <c r="E145" s="103" t="s">
        <v>742</v>
      </c>
      <c r="F145" s="81">
        <v>12</v>
      </c>
      <c r="G145" s="212" t="s">
        <v>520</v>
      </c>
      <c r="H145" s="212" t="s">
        <v>520</v>
      </c>
      <c r="I145" s="212" t="s">
        <v>520</v>
      </c>
      <c r="J145" s="212" t="s">
        <v>520</v>
      </c>
      <c r="K145" s="212" t="s">
        <v>520</v>
      </c>
      <c r="L145" s="212" t="s">
        <v>520</v>
      </c>
      <c r="M145" s="212" t="s">
        <v>520</v>
      </c>
      <c r="N145" s="212" t="s">
        <v>520</v>
      </c>
      <c r="O145" s="212" t="s">
        <v>520</v>
      </c>
      <c r="P145" s="212" t="s">
        <v>520</v>
      </c>
      <c r="Q145" s="212" t="s">
        <v>520</v>
      </c>
      <c r="R145" s="212" t="s">
        <v>520</v>
      </c>
      <c r="S145" s="213">
        <v>10</v>
      </c>
      <c r="T145" s="212" t="s">
        <v>520</v>
      </c>
      <c r="U145" s="212" t="s">
        <v>520</v>
      </c>
      <c r="V145" s="212" t="s">
        <v>520</v>
      </c>
      <c r="W145" s="212" t="s">
        <v>520</v>
      </c>
      <c r="X145" s="212" t="s">
        <v>520</v>
      </c>
      <c r="Y145" s="212" t="s">
        <v>520</v>
      </c>
      <c r="Z145" s="212" t="s">
        <v>520</v>
      </c>
      <c r="AA145" s="212" t="s">
        <v>520</v>
      </c>
      <c r="AB145" s="212" t="s">
        <v>520</v>
      </c>
      <c r="AC145" s="214" t="s">
        <v>520</v>
      </c>
      <c r="AD145" s="148" t="s">
        <v>743</v>
      </c>
      <c r="AE145" s="132" t="s">
        <v>565</v>
      </c>
      <c r="AF145" s="99"/>
      <c r="AG145" s="55" t="str">
        <f>VLOOKUP(C145,'Safety-Plant'!B:B,1,FALSE)</f>
        <v>FC266</v>
      </c>
    </row>
    <row r="146" spans="1:33" s="52" customFormat="1" ht="16.5" customHeight="1">
      <c r="A146" s="88" t="s">
        <v>739</v>
      </c>
      <c r="B146" s="119"/>
      <c r="C146" s="120" t="s">
        <v>254</v>
      </c>
      <c r="D146" s="211" t="s">
        <v>255</v>
      </c>
      <c r="E146" s="103" t="s">
        <v>742</v>
      </c>
      <c r="F146" s="81">
        <v>12</v>
      </c>
      <c r="G146" s="212" t="s">
        <v>520</v>
      </c>
      <c r="H146" s="212" t="s">
        <v>520</v>
      </c>
      <c r="I146" s="212" t="s">
        <v>520</v>
      </c>
      <c r="J146" s="212" t="s">
        <v>520</v>
      </c>
      <c r="K146" s="212" t="s">
        <v>520</v>
      </c>
      <c r="L146" s="212" t="s">
        <v>520</v>
      </c>
      <c r="M146" s="212" t="s">
        <v>520</v>
      </c>
      <c r="N146" s="212" t="s">
        <v>520</v>
      </c>
      <c r="O146" s="212" t="s">
        <v>520</v>
      </c>
      <c r="P146" s="212" t="s">
        <v>520</v>
      </c>
      <c r="Q146" s="212" t="s">
        <v>520</v>
      </c>
      <c r="R146" s="212" t="s">
        <v>520</v>
      </c>
      <c r="S146" s="213">
        <v>10</v>
      </c>
      <c r="T146" s="212" t="s">
        <v>520</v>
      </c>
      <c r="U146" s="212" t="s">
        <v>520</v>
      </c>
      <c r="V146" s="212" t="s">
        <v>520</v>
      </c>
      <c r="W146" s="212" t="s">
        <v>520</v>
      </c>
      <c r="X146" s="212" t="s">
        <v>520</v>
      </c>
      <c r="Y146" s="212" t="s">
        <v>520</v>
      </c>
      <c r="Z146" s="212" t="s">
        <v>520</v>
      </c>
      <c r="AA146" s="212" t="s">
        <v>520</v>
      </c>
      <c r="AB146" s="212" t="s">
        <v>520</v>
      </c>
      <c r="AC146" s="214" t="s">
        <v>520</v>
      </c>
      <c r="AD146" s="148" t="s">
        <v>743</v>
      </c>
      <c r="AE146" s="132" t="s">
        <v>565</v>
      </c>
      <c r="AF146" s="99"/>
      <c r="AG146" s="55" t="str">
        <f>VLOOKUP(C146,'Safety-Plant'!B:B,1,FALSE)</f>
        <v>FC320</v>
      </c>
    </row>
    <row r="147" spans="1:33" s="52" customFormat="1" ht="16.5" customHeight="1">
      <c r="A147" s="88" t="s">
        <v>739</v>
      </c>
      <c r="B147" s="119"/>
      <c r="C147" s="120" t="s">
        <v>256</v>
      </c>
      <c r="D147" s="211" t="s">
        <v>257</v>
      </c>
      <c r="E147" s="103" t="s">
        <v>742</v>
      </c>
      <c r="F147" s="81">
        <v>12</v>
      </c>
      <c r="G147" s="212" t="s">
        <v>520</v>
      </c>
      <c r="H147" s="212" t="s">
        <v>520</v>
      </c>
      <c r="I147" s="212" t="s">
        <v>520</v>
      </c>
      <c r="J147" s="212" t="s">
        <v>520</v>
      </c>
      <c r="K147" s="212" t="s">
        <v>520</v>
      </c>
      <c r="L147" s="212" t="s">
        <v>520</v>
      </c>
      <c r="M147" s="212" t="s">
        <v>520</v>
      </c>
      <c r="N147" s="212" t="s">
        <v>520</v>
      </c>
      <c r="O147" s="212" t="s">
        <v>520</v>
      </c>
      <c r="P147" s="212" t="s">
        <v>520</v>
      </c>
      <c r="Q147" s="212" t="s">
        <v>520</v>
      </c>
      <c r="R147" s="212" t="s">
        <v>520</v>
      </c>
      <c r="S147" s="213">
        <v>10</v>
      </c>
      <c r="T147" s="212" t="s">
        <v>520</v>
      </c>
      <c r="U147" s="212" t="s">
        <v>520</v>
      </c>
      <c r="V147" s="212" t="s">
        <v>520</v>
      </c>
      <c r="W147" s="212" t="s">
        <v>520</v>
      </c>
      <c r="X147" s="212" t="s">
        <v>520</v>
      </c>
      <c r="Y147" s="212" t="s">
        <v>520</v>
      </c>
      <c r="Z147" s="212" t="s">
        <v>520</v>
      </c>
      <c r="AA147" s="212" t="s">
        <v>520</v>
      </c>
      <c r="AB147" s="212" t="s">
        <v>520</v>
      </c>
      <c r="AC147" s="214" t="s">
        <v>520</v>
      </c>
      <c r="AD147" s="148" t="s">
        <v>743</v>
      </c>
      <c r="AE147" s="132" t="s">
        <v>565</v>
      </c>
      <c r="AF147" s="99"/>
      <c r="AG147" s="55" t="str">
        <f>VLOOKUP(C147,'Safety-Plant'!B:B,1,FALSE)</f>
        <v>FC339</v>
      </c>
    </row>
    <row r="148" spans="1:33" s="52" customFormat="1" ht="16.5" customHeight="1">
      <c r="A148" s="88" t="s">
        <v>739</v>
      </c>
      <c r="B148" s="119"/>
      <c r="C148" s="92" t="s">
        <v>258</v>
      </c>
      <c r="D148" s="227" t="s">
        <v>259</v>
      </c>
      <c r="E148" s="103" t="s">
        <v>742</v>
      </c>
      <c r="F148" s="81">
        <v>12</v>
      </c>
      <c r="G148" s="212" t="s">
        <v>520</v>
      </c>
      <c r="H148" s="212" t="s">
        <v>520</v>
      </c>
      <c r="I148" s="212" t="s">
        <v>520</v>
      </c>
      <c r="J148" s="212" t="s">
        <v>520</v>
      </c>
      <c r="K148" s="212" t="s">
        <v>520</v>
      </c>
      <c r="L148" s="212" t="s">
        <v>520</v>
      </c>
      <c r="M148" s="212" t="s">
        <v>520</v>
      </c>
      <c r="N148" s="212" t="s">
        <v>520</v>
      </c>
      <c r="O148" s="212" t="s">
        <v>520</v>
      </c>
      <c r="P148" s="212" t="s">
        <v>520</v>
      </c>
      <c r="Q148" s="212" t="s">
        <v>520</v>
      </c>
      <c r="R148" s="212" t="s">
        <v>520</v>
      </c>
      <c r="S148" s="213">
        <v>10</v>
      </c>
      <c r="T148" s="212" t="s">
        <v>520</v>
      </c>
      <c r="U148" s="212" t="s">
        <v>520</v>
      </c>
      <c r="V148" s="212" t="s">
        <v>520</v>
      </c>
      <c r="W148" s="212" t="s">
        <v>520</v>
      </c>
      <c r="X148" s="212" t="s">
        <v>520</v>
      </c>
      <c r="Y148" s="212" t="s">
        <v>520</v>
      </c>
      <c r="Z148" s="212" t="s">
        <v>520</v>
      </c>
      <c r="AA148" s="212" t="s">
        <v>520</v>
      </c>
      <c r="AB148" s="212" t="s">
        <v>520</v>
      </c>
      <c r="AC148" s="214" t="s">
        <v>520</v>
      </c>
      <c r="AD148" s="148" t="s">
        <v>743</v>
      </c>
      <c r="AE148" s="132" t="s">
        <v>565</v>
      </c>
      <c r="AF148" s="99"/>
      <c r="AG148" s="55" t="str">
        <f>VLOOKUP(C148,'Safety-Plant'!B:B,1,FALSE)</f>
        <v>FC394</v>
      </c>
    </row>
    <row r="149" spans="1:33" s="52" customFormat="1" ht="16.5" customHeight="1">
      <c r="A149" s="88" t="s">
        <v>739</v>
      </c>
      <c r="B149" s="119"/>
      <c r="C149" s="92" t="s">
        <v>542</v>
      </c>
      <c r="D149" s="227" t="s">
        <v>541</v>
      </c>
      <c r="E149" s="103" t="s">
        <v>742</v>
      </c>
      <c r="F149" s="81">
        <v>12</v>
      </c>
      <c r="G149" s="212" t="s">
        <v>520</v>
      </c>
      <c r="H149" s="212" t="s">
        <v>520</v>
      </c>
      <c r="I149" s="212" t="s">
        <v>520</v>
      </c>
      <c r="J149" s="212" t="s">
        <v>520</v>
      </c>
      <c r="K149" s="212" t="s">
        <v>520</v>
      </c>
      <c r="L149" s="212" t="s">
        <v>520</v>
      </c>
      <c r="M149" s="212" t="s">
        <v>520</v>
      </c>
      <c r="N149" s="212" t="s">
        <v>520</v>
      </c>
      <c r="O149" s="212" t="s">
        <v>520</v>
      </c>
      <c r="P149" s="212" t="s">
        <v>520</v>
      </c>
      <c r="Q149" s="212" t="s">
        <v>520</v>
      </c>
      <c r="R149" s="212" t="s">
        <v>520</v>
      </c>
      <c r="S149" s="213">
        <v>10</v>
      </c>
      <c r="T149" s="212" t="s">
        <v>520</v>
      </c>
      <c r="U149" s="212" t="s">
        <v>520</v>
      </c>
      <c r="V149" s="212" t="s">
        <v>520</v>
      </c>
      <c r="W149" s="212" t="s">
        <v>520</v>
      </c>
      <c r="X149" s="212" t="s">
        <v>520</v>
      </c>
      <c r="Y149" s="212" t="s">
        <v>520</v>
      </c>
      <c r="Z149" s="212" t="s">
        <v>520</v>
      </c>
      <c r="AA149" s="212" t="s">
        <v>520</v>
      </c>
      <c r="AB149" s="212" t="s">
        <v>520</v>
      </c>
      <c r="AC149" s="214" t="s">
        <v>520</v>
      </c>
      <c r="AD149" s="148" t="s">
        <v>743</v>
      </c>
      <c r="AE149" s="132" t="s">
        <v>565</v>
      </c>
      <c r="AF149" s="99"/>
      <c r="AG149" s="55" t="str">
        <f>VLOOKUP(C149,'Safety-Plant'!B:B,1,FALSE)</f>
        <v>FC409</v>
      </c>
    </row>
    <row r="150" spans="1:33" s="52" customFormat="1" ht="16.5" customHeight="1">
      <c r="A150" s="88" t="s">
        <v>739</v>
      </c>
      <c r="B150" s="119"/>
      <c r="C150" s="120" t="s">
        <v>260</v>
      </c>
      <c r="D150" s="211" t="s">
        <v>261</v>
      </c>
      <c r="E150" s="103" t="s">
        <v>744</v>
      </c>
      <c r="F150" s="93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6"/>
      <c r="T150" s="95"/>
      <c r="U150" s="95"/>
      <c r="V150" s="95"/>
      <c r="W150" s="95"/>
      <c r="X150" s="95"/>
      <c r="Y150" s="95"/>
      <c r="Z150" s="95"/>
      <c r="AA150" s="95"/>
      <c r="AB150" s="95"/>
      <c r="AC150" s="97"/>
      <c r="AD150" s="85"/>
      <c r="AE150" s="132" t="s">
        <v>566</v>
      </c>
      <c r="AF150" s="99"/>
      <c r="AG150" s="55" t="str">
        <f>VLOOKUP(C150,'Safety-Plant'!B:B,1,FALSE)</f>
        <v>FC063</v>
      </c>
    </row>
    <row r="151" spans="1:33" s="52" customFormat="1" ht="16.5" customHeight="1">
      <c r="A151" s="88" t="s">
        <v>739</v>
      </c>
      <c r="B151" s="119"/>
      <c r="C151" s="120" t="s">
        <v>262</v>
      </c>
      <c r="D151" s="211" t="s">
        <v>263</v>
      </c>
      <c r="E151" s="103" t="s">
        <v>744</v>
      </c>
      <c r="F151" s="93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6"/>
      <c r="T151" s="95"/>
      <c r="U151" s="95"/>
      <c r="V151" s="95"/>
      <c r="W151" s="95"/>
      <c r="X151" s="95"/>
      <c r="Y151" s="95"/>
      <c r="Z151" s="95"/>
      <c r="AA151" s="95"/>
      <c r="AB151" s="95"/>
      <c r="AC151" s="97"/>
      <c r="AD151" s="85"/>
      <c r="AE151" s="132" t="s">
        <v>566</v>
      </c>
      <c r="AF151" s="99"/>
      <c r="AG151" s="55" t="str">
        <f>VLOOKUP(C151,'Safety-Plant'!B:B,1,FALSE)</f>
        <v>FC160</v>
      </c>
    </row>
    <row r="152" spans="1:33" s="52" customFormat="1" ht="16.5" customHeight="1">
      <c r="A152" s="88" t="s">
        <v>739</v>
      </c>
      <c r="B152" s="119"/>
      <c r="C152" s="92" t="s">
        <v>266</v>
      </c>
      <c r="D152" s="211" t="s">
        <v>267</v>
      </c>
      <c r="E152" s="120" t="s">
        <v>745</v>
      </c>
      <c r="F152" s="81">
        <v>12</v>
      </c>
      <c r="G152" s="212" t="s">
        <v>520</v>
      </c>
      <c r="H152" s="212" t="s">
        <v>520</v>
      </c>
      <c r="I152" s="212" t="s">
        <v>520</v>
      </c>
      <c r="J152" s="212" t="s">
        <v>520</v>
      </c>
      <c r="K152" s="212" t="s">
        <v>520</v>
      </c>
      <c r="L152" s="212" t="s">
        <v>520</v>
      </c>
      <c r="M152" s="212" t="s">
        <v>520</v>
      </c>
      <c r="N152" s="212" t="s">
        <v>520</v>
      </c>
      <c r="O152" s="212" t="s">
        <v>520</v>
      </c>
      <c r="P152" s="212" t="s">
        <v>520</v>
      </c>
      <c r="Q152" s="212" t="s">
        <v>520</v>
      </c>
      <c r="R152" s="212" t="s">
        <v>520</v>
      </c>
      <c r="S152" s="213">
        <v>10</v>
      </c>
      <c r="T152" s="212" t="s">
        <v>520</v>
      </c>
      <c r="U152" s="212" t="s">
        <v>520</v>
      </c>
      <c r="V152" s="212" t="s">
        <v>520</v>
      </c>
      <c r="W152" s="212" t="s">
        <v>520</v>
      </c>
      <c r="X152" s="212" t="s">
        <v>520</v>
      </c>
      <c r="Y152" s="212" t="s">
        <v>520</v>
      </c>
      <c r="Z152" s="212" t="s">
        <v>520</v>
      </c>
      <c r="AA152" s="212" t="s">
        <v>520</v>
      </c>
      <c r="AB152" s="212" t="s">
        <v>520</v>
      </c>
      <c r="AC152" s="214" t="s">
        <v>520</v>
      </c>
      <c r="AD152" s="148" t="s">
        <v>746</v>
      </c>
      <c r="AE152" s="132" t="s">
        <v>567</v>
      </c>
      <c r="AF152" s="99"/>
      <c r="AG152" s="55" t="str">
        <f>VLOOKUP(C152,'Safety-Plant'!B:B,1,FALSE)</f>
        <v>FC354</v>
      </c>
    </row>
    <row r="153" spans="1:33" s="52" customFormat="1" ht="16.5" customHeight="1">
      <c r="A153" s="88" t="s">
        <v>739</v>
      </c>
      <c r="B153" s="119"/>
      <c r="C153" s="251" t="s">
        <v>553</v>
      </c>
      <c r="D153" s="227" t="s">
        <v>543</v>
      </c>
      <c r="E153" s="120" t="s">
        <v>745</v>
      </c>
      <c r="F153" s="93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6"/>
      <c r="T153" s="95"/>
      <c r="U153" s="95"/>
      <c r="V153" s="95"/>
      <c r="W153" s="95"/>
      <c r="X153" s="95"/>
      <c r="Y153" s="95"/>
      <c r="Z153" s="95"/>
      <c r="AA153" s="95"/>
      <c r="AB153" s="95"/>
      <c r="AC153" s="97"/>
      <c r="AD153" s="85"/>
      <c r="AE153" s="132" t="s">
        <v>567</v>
      </c>
      <c r="AF153" s="99"/>
      <c r="AG153" s="55" t="str">
        <f>VLOOKUP(C153,'Safety-Plant'!B:B,1,FALSE)</f>
        <v>FC411</v>
      </c>
    </row>
    <row r="154" spans="1:33" s="52" customFormat="1" ht="16.5" customHeight="1">
      <c r="A154" s="88" t="s">
        <v>739</v>
      </c>
      <c r="B154" s="119"/>
      <c r="C154" s="92" t="s">
        <v>270</v>
      </c>
      <c r="D154" s="211" t="s">
        <v>271</v>
      </c>
      <c r="E154" s="120" t="s">
        <v>747</v>
      </c>
      <c r="F154" s="81">
        <v>12</v>
      </c>
      <c r="G154" s="212" t="s">
        <v>520</v>
      </c>
      <c r="H154" s="212" t="s">
        <v>520</v>
      </c>
      <c r="I154" s="212" t="s">
        <v>520</v>
      </c>
      <c r="J154" s="212" t="s">
        <v>520</v>
      </c>
      <c r="K154" s="212" t="s">
        <v>520</v>
      </c>
      <c r="L154" s="212" t="s">
        <v>520</v>
      </c>
      <c r="M154" s="212" t="s">
        <v>520</v>
      </c>
      <c r="N154" s="212" t="s">
        <v>520</v>
      </c>
      <c r="O154" s="212" t="s">
        <v>520</v>
      </c>
      <c r="P154" s="212" t="s">
        <v>520</v>
      </c>
      <c r="Q154" s="212" t="s">
        <v>520</v>
      </c>
      <c r="R154" s="212" t="s">
        <v>520</v>
      </c>
      <c r="S154" s="213">
        <v>10</v>
      </c>
      <c r="T154" s="212" t="s">
        <v>520</v>
      </c>
      <c r="U154" s="212" t="s">
        <v>520</v>
      </c>
      <c r="V154" s="212" t="s">
        <v>520</v>
      </c>
      <c r="W154" s="212" t="s">
        <v>520</v>
      </c>
      <c r="X154" s="212" t="s">
        <v>520</v>
      </c>
      <c r="Y154" s="212" t="s">
        <v>520</v>
      </c>
      <c r="Z154" s="212" t="s">
        <v>520</v>
      </c>
      <c r="AA154" s="212" t="s">
        <v>520</v>
      </c>
      <c r="AB154" s="212" t="s">
        <v>520</v>
      </c>
      <c r="AC154" s="214" t="s">
        <v>520</v>
      </c>
      <c r="AD154" s="148" t="s">
        <v>746</v>
      </c>
      <c r="AE154" s="132" t="s">
        <v>560</v>
      </c>
      <c r="AF154" s="99"/>
      <c r="AG154" s="55" t="str">
        <f>VLOOKUP(C154,'Safety-Plant'!B:B,1,FALSE)</f>
        <v>FC359</v>
      </c>
    </row>
    <row r="155" spans="1:33" s="52" customFormat="1" ht="16.5" customHeight="1">
      <c r="A155" s="88" t="s">
        <v>739</v>
      </c>
      <c r="B155" s="210" t="s">
        <v>748</v>
      </c>
      <c r="C155" s="252" t="s">
        <v>283</v>
      </c>
      <c r="D155" s="211" t="s">
        <v>284</v>
      </c>
      <c r="E155" s="103" t="s">
        <v>749</v>
      </c>
      <c r="F155" s="81">
        <v>12</v>
      </c>
      <c r="G155" s="212" t="s">
        <v>520</v>
      </c>
      <c r="H155" s="212" t="s">
        <v>520</v>
      </c>
      <c r="I155" s="212" t="s">
        <v>520</v>
      </c>
      <c r="J155" s="212" t="s">
        <v>520</v>
      </c>
      <c r="K155" s="212" t="s">
        <v>520</v>
      </c>
      <c r="L155" s="212" t="s">
        <v>520</v>
      </c>
      <c r="M155" s="212" t="s">
        <v>520</v>
      </c>
      <c r="N155" s="212" t="s">
        <v>520</v>
      </c>
      <c r="O155" s="212" t="s">
        <v>520</v>
      </c>
      <c r="P155" s="212" t="s">
        <v>520</v>
      </c>
      <c r="Q155" s="212" t="s">
        <v>520</v>
      </c>
      <c r="R155" s="212" t="s">
        <v>520</v>
      </c>
      <c r="S155" s="213">
        <v>10</v>
      </c>
      <c r="T155" s="212" t="s">
        <v>520</v>
      </c>
      <c r="U155" s="212" t="s">
        <v>520</v>
      </c>
      <c r="V155" s="212" t="s">
        <v>520</v>
      </c>
      <c r="W155" s="212" t="s">
        <v>520</v>
      </c>
      <c r="X155" s="212" t="s">
        <v>520</v>
      </c>
      <c r="Y155" s="212" t="s">
        <v>520</v>
      </c>
      <c r="Z155" s="212" t="s">
        <v>520</v>
      </c>
      <c r="AA155" s="212" t="s">
        <v>520</v>
      </c>
      <c r="AB155" s="212" t="s">
        <v>520</v>
      </c>
      <c r="AC155" s="214" t="s">
        <v>520</v>
      </c>
      <c r="AD155" s="148" t="s">
        <v>750</v>
      </c>
      <c r="AE155" s="132" t="s">
        <v>560</v>
      </c>
      <c r="AF155" s="99"/>
      <c r="AG155" s="55" t="str">
        <f>VLOOKUP(C155,'Safety-Plant'!B:B,1,FALSE)</f>
        <v>FC226</v>
      </c>
    </row>
    <row r="156" spans="1:33" s="52" customFormat="1" ht="16.5" customHeight="1">
      <c r="A156" s="88" t="s">
        <v>739</v>
      </c>
      <c r="B156" s="119"/>
      <c r="C156" s="120" t="s">
        <v>285</v>
      </c>
      <c r="D156" s="211" t="s">
        <v>286</v>
      </c>
      <c r="E156" s="120" t="s">
        <v>751</v>
      </c>
      <c r="F156" s="81">
        <v>12</v>
      </c>
      <c r="G156" s="212" t="s">
        <v>520</v>
      </c>
      <c r="H156" s="212" t="s">
        <v>520</v>
      </c>
      <c r="I156" s="212" t="s">
        <v>520</v>
      </c>
      <c r="J156" s="212" t="s">
        <v>520</v>
      </c>
      <c r="K156" s="212" t="s">
        <v>520</v>
      </c>
      <c r="L156" s="212" t="s">
        <v>520</v>
      </c>
      <c r="M156" s="212" t="s">
        <v>520</v>
      </c>
      <c r="N156" s="212" t="s">
        <v>520</v>
      </c>
      <c r="O156" s="212" t="s">
        <v>520</v>
      </c>
      <c r="P156" s="212" t="s">
        <v>520</v>
      </c>
      <c r="Q156" s="212" t="s">
        <v>520</v>
      </c>
      <c r="R156" s="212" t="s">
        <v>520</v>
      </c>
      <c r="S156" s="213">
        <v>10</v>
      </c>
      <c r="T156" s="212" t="s">
        <v>520</v>
      </c>
      <c r="U156" s="212" t="s">
        <v>520</v>
      </c>
      <c r="V156" s="212" t="s">
        <v>520</v>
      </c>
      <c r="W156" s="212" t="s">
        <v>520</v>
      </c>
      <c r="X156" s="212" t="s">
        <v>520</v>
      </c>
      <c r="Y156" s="212" t="s">
        <v>520</v>
      </c>
      <c r="Z156" s="212" t="s">
        <v>520</v>
      </c>
      <c r="AA156" s="212" t="s">
        <v>520</v>
      </c>
      <c r="AB156" s="212" t="s">
        <v>520</v>
      </c>
      <c r="AC156" s="214" t="s">
        <v>520</v>
      </c>
      <c r="AD156" s="253" t="s">
        <v>557</v>
      </c>
      <c r="AE156" s="86" t="s">
        <v>558</v>
      </c>
      <c r="AF156" s="99"/>
      <c r="AG156" s="55" t="str">
        <f>VLOOKUP(C156,'Safety-Plant'!B:B,1,FALSE)</f>
        <v>FC321</v>
      </c>
    </row>
    <row r="157" spans="1:33" s="52" customFormat="1" ht="16.5" customHeight="1">
      <c r="A157" s="88" t="s">
        <v>739</v>
      </c>
      <c r="B157" s="119"/>
      <c r="C157" s="254" t="s">
        <v>268</v>
      </c>
      <c r="D157" s="255" t="s">
        <v>269</v>
      </c>
      <c r="E157" s="256" t="s">
        <v>752</v>
      </c>
      <c r="F157" s="81">
        <v>12</v>
      </c>
      <c r="G157" s="212" t="s">
        <v>520</v>
      </c>
      <c r="H157" s="212" t="s">
        <v>520</v>
      </c>
      <c r="I157" s="212" t="s">
        <v>520</v>
      </c>
      <c r="J157" s="212" t="s">
        <v>520</v>
      </c>
      <c r="K157" s="212" t="s">
        <v>520</v>
      </c>
      <c r="L157" s="212" t="s">
        <v>520</v>
      </c>
      <c r="M157" s="212" t="s">
        <v>520</v>
      </c>
      <c r="N157" s="212" t="s">
        <v>520</v>
      </c>
      <c r="O157" s="212" t="s">
        <v>520</v>
      </c>
      <c r="P157" s="212" t="s">
        <v>520</v>
      </c>
      <c r="Q157" s="212" t="s">
        <v>520</v>
      </c>
      <c r="R157" s="212" t="s">
        <v>520</v>
      </c>
      <c r="S157" s="213">
        <v>10</v>
      </c>
      <c r="T157" s="212" t="s">
        <v>520</v>
      </c>
      <c r="U157" s="212" t="s">
        <v>520</v>
      </c>
      <c r="V157" s="212" t="s">
        <v>520</v>
      </c>
      <c r="W157" s="212" t="s">
        <v>520</v>
      </c>
      <c r="X157" s="212" t="s">
        <v>520</v>
      </c>
      <c r="Y157" s="212" t="s">
        <v>520</v>
      </c>
      <c r="Z157" s="212" t="s">
        <v>520</v>
      </c>
      <c r="AA157" s="212" t="s">
        <v>520</v>
      </c>
      <c r="AB157" s="212" t="s">
        <v>520</v>
      </c>
      <c r="AC157" s="214" t="s">
        <v>520</v>
      </c>
      <c r="AD157" s="253" t="s">
        <v>557</v>
      </c>
      <c r="AE157" s="86" t="s">
        <v>558</v>
      </c>
      <c r="AF157" s="99"/>
      <c r="AG157" s="55" t="str">
        <f>VLOOKUP(C157,'Safety-Plant'!B:B,1,FALSE)</f>
        <v>FC376</v>
      </c>
    </row>
    <row r="158" spans="1:33" s="52" customFormat="1" ht="16.5" customHeight="1">
      <c r="A158" s="88" t="s">
        <v>739</v>
      </c>
      <c r="B158" s="119"/>
      <c r="C158" s="120" t="s">
        <v>264</v>
      </c>
      <c r="D158" s="257" t="s">
        <v>265</v>
      </c>
      <c r="E158" s="103" t="s">
        <v>753</v>
      </c>
      <c r="F158" s="81">
        <v>12</v>
      </c>
      <c r="G158" s="212" t="s">
        <v>520</v>
      </c>
      <c r="H158" s="212" t="s">
        <v>520</v>
      </c>
      <c r="I158" s="212" t="s">
        <v>520</v>
      </c>
      <c r="J158" s="212" t="s">
        <v>520</v>
      </c>
      <c r="K158" s="212" t="s">
        <v>520</v>
      </c>
      <c r="L158" s="212" t="s">
        <v>520</v>
      </c>
      <c r="M158" s="212" t="s">
        <v>520</v>
      </c>
      <c r="N158" s="212" t="s">
        <v>520</v>
      </c>
      <c r="O158" s="212" t="s">
        <v>520</v>
      </c>
      <c r="P158" s="212" t="s">
        <v>520</v>
      </c>
      <c r="Q158" s="212" t="s">
        <v>520</v>
      </c>
      <c r="R158" s="212" t="s">
        <v>520</v>
      </c>
      <c r="S158" s="213">
        <v>10</v>
      </c>
      <c r="T158" s="212" t="s">
        <v>520</v>
      </c>
      <c r="U158" s="212" t="s">
        <v>520</v>
      </c>
      <c r="V158" s="212" t="s">
        <v>520</v>
      </c>
      <c r="W158" s="212" t="s">
        <v>520</v>
      </c>
      <c r="X158" s="212" t="s">
        <v>520</v>
      </c>
      <c r="Y158" s="212" t="s">
        <v>520</v>
      </c>
      <c r="Z158" s="212" t="s">
        <v>520</v>
      </c>
      <c r="AA158" s="212" t="s">
        <v>520</v>
      </c>
      <c r="AB158" s="212" t="s">
        <v>520</v>
      </c>
      <c r="AC158" s="214" t="s">
        <v>520</v>
      </c>
      <c r="AD158" s="253" t="s">
        <v>557</v>
      </c>
      <c r="AE158" s="86" t="s">
        <v>560</v>
      </c>
      <c r="AF158" s="99"/>
      <c r="AG158" s="55" t="str">
        <f>VLOOKUP(C158,'Safety-Plant'!B:B,1,FALSE)</f>
        <v>FC179</v>
      </c>
    </row>
    <row r="159" spans="1:33" s="52" customFormat="1" ht="16.5" customHeight="1">
      <c r="A159" s="88" t="s">
        <v>739</v>
      </c>
      <c r="B159" s="119"/>
      <c r="C159" s="103" t="s">
        <v>272</v>
      </c>
      <c r="D159" s="211" t="s">
        <v>273</v>
      </c>
      <c r="E159" s="103" t="s">
        <v>754</v>
      </c>
      <c r="F159" s="81">
        <v>12</v>
      </c>
      <c r="G159" s="212" t="s">
        <v>520</v>
      </c>
      <c r="H159" s="212" t="s">
        <v>520</v>
      </c>
      <c r="I159" s="212" t="s">
        <v>520</v>
      </c>
      <c r="J159" s="212" t="s">
        <v>520</v>
      </c>
      <c r="K159" s="212" t="s">
        <v>520</v>
      </c>
      <c r="L159" s="212" t="s">
        <v>520</v>
      </c>
      <c r="M159" s="212" t="s">
        <v>520</v>
      </c>
      <c r="N159" s="212" t="s">
        <v>520</v>
      </c>
      <c r="O159" s="212" t="s">
        <v>520</v>
      </c>
      <c r="P159" s="212" t="s">
        <v>520</v>
      </c>
      <c r="Q159" s="212" t="s">
        <v>520</v>
      </c>
      <c r="R159" s="212" t="s">
        <v>520</v>
      </c>
      <c r="S159" s="213">
        <v>10</v>
      </c>
      <c r="T159" s="212" t="s">
        <v>520</v>
      </c>
      <c r="U159" s="212" t="s">
        <v>520</v>
      </c>
      <c r="V159" s="212" t="s">
        <v>520</v>
      </c>
      <c r="W159" s="212" t="s">
        <v>520</v>
      </c>
      <c r="X159" s="212" t="s">
        <v>520</v>
      </c>
      <c r="Y159" s="212" t="s">
        <v>520</v>
      </c>
      <c r="Z159" s="212" t="s">
        <v>520</v>
      </c>
      <c r="AA159" s="212" t="s">
        <v>520</v>
      </c>
      <c r="AB159" s="212" t="s">
        <v>520</v>
      </c>
      <c r="AC159" s="214" t="s">
        <v>520</v>
      </c>
      <c r="AD159" s="253" t="s">
        <v>557</v>
      </c>
      <c r="AE159" s="86" t="s">
        <v>560</v>
      </c>
      <c r="AF159" s="99"/>
      <c r="AG159" s="55" t="str">
        <f>VLOOKUP(C159,'Safety-Plant'!B:B,1,FALSE)</f>
        <v>FC014</v>
      </c>
    </row>
    <row r="160" spans="1:33" s="52" customFormat="1" ht="16.5" customHeight="1">
      <c r="A160" s="88" t="s">
        <v>739</v>
      </c>
      <c r="B160" s="119"/>
      <c r="C160" s="120" t="s">
        <v>299</v>
      </c>
      <c r="D160" s="211" t="s">
        <v>300</v>
      </c>
      <c r="E160" s="103" t="s">
        <v>754</v>
      </c>
      <c r="F160" s="81">
        <v>12</v>
      </c>
      <c r="G160" s="212" t="s">
        <v>520</v>
      </c>
      <c r="H160" s="212" t="s">
        <v>520</v>
      </c>
      <c r="I160" s="212" t="s">
        <v>520</v>
      </c>
      <c r="J160" s="212" t="s">
        <v>520</v>
      </c>
      <c r="K160" s="212" t="s">
        <v>520</v>
      </c>
      <c r="L160" s="212" t="s">
        <v>520</v>
      </c>
      <c r="M160" s="212" t="s">
        <v>520</v>
      </c>
      <c r="N160" s="212" t="s">
        <v>520</v>
      </c>
      <c r="O160" s="212" t="s">
        <v>520</v>
      </c>
      <c r="P160" s="212" t="s">
        <v>520</v>
      </c>
      <c r="Q160" s="212" t="s">
        <v>520</v>
      </c>
      <c r="R160" s="212" t="s">
        <v>520</v>
      </c>
      <c r="S160" s="213">
        <v>10</v>
      </c>
      <c r="T160" s="212" t="s">
        <v>520</v>
      </c>
      <c r="U160" s="212" t="s">
        <v>520</v>
      </c>
      <c r="V160" s="212" t="s">
        <v>520</v>
      </c>
      <c r="W160" s="212" t="s">
        <v>520</v>
      </c>
      <c r="X160" s="212" t="s">
        <v>520</v>
      </c>
      <c r="Y160" s="212" t="s">
        <v>520</v>
      </c>
      <c r="Z160" s="212" t="s">
        <v>520</v>
      </c>
      <c r="AA160" s="212" t="s">
        <v>520</v>
      </c>
      <c r="AB160" s="212" t="s">
        <v>520</v>
      </c>
      <c r="AC160" s="214" t="s">
        <v>520</v>
      </c>
      <c r="AD160" s="253" t="s">
        <v>557</v>
      </c>
      <c r="AE160" s="86" t="s">
        <v>560</v>
      </c>
      <c r="AF160" s="99"/>
      <c r="AG160" s="55" t="str">
        <f>VLOOKUP(C160,'Safety-Plant'!B:B,1,FALSE)</f>
        <v>FC156</v>
      </c>
    </row>
    <row r="161" spans="1:33" s="52" customFormat="1" ht="16.5" customHeight="1">
      <c r="A161" s="88" t="s">
        <v>739</v>
      </c>
      <c r="B161" s="119"/>
      <c r="C161" s="120" t="s">
        <v>274</v>
      </c>
      <c r="D161" s="211" t="s">
        <v>275</v>
      </c>
      <c r="E161" s="103" t="s">
        <v>754</v>
      </c>
      <c r="F161" s="81">
        <v>12</v>
      </c>
      <c r="G161" s="212" t="s">
        <v>520</v>
      </c>
      <c r="H161" s="212" t="s">
        <v>520</v>
      </c>
      <c r="I161" s="212" t="s">
        <v>520</v>
      </c>
      <c r="J161" s="212" t="s">
        <v>520</v>
      </c>
      <c r="K161" s="212" t="s">
        <v>520</v>
      </c>
      <c r="L161" s="212" t="s">
        <v>520</v>
      </c>
      <c r="M161" s="212" t="s">
        <v>520</v>
      </c>
      <c r="N161" s="212" t="s">
        <v>520</v>
      </c>
      <c r="O161" s="212" t="s">
        <v>520</v>
      </c>
      <c r="P161" s="212" t="s">
        <v>520</v>
      </c>
      <c r="Q161" s="212" t="s">
        <v>520</v>
      </c>
      <c r="R161" s="212" t="s">
        <v>520</v>
      </c>
      <c r="S161" s="213">
        <v>10</v>
      </c>
      <c r="T161" s="212" t="s">
        <v>520</v>
      </c>
      <c r="U161" s="212" t="s">
        <v>520</v>
      </c>
      <c r="V161" s="212" t="s">
        <v>520</v>
      </c>
      <c r="W161" s="212" t="s">
        <v>520</v>
      </c>
      <c r="X161" s="212" t="s">
        <v>520</v>
      </c>
      <c r="Y161" s="212" t="s">
        <v>520</v>
      </c>
      <c r="Z161" s="212" t="s">
        <v>520</v>
      </c>
      <c r="AA161" s="212" t="s">
        <v>520</v>
      </c>
      <c r="AB161" s="212" t="s">
        <v>520</v>
      </c>
      <c r="AC161" s="214" t="s">
        <v>520</v>
      </c>
      <c r="AD161" s="148" t="s">
        <v>750</v>
      </c>
      <c r="AE161" s="258" t="s">
        <v>755</v>
      </c>
      <c r="AF161" s="99"/>
      <c r="AG161" s="55" t="str">
        <f>VLOOKUP(C161,'Safety-Plant'!B:B,1,FALSE)</f>
        <v>FC274</v>
      </c>
    </row>
    <row r="162" spans="1:33" s="52" customFormat="1" ht="17" customHeight="1">
      <c r="A162" s="88" t="s">
        <v>739</v>
      </c>
      <c r="B162" s="119"/>
      <c r="C162" s="149" t="s">
        <v>291</v>
      </c>
      <c r="D162" s="211" t="s">
        <v>292</v>
      </c>
      <c r="E162" s="120" t="s">
        <v>756</v>
      </c>
      <c r="F162" s="81">
        <v>12</v>
      </c>
      <c r="G162" s="212" t="s">
        <v>520</v>
      </c>
      <c r="H162" s="212" t="s">
        <v>520</v>
      </c>
      <c r="I162" s="212" t="s">
        <v>520</v>
      </c>
      <c r="J162" s="212" t="s">
        <v>520</v>
      </c>
      <c r="K162" s="212" t="s">
        <v>520</v>
      </c>
      <c r="L162" s="212" t="s">
        <v>520</v>
      </c>
      <c r="M162" s="212" t="s">
        <v>520</v>
      </c>
      <c r="N162" s="212" t="s">
        <v>520</v>
      </c>
      <c r="O162" s="212" t="s">
        <v>520</v>
      </c>
      <c r="P162" s="212" t="s">
        <v>520</v>
      </c>
      <c r="Q162" s="212" t="s">
        <v>520</v>
      </c>
      <c r="R162" s="212" t="s">
        <v>520</v>
      </c>
      <c r="S162" s="213">
        <v>10</v>
      </c>
      <c r="T162" s="212" t="s">
        <v>520</v>
      </c>
      <c r="U162" s="212" t="s">
        <v>520</v>
      </c>
      <c r="V162" s="212" t="s">
        <v>520</v>
      </c>
      <c r="W162" s="212" t="s">
        <v>520</v>
      </c>
      <c r="X162" s="212" t="s">
        <v>520</v>
      </c>
      <c r="Y162" s="212" t="s">
        <v>520</v>
      </c>
      <c r="Z162" s="212" t="s">
        <v>520</v>
      </c>
      <c r="AA162" s="212" t="s">
        <v>520</v>
      </c>
      <c r="AB162" s="212" t="s">
        <v>520</v>
      </c>
      <c r="AC162" s="214" t="s">
        <v>520</v>
      </c>
      <c r="AD162" s="148" t="s">
        <v>750</v>
      </c>
      <c r="AE162" s="86" t="s">
        <v>560</v>
      </c>
      <c r="AF162" s="99"/>
      <c r="AG162" s="55" t="str">
        <f>VLOOKUP(C162,'Safety-Plant'!B:B,1,FALSE)</f>
        <v>FC313</v>
      </c>
    </row>
    <row r="163" spans="1:33" s="52" customFormat="1" ht="16.5" customHeight="1">
      <c r="A163" s="88" t="s">
        <v>739</v>
      </c>
      <c r="B163" s="119"/>
      <c r="C163" s="92" t="s">
        <v>297</v>
      </c>
      <c r="D163" s="207" t="s">
        <v>298</v>
      </c>
      <c r="E163" s="120" t="s">
        <v>757</v>
      </c>
      <c r="F163" s="81">
        <v>12</v>
      </c>
      <c r="G163" s="212" t="s">
        <v>520</v>
      </c>
      <c r="H163" s="212" t="s">
        <v>520</v>
      </c>
      <c r="I163" s="212" t="s">
        <v>520</v>
      </c>
      <c r="J163" s="212" t="s">
        <v>520</v>
      </c>
      <c r="K163" s="212" t="s">
        <v>520</v>
      </c>
      <c r="L163" s="212" t="s">
        <v>520</v>
      </c>
      <c r="M163" s="212" t="s">
        <v>520</v>
      </c>
      <c r="N163" s="212" t="s">
        <v>520</v>
      </c>
      <c r="O163" s="212" t="s">
        <v>520</v>
      </c>
      <c r="P163" s="212" t="s">
        <v>520</v>
      </c>
      <c r="Q163" s="212" t="s">
        <v>520</v>
      </c>
      <c r="R163" s="212" t="s">
        <v>520</v>
      </c>
      <c r="S163" s="213">
        <v>10</v>
      </c>
      <c r="T163" s="212" t="s">
        <v>520</v>
      </c>
      <c r="U163" s="212" t="s">
        <v>520</v>
      </c>
      <c r="V163" s="212" t="s">
        <v>520</v>
      </c>
      <c r="W163" s="212" t="s">
        <v>520</v>
      </c>
      <c r="X163" s="212" t="s">
        <v>520</v>
      </c>
      <c r="Y163" s="212" t="s">
        <v>520</v>
      </c>
      <c r="Z163" s="212" t="s">
        <v>520</v>
      </c>
      <c r="AA163" s="212" t="s">
        <v>520</v>
      </c>
      <c r="AB163" s="212" t="s">
        <v>520</v>
      </c>
      <c r="AC163" s="214" t="s">
        <v>520</v>
      </c>
      <c r="AD163" s="253" t="s">
        <v>557</v>
      </c>
      <c r="AE163" s="86" t="s">
        <v>558</v>
      </c>
      <c r="AF163" s="99"/>
      <c r="AG163" s="55" t="str">
        <f>VLOOKUP(C163,'Safety-Plant'!B:B,1,FALSE)</f>
        <v>FC329</v>
      </c>
    </row>
    <row r="164" spans="1:33" s="52" customFormat="1" ht="16.5" customHeight="1">
      <c r="A164" s="88" t="s">
        <v>739</v>
      </c>
      <c r="B164" s="119"/>
      <c r="C164" s="92" t="s">
        <v>293</v>
      </c>
      <c r="D164" s="211" t="s">
        <v>294</v>
      </c>
      <c r="E164" s="120" t="s">
        <v>756</v>
      </c>
      <c r="F164" s="81">
        <v>12</v>
      </c>
      <c r="G164" s="212" t="s">
        <v>520</v>
      </c>
      <c r="H164" s="212" t="s">
        <v>520</v>
      </c>
      <c r="I164" s="212" t="s">
        <v>520</v>
      </c>
      <c r="J164" s="212" t="s">
        <v>520</v>
      </c>
      <c r="K164" s="212" t="s">
        <v>520</v>
      </c>
      <c r="L164" s="212" t="s">
        <v>520</v>
      </c>
      <c r="M164" s="212" t="s">
        <v>520</v>
      </c>
      <c r="N164" s="212" t="s">
        <v>520</v>
      </c>
      <c r="O164" s="212" t="s">
        <v>520</v>
      </c>
      <c r="P164" s="212" t="s">
        <v>520</v>
      </c>
      <c r="Q164" s="212" t="s">
        <v>520</v>
      </c>
      <c r="R164" s="212" t="s">
        <v>520</v>
      </c>
      <c r="S164" s="213">
        <v>10</v>
      </c>
      <c r="T164" s="212" t="s">
        <v>520</v>
      </c>
      <c r="U164" s="212" t="s">
        <v>520</v>
      </c>
      <c r="V164" s="212" t="s">
        <v>520</v>
      </c>
      <c r="W164" s="212" t="s">
        <v>520</v>
      </c>
      <c r="X164" s="212" t="s">
        <v>520</v>
      </c>
      <c r="Y164" s="212" t="s">
        <v>520</v>
      </c>
      <c r="Z164" s="212" t="s">
        <v>520</v>
      </c>
      <c r="AA164" s="212" t="s">
        <v>520</v>
      </c>
      <c r="AB164" s="212" t="s">
        <v>520</v>
      </c>
      <c r="AC164" s="214" t="s">
        <v>520</v>
      </c>
      <c r="AD164" s="253" t="s">
        <v>557</v>
      </c>
      <c r="AE164" s="86" t="s">
        <v>560</v>
      </c>
      <c r="AF164" s="99"/>
      <c r="AG164" s="55" t="str">
        <f>VLOOKUP(C164,'Safety-Plant'!B:B,1,FALSE)</f>
        <v>FC283</v>
      </c>
    </row>
    <row r="165" spans="1:33" s="52" customFormat="1" ht="15.5" customHeight="1">
      <c r="A165" s="88" t="s">
        <v>739</v>
      </c>
      <c r="B165" s="128"/>
      <c r="C165" s="92" t="s">
        <v>295</v>
      </c>
      <c r="D165" s="211" t="s">
        <v>296</v>
      </c>
      <c r="E165" s="120" t="s">
        <v>758</v>
      </c>
      <c r="F165" s="81">
        <v>12</v>
      </c>
      <c r="G165" s="212" t="s">
        <v>520</v>
      </c>
      <c r="H165" s="212" t="s">
        <v>520</v>
      </c>
      <c r="I165" s="212" t="s">
        <v>520</v>
      </c>
      <c r="J165" s="212" t="s">
        <v>520</v>
      </c>
      <c r="K165" s="212" t="s">
        <v>520</v>
      </c>
      <c r="L165" s="212" t="s">
        <v>520</v>
      </c>
      <c r="M165" s="212" t="s">
        <v>520</v>
      </c>
      <c r="N165" s="212" t="s">
        <v>520</v>
      </c>
      <c r="O165" s="212" t="s">
        <v>520</v>
      </c>
      <c r="P165" s="212" t="s">
        <v>520</v>
      </c>
      <c r="Q165" s="212" t="s">
        <v>520</v>
      </c>
      <c r="R165" s="212" t="s">
        <v>520</v>
      </c>
      <c r="S165" s="213">
        <v>10</v>
      </c>
      <c r="T165" s="212" t="s">
        <v>520</v>
      </c>
      <c r="U165" s="212" t="s">
        <v>520</v>
      </c>
      <c r="V165" s="212" t="s">
        <v>520</v>
      </c>
      <c r="W165" s="212" t="s">
        <v>520</v>
      </c>
      <c r="X165" s="212" t="s">
        <v>520</v>
      </c>
      <c r="Y165" s="212" t="s">
        <v>520</v>
      </c>
      <c r="Z165" s="212" t="s">
        <v>520</v>
      </c>
      <c r="AA165" s="212" t="s">
        <v>520</v>
      </c>
      <c r="AB165" s="212" t="s">
        <v>520</v>
      </c>
      <c r="AC165" s="214" t="s">
        <v>520</v>
      </c>
      <c r="AD165" s="253" t="s">
        <v>557</v>
      </c>
      <c r="AE165" s="86" t="s">
        <v>560</v>
      </c>
      <c r="AF165" s="99"/>
      <c r="AG165" s="55" t="str">
        <f>VLOOKUP(C165,'Safety-Plant'!B:B,1,FALSE)</f>
        <v>FC324</v>
      </c>
    </row>
    <row r="166" spans="1:33" s="52" customFormat="1" ht="16.5" customHeight="1">
      <c r="A166" s="88" t="s">
        <v>739</v>
      </c>
      <c r="B166" s="119"/>
      <c r="C166" s="120" t="s">
        <v>303</v>
      </c>
      <c r="D166" s="211" t="s">
        <v>304</v>
      </c>
      <c r="E166" s="92" t="s">
        <v>759</v>
      </c>
      <c r="F166" s="81">
        <v>12</v>
      </c>
      <c r="G166" s="212" t="s">
        <v>520</v>
      </c>
      <c r="H166" s="212" t="s">
        <v>520</v>
      </c>
      <c r="I166" s="212" t="s">
        <v>520</v>
      </c>
      <c r="J166" s="212" t="s">
        <v>520</v>
      </c>
      <c r="K166" s="212" t="s">
        <v>520</v>
      </c>
      <c r="L166" s="212" t="s">
        <v>520</v>
      </c>
      <c r="M166" s="212" t="s">
        <v>520</v>
      </c>
      <c r="N166" s="212" t="s">
        <v>520</v>
      </c>
      <c r="O166" s="212" t="s">
        <v>520</v>
      </c>
      <c r="P166" s="212" t="s">
        <v>520</v>
      </c>
      <c r="Q166" s="212" t="s">
        <v>520</v>
      </c>
      <c r="R166" s="212" t="s">
        <v>520</v>
      </c>
      <c r="S166" s="213">
        <v>10</v>
      </c>
      <c r="T166" s="212" t="s">
        <v>520</v>
      </c>
      <c r="U166" s="212" t="s">
        <v>520</v>
      </c>
      <c r="V166" s="212" t="s">
        <v>520</v>
      </c>
      <c r="W166" s="212" t="s">
        <v>520</v>
      </c>
      <c r="X166" s="212" t="s">
        <v>520</v>
      </c>
      <c r="Y166" s="212" t="s">
        <v>520</v>
      </c>
      <c r="Z166" s="212" t="s">
        <v>520</v>
      </c>
      <c r="AA166" s="212" t="s">
        <v>520</v>
      </c>
      <c r="AB166" s="212" t="s">
        <v>520</v>
      </c>
      <c r="AC166" s="214" t="s">
        <v>520</v>
      </c>
      <c r="AD166" s="148" t="s">
        <v>750</v>
      </c>
      <c r="AE166" s="86" t="s">
        <v>560</v>
      </c>
      <c r="AF166" s="99"/>
      <c r="AG166" s="55" t="str">
        <f>VLOOKUP(C166,'Safety-Plant'!B:B,1,FALSE)</f>
        <v>FC350</v>
      </c>
    </row>
    <row r="167" spans="1:33" s="52" customFormat="1" ht="16.5" customHeight="1">
      <c r="A167" s="88" t="s">
        <v>739</v>
      </c>
      <c r="B167" s="119"/>
      <c r="C167" s="120" t="s">
        <v>305</v>
      </c>
      <c r="D167" s="211" t="s">
        <v>306</v>
      </c>
      <c r="E167" s="120" t="s">
        <v>759</v>
      </c>
      <c r="F167" s="81">
        <v>12</v>
      </c>
      <c r="G167" s="212" t="s">
        <v>520</v>
      </c>
      <c r="H167" s="212" t="s">
        <v>520</v>
      </c>
      <c r="I167" s="212" t="s">
        <v>520</v>
      </c>
      <c r="J167" s="212" t="s">
        <v>520</v>
      </c>
      <c r="K167" s="212" t="s">
        <v>520</v>
      </c>
      <c r="L167" s="212" t="s">
        <v>520</v>
      </c>
      <c r="M167" s="212" t="s">
        <v>520</v>
      </c>
      <c r="N167" s="212" t="s">
        <v>520</v>
      </c>
      <c r="O167" s="212" t="s">
        <v>520</v>
      </c>
      <c r="P167" s="212" t="s">
        <v>520</v>
      </c>
      <c r="Q167" s="212" t="s">
        <v>520</v>
      </c>
      <c r="R167" s="212" t="s">
        <v>520</v>
      </c>
      <c r="S167" s="213">
        <v>10</v>
      </c>
      <c r="T167" s="212" t="s">
        <v>520</v>
      </c>
      <c r="U167" s="212" t="s">
        <v>520</v>
      </c>
      <c r="V167" s="212" t="s">
        <v>520</v>
      </c>
      <c r="W167" s="212" t="s">
        <v>520</v>
      </c>
      <c r="X167" s="212" t="s">
        <v>520</v>
      </c>
      <c r="Y167" s="212" t="s">
        <v>520</v>
      </c>
      <c r="Z167" s="212" t="s">
        <v>520</v>
      </c>
      <c r="AA167" s="212" t="s">
        <v>520</v>
      </c>
      <c r="AB167" s="212" t="s">
        <v>520</v>
      </c>
      <c r="AC167" s="214" t="s">
        <v>520</v>
      </c>
      <c r="AD167" s="148" t="s">
        <v>750</v>
      </c>
      <c r="AE167" s="86" t="s">
        <v>560</v>
      </c>
      <c r="AF167" s="99"/>
      <c r="AG167" s="55" t="str">
        <f>VLOOKUP(C167,'Safety-Plant'!B:B,1,FALSE)</f>
        <v>FC351</v>
      </c>
    </row>
    <row r="168" spans="1:33" s="52" customFormat="1" ht="16.5" customHeight="1">
      <c r="A168" s="88" t="s">
        <v>739</v>
      </c>
      <c r="B168" s="119"/>
      <c r="C168" s="92" t="s">
        <v>307</v>
      </c>
      <c r="D168" s="208" t="s">
        <v>308</v>
      </c>
      <c r="E168" s="120" t="s">
        <v>759</v>
      </c>
      <c r="F168" s="81">
        <v>12</v>
      </c>
      <c r="G168" s="212" t="s">
        <v>520</v>
      </c>
      <c r="H168" s="212" t="s">
        <v>520</v>
      </c>
      <c r="I168" s="212" t="s">
        <v>520</v>
      </c>
      <c r="J168" s="212" t="s">
        <v>520</v>
      </c>
      <c r="K168" s="212" t="s">
        <v>520</v>
      </c>
      <c r="L168" s="212" t="s">
        <v>520</v>
      </c>
      <c r="M168" s="212" t="s">
        <v>520</v>
      </c>
      <c r="N168" s="212" t="s">
        <v>520</v>
      </c>
      <c r="O168" s="212" t="s">
        <v>520</v>
      </c>
      <c r="P168" s="212" t="s">
        <v>520</v>
      </c>
      <c r="Q168" s="212" t="s">
        <v>520</v>
      </c>
      <c r="R168" s="212" t="s">
        <v>520</v>
      </c>
      <c r="S168" s="213">
        <v>10</v>
      </c>
      <c r="T168" s="212" t="s">
        <v>520</v>
      </c>
      <c r="U168" s="212" t="s">
        <v>520</v>
      </c>
      <c r="V168" s="212" t="s">
        <v>520</v>
      </c>
      <c r="W168" s="212" t="s">
        <v>520</v>
      </c>
      <c r="X168" s="212" t="s">
        <v>520</v>
      </c>
      <c r="Y168" s="212" t="s">
        <v>520</v>
      </c>
      <c r="Z168" s="212" t="s">
        <v>520</v>
      </c>
      <c r="AA168" s="212" t="s">
        <v>520</v>
      </c>
      <c r="AB168" s="212" t="s">
        <v>520</v>
      </c>
      <c r="AC168" s="214" t="s">
        <v>520</v>
      </c>
      <c r="AD168" s="148" t="s">
        <v>750</v>
      </c>
      <c r="AE168" s="86" t="s">
        <v>560</v>
      </c>
      <c r="AF168" s="99"/>
      <c r="AG168" s="55" t="str">
        <f>VLOOKUP(C168,'Safety-Plant'!B:B,1,FALSE)</f>
        <v>FC387</v>
      </c>
    </row>
    <row r="169" spans="1:33" s="52" customFormat="1" ht="16.5" customHeight="1">
      <c r="A169" s="88" t="s">
        <v>739</v>
      </c>
      <c r="B169" s="168"/>
      <c r="C169" s="231" t="s">
        <v>311</v>
      </c>
      <c r="D169" s="259" t="s">
        <v>312</v>
      </c>
      <c r="E169" s="120" t="s">
        <v>760</v>
      </c>
      <c r="F169" s="93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6"/>
      <c r="T169" s="95"/>
      <c r="U169" s="95"/>
      <c r="V169" s="95"/>
      <c r="W169" s="95"/>
      <c r="X169" s="95"/>
      <c r="Y169" s="95"/>
      <c r="Z169" s="95"/>
      <c r="AA169" s="95"/>
      <c r="AB169" s="95"/>
      <c r="AC169" s="97"/>
      <c r="AD169" s="85"/>
      <c r="AE169" s="86" t="s">
        <v>558</v>
      </c>
      <c r="AF169" s="260"/>
      <c r="AG169" s="55" t="str">
        <f>VLOOKUP(C169,'Safety-Plant'!B:B,1,FALSE)</f>
        <v>14H8</v>
      </c>
    </row>
    <row r="170" spans="1:33" s="52" customFormat="1" ht="16.5" customHeight="1">
      <c r="A170" s="88" t="s">
        <v>739</v>
      </c>
      <c r="B170" s="261" t="s">
        <v>761</v>
      </c>
      <c r="C170" s="231" t="s">
        <v>313</v>
      </c>
      <c r="D170" s="226" t="s">
        <v>762</v>
      </c>
      <c r="E170" s="158" t="s">
        <v>763</v>
      </c>
      <c r="F170" s="262"/>
      <c r="G170" s="263"/>
      <c r="H170" s="263"/>
      <c r="I170" s="263"/>
      <c r="J170" s="263"/>
      <c r="K170" s="263"/>
      <c r="L170" s="263"/>
      <c r="M170" s="263"/>
      <c r="N170" s="263"/>
      <c r="O170" s="263"/>
      <c r="P170" s="263"/>
      <c r="Q170" s="263"/>
      <c r="R170" s="263"/>
      <c r="S170" s="263"/>
      <c r="T170" s="263"/>
      <c r="U170" s="263"/>
      <c r="V170" s="263"/>
      <c r="W170" s="263"/>
      <c r="X170" s="263"/>
      <c r="Y170" s="263"/>
      <c r="Z170" s="263"/>
      <c r="AA170" s="263"/>
      <c r="AB170" s="263"/>
      <c r="AC170" s="264"/>
      <c r="AD170" s="265"/>
      <c r="AE170" s="86" t="s">
        <v>558</v>
      </c>
      <c r="AF170" s="266"/>
      <c r="AG170" s="55" t="str">
        <f>VLOOKUP(C170,'Safety-Plant'!B:B,1,FALSE)</f>
        <v>ZZP3</v>
      </c>
    </row>
    <row r="171" spans="1:33" s="52" customFormat="1" ht="16.5" customHeight="1">
      <c r="A171" s="88" t="s">
        <v>739</v>
      </c>
      <c r="B171" s="119"/>
      <c r="C171" s="231" t="s">
        <v>314</v>
      </c>
      <c r="D171" s="226" t="s">
        <v>764</v>
      </c>
      <c r="E171" s="158" t="s">
        <v>763</v>
      </c>
      <c r="F171" s="262"/>
      <c r="G171" s="263"/>
      <c r="H171" s="263"/>
      <c r="I171" s="263"/>
      <c r="J171" s="263"/>
      <c r="K171" s="263"/>
      <c r="L171" s="263"/>
      <c r="M171" s="263"/>
      <c r="N171" s="263"/>
      <c r="O171" s="263"/>
      <c r="P171" s="263"/>
      <c r="Q171" s="263"/>
      <c r="R171" s="263"/>
      <c r="S171" s="263"/>
      <c r="T171" s="263"/>
      <c r="U171" s="263"/>
      <c r="V171" s="263"/>
      <c r="W171" s="263"/>
      <c r="X171" s="263"/>
      <c r="Y171" s="263"/>
      <c r="Z171" s="263"/>
      <c r="AA171" s="263"/>
      <c r="AB171" s="263"/>
      <c r="AC171" s="264"/>
      <c r="AD171" s="265"/>
      <c r="AE171" s="86" t="s">
        <v>558</v>
      </c>
      <c r="AF171" s="266"/>
      <c r="AG171" s="55" t="str">
        <f>VLOOKUP(C171,'Safety-Plant'!B:B,1,FALSE)</f>
        <v>ZZP4</v>
      </c>
    </row>
    <row r="172" spans="1:33" s="52" customFormat="1" ht="16.5" customHeight="1">
      <c r="A172" s="88" t="s">
        <v>739</v>
      </c>
      <c r="B172" s="119"/>
      <c r="C172" s="231" t="s">
        <v>315</v>
      </c>
      <c r="D172" s="226" t="s">
        <v>765</v>
      </c>
      <c r="E172" s="158" t="s">
        <v>763</v>
      </c>
      <c r="F172" s="262"/>
      <c r="G172" s="263"/>
      <c r="H172" s="263"/>
      <c r="I172" s="263"/>
      <c r="J172" s="263"/>
      <c r="K172" s="263"/>
      <c r="L172" s="263"/>
      <c r="M172" s="263"/>
      <c r="N172" s="263"/>
      <c r="O172" s="263"/>
      <c r="P172" s="263"/>
      <c r="Q172" s="263"/>
      <c r="R172" s="263"/>
      <c r="S172" s="263"/>
      <c r="T172" s="263"/>
      <c r="U172" s="263"/>
      <c r="V172" s="263"/>
      <c r="W172" s="263"/>
      <c r="X172" s="263"/>
      <c r="Y172" s="263"/>
      <c r="Z172" s="263"/>
      <c r="AA172" s="263"/>
      <c r="AB172" s="263"/>
      <c r="AC172" s="264"/>
      <c r="AD172" s="265"/>
      <c r="AE172" s="86" t="s">
        <v>558</v>
      </c>
      <c r="AF172" s="266"/>
      <c r="AG172" s="55" t="str">
        <f>VLOOKUP(C172,'Safety-Plant'!B:B,1,FALSE)</f>
        <v>ZZP2</v>
      </c>
    </row>
    <row r="173" spans="1:33" s="52" customFormat="1" ht="16.5" customHeight="1">
      <c r="A173" s="88" t="s">
        <v>739</v>
      </c>
      <c r="B173" s="128"/>
      <c r="C173" s="231" t="s">
        <v>316</v>
      </c>
      <c r="D173" s="226" t="s">
        <v>766</v>
      </c>
      <c r="E173" s="158" t="s">
        <v>763</v>
      </c>
      <c r="F173" s="93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6"/>
      <c r="T173" s="95"/>
      <c r="U173" s="95"/>
      <c r="V173" s="95"/>
      <c r="W173" s="95"/>
      <c r="X173" s="95"/>
      <c r="Y173" s="95"/>
      <c r="Z173" s="95"/>
      <c r="AA173" s="95"/>
      <c r="AB173" s="95"/>
      <c r="AC173" s="97"/>
      <c r="AD173" s="85"/>
      <c r="AE173" s="86" t="s">
        <v>558</v>
      </c>
      <c r="AF173" s="260"/>
      <c r="AG173" s="55" t="str">
        <f>VLOOKUP(C173,'Safety-Plant'!B:B,1,FALSE)</f>
        <v>ZZP8</v>
      </c>
    </row>
    <row r="174" spans="1:33" s="52" customFormat="1" ht="16.5" customHeight="1">
      <c r="A174" s="88" t="s">
        <v>739</v>
      </c>
      <c r="B174" s="119"/>
      <c r="C174" s="233" t="s">
        <v>317</v>
      </c>
      <c r="D174" s="226" t="s">
        <v>767</v>
      </c>
      <c r="E174" s="158" t="s">
        <v>763</v>
      </c>
      <c r="F174" s="262"/>
      <c r="G174" s="263"/>
      <c r="H174" s="263"/>
      <c r="I174" s="263"/>
      <c r="J174" s="263"/>
      <c r="K174" s="263"/>
      <c r="L174" s="263"/>
      <c r="M174" s="263"/>
      <c r="N174" s="263"/>
      <c r="O174" s="263"/>
      <c r="P174" s="263"/>
      <c r="Q174" s="263"/>
      <c r="R174" s="263"/>
      <c r="S174" s="263"/>
      <c r="T174" s="263"/>
      <c r="U174" s="263"/>
      <c r="V174" s="263"/>
      <c r="W174" s="263"/>
      <c r="X174" s="263"/>
      <c r="Y174" s="263"/>
      <c r="Z174" s="263"/>
      <c r="AA174" s="263"/>
      <c r="AB174" s="263"/>
      <c r="AC174" s="264"/>
      <c r="AD174" s="265"/>
      <c r="AE174" s="86" t="s">
        <v>558</v>
      </c>
      <c r="AF174" s="266"/>
      <c r="AG174" s="55" t="str">
        <f>VLOOKUP(C174,'Safety-Plant'!B:B,1,FALSE)</f>
        <v>ZZP5</v>
      </c>
    </row>
    <row r="175" spans="1:33" s="52" customFormat="1" ht="16.5" customHeight="1">
      <c r="A175" s="88" t="s">
        <v>739</v>
      </c>
      <c r="B175" s="119"/>
      <c r="C175" s="233" t="s">
        <v>318</v>
      </c>
      <c r="D175" s="226" t="s">
        <v>768</v>
      </c>
      <c r="E175" s="158" t="s">
        <v>763</v>
      </c>
      <c r="F175" s="267"/>
      <c r="G175" s="263"/>
      <c r="H175" s="263"/>
      <c r="I175" s="263"/>
      <c r="J175" s="263"/>
      <c r="K175" s="263"/>
      <c r="L175" s="263"/>
      <c r="M175" s="263"/>
      <c r="N175" s="263"/>
      <c r="O175" s="263"/>
      <c r="P175" s="263"/>
      <c r="Q175" s="263"/>
      <c r="R175" s="263"/>
      <c r="S175" s="263"/>
      <c r="T175" s="263"/>
      <c r="U175" s="263"/>
      <c r="V175" s="263"/>
      <c r="W175" s="263"/>
      <c r="X175" s="263"/>
      <c r="Y175" s="263"/>
      <c r="Z175" s="263"/>
      <c r="AA175" s="263"/>
      <c r="AB175" s="263"/>
      <c r="AC175" s="264"/>
      <c r="AD175" s="265"/>
      <c r="AE175" s="86" t="s">
        <v>558</v>
      </c>
      <c r="AF175" s="266"/>
      <c r="AG175" s="55" t="str">
        <f>VLOOKUP(C175,'Safety-Plant'!B:B,1,FALSE)</f>
        <v>ZZP1</v>
      </c>
    </row>
    <row r="176" spans="1:33" s="52" customFormat="1" ht="16.5" customHeight="1">
      <c r="A176" s="88" t="s">
        <v>739</v>
      </c>
      <c r="B176" s="168"/>
      <c r="C176" s="158" t="s">
        <v>319</v>
      </c>
      <c r="D176" s="259" t="s">
        <v>320</v>
      </c>
      <c r="E176" s="268" t="s">
        <v>769</v>
      </c>
      <c r="F176" s="81">
        <v>12</v>
      </c>
      <c r="G176" s="212" t="s">
        <v>520</v>
      </c>
      <c r="H176" s="212" t="s">
        <v>520</v>
      </c>
      <c r="I176" s="212" t="s">
        <v>520</v>
      </c>
      <c r="J176" s="212" t="s">
        <v>520</v>
      </c>
      <c r="K176" s="212" t="s">
        <v>520</v>
      </c>
      <c r="L176" s="212" t="s">
        <v>520</v>
      </c>
      <c r="M176" s="212" t="s">
        <v>520</v>
      </c>
      <c r="N176" s="212" t="s">
        <v>520</v>
      </c>
      <c r="O176" s="212" t="s">
        <v>520</v>
      </c>
      <c r="P176" s="212" t="s">
        <v>520</v>
      </c>
      <c r="Q176" s="212" t="s">
        <v>520</v>
      </c>
      <c r="R176" s="212" t="s">
        <v>520</v>
      </c>
      <c r="S176" s="213">
        <v>10</v>
      </c>
      <c r="T176" s="212" t="s">
        <v>520</v>
      </c>
      <c r="U176" s="212" t="s">
        <v>520</v>
      </c>
      <c r="V176" s="212" t="s">
        <v>520</v>
      </c>
      <c r="W176" s="212" t="s">
        <v>520</v>
      </c>
      <c r="X176" s="212" t="s">
        <v>520</v>
      </c>
      <c r="Y176" s="212" t="s">
        <v>520</v>
      </c>
      <c r="Z176" s="212" t="s">
        <v>520</v>
      </c>
      <c r="AA176" s="212" t="s">
        <v>520</v>
      </c>
      <c r="AB176" s="212" t="s">
        <v>520</v>
      </c>
      <c r="AC176" s="214" t="s">
        <v>520</v>
      </c>
      <c r="AD176" s="148" t="s">
        <v>746</v>
      </c>
      <c r="AE176" s="86" t="s">
        <v>558</v>
      </c>
      <c r="AF176" s="266"/>
      <c r="AG176" s="55" t="str">
        <f>VLOOKUP(C176,'Safety-Plant'!B:B,1,FALSE)</f>
        <v>ZZS1</v>
      </c>
    </row>
    <row r="177" spans="1:33" s="52" customFormat="1" ht="16.5" customHeight="1">
      <c r="A177" s="88" t="s">
        <v>739</v>
      </c>
      <c r="B177" s="269" t="s">
        <v>770</v>
      </c>
      <c r="C177" s="268" t="s">
        <v>321</v>
      </c>
      <c r="D177" s="226" t="s">
        <v>322</v>
      </c>
      <c r="E177" s="158" t="s">
        <v>771</v>
      </c>
      <c r="F177" s="93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6"/>
      <c r="T177" s="95"/>
      <c r="U177" s="95"/>
      <c r="V177" s="95"/>
      <c r="W177" s="95"/>
      <c r="X177" s="95"/>
      <c r="Y177" s="95"/>
      <c r="Z177" s="95"/>
      <c r="AA177" s="95"/>
      <c r="AB177" s="95"/>
      <c r="AC177" s="97"/>
      <c r="AD177" s="85"/>
      <c r="AE177" s="86" t="s">
        <v>558</v>
      </c>
      <c r="AF177" s="266"/>
      <c r="AG177" s="55" t="str">
        <f>VLOOKUP(C177,'Safety-Plant'!B:B,1,FALSE)</f>
        <v>ZZS2</v>
      </c>
    </row>
    <row r="178" spans="1:33" s="52" customFormat="1" ht="16.5" customHeight="1">
      <c r="A178" s="88" t="s">
        <v>739</v>
      </c>
      <c r="B178" s="168"/>
      <c r="C178" s="268" t="s">
        <v>323</v>
      </c>
      <c r="D178" s="226" t="s">
        <v>772</v>
      </c>
      <c r="E178" s="158" t="s">
        <v>756</v>
      </c>
      <c r="F178" s="267"/>
      <c r="G178" s="263"/>
      <c r="H178" s="263"/>
      <c r="I178" s="263"/>
      <c r="J178" s="263"/>
      <c r="K178" s="263"/>
      <c r="L178" s="263"/>
      <c r="M178" s="263"/>
      <c r="N178" s="263"/>
      <c r="O178" s="263"/>
      <c r="P178" s="263"/>
      <c r="Q178" s="263"/>
      <c r="R178" s="263"/>
      <c r="S178" s="263"/>
      <c r="T178" s="263"/>
      <c r="U178" s="263"/>
      <c r="V178" s="263"/>
      <c r="W178" s="263"/>
      <c r="X178" s="263"/>
      <c r="Y178" s="263"/>
      <c r="Z178" s="263"/>
      <c r="AA178" s="263"/>
      <c r="AB178" s="263"/>
      <c r="AC178" s="264"/>
      <c r="AD178" s="265"/>
      <c r="AE178" s="86" t="s">
        <v>558</v>
      </c>
      <c r="AF178" s="266"/>
      <c r="AG178" s="55" t="str">
        <f>VLOOKUP(C178,'Safety-Plant'!B:B,1,FALSE)</f>
        <v>14IU</v>
      </c>
    </row>
    <row r="179" spans="1:33" s="52" customFormat="1" ht="16.5" customHeight="1">
      <c r="A179" s="88" t="s">
        <v>739</v>
      </c>
      <c r="B179" s="270" t="s">
        <v>773</v>
      </c>
      <c r="C179" s="252" t="s">
        <v>324</v>
      </c>
      <c r="D179" s="211" t="s">
        <v>325</v>
      </c>
      <c r="E179" s="188" t="s">
        <v>774</v>
      </c>
      <c r="F179" s="93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6"/>
      <c r="T179" s="95"/>
      <c r="U179" s="95"/>
      <c r="V179" s="95"/>
      <c r="W179" s="95"/>
      <c r="X179" s="95"/>
      <c r="Y179" s="95"/>
      <c r="Z179" s="95"/>
      <c r="AA179" s="95"/>
      <c r="AB179" s="95"/>
      <c r="AC179" s="97"/>
      <c r="AD179" s="85"/>
      <c r="AE179" s="86" t="s">
        <v>558</v>
      </c>
      <c r="AF179" s="99"/>
      <c r="AG179" s="55" t="str">
        <f>VLOOKUP(C179,'Safety-Plant'!B:B,1,FALSE)</f>
        <v>FC296</v>
      </c>
    </row>
    <row r="180" spans="1:33" s="52" customFormat="1" ht="16.5" customHeight="1">
      <c r="A180" s="88" t="s">
        <v>739</v>
      </c>
      <c r="B180" s="128"/>
      <c r="C180" s="149" t="s">
        <v>287</v>
      </c>
      <c r="D180" s="211" t="s">
        <v>288</v>
      </c>
      <c r="E180" s="103" t="s">
        <v>775</v>
      </c>
      <c r="F180" s="93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6"/>
      <c r="T180" s="95"/>
      <c r="U180" s="95"/>
      <c r="V180" s="95"/>
      <c r="W180" s="95"/>
      <c r="X180" s="95"/>
      <c r="Y180" s="95"/>
      <c r="Z180" s="95"/>
      <c r="AA180" s="95"/>
      <c r="AB180" s="95"/>
      <c r="AC180" s="97"/>
      <c r="AD180" s="85"/>
      <c r="AE180" s="86" t="s">
        <v>558</v>
      </c>
      <c r="AF180" s="99"/>
      <c r="AG180" s="55" t="str">
        <f>VLOOKUP(C180,'Safety-Plant'!B:B,1,FALSE)</f>
        <v>FC001</v>
      </c>
    </row>
    <row r="181" spans="1:33" s="52" customFormat="1" ht="16.5" customHeight="1">
      <c r="A181" s="88" t="s">
        <v>739</v>
      </c>
      <c r="B181" s="119"/>
      <c r="C181" s="131" t="s">
        <v>289</v>
      </c>
      <c r="D181" s="211" t="s">
        <v>290</v>
      </c>
      <c r="E181" s="103" t="s">
        <v>775</v>
      </c>
      <c r="F181" s="93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6"/>
      <c r="T181" s="95"/>
      <c r="U181" s="95"/>
      <c r="V181" s="95"/>
      <c r="W181" s="95"/>
      <c r="X181" s="95"/>
      <c r="Y181" s="95"/>
      <c r="Z181" s="95"/>
      <c r="AA181" s="95"/>
      <c r="AB181" s="95"/>
      <c r="AC181" s="97"/>
      <c r="AD181" s="85"/>
      <c r="AE181" s="86" t="s">
        <v>558</v>
      </c>
      <c r="AF181" s="99"/>
      <c r="AG181" s="55" t="str">
        <f>VLOOKUP(C181,'Safety-Plant'!B:B,1,FALSE)</f>
        <v>FC243</v>
      </c>
    </row>
    <row r="182" spans="1:33" s="52" customFormat="1" ht="16.5" customHeight="1">
      <c r="A182" s="88" t="s">
        <v>739</v>
      </c>
      <c r="B182" s="119"/>
      <c r="C182" s="120" t="s">
        <v>326</v>
      </c>
      <c r="D182" s="211" t="s">
        <v>327</v>
      </c>
      <c r="E182" s="188" t="s">
        <v>776</v>
      </c>
      <c r="F182" s="93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6"/>
      <c r="T182" s="95"/>
      <c r="U182" s="95"/>
      <c r="V182" s="95"/>
      <c r="W182" s="95"/>
      <c r="X182" s="95"/>
      <c r="Y182" s="95"/>
      <c r="Z182" s="95"/>
      <c r="AA182" s="95"/>
      <c r="AB182" s="95"/>
      <c r="AC182" s="97"/>
      <c r="AD182" s="85"/>
      <c r="AE182" s="86" t="s">
        <v>558</v>
      </c>
      <c r="AF182" s="99"/>
      <c r="AG182" s="55" t="str">
        <f>VLOOKUP(C182,'Safety-Plant'!B:B,1,FALSE)</f>
        <v>FC242</v>
      </c>
    </row>
    <row r="183" spans="1:33" s="52" customFormat="1" ht="16.5" customHeight="1">
      <c r="A183" s="88" t="s">
        <v>739</v>
      </c>
      <c r="B183" s="119"/>
      <c r="C183" s="120" t="s">
        <v>328</v>
      </c>
      <c r="D183" s="211" t="s">
        <v>329</v>
      </c>
      <c r="E183" s="188" t="s">
        <v>776</v>
      </c>
      <c r="F183" s="241"/>
      <c r="G183" s="95"/>
      <c r="H183" s="95"/>
      <c r="I183" s="95"/>
      <c r="J183" s="95"/>
      <c r="K183" s="95"/>
      <c r="L183" s="95"/>
      <c r="M183" s="95"/>
      <c r="N183" s="243"/>
      <c r="O183" s="243"/>
      <c r="P183" s="243"/>
      <c r="Q183" s="243"/>
      <c r="R183" s="243"/>
      <c r="S183" s="225"/>
      <c r="T183" s="95"/>
      <c r="U183" s="95"/>
      <c r="V183" s="95"/>
      <c r="W183" s="95"/>
      <c r="X183" s="95"/>
      <c r="Y183" s="95"/>
      <c r="Z183" s="244"/>
      <c r="AA183" s="244"/>
      <c r="AB183" s="244"/>
      <c r="AC183" s="245"/>
      <c r="AD183" s="85"/>
      <c r="AE183" s="86" t="s">
        <v>558</v>
      </c>
      <c r="AF183" s="99"/>
      <c r="AG183" s="55" t="str">
        <f>VLOOKUP(C183,'Safety-Plant'!B:B,1,FALSE)</f>
        <v>FC337</v>
      </c>
    </row>
    <row r="184" spans="1:33" s="52" customFormat="1" ht="16.5" customHeight="1">
      <c r="A184" s="88" t="s">
        <v>739</v>
      </c>
      <c r="B184" s="119"/>
      <c r="C184" s="131" t="s">
        <v>330</v>
      </c>
      <c r="D184" s="211" t="s">
        <v>331</v>
      </c>
      <c r="E184" s="120" t="s">
        <v>777</v>
      </c>
      <c r="F184" s="81">
        <v>12</v>
      </c>
      <c r="G184" s="212" t="s">
        <v>520</v>
      </c>
      <c r="H184" s="212" t="s">
        <v>520</v>
      </c>
      <c r="I184" s="212" t="s">
        <v>520</v>
      </c>
      <c r="J184" s="212" t="s">
        <v>520</v>
      </c>
      <c r="K184" s="212" t="s">
        <v>520</v>
      </c>
      <c r="L184" s="212" t="s">
        <v>520</v>
      </c>
      <c r="M184" s="212" t="s">
        <v>520</v>
      </c>
      <c r="N184" s="212" t="s">
        <v>520</v>
      </c>
      <c r="O184" s="212" t="s">
        <v>520</v>
      </c>
      <c r="P184" s="212" t="s">
        <v>520</v>
      </c>
      <c r="Q184" s="212" t="s">
        <v>520</v>
      </c>
      <c r="R184" s="212" t="s">
        <v>520</v>
      </c>
      <c r="S184" s="213">
        <v>10</v>
      </c>
      <c r="T184" s="212" t="s">
        <v>520</v>
      </c>
      <c r="U184" s="212" t="s">
        <v>520</v>
      </c>
      <c r="V184" s="212" t="s">
        <v>520</v>
      </c>
      <c r="W184" s="212" t="s">
        <v>520</v>
      </c>
      <c r="X184" s="212" t="s">
        <v>520</v>
      </c>
      <c r="Y184" s="212" t="s">
        <v>520</v>
      </c>
      <c r="Z184" s="212" t="s">
        <v>520</v>
      </c>
      <c r="AA184" s="212" t="s">
        <v>520</v>
      </c>
      <c r="AB184" s="212" t="s">
        <v>520</v>
      </c>
      <c r="AC184" s="214" t="s">
        <v>520</v>
      </c>
      <c r="AD184" s="148" t="s">
        <v>746</v>
      </c>
      <c r="AE184" s="86" t="s">
        <v>558</v>
      </c>
      <c r="AF184" s="99"/>
      <c r="AG184" s="55" t="str">
        <f>VLOOKUP(C184,'Safety-Plant'!B:B,1,FALSE)</f>
        <v>FC089</v>
      </c>
    </row>
    <row r="185" spans="1:33" s="52" customFormat="1" ht="16.5" customHeight="1">
      <c r="A185" s="88" t="s">
        <v>739</v>
      </c>
      <c r="B185" s="119"/>
      <c r="C185" s="120" t="s">
        <v>332</v>
      </c>
      <c r="D185" s="211" t="s">
        <v>333</v>
      </c>
      <c r="E185" s="120" t="s">
        <v>778</v>
      </c>
      <c r="F185" s="93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6"/>
      <c r="T185" s="95"/>
      <c r="U185" s="95"/>
      <c r="V185" s="95"/>
      <c r="W185" s="95"/>
      <c r="X185" s="95"/>
      <c r="Y185" s="95"/>
      <c r="Z185" s="95"/>
      <c r="AA185" s="95"/>
      <c r="AB185" s="95"/>
      <c r="AC185" s="97"/>
      <c r="AD185" s="85"/>
      <c r="AE185" s="86" t="s">
        <v>558</v>
      </c>
      <c r="AF185" s="99"/>
      <c r="AG185" s="55" t="str">
        <f>VLOOKUP(C185,'Safety-Plant'!B:B,1,FALSE)</f>
        <v>FC286</v>
      </c>
    </row>
    <row r="186" spans="1:33" s="52" customFormat="1" ht="16.5" customHeight="1">
      <c r="A186" s="88" t="s">
        <v>739</v>
      </c>
      <c r="B186" s="119"/>
      <c r="C186" s="120" t="s">
        <v>334</v>
      </c>
      <c r="D186" s="207" t="s">
        <v>335</v>
      </c>
      <c r="E186" s="120" t="s">
        <v>779</v>
      </c>
      <c r="F186" s="93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6"/>
      <c r="T186" s="95"/>
      <c r="U186" s="95"/>
      <c r="V186" s="95"/>
      <c r="W186" s="95"/>
      <c r="X186" s="95"/>
      <c r="Y186" s="95"/>
      <c r="Z186" s="95"/>
      <c r="AA186" s="95"/>
      <c r="AB186" s="95"/>
      <c r="AC186" s="97"/>
      <c r="AD186" s="85"/>
      <c r="AE186" s="86" t="s">
        <v>558</v>
      </c>
      <c r="AF186" s="99"/>
      <c r="AG186" s="55" t="str">
        <f>VLOOKUP(C186,'Safety-Plant'!B:B,1,FALSE)</f>
        <v>FC326</v>
      </c>
    </row>
    <row r="187" spans="1:33" s="52" customFormat="1" ht="16.5" customHeight="1">
      <c r="A187" s="88" t="s">
        <v>739</v>
      </c>
      <c r="B187" s="119"/>
      <c r="C187" s="120" t="s">
        <v>336</v>
      </c>
      <c r="D187" s="207" t="s">
        <v>337</v>
      </c>
      <c r="E187" s="120" t="s">
        <v>780</v>
      </c>
      <c r="F187" s="93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6"/>
      <c r="T187" s="95"/>
      <c r="U187" s="95"/>
      <c r="V187" s="95"/>
      <c r="W187" s="95"/>
      <c r="X187" s="95"/>
      <c r="Y187" s="95"/>
      <c r="Z187" s="95"/>
      <c r="AA187" s="95"/>
      <c r="AB187" s="95"/>
      <c r="AC187" s="97"/>
      <c r="AD187" s="85"/>
      <c r="AE187" s="86" t="s">
        <v>558</v>
      </c>
      <c r="AF187" s="99"/>
      <c r="AG187" s="55" t="str">
        <f>VLOOKUP(C187,'Safety-Plant'!B:B,1,FALSE)</f>
        <v>FC379</v>
      </c>
    </row>
    <row r="188" spans="1:33" s="52" customFormat="1" ht="16.5" customHeight="1">
      <c r="A188" s="88" t="s">
        <v>739</v>
      </c>
      <c r="B188" s="119"/>
      <c r="C188" s="120" t="s">
        <v>339</v>
      </c>
      <c r="D188" s="211" t="s">
        <v>340</v>
      </c>
      <c r="E188" s="188" t="s">
        <v>781</v>
      </c>
      <c r="F188" s="93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6"/>
      <c r="T188" s="95"/>
      <c r="U188" s="95"/>
      <c r="V188" s="95"/>
      <c r="W188" s="95"/>
      <c r="X188" s="95"/>
      <c r="Y188" s="95"/>
      <c r="Z188" s="95"/>
      <c r="AA188" s="95"/>
      <c r="AB188" s="95"/>
      <c r="AC188" s="97"/>
      <c r="AD188" s="85"/>
      <c r="AE188" s="86" t="s">
        <v>558</v>
      </c>
      <c r="AF188" s="99"/>
      <c r="AG188" s="55" t="str">
        <f>VLOOKUP(C188,'Safety-Plant'!B:B,1,FALSE)</f>
        <v>FC232</v>
      </c>
    </row>
    <row r="189" spans="1:33" s="52" customFormat="1" ht="16.5" customHeight="1">
      <c r="A189" s="88" t="s">
        <v>739</v>
      </c>
      <c r="B189" s="119"/>
      <c r="C189" s="120" t="s">
        <v>341</v>
      </c>
      <c r="D189" s="207" t="s">
        <v>342</v>
      </c>
      <c r="E189" s="120" t="s">
        <v>782</v>
      </c>
      <c r="F189" s="81">
        <v>12</v>
      </c>
      <c r="G189" s="212" t="s">
        <v>520</v>
      </c>
      <c r="H189" s="212" t="s">
        <v>520</v>
      </c>
      <c r="I189" s="212" t="s">
        <v>520</v>
      </c>
      <c r="J189" s="212" t="s">
        <v>520</v>
      </c>
      <c r="K189" s="212" t="s">
        <v>520</v>
      </c>
      <c r="L189" s="212" t="s">
        <v>520</v>
      </c>
      <c r="M189" s="212" t="s">
        <v>520</v>
      </c>
      <c r="N189" s="212" t="s">
        <v>520</v>
      </c>
      <c r="O189" s="212" t="s">
        <v>520</v>
      </c>
      <c r="P189" s="212" t="s">
        <v>520</v>
      </c>
      <c r="Q189" s="212" t="s">
        <v>520</v>
      </c>
      <c r="R189" s="212" t="s">
        <v>520</v>
      </c>
      <c r="S189" s="213">
        <v>10</v>
      </c>
      <c r="T189" s="212" t="s">
        <v>520</v>
      </c>
      <c r="U189" s="212" t="s">
        <v>520</v>
      </c>
      <c r="V189" s="212" t="s">
        <v>520</v>
      </c>
      <c r="W189" s="212" t="s">
        <v>520</v>
      </c>
      <c r="X189" s="212" t="s">
        <v>520</v>
      </c>
      <c r="Y189" s="212" t="s">
        <v>520</v>
      </c>
      <c r="Z189" s="212" t="s">
        <v>520</v>
      </c>
      <c r="AA189" s="212" t="s">
        <v>520</v>
      </c>
      <c r="AB189" s="212" t="s">
        <v>520</v>
      </c>
      <c r="AC189" s="214" t="s">
        <v>520</v>
      </c>
      <c r="AD189" s="148" t="s">
        <v>746</v>
      </c>
      <c r="AE189" s="86" t="s">
        <v>558</v>
      </c>
      <c r="AF189" s="99"/>
      <c r="AG189" s="55" t="str">
        <f>VLOOKUP(C189,'Safety-Plant'!B:B,1,FALSE)</f>
        <v>FC336</v>
      </c>
    </row>
    <row r="190" spans="1:33" s="52" customFormat="1" ht="16.5" customHeight="1">
      <c r="A190" s="88" t="s">
        <v>739</v>
      </c>
      <c r="B190" s="168"/>
      <c r="C190" s="131" t="s">
        <v>343</v>
      </c>
      <c r="D190" s="211" t="s">
        <v>344</v>
      </c>
      <c r="E190" s="120" t="s">
        <v>783</v>
      </c>
      <c r="F190" s="93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6"/>
      <c r="T190" s="95"/>
      <c r="U190" s="95"/>
      <c r="V190" s="95"/>
      <c r="W190" s="95"/>
      <c r="X190" s="95"/>
      <c r="Y190" s="95"/>
      <c r="Z190" s="95"/>
      <c r="AA190" s="95"/>
      <c r="AB190" s="95"/>
      <c r="AC190" s="97"/>
      <c r="AD190" s="85"/>
      <c r="AE190" s="132" t="s">
        <v>558</v>
      </c>
      <c r="AF190" s="99"/>
      <c r="AG190" s="55" t="str">
        <f>VLOOKUP(C190,'Safety-Plant'!B:B,1,FALSE)</f>
        <v>FC363</v>
      </c>
    </row>
    <row r="191" spans="1:33" s="52" customFormat="1" ht="16.5" customHeight="1">
      <c r="A191" s="88" t="s">
        <v>739</v>
      </c>
      <c r="B191" s="230" t="s">
        <v>784</v>
      </c>
      <c r="C191" s="252" t="s">
        <v>345</v>
      </c>
      <c r="D191" s="211" t="s">
        <v>346</v>
      </c>
      <c r="E191" s="188" t="s">
        <v>785</v>
      </c>
      <c r="F191" s="81">
        <v>12</v>
      </c>
      <c r="G191" s="212" t="s">
        <v>520</v>
      </c>
      <c r="H191" s="212" t="s">
        <v>520</v>
      </c>
      <c r="I191" s="212" t="s">
        <v>520</v>
      </c>
      <c r="J191" s="212" t="s">
        <v>520</v>
      </c>
      <c r="K191" s="212" t="s">
        <v>520</v>
      </c>
      <c r="L191" s="212" t="s">
        <v>520</v>
      </c>
      <c r="M191" s="212" t="s">
        <v>520</v>
      </c>
      <c r="N191" s="212" t="s">
        <v>520</v>
      </c>
      <c r="O191" s="212" t="s">
        <v>520</v>
      </c>
      <c r="P191" s="212" t="s">
        <v>520</v>
      </c>
      <c r="Q191" s="212" t="s">
        <v>520</v>
      </c>
      <c r="R191" s="212" t="s">
        <v>520</v>
      </c>
      <c r="S191" s="271">
        <v>10</v>
      </c>
      <c r="T191" s="212" t="s">
        <v>520</v>
      </c>
      <c r="U191" s="212" t="s">
        <v>520</v>
      </c>
      <c r="V191" s="212" t="s">
        <v>520</v>
      </c>
      <c r="W191" s="212" t="s">
        <v>520</v>
      </c>
      <c r="X191" s="212" t="s">
        <v>520</v>
      </c>
      <c r="Y191" s="212" t="s">
        <v>520</v>
      </c>
      <c r="Z191" s="212" t="s">
        <v>520</v>
      </c>
      <c r="AA191" s="212" t="s">
        <v>520</v>
      </c>
      <c r="AB191" s="212" t="s">
        <v>520</v>
      </c>
      <c r="AC191" s="214" t="s">
        <v>520</v>
      </c>
      <c r="AD191" s="132" t="s">
        <v>558</v>
      </c>
      <c r="AE191" s="86" t="s">
        <v>560</v>
      </c>
      <c r="AF191" s="99"/>
      <c r="AG191" s="55" t="str">
        <f>VLOOKUP(C191,'Safety-Plant'!B:B,1,FALSE)</f>
        <v>FC260</v>
      </c>
    </row>
    <row r="192" spans="1:33" s="52" customFormat="1" ht="16.5" customHeight="1">
      <c r="A192" s="88" t="s">
        <v>739</v>
      </c>
      <c r="B192" s="119"/>
      <c r="C192" s="120" t="s">
        <v>347</v>
      </c>
      <c r="D192" s="211" t="s">
        <v>348</v>
      </c>
      <c r="E192" s="188" t="s">
        <v>785</v>
      </c>
      <c r="F192" s="81">
        <v>12</v>
      </c>
      <c r="G192" s="212" t="s">
        <v>520</v>
      </c>
      <c r="H192" s="212" t="s">
        <v>520</v>
      </c>
      <c r="I192" s="212" t="s">
        <v>520</v>
      </c>
      <c r="J192" s="212" t="s">
        <v>520</v>
      </c>
      <c r="K192" s="212" t="s">
        <v>520</v>
      </c>
      <c r="L192" s="212" t="s">
        <v>520</v>
      </c>
      <c r="M192" s="212" t="s">
        <v>520</v>
      </c>
      <c r="N192" s="212" t="s">
        <v>520</v>
      </c>
      <c r="O192" s="212" t="s">
        <v>520</v>
      </c>
      <c r="P192" s="212" t="s">
        <v>520</v>
      </c>
      <c r="Q192" s="212" t="s">
        <v>520</v>
      </c>
      <c r="R192" s="212" t="s">
        <v>520</v>
      </c>
      <c r="S192" s="213">
        <v>10</v>
      </c>
      <c r="T192" s="212" t="s">
        <v>520</v>
      </c>
      <c r="U192" s="212" t="s">
        <v>520</v>
      </c>
      <c r="V192" s="212" t="s">
        <v>520</v>
      </c>
      <c r="W192" s="212" t="s">
        <v>520</v>
      </c>
      <c r="X192" s="212" t="s">
        <v>520</v>
      </c>
      <c r="Y192" s="212" t="s">
        <v>520</v>
      </c>
      <c r="Z192" s="212" t="s">
        <v>520</v>
      </c>
      <c r="AA192" s="212" t="s">
        <v>520</v>
      </c>
      <c r="AB192" s="212" t="s">
        <v>520</v>
      </c>
      <c r="AC192" s="214" t="s">
        <v>520</v>
      </c>
      <c r="AD192" s="148" t="s">
        <v>786</v>
      </c>
      <c r="AE192" s="86" t="s">
        <v>560</v>
      </c>
      <c r="AF192" s="99"/>
      <c r="AG192" s="55" t="str">
        <f>VLOOKUP(C192,'Safety-Plant'!B:B,1,FALSE)</f>
        <v>FC305</v>
      </c>
    </row>
    <row r="193" spans="1:33" s="52" customFormat="1" ht="16.5" customHeight="1">
      <c r="A193" s="88" t="s">
        <v>739</v>
      </c>
      <c r="B193" s="119"/>
      <c r="C193" s="92" t="s">
        <v>349</v>
      </c>
      <c r="D193" s="207" t="s">
        <v>350</v>
      </c>
      <c r="E193" s="188" t="s">
        <v>785</v>
      </c>
      <c r="F193" s="81">
        <v>12</v>
      </c>
      <c r="G193" s="212" t="s">
        <v>520</v>
      </c>
      <c r="H193" s="212" t="s">
        <v>520</v>
      </c>
      <c r="I193" s="212" t="s">
        <v>520</v>
      </c>
      <c r="J193" s="212" t="s">
        <v>520</v>
      </c>
      <c r="K193" s="212" t="s">
        <v>520</v>
      </c>
      <c r="L193" s="212" t="s">
        <v>520</v>
      </c>
      <c r="M193" s="212" t="s">
        <v>520</v>
      </c>
      <c r="N193" s="212" t="s">
        <v>520</v>
      </c>
      <c r="O193" s="212" t="s">
        <v>520</v>
      </c>
      <c r="P193" s="212" t="s">
        <v>520</v>
      </c>
      <c r="Q193" s="212" t="s">
        <v>520</v>
      </c>
      <c r="R193" s="212" t="s">
        <v>520</v>
      </c>
      <c r="S193" s="271">
        <v>10</v>
      </c>
      <c r="T193" s="212" t="s">
        <v>520</v>
      </c>
      <c r="U193" s="212" t="s">
        <v>520</v>
      </c>
      <c r="V193" s="212" t="s">
        <v>520</v>
      </c>
      <c r="W193" s="212" t="s">
        <v>520</v>
      </c>
      <c r="X193" s="212" t="s">
        <v>520</v>
      </c>
      <c r="Y193" s="212" t="s">
        <v>520</v>
      </c>
      <c r="Z193" s="212" t="s">
        <v>520</v>
      </c>
      <c r="AA193" s="212" t="s">
        <v>520</v>
      </c>
      <c r="AB193" s="212" t="s">
        <v>520</v>
      </c>
      <c r="AC193" s="214" t="s">
        <v>520</v>
      </c>
      <c r="AD193" s="132" t="s">
        <v>558</v>
      </c>
      <c r="AE193" s="86" t="s">
        <v>560</v>
      </c>
      <c r="AF193" s="99"/>
      <c r="AG193" s="55" t="str">
        <f>VLOOKUP(C193,'Safety-Plant'!B:B,1,FALSE)</f>
        <v>FC331</v>
      </c>
    </row>
    <row r="194" spans="1:33" s="52" customFormat="1" ht="16.5" customHeight="1">
      <c r="A194" s="88" t="s">
        <v>739</v>
      </c>
      <c r="B194" s="119"/>
      <c r="C194" s="131" t="s">
        <v>351</v>
      </c>
      <c r="D194" s="227" t="s">
        <v>352</v>
      </c>
      <c r="E194" s="120" t="s">
        <v>785</v>
      </c>
      <c r="F194" s="81">
        <v>12</v>
      </c>
      <c r="G194" s="212" t="s">
        <v>520</v>
      </c>
      <c r="H194" s="212" t="s">
        <v>520</v>
      </c>
      <c r="I194" s="212" t="s">
        <v>520</v>
      </c>
      <c r="J194" s="212" t="s">
        <v>520</v>
      </c>
      <c r="K194" s="212" t="s">
        <v>520</v>
      </c>
      <c r="L194" s="212" t="s">
        <v>520</v>
      </c>
      <c r="M194" s="212" t="s">
        <v>520</v>
      </c>
      <c r="N194" s="212" t="s">
        <v>520</v>
      </c>
      <c r="O194" s="212" t="s">
        <v>520</v>
      </c>
      <c r="P194" s="212" t="s">
        <v>520</v>
      </c>
      <c r="Q194" s="212" t="s">
        <v>520</v>
      </c>
      <c r="R194" s="212" t="s">
        <v>520</v>
      </c>
      <c r="S194" s="271">
        <v>10</v>
      </c>
      <c r="T194" s="212" t="s">
        <v>520</v>
      </c>
      <c r="U194" s="212" t="s">
        <v>520</v>
      </c>
      <c r="V194" s="212" t="s">
        <v>520</v>
      </c>
      <c r="W194" s="212" t="s">
        <v>520</v>
      </c>
      <c r="X194" s="212" t="s">
        <v>520</v>
      </c>
      <c r="Y194" s="212" t="s">
        <v>520</v>
      </c>
      <c r="Z194" s="212" t="s">
        <v>520</v>
      </c>
      <c r="AA194" s="212" t="s">
        <v>520</v>
      </c>
      <c r="AB194" s="212" t="s">
        <v>520</v>
      </c>
      <c r="AC194" s="214" t="s">
        <v>520</v>
      </c>
      <c r="AD194" s="132" t="s">
        <v>558</v>
      </c>
      <c r="AE194" s="86" t="s">
        <v>560</v>
      </c>
      <c r="AF194" s="99"/>
      <c r="AG194" s="55" t="str">
        <f>VLOOKUP(C194,'Safety-Plant'!B:B,1,FALSE)</f>
        <v>FC375</v>
      </c>
    </row>
    <row r="195" spans="1:33" s="52" customFormat="1" ht="16.5" customHeight="1">
      <c r="A195" s="88" t="s">
        <v>739</v>
      </c>
      <c r="B195" s="119"/>
      <c r="C195" s="120" t="s">
        <v>353</v>
      </c>
      <c r="D195" s="211" t="s">
        <v>354</v>
      </c>
      <c r="E195" s="272" t="s">
        <v>787</v>
      </c>
      <c r="F195" s="81">
        <v>12</v>
      </c>
      <c r="G195" s="212" t="s">
        <v>520</v>
      </c>
      <c r="H195" s="212" t="s">
        <v>520</v>
      </c>
      <c r="I195" s="212" t="s">
        <v>520</v>
      </c>
      <c r="J195" s="212" t="s">
        <v>520</v>
      </c>
      <c r="K195" s="212" t="s">
        <v>520</v>
      </c>
      <c r="L195" s="212" t="s">
        <v>520</v>
      </c>
      <c r="M195" s="212" t="s">
        <v>520</v>
      </c>
      <c r="N195" s="212" t="s">
        <v>520</v>
      </c>
      <c r="O195" s="212" t="s">
        <v>520</v>
      </c>
      <c r="P195" s="212" t="s">
        <v>520</v>
      </c>
      <c r="Q195" s="212" t="s">
        <v>520</v>
      </c>
      <c r="R195" s="212" t="s">
        <v>520</v>
      </c>
      <c r="S195" s="271">
        <v>10</v>
      </c>
      <c r="T195" s="212" t="s">
        <v>520</v>
      </c>
      <c r="U195" s="212" t="s">
        <v>520</v>
      </c>
      <c r="V195" s="212" t="s">
        <v>520</v>
      </c>
      <c r="W195" s="212" t="s">
        <v>520</v>
      </c>
      <c r="X195" s="212" t="s">
        <v>520</v>
      </c>
      <c r="Y195" s="212" t="s">
        <v>520</v>
      </c>
      <c r="Z195" s="212" t="s">
        <v>520</v>
      </c>
      <c r="AA195" s="212" t="s">
        <v>520</v>
      </c>
      <c r="AB195" s="212" t="s">
        <v>520</v>
      </c>
      <c r="AC195" s="214" t="s">
        <v>520</v>
      </c>
      <c r="AD195" s="132" t="s">
        <v>558</v>
      </c>
      <c r="AE195" s="86" t="s">
        <v>560</v>
      </c>
      <c r="AF195" s="99"/>
      <c r="AG195" s="55" t="str">
        <f>VLOOKUP(C195,'Safety-Plant'!B:B,1,FALSE)</f>
        <v>FC325</v>
      </c>
    </row>
    <row r="196" spans="1:33" s="52" customFormat="1" ht="16.5" customHeight="1">
      <c r="A196" s="88" t="s">
        <v>739</v>
      </c>
      <c r="B196" s="119"/>
      <c r="C196" s="131" t="s">
        <v>355</v>
      </c>
      <c r="D196" s="211" t="s">
        <v>356</v>
      </c>
      <c r="E196" s="120" t="s">
        <v>788</v>
      </c>
      <c r="F196" s="81">
        <v>12</v>
      </c>
      <c r="G196" s="212" t="s">
        <v>520</v>
      </c>
      <c r="H196" s="212" t="s">
        <v>520</v>
      </c>
      <c r="I196" s="212" t="s">
        <v>520</v>
      </c>
      <c r="J196" s="212" t="s">
        <v>520</v>
      </c>
      <c r="K196" s="212" t="s">
        <v>520</v>
      </c>
      <c r="L196" s="212" t="s">
        <v>520</v>
      </c>
      <c r="M196" s="212" t="s">
        <v>520</v>
      </c>
      <c r="N196" s="212" t="s">
        <v>520</v>
      </c>
      <c r="O196" s="212" t="s">
        <v>520</v>
      </c>
      <c r="P196" s="212" t="s">
        <v>520</v>
      </c>
      <c r="Q196" s="212" t="s">
        <v>520</v>
      </c>
      <c r="R196" s="212" t="s">
        <v>520</v>
      </c>
      <c r="S196" s="271">
        <v>10</v>
      </c>
      <c r="T196" s="212" t="s">
        <v>520</v>
      </c>
      <c r="U196" s="212" t="s">
        <v>520</v>
      </c>
      <c r="V196" s="212" t="s">
        <v>520</v>
      </c>
      <c r="W196" s="212" t="s">
        <v>520</v>
      </c>
      <c r="X196" s="212" t="s">
        <v>520</v>
      </c>
      <c r="Y196" s="212" t="s">
        <v>520</v>
      </c>
      <c r="Z196" s="212" t="s">
        <v>520</v>
      </c>
      <c r="AA196" s="212" t="s">
        <v>520</v>
      </c>
      <c r="AB196" s="212" t="s">
        <v>520</v>
      </c>
      <c r="AC196" s="214" t="s">
        <v>520</v>
      </c>
      <c r="AD196" s="148" t="s">
        <v>789</v>
      </c>
      <c r="AE196" s="86" t="s">
        <v>560</v>
      </c>
      <c r="AF196" s="99"/>
      <c r="AG196" s="55" t="str">
        <f>VLOOKUP(C196,'Safety-Plant'!B:B,1,FALSE)</f>
        <v>FC395</v>
      </c>
    </row>
    <row r="197" spans="1:33" s="52" customFormat="1" ht="16.5" customHeight="1">
      <c r="A197" s="88" t="s">
        <v>739</v>
      </c>
      <c r="B197" s="119"/>
      <c r="C197" s="273" t="s">
        <v>547</v>
      </c>
      <c r="D197" s="274" t="s">
        <v>546</v>
      </c>
      <c r="E197" s="275" t="s">
        <v>788</v>
      </c>
      <c r="F197" s="81">
        <v>12</v>
      </c>
      <c r="G197" s="212" t="s">
        <v>520</v>
      </c>
      <c r="H197" s="212" t="s">
        <v>520</v>
      </c>
      <c r="I197" s="212" t="s">
        <v>520</v>
      </c>
      <c r="J197" s="212" t="s">
        <v>520</v>
      </c>
      <c r="K197" s="212" t="s">
        <v>520</v>
      </c>
      <c r="L197" s="212" t="s">
        <v>520</v>
      </c>
      <c r="M197" s="212" t="s">
        <v>520</v>
      </c>
      <c r="N197" s="212" t="s">
        <v>520</v>
      </c>
      <c r="O197" s="212" t="s">
        <v>520</v>
      </c>
      <c r="P197" s="212" t="s">
        <v>520</v>
      </c>
      <c r="Q197" s="212" t="s">
        <v>520</v>
      </c>
      <c r="R197" s="212" t="s">
        <v>520</v>
      </c>
      <c r="S197" s="213">
        <v>10</v>
      </c>
      <c r="T197" s="212" t="s">
        <v>520</v>
      </c>
      <c r="U197" s="212" t="s">
        <v>520</v>
      </c>
      <c r="V197" s="212" t="s">
        <v>520</v>
      </c>
      <c r="W197" s="212" t="s">
        <v>520</v>
      </c>
      <c r="X197" s="212" t="s">
        <v>520</v>
      </c>
      <c r="Y197" s="212" t="s">
        <v>520</v>
      </c>
      <c r="Z197" s="212" t="s">
        <v>520</v>
      </c>
      <c r="AA197" s="212" t="s">
        <v>520</v>
      </c>
      <c r="AB197" s="212" t="s">
        <v>520</v>
      </c>
      <c r="AC197" s="214" t="s">
        <v>520</v>
      </c>
      <c r="AD197" s="148" t="s">
        <v>786</v>
      </c>
      <c r="AE197" s="86" t="s">
        <v>558</v>
      </c>
      <c r="AF197" s="99"/>
      <c r="AG197" s="55" t="str">
        <f>VLOOKUP(C197,'Safety-Plant'!B:B,1,FALSE)</f>
        <v>FC412</v>
      </c>
    </row>
    <row r="198" spans="1:33" s="52" customFormat="1" ht="16.5" customHeight="1">
      <c r="A198" s="88" t="s">
        <v>739</v>
      </c>
      <c r="B198" s="119"/>
      <c r="C198" s="131" t="s">
        <v>357</v>
      </c>
      <c r="D198" s="227" t="s">
        <v>358</v>
      </c>
      <c r="E198" s="194" t="s">
        <v>790</v>
      </c>
      <c r="F198" s="204">
        <v>7</v>
      </c>
      <c r="G198" s="196" t="s">
        <v>520</v>
      </c>
      <c r="H198" s="196" t="s">
        <v>520</v>
      </c>
      <c r="I198" s="196" t="s">
        <v>520</v>
      </c>
      <c r="J198" s="196" t="s">
        <v>520</v>
      </c>
      <c r="K198" s="196" t="s">
        <v>520</v>
      </c>
      <c r="L198" s="196" t="s">
        <v>520</v>
      </c>
      <c r="M198" s="196" t="s">
        <v>520</v>
      </c>
      <c r="N198" s="205"/>
      <c r="O198" s="205"/>
      <c r="P198" s="205"/>
      <c r="Q198" s="205"/>
      <c r="R198" s="205"/>
      <c r="S198" s="225">
        <v>6</v>
      </c>
      <c r="T198" s="196" t="s">
        <v>520</v>
      </c>
      <c r="U198" s="196" t="s">
        <v>520</v>
      </c>
      <c r="V198" s="196" t="s">
        <v>520</v>
      </c>
      <c r="W198" s="196" t="s">
        <v>520</v>
      </c>
      <c r="X198" s="196" t="s">
        <v>520</v>
      </c>
      <c r="Y198" s="196" t="s">
        <v>520</v>
      </c>
      <c r="Z198" s="199"/>
      <c r="AA198" s="199"/>
      <c r="AB198" s="199"/>
      <c r="AC198" s="200"/>
      <c r="AD198" s="148" t="s">
        <v>557</v>
      </c>
      <c r="AE198" s="86" t="s">
        <v>560</v>
      </c>
      <c r="AF198" s="99"/>
      <c r="AG198" s="55" t="str">
        <f>VLOOKUP(C198,'Safety-Plant'!B:B,1,FALSE)</f>
        <v>FC377</v>
      </c>
    </row>
    <row r="199" spans="1:33" s="52" customFormat="1" ht="16.5" customHeight="1">
      <c r="A199" s="88" t="s">
        <v>739</v>
      </c>
      <c r="B199" s="119"/>
      <c r="C199" s="131" t="s">
        <v>359</v>
      </c>
      <c r="D199" s="207" t="s">
        <v>360</v>
      </c>
      <c r="E199" s="276" t="s">
        <v>791</v>
      </c>
      <c r="F199" s="204">
        <v>7</v>
      </c>
      <c r="G199" s="196" t="s">
        <v>520</v>
      </c>
      <c r="H199" s="196" t="s">
        <v>520</v>
      </c>
      <c r="I199" s="196" t="s">
        <v>520</v>
      </c>
      <c r="J199" s="196" t="s">
        <v>520</v>
      </c>
      <c r="K199" s="196" t="s">
        <v>520</v>
      </c>
      <c r="L199" s="196" t="s">
        <v>520</v>
      </c>
      <c r="M199" s="196" t="s">
        <v>520</v>
      </c>
      <c r="N199" s="205"/>
      <c r="O199" s="205"/>
      <c r="P199" s="205"/>
      <c r="Q199" s="205"/>
      <c r="R199" s="205"/>
      <c r="S199" s="225">
        <v>6</v>
      </c>
      <c r="T199" s="196" t="s">
        <v>520</v>
      </c>
      <c r="U199" s="196" t="s">
        <v>520</v>
      </c>
      <c r="V199" s="196" t="s">
        <v>520</v>
      </c>
      <c r="W199" s="196" t="s">
        <v>520</v>
      </c>
      <c r="X199" s="196" t="s">
        <v>520</v>
      </c>
      <c r="Y199" s="196" t="s">
        <v>520</v>
      </c>
      <c r="Z199" s="199"/>
      <c r="AA199" s="199"/>
      <c r="AB199" s="199"/>
      <c r="AC199" s="200"/>
      <c r="AD199" s="148" t="s">
        <v>557</v>
      </c>
      <c r="AE199" s="86" t="s">
        <v>560</v>
      </c>
      <c r="AF199" s="99"/>
      <c r="AG199" s="55" t="str">
        <f>VLOOKUP(C199,'Safety-Plant'!B:B,1,FALSE)</f>
        <v>FC380</v>
      </c>
    </row>
    <row r="200" spans="1:33" s="52" customFormat="1" ht="16.5" customHeight="1">
      <c r="A200" s="88" t="s">
        <v>739</v>
      </c>
      <c r="B200" s="119"/>
      <c r="C200" s="149" t="s">
        <v>361</v>
      </c>
      <c r="D200" s="211" t="s">
        <v>362</v>
      </c>
      <c r="E200" s="103" t="s">
        <v>792</v>
      </c>
      <c r="F200" s="81">
        <v>12</v>
      </c>
      <c r="G200" s="212" t="s">
        <v>520</v>
      </c>
      <c r="H200" s="212" t="s">
        <v>520</v>
      </c>
      <c r="I200" s="212" t="s">
        <v>520</v>
      </c>
      <c r="J200" s="212" t="s">
        <v>520</v>
      </c>
      <c r="K200" s="212" t="s">
        <v>520</v>
      </c>
      <c r="L200" s="212" t="s">
        <v>520</v>
      </c>
      <c r="M200" s="212" t="s">
        <v>520</v>
      </c>
      <c r="N200" s="212" t="s">
        <v>520</v>
      </c>
      <c r="O200" s="212" t="s">
        <v>520</v>
      </c>
      <c r="P200" s="212" t="s">
        <v>520</v>
      </c>
      <c r="Q200" s="212" t="s">
        <v>520</v>
      </c>
      <c r="R200" s="212" t="s">
        <v>520</v>
      </c>
      <c r="S200" s="271">
        <v>10</v>
      </c>
      <c r="T200" s="212" t="s">
        <v>520</v>
      </c>
      <c r="U200" s="212" t="s">
        <v>520</v>
      </c>
      <c r="V200" s="212" t="s">
        <v>520</v>
      </c>
      <c r="W200" s="212" t="s">
        <v>520</v>
      </c>
      <c r="X200" s="212" t="s">
        <v>520</v>
      </c>
      <c r="Y200" s="212" t="s">
        <v>520</v>
      </c>
      <c r="Z200" s="212" t="s">
        <v>520</v>
      </c>
      <c r="AA200" s="212" t="s">
        <v>520</v>
      </c>
      <c r="AB200" s="212" t="s">
        <v>520</v>
      </c>
      <c r="AC200" s="214" t="s">
        <v>520</v>
      </c>
      <c r="AD200" s="132" t="s">
        <v>558</v>
      </c>
      <c r="AE200" s="86" t="s">
        <v>560</v>
      </c>
      <c r="AF200" s="99"/>
      <c r="AG200" s="55" t="str">
        <f>VLOOKUP(C200,'Safety-Plant'!B:B,1,FALSE)</f>
        <v>FC141</v>
      </c>
    </row>
    <row r="201" spans="1:33" s="52" customFormat="1" ht="16.5" customHeight="1">
      <c r="A201" s="88" t="s">
        <v>739</v>
      </c>
      <c r="B201" s="133"/>
      <c r="C201" s="120" t="s">
        <v>363</v>
      </c>
      <c r="D201" s="211" t="s">
        <v>364</v>
      </c>
      <c r="E201" s="103" t="s">
        <v>792</v>
      </c>
      <c r="F201" s="81">
        <v>12</v>
      </c>
      <c r="G201" s="212" t="s">
        <v>520</v>
      </c>
      <c r="H201" s="212" t="s">
        <v>520</v>
      </c>
      <c r="I201" s="212" t="s">
        <v>520</v>
      </c>
      <c r="J201" s="212" t="s">
        <v>520</v>
      </c>
      <c r="K201" s="212" t="s">
        <v>520</v>
      </c>
      <c r="L201" s="212" t="s">
        <v>520</v>
      </c>
      <c r="M201" s="212" t="s">
        <v>520</v>
      </c>
      <c r="N201" s="212" t="s">
        <v>520</v>
      </c>
      <c r="O201" s="212" t="s">
        <v>520</v>
      </c>
      <c r="P201" s="212" t="s">
        <v>520</v>
      </c>
      <c r="Q201" s="212" t="s">
        <v>520</v>
      </c>
      <c r="R201" s="212" t="s">
        <v>520</v>
      </c>
      <c r="S201" s="271">
        <v>10</v>
      </c>
      <c r="T201" s="212" t="s">
        <v>520</v>
      </c>
      <c r="U201" s="212" t="s">
        <v>520</v>
      </c>
      <c r="V201" s="212" t="s">
        <v>520</v>
      </c>
      <c r="W201" s="212" t="s">
        <v>520</v>
      </c>
      <c r="X201" s="212" t="s">
        <v>520</v>
      </c>
      <c r="Y201" s="212" t="s">
        <v>520</v>
      </c>
      <c r="Z201" s="212" t="s">
        <v>520</v>
      </c>
      <c r="AA201" s="212" t="s">
        <v>520</v>
      </c>
      <c r="AB201" s="212" t="s">
        <v>520</v>
      </c>
      <c r="AC201" s="214" t="s">
        <v>520</v>
      </c>
      <c r="AD201" s="132" t="s">
        <v>558</v>
      </c>
      <c r="AE201" s="86" t="s">
        <v>560</v>
      </c>
      <c r="AF201" s="99"/>
      <c r="AG201" s="55" t="str">
        <f>VLOOKUP(C201,'Safety-Plant'!B:B,1,FALSE)</f>
        <v>FC193</v>
      </c>
    </row>
    <row r="202" spans="1:33" s="52" customFormat="1" ht="16.5" customHeight="1">
      <c r="A202" s="88" t="s">
        <v>739</v>
      </c>
      <c r="B202" s="277"/>
      <c r="C202" s="120" t="s">
        <v>365</v>
      </c>
      <c r="D202" s="211" t="s">
        <v>366</v>
      </c>
      <c r="E202" s="103" t="s">
        <v>792</v>
      </c>
      <c r="F202" s="81">
        <v>12</v>
      </c>
      <c r="G202" s="212" t="s">
        <v>520</v>
      </c>
      <c r="H202" s="212" t="s">
        <v>520</v>
      </c>
      <c r="I202" s="212" t="s">
        <v>520</v>
      </c>
      <c r="J202" s="212" t="s">
        <v>520</v>
      </c>
      <c r="K202" s="212" t="s">
        <v>520</v>
      </c>
      <c r="L202" s="212" t="s">
        <v>520</v>
      </c>
      <c r="M202" s="212" t="s">
        <v>520</v>
      </c>
      <c r="N202" s="212" t="s">
        <v>520</v>
      </c>
      <c r="O202" s="212" t="s">
        <v>520</v>
      </c>
      <c r="P202" s="212" t="s">
        <v>520</v>
      </c>
      <c r="Q202" s="212" t="s">
        <v>520</v>
      </c>
      <c r="R202" s="212" t="s">
        <v>520</v>
      </c>
      <c r="S202" s="271">
        <v>10</v>
      </c>
      <c r="T202" s="212" t="s">
        <v>520</v>
      </c>
      <c r="U202" s="212" t="s">
        <v>520</v>
      </c>
      <c r="V202" s="212" t="s">
        <v>520</v>
      </c>
      <c r="W202" s="212" t="s">
        <v>520</v>
      </c>
      <c r="X202" s="212" t="s">
        <v>520</v>
      </c>
      <c r="Y202" s="212" t="s">
        <v>520</v>
      </c>
      <c r="Z202" s="212" t="s">
        <v>520</v>
      </c>
      <c r="AA202" s="212" t="s">
        <v>520</v>
      </c>
      <c r="AB202" s="212" t="s">
        <v>520</v>
      </c>
      <c r="AC202" s="214" t="s">
        <v>520</v>
      </c>
      <c r="AD202" s="132" t="s">
        <v>558</v>
      </c>
      <c r="AE202" s="86" t="s">
        <v>560</v>
      </c>
      <c r="AF202" s="99"/>
      <c r="AG202" s="55" t="str">
        <f>VLOOKUP(C202,'Safety-Plant'!B:B,1,FALSE)</f>
        <v>FC288</v>
      </c>
    </row>
    <row r="203" spans="1:33" s="52" customFormat="1" ht="16.5" customHeight="1">
      <c r="A203" s="88" t="s">
        <v>739</v>
      </c>
      <c r="B203" s="278" t="s">
        <v>793</v>
      </c>
      <c r="C203" s="279" t="s">
        <v>367</v>
      </c>
      <c r="D203" s="226" t="s">
        <v>368</v>
      </c>
      <c r="E203" s="280" t="s">
        <v>794</v>
      </c>
      <c r="F203" s="93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6"/>
      <c r="T203" s="95"/>
      <c r="U203" s="95"/>
      <c r="V203" s="95"/>
      <c r="W203" s="95"/>
      <c r="X203" s="95"/>
      <c r="Y203" s="95"/>
      <c r="Z203" s="95"/>
      <c r="AA203" s="95"/>
      <c r="AB203" s="95"/>
      <c r="AC203" s="97"/>
      <c r="AD203" s="85"/>
      <c r="AE203" s="86" t="s">
        <v>558</v>
      </c>
      <c r="AF203" s="99"/>
      <c r="AG203" s="55" t="str">
        <f>VLOOKUP(C203,'Safety-Plant'!B:B,1,FALSE)</f>
        <v>31P2</v>
      </c>
    </row>
    <row r="204" spans="1:33" s="52" customFormat="1" ht="16.5" customHeight="1">
      <c r="A204" s="88" t="s">
        <v>739</v>
      </c>
      <c r="B204" s="133"/>
      <c r="C204" s="158" t="s">
        <v>369</v>
      </c>
      <c r="D204" s="226" t="s">
        <v>795</v>
      </c>
      <c r="E204" s="158" t="s">
        <v>763</v>
      </c>
      <c r="F204" s="262"/>
      <c r="G204" s="263"/>
      <c r="H204" s="263"/>
      <c r="I204" s="263"/>
      <c r="J204" s="263"/>
      <c r="K204" s="263"/>
      <c r="L204" s="263"/>
      <c r="M204" s="263"/>
      <c r="N204" s="263"/>
      <c r="O204" s="263"/>
      <c r="P204" s="263"/>
      <c r="Q204" s="263"/>
      <c r="R204" s="263"/>
      <c r="S204" s="263"/>
      <c r="T204" s="263"/>
      <c r="U204" s="263"/>
      <c r="V204" s="263"/>
      <c r="W204" s="263"/>
      <c r="X204" s="263"/>
      <c r="Y204" s="263"/>
      <c r="Z204" s="263"/>
      <c r="AA204" s="263"/>
      <c r="AB204" s="263"/>
      <c r="AC204" s="264"/>
      <c r="AD204" s="265"/>
      <c r="AE204" s="86" t="s">
        <v>558</v>
      </c>
      <c r="AF204" s="266"/>
      <c r="AG204" s="55" t="str">
        <f>VLOOKUP(C204,'Safety-Plant'!B:B,1,FALSE)</f>
        <v>ZZTA</v>
      </c>
    </row>
    <row r="205" spans="1:33" s="52" customFormat="1" ht="16.5" customHeight="1">
      <c r="A205" s="88" t="s">
        <v>739</v>
      </c>
      <c r="B205" s="119"/>
      <c r="C205" s="90" t="s">
        <v>370</v>
      </c>
      <c r="D205" s="259" t="s">
        <v>371</v>
      </c>
      <c r="E205" s="158" t="s">
        <v>776</v>
      </c>
      <c r="F205" s="81">
        <v>12</v>
      </c>
      <c r="G205" s="212" t="s">
        <v>520</v>
      </c>
      <c r="H205" s="212" t="s">
        <v>520</v>
      </c>
      <c r="I205" s="212" t="s">
        <v>520</v>
      </c>
      <c r="J205" s="212" t="s">
        <v>520</v>
      </c>
      <c r="K205" s="212" t="s">
        <v>520</v>
      </c>
      <c r="L205" s="212" t="s">
        <v>520</v>
      </c>
      <c r="M205" s="212" t="s">
        <v>520</v>
      </c>
      <c r="N205" s="212" t="s">
        <v>520</v>
      </c>
      <c r="O205" s="212" t="s">
        <v>520</v>
      </c>
      <c r="P205" s="212" t="s">
        <v>520</v>
      </c>
      <c r="Q205" s="212" t="s">
        <v>520</v>
      </c>
      <c r="R205" s="212" t="s">
        <v>520</v>
      </c>
      <c r="S205" s="213">
        <v>10</v>
      </c>
      <c r="T205" s="212" t="s">
        <v>520</v>
      </c>
      <c r="U205" s="212" t="s">
        <v>520</v>
      </c>
      <c r="V205" s="212" t="s">
        <v>520</v>
      </c>
      <c r="W205" s="212" t="s">
        <v>520</v>
      </c>
      <c r="X205" s="212" t="s">
        <v>520</v>
      </c>
      <c r="Y205" s="212" t="s">
        <v>520</v>
      </c>
      <c r="Z205" s="212" t="s">
        <v>520</v>
      </c>
      <c r="AA205" s="212" t="s">
        <v>520</v>
      </c>
      <c r="AB205" s="212" t="s">
        <v>520</v>
      </c>
      <c r="AC205" s="214" t="s">
        <v>520</v>
      </c>
      <c r="AD205" s="148" t="s">
        <v>746</v>
      </c>
      <c r="AE205" s="86" t="s">
        <v>558</v>
      </c>
      <c r="AF205" s="266"/>
      <c r="AG205" s="55" t="str">
        <f>VLOOKUP(C205,'Safety-Plant'!B:B,1,FALSE)</f>
        <v>ZZP6</v>
      </c>
    </row>
    <row r="206" spans="1:33" s="52" customFormat="1" ht="16.5" customHeight="1">
      <c r="A206" s="88" t="s">
        <v>739</v>
      </c>
      <c r="B206" s="119"/>
      <c r="C206" s="90" t="s">
        <v>338</v>
      </c>
      <c r="D206" s="218" t="s">
        <v>796</v>
      </c>
      <c r="E206" s="120" t="s">
        <v>780</v>
      </c>
      <c r="F206" s="281"/>
      <c r="G206" s="263"/>
      <c r="H206" s="263"/>
      <c r="I206" s="263"/>
      <c r="J206" s="263"/>
      <c r="K206" s="263"/>
      <c r="L206" s="263"/>
      <c r="M206" s="263"/>
      <c r="N206" s="263"/>
      <c r="O206" s="263"/>
      <c r="P206" s="263"/>
      <c r="Q206" s="263"/>
      <c r="R206" s="263"/>
      <c r="S206" s="263"/>
      <c r="T206" s="263"/>
      <c r="U206" s="263"/>
      <c r="V206" s="263"/>
      <c r="W206" s="263"/>
      <c r="X206" s="263"/>
      <c r="Y206" s="263"/>
      <c r="Z206" s="263"/>
      <c r="AA206" s="263"/>
      <c r="AB206" s="263"/>
      <c r="AC206" s="264"/>
      <c r="AD206" s="265"/>
      <c r="AE206" s="86" t="s">
        <v>558</v>
      </c>
      <c r="AF206" s="266"/>
      <c r="AG206" s="55" t="str">
        <f>VLOOKUP(C206,'Safety-Plant'!B:B,1,FALSE)</f>
        <v>14H3</v>
      </c>
    </row>
    <row r="207" spans="1:33" s="52" customFormat="1" ht="16.5" customHeight="1">
      <c r="A207" s="88" t="s">
        <v>739</v>
      </c>
      <c r="B207" s="119"/>
      <c r="C207" s="90" t="s">
        <v>372</v>
      </c>
      <c r="D207" s="259" t="s">
        <v>373</v>
      </c>
      <c r="E207" s="158" t="s">
        <v>788</v>
      </c>
      <c r="F207" s="81">
        <v>12</v>
      </c>
      <c r="G207" s="212" t="s">
        <v>520</v>
      </c>
      <c r="H207" s="212" t="s">
        <v>520</v>
      </c>
      <c r="I207" s="212" t="s">
        <v>520</v>
      </c>
      <c r="J207" s="212" t="s">
        <v>520</v>
      </c>
      <c r="K207" s="212" t="s">
        <v>520</v>
      </c>
      <c r="L207" s="212" t="s">
        <v>520</v>
      </c>
      <c r="M207" s="212" t="s">
        <v>520</v>
      </c>
      <c r="N207" s="212" t="s">
        <v>520</v>
      </c>
      <c r="O207" s="212" t="s">
        <v>520</v>
      </c>
      <c r="P207" s="212" t="s">
        <v>520</v>
      </c>
      <c r="Q207" s="212" t="s">
        <v>520</v>
      </c>
      <c r="R207" s="212" t="s">
        <v>520</v>
      </c>
      <c r="S207" s="213">
        <v>10</v>
      </c>
      <c r="T207" s="212" t="s">
        <v>520</v>
      </c>
      <c r="U207" s="212" t="s">
        <v>520</v>
      </c>
      <c r="V207" s="212" t="s">
        <v>520</v>
      </c>
      <c r="W207" s="212" t="s">
        <v>520</v>
      </c>
      <c r="X207" s="212" t="s">
        <v>520</v>
      </c>
      <c r="Y207" s="212" t="s">
        <v>520</v>
      </c>
      <c r="Z207" s="212" t="s">
        <v>520</v>
      </c>
      <c r="AA207" s="212" t="s">
        <v>520</v>
      </c>
      <c r="AB207" s="212" t="s">
        <v>520</v>
      </c>
      <c r="AC207" s="214" t="s">
        <v>520</v>
      </c>
      <c r="AD207" s="148" t="s">
        <v>746</v>
      </c>
      <c r="AE207" s="86" t="s">
        <v>558</v>
      </c>
      <c r="AF207" s="266"/>
      <c r="AG207" s="55" t="str">
        <f>VLOOKUP(C207,'Safety-Plant'!B:B,1,FALSE)</f>
        <v>ZZS4</v>
      </c>
    </row>
    <row r="208" spans="1:33" s="52" customFormat="1" ht="16.5" customHeight="1">
      <c r="A208" s="88" t="s">
        <v>739</v>
      </c>
      <c r="B208" s="119"/>
      <c r="C208" s="90" t="s">
        <v>374</v>
      </c>
      <c r="D208" s="259" t="s">
        <v>375</v>
      </c>
      <c r="E208" s="158" t="s">
        <v>788</v>
      </c>
      <c r="F208" s="81">
        <v>12</v>
      </c>
      <c r="G208" s="212" t="s">
        <v>520</v>
      </c>
      <c r="H208" s="212" t="s">
        <v>520</v>
      </c>
      <c r="I208" s="212" t="s">
        <v>520</v>
      </c>
      <c r="J208" s="212" t="s">
        <v>520</v>
      </c>
      <c r="K208" s="212" t="s">
        <v>520</v>
      </c>
      <c r="L208" s="212" t="s">
        <v>520</v>
      </c>
      <c r="M208" s="212" t="s">
        <v>520</v>
      </c>
      <c r="N208" s="212" t="s">
        <v>520</v>
      </c>
      <c r="O208" s="212" t="s">
        <v>520</v>
      </c>
      <c r="P208" s="212" t="s">
        <v>520</v>
      </c>
      <c r="Q208" s="212" t="s">
        <v>520</v>
      </c>
      <c r="R208" s="212" t="s">
        <v>520</v>
      </c>
      <c r="S208" s="213">
        <v>10</v>
      </c>
      <c r="T208" s="212" t="s">
        <v>520</v>
      </c>
      <c r="U208" s="212" t="s">
        <v>520</v>
      </c>
      <c r="V208" s="212" t="s">
        <v>520</v>
      </c>
      <c r="W208" s="212" t="s">
        <v>520</v>
      </c>
      <c r="X208" s="212" t="s">
        <v>520</v>
      </c>
      <c r="Y208" s="212" t="s">
        <v>520</v>
      </c>
      <c r="Z208" s="212" t="s">
        <v>520</v>
      </c>
      <c r="AA208" s="212" t="s">
        <v>520</v>
      </c>
      <c r="AB208" s="212" t="s">
        <v>520</v>
      </c>
      <c r="AC208" s="214" t="s">
        <v>520</v>
      </c>
      <c r="AD208" s="148" t="s">
        <v>746</v>
      </c>
      <c r="AE208" s="86" t="s">
        <v>558</v>
      </c>
      <c r="AF208" s="266"/>
      <c r="AG208" s="55" t="str">
        <f>VLOOKUP(C208,'Safety-Plant'!B:B,1,FALSE)</f>
        <v>ZZS5</v>
      </c>
    </row>
    <row r="209" spans="1:33" s="52" customFormat="1" ht="16.5" customHeight="1">
      <c r="A209" s="88" t="s">
        <v>739</v>
      </c>
      <c r="B209" s="168"/>
      <c r="C209" s="90" t="s">
        <v>376</v>
      </c>
      <c r="D209" s="282" t="s">
        <v>377</v>
      </c>
      <c r="E209" s="158" t="s">
        <v>788</v>
      </c>
      <c r="F209" s="93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6"/>
      <c r="T209" s="95"/>
      <c r="U209" s="95"/>
      <c r="V209" s="95"/>
      <c r="W209" s="95"/>
      <c r="X209" s="95"/>
      <c r="Y209" s="95"/>
      <c r="Z209" s="95"/>
      <c r="AA209" s="95"/>
      <c r="AB209" s="95"/>
      <c r="AC209" s="97"/>
      <c r="AD209" s="85"/>
      <c r="AE209" s="86" t="s">
        <v>558</v>
      </c>
      <c r="AF209" s="99"/>
      <c r="AG209" s="55" t="str">
        <f>VLOOKUP(C209,'Safety-Plant'!B:B,1,FALSE)</f>
        <v>14H4</v>
      </c>
    </row>
    <row r="210" spans="1:33" s="52" customFormat="1" ht="16.5" customHeight="1">
      <c r="A210" s="283" t="s">
        <v>739</v>
      </c>
      <c r="B210" s="54" t="s">
        <v>797</v>
      </c>
      <c r="C210" s="252" t="s">
        <v>378</v>
      </c>
      <c r="D210" s="211" t="s">
        <v>379</v>
      </c>
      <c r="E210" s="103" t="s">
        <v>798</v>
      </c>
      <c r="F210" s="81">
        <v>12</v>
      </c>
      <c r="G210" s="212" t="s">
        <v>520</v>
      </c>
      <c r="H210" s="212" t="s">
        <v>520</v>
      </c>
      <c r="I210" s="212" t="s">
        <v>520</v>
      </c>
      <c r="J210" s="212" t="s">
        <v>520</v>
      </c>
      <c r="K210" s="212" t="s">
        <v>520</v>
      </c>
      <c r="L210" s="212" t="s">
        <v>520</v>
      </c>
      <c r="M210" s="212" t="s">
        <v>520</v>
      </c>
      <c r="N210" s="212" t="s">
        <v>520</v>
      </c>
      <c r="O210" s="212" t="s">
        <v>520</v>
      </c>
      <c r="P210" s="212" t="s">
        <v>520</v>
      </c>
      <c r="Q210" s="212" t="s">
        <v>520</v>
      </c>
      <c r="R210" s="212" t="s">
        <v>520</v>
      </c>
      <c r="S210" s="213">
        <v>10</v>
      </c>
      <c r="T210" s="212" t="s">
        <v>520</v>
      </c>
      <c r="U210" s="212" t="s">
        <v>520</v>
      </c>
      <c r="V210" s="212" t="s">
        <v>520</v>
      </c>
      <c r="W210" s="212" t="s">
        <v>520</v>
      </c>
      <c r="X210" s="212" t="s">
        <v>520</v>
      </c>
      <c r="Y210" s="212" t="s">
        <v>520</v>
      </c>
      <c r="Z210" s="212" t="s">
        <v>520</v>
      </c>
      <c r="AA210" s="212" t="s">
        <v>520</v>
      </c>
      <c r="AB210" s="212" t="s">
        <v>520</v>
      </c>
      <c r="AC210" s="214" t="s">
        <v>520</v>
      </c>
      <c r="AD210" s="148" t="s">
        <v>746</v>
      </c>
      <c r="AE210" s="86" t="s">
        <v>558</v>
      </c>
      <c r="AF210" s="99"/>
      <c r="AG210" s="55" t="str">
        <f>VLOOKUP(C210,'Safety-Plant'!B:B,1,FALSE)</f>
        <v>FC081</v>
      </c>
    </row>
    <row r="211" spans="1:33" s="52" customFormat="1" ht="16.5" customHeight="1">
      <c r="A211" s="88" t="s">
        <v>739</v>
      </c>
      <c r="B211" s="119"/>
      <c r="C211" s="120" t="s">
        <v>381</v>
      </c>
      <c r="D211" s="211" t="s">
        <v>382</v>
      </c>
      <c r="E211" s="103" t="s">
        <v>799</v>
      </c>
      <c r="F211" s="93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6"/>
      <c r="T211" s="95"/>
      <c r="U211" s="95"/>
      <c r="V211" s="95"/>
      <c r="W211" s="95"/>
      <c r="X211" s="95"/>
      <c r="Y211" s="95"/>
      <c r="Z211" s="95"/>
      <c r="AA211" s="95"/>
      <c r="AB211" s="95"/>
      <c r="AC211" s="97"/>
      <c r="AD211" s="85"/>
      <c r="AE211" s="284" t="s">
        <v>800</v>
      </c>
      <c r="AF211" s="99"/>
      <c r="AG211" s="55" t="str">
        <f>VLOOKUP(C211,'Safety-Plant'!B:B,1,FALSE)</f>
        <v>FC090</v>
      </c>
    </row>
    <row r="212" spans="1:33" s="52" customFormat="1" ht="16.5" customHeight="1">
      <c r="A212" s="88" t="s">
        <v>739</v>
      </c>
      <c r="B212" s="119"/>
      <c r="C212" s="120" t="s">
        <v>384</v>
      </c>
      <c r="D212" s="211" t="s">
        <v>282</v>
      </c>
      <c r="E212" s="103" t="s">
        <v>799</v>
      </c>
      <c r="F212" s="93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6"/>
      <c r="T212" s="95"/>
      <c r="U212" s="95"/>
      <c r="V212" s="95"/>
      <c r="W212" s="95"/>
      <c r="X212" s="95"/>
      <c r="Y212" s="95"/>
      <c r="Z212" s="95"/>
      <c r="AA212" s="95"/>
      <c r="AB212" s="95"/>
      <c r="AC212" s="97"/>
      <c r="AD212" s="85"/>
      <c r="AE212" s="86" t="s">
        <v>558</v>
      </c>
      <c r="AF212" s="99"/>
      <c r="AG212" s="55" t="str">
        <f>VLOOKUP(C212,'Safety-Plant'!B:B,1,FALSE)</f>
        <v>FC245</v>
      </c>
    </row>
    <row r="213" spans="1:33" s="52" customFormat="1" ht="16.5" customHeight="1">
      <c r="A213" s="88" t="s">
        <v>739</v>
      </c>
      <c r="B213" s="119"/>
      <c r="C213" s="120" t="s">
        <v>385</v>
      </c>
      <c r="D213" s="211" t="s">
        <v>386</v>
      </c>
      <c r="E213" s="103" t="s">
        <v>799</v>
      </c>
      <c r="F213" s="81">
        <v>12</v>
      </c>
      <c r="G213" s="212" t="s">
        <v>520</v>
      </c>
      <c r="H213" s="212" t="s">
        <v>520</v>
      </c>
      <c r="I213" s="212" t="s">
        <v>520</v>
      </c>
      <c r="J213" s="212" t="s">
        <v>520</v>
      </c>
      <c r="K213" s="212" t="s">
        <v>520</v>
      </c>
      <c r="L213" s="212" t="s">
        <v>520</v>
      </c>
      <c r="M213" s="212" t="s">
        <v>520</v>
      </c>
      <c r="N213" s="212" t="s">
        <v>520</v>
      </c>
      <c r="O213" s="212" t="s">
        <v>520</v>
      </c>
      <c r="P213" s="212" t="s">
        <v>520</v>
      </c>
      <c r="Q213" s="212" t="s">
        <v>520</v>
      </c>
      <c r="R213" s="212" t="s">
        <v>520</v>
      </c>
      <c r="S213" s="213">
        <v>10</v>
      </c>
      <c r="T213" s="212" t="s">
        <v>520</v>
      </c>
      <c r="U213" s="212" t="s">
        <v>520</v>
      </c>
      <c r="V213" s="212" t="s">
        <v>520</v>
      </c>
      <c r="W213" s="212" t="s">
        <v>520</v>
      </c>
      <c r="X213" s="212" t="s">
        <v>520</v>
      </c>
      <c r="Y213" s="212" t="s">
        <v>520</v>
      </c>
      <c r="Z213" s="212" t="s">
        <v>520</v>
      </c>
      <c r="AA213" s="212" t="s">
        <v>520</v>
      </c>
      <c r="AB213" s="212" t="s">
        <v>520</v>
      </c>
      <c r="AC213" s="214" t="s">
        <v>520</v>
      </c>
      <c r="AD213" s="148" t="s">
        <v>746</v>
      </c>
      <c r="AE213" s="86" t="s">
        <v>558</v>
      </c>
      <c r="AF213" s="99"/>
      <c r="AG213" s="55" t="str">
        <f>VLOOKUP(C213,'Safety-Plant'!B:B,1,FALSE)</f>
        <v>FC113</v>
      </c>
    </row>
    <row r="214" spans="1:33" s="52" customFormat="1" ht="16.5" customHeight="1">
      <c r="A214" s="88" t="s">
        <v>739</v>
      </c>
      <c r="B214" s="119"/>
      <c r="C214" s="120" t="s">
        <v>387</v>
      </c>
      <c r="D214" s="211" t="s">
        <v>388</v>
      </c>
      <c r="E214" s="103" t="s">
        <v>799</v>
      </c>
      <c r="F214" s="93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6"/>
      <c r="T214" s="95"/>
      <c r="U214" s="95"/>
      <c r="V214" s="95"/>
      <c r="W214" s="95"/>
      <c r="X214" s="95"/>
      <c r="Y214" s="95"/>
      <c r="Z214" s="95"/>
      <c r="AA214" s="95"/>
      <c r="AB214" s="95"/>
      <c r="AC214" s="97"/>
      <c r="AD214" s="85"/>
      <c r="AE214" s="86" t="s">
        <v>558</v>
      </c>
      <c r="AF214" s="99"/>
      <c r="AG214" s="55" t="str">
        <f>VLOOKUP(C214,'Safety-Plant'!B:B,1,FALSE)</f>
        <v>FC383</v>
      </c>
    </row>
    <row r="215" spans="1:33" s="52" customFormat="1" ht="16.5" customHeight="1">
      <c r="A215" s="88" t="s">
        <v>739</v>
      </c>
      <c r="B215" s="285"/>
      <c r="C215" s="120" t="s">
        <v>280</v>
      </c>
      <c r="D215" s="211" t="s">
        <v>281</v>
      </c>
      <c r="E215" s="103" t="s">
        <v>799</v>
      </c>
      <c r="F215" s="93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6"/>
      <c r="T215" s="95"/>
      <c r="U215" s="95"/>
      <c r="V215" s="95"/>
      <c r="W215" s="95"/>
      <c r="X215" s="95"/>
      <c r="Y215" s="95"/>
      <c r="Z215" s="95"/>
      <c r="AA215" s="95"/>
      <c r="AB215" s="95"/>
      <c r="AC215" s="97"/>
      <c r="AD215" s="85"/>
      <c r="AE215" s="86" t="s">
        <v>558</v>
      </c>
      <c r="AF215" s="99"/>
      <c r="AG215" s="55" t="str">
        <f>VLOOKUP(C215,'Safety-Plant'!B:B,1,FALSE)</f>
        <v>FC147</v>
      </c>
    </row>
    <row r="216" spans="1:33" s="52" customFormat="1" ht="16.5" customHeight="1">
      <c r="A216" s="88" t="s">
        <v>739</v>
      </c>
      <c r="B216" s="286"/>
      <c r="C216" s="90" t="s">
        <v>389</v>
      </c>
      <c r="D216" s="282" t="s">
        <v>390</v>
      </c>
      <c r="E216" s="103" t="s">
        <v>799</v>
      </c>
      <c r="F216" s="93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6"/>
      <c r="T216" s="95"/>
      <c r="U216" s="95"/>
      <c r="V216" s="95"/>
      <c r="W216" s="95"/>
      <c r="X216" s="95"/>
      <c r="Y216" s="95"/>
      <c r="Z216" s="95"/>
      <c r="AA216" s="95"/>
      <c r="AB216" s="95"/>
      <c r="AC216" s="97"/>
      <c r="AD216" s="85"/>
      <c r="AE216" s="86" t="s">
        <v>558</v>
      </c>
      <c r="AF216" s="99"/>
      <c r="AG216" s="55" t="str">
        <f>VLOOKUP(C216,'Safety-Plant'!B:B,1,FALSE)</f>
        <v>14H5</v>
      </c>
    </row>
    <row r="217" spans="1:33" s="52" customFormat="1" ht="16.5" customHeight="1">
      <c r="A217" s="88" t="s">
        <v>739</v>
      </c>
      <c r="B217" s="119"/>
      <c r="C217" s="120" t="s">
        <v>309</v>
      </c>
      <c r="D217" s="211" t="s">
        <v>310</v>
      </c>
      <c r="E217" s="120" t="s">
        <v>760</v>
      </c>
      <c r="F217" s="81">
        <v>12</v>
      </c>
      <c r="G217" s="212" t="s">
        <v>520</v>
      </c>
      <c r="H217" s="212" t="s">
        <v>520</v>
      </c>
      <c r="I217" s="212" t="s">
        <v>520</v>
      </c>
      <c r="J217" s="212" t="s">
        <v>520</v>
      </c>
      <c r="K217" s="212" t="s">
        <v>520</v>
      </c>
      <c r="L217" s="212" t="s">
        <v>520</v>
      </c>
      <c r="M217" s="212" t="s">
        <v>520</v>
      </c>
      <c r="N217" s="212" t="s">
        <v>520</v>
      </c>
      <c r="O217" s="212" t="s">
        <v>520</v>
      </c>
      <c r="P217" s="212" t="s">
        <v>520</v>
      </c>
      <c r="Q217" s="212" t="s">
        <v>520</v>
      </c>
      <c r="R217" s="212" t="s">
        <v>520</v>
      </c>
      <c r="S217" s="213">
        <v>10</v>
      </c>
      <c r="T217" s="212" t="s">
        <v>520</v>
      </c>
      <c r="U217" s="212" t="s">
        <v>520</v>
      </c>
      <c r="V217" s="212" t="s">
        <v>520</v>
      </c>
      <c r="W217" s="212" t="s">
        <v>520</v>
      </c>
      <c r="X217" s="212" t="s">
        <v>520</v>
      </c>
      <c r="Y217" s="212" t="s">
        <v>520</v>
      </c>
      <c r="Z217" s="212" t="s">
        <v>520</v>
      </c>
      <c r="AA217" s="212" t="s">
        <v>520</v>
      </c>
      <c r="AB217" s="212" t="s">
        <v>520</v>
      </c>
      <c r="AC217" s="214" t="s">
        <v>520</v>
      </c>
      <c r="AD217" s="148" t="s">
        <v>801</v>
      </c>
      <c r="AE217" s="132" t="s">
        <v>560</v>
      </c>
      <c r="AF217" s="99"/>
      <c r="AG217" s="55" t="str">
        <f>VLOOKUP(C217,'Safety-Plant'!B:B,1,FALSE)</f>
        <v>FC292</v>
      </c>
    </row>
    <row r="218" spans="1:33" s="52" customFormat="1" ht="16.5" customHeight="1">
      <c r="A218" s="88" t="s">
        <v>739</v>
      </c>
      <c r="B218" s="285"/>
      <c r="C218" s="149" t="s">
        <v>278</v>
      </c>
      <c r="D218" s="211" t="s">
        <v>279</v>
      </c>
      <c r="E218" s="92" t="s">
        <v>802</v>
      </c>
      <c r="F218" s="81">
        <v>12</v>
      </c>
      <c r="G218" s="212" t="s">
        <v>520</v>
      </c>
      <c r="H218" s="212" t="s">
        <v>520</v>
      </c>
      <c r="I218" s="212" t="s">
        <v>520</v>
      </c>
      <c r="J218" s="212" t="s">
        <v>520</v>
      </c>
      <c r="K218" s="212" t="s">
        <v>520</v>
      </c>
      <c r="L218" s="212" t="s">
        <v>520</v>
      </c>
      <c r="M218" s="212" t="s">
        <v>520</v>
      </c>
      <c r="N218" s="212" t="s">
        <v>520</v>
      </c>
      <c r="O218" s="212" t="s">
        <v>520</v>
      </c>
      <c r="P218" s="212" t="s">
        <v>520</v>
      </c>
      <c r="Q218" s="212" t="s">
        <v>520</v>
      </c>
      <c r="R218" s="212" t="s">
        <v>520</v>
      </c>
      <c r="S218" s="213">
        <v>10</v>
      </c>
      <c r="T218" s="212" t="s">
        <v>520</v>
      </c>
      <c r="U218" s="212" t="s">
        <v>520</v>
      </c>
      <c r="V218" s="212" t="s">
        <v>520</v>
      </c>
      <c r="W218" s="212" t="s">
        <v>520</v>
      </c>
      <c r="X218" s="212" t="s">
        <v>520</v>
      </c>
      <c r="Y218" s="212" t="s">
        <v>520</v>
      </c>
      <c r="Z218" s="212" t="s">
        <v>520</v>
      </c>
      <c r="AA218" s="212" t="s">
        <v>520</v>
      </c>
      <c r="AB218" s="212" t="s">
        <v>520</v>
      </c>
      <c r="AC218" s="214" t="s">
        <v>520</v>
      </c>
      <c r="AD218" s="148" t="s">
        <v>746</v>
      </c>
      <c r="AE218" s="132" t="s">
        <v>560</v>
      </c>
      <c r="AF218" s="99"/>
      <c r="AG218" s="55" t="str">
        <f>VLOOKUP(C218,'Safety-Plant'!B:B,1,FALSE)</f>
        <v>FC344</v>
      </c>
    </row>
    <row r="219" spans="1:33" s="52" customFormat="1" ht="16.5" customHeight="1">
      <c r="A219" s="88" t="s">
        <v>739</v>
      </c>
      <c r="B219" s="285"/>
      <c r="C219" s="149" t="s">
        <v>276</v>
      </c>
      <c r="D219" s="211" t="s">
        <v>277</v>
      </c>
      <c r="E219" s="120" t="s">
        <v>802</v>
      </c>
      <c r="F219" s="93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6"/>
      <c r="T219" s="95"/>
      <c r="U219" s="95"/>
      <c r="V219" s="95"/>
      <c r="W219" s="95"/>
      <c r="X219" s="95"/>
      <c r="Y219" s="95"/>
      <c r="Z219" s="95"/>
      <c r="AA219" s="95"/>
      <c r="AB219" s="95"/>
      <c r="AC219" s="97"/>
      <c r="AD219" s="85"/>
      <c r="AE219" s="86" t="s">
        <v>558</v>
      </c>
      <c r="AF219" s="99"/>
      <c r="AG219" s="55" t="str">
        <f>VLOOKUP(C219,'Safety-Plant'!B:B,1,FALSE)</f>
        <v>FC291</v>
      </c>
    </row>
    <row r="220" spans="1:33" s="52" customFormat="1" ht="16.5" customHeight="1">
      <c r="A220" s="88" t="s">
        <v>739</v>
      </c>
      <c r="B220" s="129"/>
      <c r="C220" s="120" t="s">
        <v>301</v>
      </c>
      <c r="D220" s="211" t="s">
        <v>302</v>
      </c>
      <c r="E220" s="120" t="s">
        <v>803</v>
      </c>
      <c r="F220" s="81">
        <v>12</v>
      </c>
      <c r="G220" s="212" t="s">
        <v>520</v>
      </c>
      <c r="H220" s="212" t="s">
        <v>520</v>
      </c>
      <c r="I220" s="212" t="s">
        <v>520</v>
      </c>
      <c r="J220" s="212" t="s">
        <v>520</v>
      </c>
      <c r="K220" s="212" t="s">
        <v>520</v>
      </c>
      <c r="L220" s="212" t="s">
        <v>520</v>
      </c>
      <c r="M220" s="212" t="s">
        <v>520</v>
      </c>
      <c r="N220" s="212" t="s">
        <v>520</v>
      </c>
      <c r="O220" s="212" t="s">
        <v>520</v>
      </c>
      <c r="P220" s="212" t="s">
        <v>520</v>
      </c>
      <c r="Q220" s="212" t="s">
        <v>520</v>
      </c>
      <c r="R220" s="212" t="s">
        <v>520</v>
      </c>
      <c r="S220" s="213">
        <v>10</v>
      </c>
      <c r="T220" s="212" t="s">
        <v>520</v>
      </c>
      <c r="U220" s="212" t="s">
        <v>520</v>
      </c>
      <c r="V220" s="212" t="s">
        <v>520</v>
      </c>
      <c r="W220" s="212" t="s">
        <v>520</v>
      </c>
      <c r="X220" s="212" t="s">
        <v>520</v>
      </c>
      <c r="Y220" s="212" t="s">
        <v>520</v>
      </c>
      <c r="Z220" s="212" t="s">
        <v>520</v>
      </c>
      <c r="AA220" s="212" t="s">
        <v>520</v>
      </c>
      <c r="AB220" s="212" t="s">
        <v>520</v>
      </c>
      <c r="AC220" s="214" t="s">
        <v>520</v>
      </c>
      <c r="AD220" s="148" t="s">
        <v>801</v>
      </c>
      <c r="AE220" s="86" t="s">
        <v>558</v>
      </c>
      <c r="AF220" s="99"/>
      <c r="AG220" s="55" t="str">
        <f>VLOOKUP(C220,'Safety-Plant'!B:B,1,FALSE)</f>
        <v>FC335</v>
      </c>
    </row>
    <row r="221" spans="1:33" s="52" customFormat="1" ht="16.5" customHeight="1">
      <c r="A221" s="283" t="s">
        <v>739</v>
      </c>
      <c r="B221" s="287" t="s">
        <v>804</v>
      </c>
      <c r="C221" s="252" t="s">
        <v>391</v>
      </c>
      <c r="D221" s="211" t="s">
        <v>380</v>
      </c>
      <c r="E221" s="103" t="s">
        <v>805</v>
      </c>
      <c r="F221" s="93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6"/>
      <c r="T221" s="95"/>
      <c r="U221" s="95"/>
      <c r="V221" s="95"/>
      <c r="W221" s="95"/>
      <c r="X221" s="95"/>
      <c r="Y221" s="95"/>
      <c r="Z221" s="95"/>
      <c r="AA221" s="95"/>
      <c r="AB221" s="95"/>
      <c r="AC221" s="97"/>
      <c r="AD221" s="85"/>
      <c r="AE221" s="132" t="s">
        <v>560</v>
      </c>
      <c r="AF221" s="99"/>
      <c r="AG221" s="55" t="str">
        <f>VLOOKUP(C221,'Safety-Plant'!B:B,1,FALSE)</f>
        <v>FC041</v>
      </c>
    </row>
    <row r="222" spans="1:33" s="52" customFormat="1" ht="16.5" customHeight="1">
      <c r="A222" s="88" t="s">
        <v>739</v>
      </c>
      <c r="B222" s="119"/>
      <c r="C222" s="120" t="s">
        <v>392</v>
      </c>
      <c r="D222" s="211" t="s">
        <v>383</v>
      </c>
      <c r="E222" s="288" t="s">
        <v>806</v>
      </c>
      <c r="F222" s="81">
        <v>12</v>
      </c>
      <c r="G222" s="212" t="s">
        <v>520</v>
      </c>
      <c r="H222" s="212" t="s">
        <v>520</v>
      </c>
      <c r="I222" s="212" t="s">
        <v>520</v>
      </c>
      <c r="J222" s="212" t="s">
        <v>520</v>
      </c>
      <c r="K222" s="212" t="s">
        <v>520</v>
      </c>
      <c r="L222" s="212" t="s">
        <v>520</v>
      </c>
      <c r="M222" s="212" t="s">
        <v>520</v>
      </c>
      <c r="N222" s="212" t="s">
        <v>520</v>
      </c>
      <c r="O222" s="212" t="s">
        <v>520</v>
      </c>
      <c r="P222" s="212" t="s">
        <v>520</v>
      </c>
      <c r="Q222" s="212" t="s">
        <v>520</v>
      </c>
      <c r="R222" s="212" t="s">
        <v>520</v>
      </c>
      <c r="S222" s="213">
        <v>10</v>
      </c>
      <c r="T222" s="212" t="s">
        <v>520</v>
      </c>
      <c r="U222" s="212" t="s">
        <v>520</v>
      </c>
      <c r="V222" s="212" t="s">
        <v>520</v>
      </c>
      <c r="W222" s="212" t="s">
        <v>520</v>
      </c>
      <c r="X222" s="212" t="s">
        <v>520</v>
      </c>
      <c r="Y222" s="212" t="s">
        <v>520</v>
      </c>
      <c r="Z222" s="212" t="s">
        <v>520</v>
      </c>
      <c r="AA222" s="212" t="s">
        <v>520</v>
      </c>
      <c r="AB222" s="212" t="s">
        <v>520</v>
      </c>
      <c r="AC222" s="214" t="s">
        <v>520</v>
      </c>
      <c r="AD222" s="148" t="s">
        <v>746</v>
      </c>
      <c r="AE222" s="86" t="s">
        <v>558</v>
      </c>
      <c r="AF222" s="99"/>
      <c r="AG222" s="55" t="str">
        <f>VLOOKUP(C222,'Safety-Plant'!B:B,1,FALSE)</f>
        <v>FC268</v>
      </c>
    </row>
    <row r="223" spans="1:33" s="52" customFormat="1" ht="16.5" customHeight="1">
      <c r="A223" s="88" t="s">
        <v>739</v>
      </c>
      <c r="B223" s="119"/>
      <c r="C223" s="92" t="s">
        <v>393</v>
      </c>
      <c r="D223" s="211" t="s">
        <v>394</v>
      </c>
      <c r="E223" s="288" t="s">
        <v>807</v>
      </c>
      <c r="F223" s="93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6"/>
      <c r="T223" s="95"/>
      <c r="U223" s="95"/>
      <c r="V223" s="95"/>
      <c r="W223" s="95"/>
      <c r="X223" s="95"/>
      <c r="Y223" s="95"/>
      <c r="Z223" s="95"/>
      <c r="AA223" s="95"/>
      <c r="AB223" s="95"/>
      <c r="AC223" s="97"/>
      <c r="AD223" s="85"/>
      <c r="AE223" s="132" t="s">
        <v>560</v>
      </c>
      <c r="AF223" s="99"/>
      <c r="AG223" s="55" t="str">
        <f>VLOOKUP(C223,'Safety-Plant'!B:B,1,FALSE)</f>
        <v>FC231</v>
      </c>
    </row>
    <row r="224" spans="1:33" s="52" customFormat="1" ht="16.5" customHeight="1">
      <c r="A224" s="88" t="s">
        <v>739</v>
      </c>
      <c r="B224" s="119"/>
      <c r="C224" s="92" t="s">
        <v>395</v>
      </c>
      <c r="D224" s="211" t="s">
        <v>396</v>
      </c>
      <c r="E224" s="120" t="s">
        <v>808</v>
      </c>
      <c r="F224" s="93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6"/>
      <c r="T224" s="95"/>
      <c r="U224" s="95"/>
      <c r="V224" s="95"/>
      <c r="W224" s="95"/>
      <c r="X224" s="95"/>
      <c r="Y224" s="95"/>
      <c r="Z224" s="95"/>
      <c r="AA224" s="95"/>
      <c r="AB224" s="95"/>
      <c r="AC224" s="97"/>
      <c r="AD224" s="85"/>
      <c r="AE224" s="86" t="s">
        <v>558</v>
      </c>
      <c r="AF224" s="99"/>
      <c r="AG224" s="55" t="str">
        <f>VLOOKUP(C224,'Safety-Plant'!B:B,1,FALSE)</f>
        <v>FC290</v>
      </c>
    </row>
    <row r="225" spans="1:33" s="52" customFormat="1" ht="16.5" customHeight="1">
      <c r="A225" s="88" t="s">
        <v>739</v>
      </c>
      <c r="B225" s="128"/>
      <c r="C225" s="103" t="s">
        <v>397</v>
      </c>
      <c r="D225" s="211" t="s">
        <v>398</v>
      </c>
      <c r="E225" s="103" t="s">
        <v>808</v>
      </c>
      <c r="F225" s="93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6"/>
      <c r="T225" s="95"/>
      <c r="U225" s="95"/>
      <c r="V225" s="95"/>
      <c r="W225" s="95"/>
      <c r="X225" s="95"/>
      <c r="Y225" s="95"/>
      <c r="Z225" s="95"/>
      <c r="AA225" s="95"/>
      <c r="AB225" s="95"/>
      <c r="AC225" s="97"/>
      <c r="AD225" s="85"/>
      <c r="AE225" s="86" t="s">
        <v>558</v>
      </c>
      <c r="AF225" s="99"/>
      <c r="AG225" s="55" t="str">
        <f>VLOOKUP(C225,'Safety-Plant'!B:B,1,FALSE)</f>
        <v>FC002</v>
      </c>
    </row>
    <row r="226" spans="1:33" s="52" customFormat="1" ht="16.5" customHeight="1">
      <c r="A226" s="88" t="s">
        <v>739</v>
      </c>
      <c r="B226" s="289"/>
      <c r="C226" s="103" t="s">
        <v>399</v>
      </c>
      <c r="D226" s="211" t="s">
        <v>400</v>
      </c>
      <c r="E226" s="120" t="s">
        <v>809</v>
      </c>
      <c r="F226" s="93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6"/>
      <c r="T226" s="95"/>
      <c r="U226" s="95"/>
      <c r="V226" s="95"/>
      <c r="W226" s="95"/>
      <c r="X226" s="95"/>
      <c r="Y226" s="95"/>
      <c r="Z226" s="95"/>
      <c r="AA226" s="95"/>
      <c r="AB226" s="95"/>
      <c r="AC226" s="97"/>
      <c r="AD226" s="85"/>
      <c r="AE226" s="86" t="s">
        <v>558</v>
      </c>
      <c r="AF226" s="99"/>
      <c r="AG226" s="55" t="str">
        <f>VLOOKUP(C226,'Safety-Plant'!B:B,1,FALSE)</f>
        <v>FC136</v>
      </c>
    </row>
    <row r="227" spans="1:33" s="52" customFormat="1" ht="16.5" customHeight="1">
      <c r="A227" s="88" t="s">
        <v>739</v>
      </c>
      <c r="B227" s="119"/>
      <c r="C227" s="120" t="s">
        <v>401</v>
      </c>
      <c r="D227" s="211" t="s">
        <v>402</v>
      </c>
      <c r="E227" s="120" t="s">
        <v>809</v>
      </c>
      <c r="F227" s="93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6"/>
      <c r="T227" s="95"/>
      <c r="U227" s="95"/>
      <c r="V227" s="95"/>
      <c r="W227" s="95"/>
      <c r="X227" s="95"/>
      <c r="Y227" s="95"/>
      <c r="Z227" s="95"/>
      <c r="AA227" s="95"/>
      <c r="AB227" s="95"/>
      <c r="AC227" s="97"/>
      <c r="AD227" s="85"/>
      <c r="AE227" s="86" t="s">
        <v>558</v>
      </c>
      <c r="AF227" s="99"/>
      <c r="AG227" s="55" t="str">
        <f>VLOOKUP(C227,'Safety-Plant'!B:B,1,FALSE)</f>
        <v>FC181</v>
      </c>
    </row>
    <row r="228" spans="1:33" s="52" customFormat="1" ht="16.5" customHeight="1">
      <c r="A228" s="88" t="s">
        <v>739</v>
      </c>
      <c r="B228" s="119"/>
      <c r="C228" s="120" t="s">
        <v>403</v>
      </c>
      <c r="D228" s="211" t="s">
        <v>404</v>
      </c>
      <c r="E228" s="120" t="s">
        <v>809</v>
      </c>
      <c r="F228" s="93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6"/>
      <c r="T228" s="95"/>
      <c r="U228" s="95"/>
      <c r="V228" s="95"/>
      <c r="W228" s="95"/>
      <c r="X228" s="95"/>
      <c r="Y228" s="95"/>
      <c r="Z228" s="95"/>
      <c r="AA228" s="95"/>
      <c r="AB228" s="95"/>
      <c r="AC228" s="97"/>
      <c r="AD228" s="85"/>
      <c r="AE228" s="86" t="s">
        <v>558</v>
      </c>
      <c r="AF228" s="99"/>
      <c r="AG228" s="55" t="str">
        <f>VLOOKUP(C228,'Safety-Plant'!B:B,1,FALSE)</f>
        <v>FC378</v>
      </c>
    </row>
    <row r="229" spans="1:33" s="52" customFormat="1" ht="16.5" customHeight="1">
      <c r="A229" s="88" t="s">
        <v>739</v>
      </c>
      <c r="B229" s="119"/>
      <c r="C229" s="120" t="s">
        <v>405</v>
      </c>
      <c r="D229" s="211" t="s">
        <v>406</v>
      </c>
      <c r="E229" s="120" t="s">
        <v>809</v>
      </c>
      <c r="F229" s="93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6"/>
      <c r="T229" s="95"/>
      <c r="U229" s="95"/>
      <c r="V229" s="95"/>
      <c r="W229" s="95"/>
      <c r="X229" s="95"/>
      <c r="Y229" s="95"/>
      <c r="Z229" s="95"/>
      <c r="AA229" s="95"/>
      <c r="AB229" s="95"/>
      <c r="AC229" s="97"/>
      <c r="AD229" s="85"/>
      <c r="AE229" s="86" t="s">
        <v>558</v>
      </c>
      <c r="AF229" s="99"/>
      <c r="AG229" s="55" t="str">
        <f>VLOOKUP(C229,'Safety-Plant'!B:B,1,FALSE)</f>
        <v>FC285</v>
      </c>
    </row>
    <row r="230" spans="1:33" s="52" customFormat="1" ht="16.5" customHeight="1">
      <c r="A230" s="88" t="s">
        <v>739</v>
      </c>
      <c r="B230" s="119"/>
      <c r="C230" s="120" t="s">
        <v>407</v>
      </c>
      <c r="D230" s="211" t="s">
        <v>408</v>
      </c>
      <c r="E230" s="120" t="s">
        <v>809</v>
      </c>
      <c r="F230" s="93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6"/>
      <c r="T230" s="95"/>
      <c r="U230" s="95"/>
      <c r="V230" s="95"/>
      <c r="W230" s="95"/>
      <c r="X230" s="95"/>
      <c r="Y230" s="95"/>
      <c r="Z230" s="95"/>
      <c r="AA230" s="95"/>
      <c r="AB230" s="95"/>
      <c r="AC230" s="97"/>
      <c r="AD230" s="85"/>
      <c r="AE230" s="86" t="s">
        <v>558</v>
      </c>
      <c r="AF230" s="99"/>
      <c r="AG230" s="55" t="str">
        <f>VLOOKUP(C230,'Safety-Plant'!B:B,1,FALSE)</f>
        <v>FC370</v>
      </c>
    </row>
    <row r="231" spans="1:33" s="52" customFormat="1" ht="16.5" customHeight="1">
      <c r="A231" s="88" t="s">
        <v>739</v>
      </c>
      <c r="B231" s="119"/>
      <c r="C231" s="92" t="s">
        <v>409</v>
      </c>
      <c r="D231" s="227" t="s">
        <v>410</v>
      </c>
      <c r="E231" s="120" t="s">
        <v>809</v>
      </c>
      <c r="F231" s="81">
        <v>12</v>
      </c>
      <c r="G231" s="212" t="s">
        <v>520</v>
      </c>
      <c r="H231" s="212" t="s">
        <v>520</v>
      </c>
      <c r="I231" s="212" t="s">
        <v>520</v>
      </c>
      <c r="J231" s="212" t="s">
        <v>520</v>
      </c>
      <c r="K231" s="212" t="s">
        <v>520</v>
      </c>
      <c r="L231" s="212" t="s">
        <v>520</v>
      </c>
      <c r="M231" s="212" t="s">
        <v>520</v>
      </c>
      <c r="N231" s="212" t="s">
        <v>520</v>
      </c>
      <c r="O231" s="212" t="s">
        <v>520</v>
      </c>
      <c r="P231" s="212" t="s">
        <v>520</v>
      </c>
      <c r="Q231" s="212" t="s">
        <v>520</v>
      </c>
      <c r="R231" s="212" t="s">
        <v>520</v>
      </c>
      <c r="S231" s="213">
        <v>10</v>
      </c>
      <c r="T231" s="212" t="s">
        <v>520</v>
      </c>
      <c r="U231" s="212" t="s">
        <v>520</v>
      </c>
      <c r="V231" s="212" t="s">
        <v>520</v>
      </c>
      <c r="W231" s="212" t="s">
        <v>520</v>
      </c>
      <c r="X231" s="212" t="s">
        <v>520</v>
      </c>
      <c r="Y231" s="212" t="s">
        <v>520</v>
      </c>
      <c r="Z231" s="212" t="s">
        <v>520</v>
      </c>
      <c r="AA231" s="212" t="s">
        <v>520</v>
      </c>
      <c r="AB231" s="212" t="s">
        <v>520</v>
      </c>
      <c r="AC231" s="214" t="s">
        <v>520</v>
      </c>
      <c r="AD231" s="148" t="s">
        <v>746</v>
      </c>
      <c r="AE231" s="86" t="s">
        <v>558</v>
      </c>
      <c r="AF231" s="99"/>
      <c r="AG231" s="55" t="str">
        <f>VLOOKUP(C231,'Safety-Plant'!B:B,1,FALSE)</f>
        <v>FC400</v>
      </c>
    </row>
    <row r="232" spans="1:33" s="52" customFormat="1" ht="16.5" customHeight="1">
      <c r="A232" s="88" t="s">
        <v>739</v>
      </c>
      <c r="B232" s="119"/>
      <c r="C232" s="120" t="s">
        <v>411</v>
      </c>
      <c r="D232" s="211" t="s">
        <v>412</v>
      </c>
      <c r="E232" s="103" t="s">
        <v>810</v>
      </c>
      <c r="F232" s="93"/>
      <c r="G232" s="95"/>
      <c r="H232" s="95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6"/>
      <c r="T232" s="95"/>
      <c r="U232" s="95"/>
      <c r="V232" s="95"/>
      <c r="W232" s="95"/>
      <c r="X232" s="95"/>
      <c r="Y232" s="95"/>
      <c r="Z232" s="95"/>
      <c r="AA232" s="95"/>
      <c r="AB232" s="95"/>
      <c r="AC232" s="97"/>
      <c r="AD232" s="85"/>
      <c r="AE232" s="132" t="s">
        <v>560</v>
      </c>
      <c r="AF232" s="99"/>
      <c r="AG232" s="55" t="str">
        <f>VLOOKUP(C232,'Safety-Plant'!B:B,1,FALSE)</f>
        <v>FC189</v>
      </c>
    </row>
    <row r="233" spans="1:33" s="52" customFormat="1" ht="16.5" customHeight="1">
      <c r="A233" s="88" t="s">
        <v>739</v>
      </c>
      <c r="B233" s="119"/>
      <c r="C233" s="120" t="s">
        <v>413</v>
      </c>
      <c r="D233" s="211" t="s">
        <v>414</v>
      </c>
      <c r="E233" s="103" t="s">
        <v>810</v>
      </c>
      <c r="F233" s="93"/>
      <c r="G233" s="95"/>
      <c r="H233" s="95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6"/>
      <c r="T233" s="95"/>
      <c r="U233" s="95"/>
      <c r="V233" s="95"/>
      <c r="W233" s="95"/>
      <c r="X233" s="95"/>
      <c r="Y233" s="95"/>
      <c r="Z233" s="95"/>
      <c r="AA233" s="95"/>
      <c r="AB233" s="95"/>
      <c r="AC233" s="97"/>
      <c r="AD233" s="85"/>
      <c r="AE233" s="132" t="s">
        <v>560</v>
      </c>
      <c r="AF233" s="99"/>
      <c r="AG233" s="55" t="str">
        <f>VLOOKUP(C233,'Safety-Plant'!B:B,1,FALSE)</f>
        <v>FC222</v>
      </c>
    </row>
    <row r="234" spans="1:33" s="52" customFormat="1" ht="16.5" customHeight="1">
      <c r="A234" s="88" t="s">
        <v>739</v>
      </c>
      <c r="B234" s="119"/>
      <c r="C234" s="252" t="s">
        <v>415</v>
      </c>
      <c r="D234" s="211" t="s">
        <v>416</v>
      </c>
      <c r="E234" s="103" t="s">
        <v>811</v>
      </c>
      <c r="F234" s="81">
        <v>12</v>
      </c>
      <c r="G234" s="212" t="s">
        <v>520</v>
      </c>
      <c r="H234" s="212" t="s">
        <v>520</v>
      </c>
      <c r="I234" s="212" t="s">
        <v>520</v>
      </c>
      <c r="J234" s="212" t="s">
        <v>520</v>
      </c>
      <c r="K234" s="212" t="s">
        <v>520</v>
      </c>
      <c r="L234" s="212" t="s">
        <v>520</v>
      </c>
      <c r="M234" s="212" t="s">
        <v>520</v>
      </c>
      <c r="N234" s="212" t="s">
        <v>520</v>
      </c>
      <c r="O234" s="212" t="s">
        <v>520</v>
      </c>
      <c r="P234" s="212" t="s">
        <v>520</v>
      </c>
      <c r="Q234" s="212" t="s">
        <v>520</v>
      </c>
      <c r="R234" s="212" t="s">
        <v>520</v>
      </c>
      <c r="S234" s="271">
        <v>10</v>
      </c>
      <c r="T234" s="212" t="s">
        <v>520</v>
      </c>
      <c r="U234" s="212" t="s">
        <v>520</v>
      </c>
      <c r="V234" s="212" t="s">
        <v>520</v>
      </c>
      <c r="W234" s="212" t="s">
        <v>520</v>
      </c>
      <c r="X234" s="212" t="s">
        <v>520</v>
      </c>
      <c r="Y234" s="212" t="s">
        <v>520</v>
      </c>
      <c r="Z234" s="212" t="s">
        <v>520</v>
      </c>
      <c r="AA234" s="212" t="s">
        <v>520</v>
      </c>
      <c r="AB234" s="212" t="s">
        <v>520</v>
      </c>
      <c r="AC234" s="214" t="s">
        <v>520</v>
      </c>
      <c r="AD234" s="132" t="s">
        <v>568</v>
      </c>
      <c r="AE234" s="132" t="s">
        <v>568</v>
      </c>
      <c r="AF234" s="99"/>
      <c r="AG234" s="55" t="str">
        <f>VLOOKUP(C234,'Safety-Plant'!B:B,1,FALSE)</f>
        <v>FC143</v>
      </c>
    </row>
    <row r="235" spans="1:33" s="52" customFormat="1" ht="16.5" customHeight="1">
      <c r="A235" s="88" t="s">
        <v>739</v>
      </c>
      <c r="B235" s="119"/>
      <c r="C235" s="120" t="s">
        <v>417</v>
      </c>
      <c r="D235" s="211" t="s">
        <v>418</v>
      </c>
      <c r="E235" s="103" t="s">
        <v>812</v>
      </c>
      <c r="F235" s="93"/>
      <c r="G235" s="95"/>
      <c r="H235" s="95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6"/>
      <c r="T235" s="95"/>
      <c r="U235" s="95"/>
      <c r="V235" s="95"/>
      <c r="W235" s="95"/>
      <c r="X235" s="95"/>
      <c r="Y235" s="95"/>
      <c r="Z235" s="95"/>
      <c r="AA235" s="95"/>
      <c r="AB235" s="95"/>
      <c r="AC235" s="97"/>
      <c r="AD235" s="85"/>
      <c r="AE235" s="86" t="s">
        <v>558</v>
      </c>
      <c r="AF235" s="99"/>
      <c r="AG235" s="55" t="str">
        <f>VLOOKUP(C235,'Safety-Plant'!B:B,1,FALSE)</f>
        <v>FC188</v>
      </c>
    </row>
    <row r="236" spans="1:33" s="52" customFormat="1" ht="16.5" customHeight="1">
      <c r="A236" s="88" t="s">
        <v>739</v>
      </c>
      <c r="B236" s="285"/>
      <c r="C236" s="92" t="s">
        <v>530</v>
      </c>
      <c r="D236" s="290" t="s">
        <v>531</v>
      </c>
      <c r="E236" s="291" t="s">
        <v>813</v>
      </c>
      <c r="F236" s="93"/>
      <c r="G236" s="95"/>
      <c r="H236" s="95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6"/>
      <c r="T236" s="95"/>
      <c r="U236" s="95"/>
      <c r="V236" s="95"/>
      <c r="W236" s="95"/>
      <c r="X236" s="242"/>
      <c r="Y236" s="95"/>
      <c r="Z236" s="95"/>
      <c r="AA236" s="95"/>
      <c r="AB236" s="95"/>
      <c r="AC236" s="97"/>
      <c r="AD236" s="85"/>
      <c r="AE236" s="86" t="s">
        <v>558</v>
      </c>
      <c r="AF236" s="99"/>
      <c r="AG236" s="55" t="str">
        <f>VLOOKUP(C236,'Safety-Plant'!B:B,1,FALSE)</f>
        <v>FC407</v>
      </c>
    </row>
    <row r="237" spans="1:33" s="52" customFormat="1" ht="16.5" customHeight="1">
      <c r="A237" s="88" t="s">
        <v>739</v>
      </c>
      <c r="B237" s="129"/>
      <c r="C237" s="292" t="s">
        <v>814</v>
      </c>
      <c r="D237" s="293" t="s">
        <v>815</v>
      </c>
      <c r="E237" s="294" t="s">
        <v>806</v>
      </c>
      <c r="F237" s="164"/>
      <c r="G237" s="95"/>
      <c r="H237" s="95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6"/>
      <c r="T237" s="95"/>
      <c r="U237" s="95"/>
      <c r="V237" s="95"/>
      <c r="W237" s="95"/>
      <c r="X237" s="242"/>
      <c r="Y237" s="95"/>
      <c r="Z237" s="95"/>
      <c r="AA237" s="95"/>
      <c r="AB237" s="95"/>
      <c r="AC237" s="97"/>
      <c r="AD237" s="85"/>
      <c r="AE237" s="86" t="s">
        <v>558</v>
      </c>
      <c r="AF237" s="99"/>
      <c r="AG237" s="55" t="str">
        <f>VLOOKUP(C237,'Safety-Plant'!B:B,1,FALSE)</f>
        <v>FC415</v>
      </c>
    </row>
    <row r="238" spans="1:33" s="52" customFormat="1" ht="16.5" customHeight="1">
      <c r="A238" s="88" t="s">
        <v>739</v>
      </c>
      <c r="B238" s="278" t="s">
        <v>816</v>
      </c>
      <c r="C238" s="120" t="s">
        <v>419</v>
      </c>
      <c r="D238" s="211" t="s">
        <v>420</v>
      </c>
      <c r="E238" s="120" t="s">
        <v>817</v>
      </c>
      <c r="F238" s="81">
        <v>12</v>
      </c>
      <c r="G238" s="212" t="s">
        <v>520</v>
      </c>
      <c r="H238" s="212" t="s">
        <v>520</v>
      </c>
      <c r="I238" s="212" t="s">
        <v>520</v>
      </c>
      <c r="J238" s="212" t="s">
        <v>520</v>
      </c>
      <c r="K238" s="212" t="s">
        <v>520</v>
      </c>
      <c r="L238" s="212" t="s">
        <v>520</v>
      </c>
      <c r="M238" s="212" t="s">
        <v>520</v>
      </c>
      <c r="N238" s="212" t="s">
        <v>520</v>
      </c>
      <c r="O238" s="212" t="s">
        <v>520</v>
      </c>
      <c r="P238" s="212" t="s">
        <v>520</v>
      </c>
      <c r="Q238" s="212" t="s">
        <v>520</v>
      </c>
      <c r="R238" s="212" t="s">
        <v>520</v>
      </c>
      <c r="S238" s="271">
        <v>10</v>
      </c>
      <c r="T238" s="212" t="s">
        <v>520</v>
      </c>
      <c r="U238" s="212" t="s">
        <v>520</v>
      </c>
      <c r="V238" s="212" t="s">
        <v>520</v>
      </c>
      <c r="W238" s="212" t="s">
        <v>520</v>
      </c>
      <c r="X238" s="196" t="s">
        <v>520</v>
      </c>
      <c r="Y238" s="212" t="s">
        <v>520</v>
      </c>
      <c r="Z238" s="212" t="s">
        <v>520</v>
      </c>
      <c r="AA238" s="212" t="s">
        <v>520</v>
      </c>
      <c r="AB238" s="212" t="s">
        <v>520</v>
      </c>
      <c r="AC238" s="214" t="s">
        <v>520</v>
      </c>
      <c r="AD238" s="132" t="s">
        <v>568</v>
      </c>
      <c r="AE238" s="132" t="s">
        <v>568</v>
      </c>
      <c r="AF238" s="99"/>
      <c r="AG238" s="55" t="str">
        <f>VLOOKUP(C238,'Safety-Plant'!B:B,1,FALSE)</f>
        <v>FC314</v>
      </c>
    </row>
    <row r="239" spans="1:33" s="52" customFormat="1" ht="16.5" customHeight="1">
      <c r="A239" s="88" t="s">
        <v>739</v>
      </c>
      <c r="B239" s="119"/>
      <c r="C239" s="120" t="s">
        <v>421</v>
      </c>
      <c r="D239" s="207" t="s">
        <v>422</v>
      </c>
      <c r="E239" s="120" t="s">
        <v>818</v>
      </c>
      <c r="F239" s="81">
        <v>12</v>
      </c>
      <c r="G239" s="212" t="s">
        <v>520</v>
      </c>
      <c r="H239" s="212" t="s">
        <v>520</v>
      </c>
      <c r="I239" s="212" t="s">
        <v>520</v>
      </c>
      <c r="J239" s="212" t="s">
        <v>520</v>
      </c>
      <c r="K239" s="212" t="s">
        <v>520</v>
      </c>
      <c r="L239" s="212" t="s">
        <v>520</v>
      </c>
      <c r="M239" s="212" t="s">
        <v>520</v>
      </c>
      <c r="N239" s="212" t="s">
        <v>520</v>
      </c>
      <c r="O239" s="212" t="s">
        <v>520</v>
      </c>
      <c r="P239" s="212" t="s">
        <v>520</v>
      </c>
      <c r="Q239" s="212" t="s">
        <v>520</v>
      </c>
      <c r="R239" s="212" t="s">
        <v>520</v>
      </c>
      <c r="S239" s="271">
        <v>10</v>
      </c>
      <c r="T239" s="212" t="s">
        <v>520</v>
      </c>
      <c r="U239" s="212" t="s">
        <v>520</v>
      </c>
      <c r="V239" s="212" t="s">
        <v>520</v>
      </c>
      <c r="W239" s="212" t="s">
        <v>520</v>
      </c>
      <c r="X239" s="212" t="s">
        <v>520</v>
      </c>
      <c r="Y239" s="212" t="s">
        <v>520</v>
      </c>
      <c r="Z239" s="212" t="s">
        <v>520</v>
      </c>
      <c r="AA239" s="212" t="s">
        <v>520</v>
      </c>
      <c r="AB239" s="212" t="s">
        <v>520</v>
      </c>
      <c r="AC239" s="214" t="s">
        <v>520</v>
      </c>
      <c r="AD239" s="132" t="s">
        <v>568</v>
      </c>
      <c r="AE239" s="132" t="s">
        <v>568</v>
      </c>
      <c r="AF239" s="99"/>
      <c r="AG239" s="55" t="str">
        <f>VLOOKUP(C239,'Safety-Plant'!B:B,1,FALSE)</f>
        <v>FC361</v>
      </c>
    </row>
    <row r="240" spans="1:33" s="52" customFormat="1" ht="16.5" customHeight="1">
      <c r="A240" s="88" t="s">
        <v>739</v>
      </c>
      <c r="B240" s="133"/>
      <c r="C240" s="120" t="s">
        <v>423</v>
      </c>
      <c r="D240" s="211" t="s">
        <v>424</v>
      </c>
      <c r="E240" s="188" t="s">
        <v>819</v>
      </c>
      <c r="F240" s="81">
        <v>12</v>
      </c>
      <c r="G240" s="212" t="s">
        <v>520</v>
      </c>
      <c r="H240" s="212" t="s">
        <v>520</v>
      </c>
      <c r="I240" s="212" t="s">
        <v>520</v>
      </c>
      <c r="J240" s="212" t="s">
        <v>520</v>
      </c>
      <c r="K240" s="212" t="s">
        <v>520</v>
      </c>
      <c r="L240" s="212" t="s">
        <v>520</v>
      </c>
      <c r="M240" s="212" t="s">
        <v>520</v>
      </c>
      <c r="N240" s="212" t="s">
        <v>520</v>
      </c>
      <c r="O240" s="212" t="s">
        <v>520</v>
      </c>
      <c r="P240" s="212" t="s">
        <v>520</v>
      </c>
      <c r="Q240" s="212" t="s">
        <v>520</v>
      </c>
      <c r="R240" s="212" t="s">
        <v>520</v>
      </c>
      <c r="S240" s="271">
        <v>10</v>
      </c>
      <c r="T240" s="212" t="s">
        <v>520</v>
      </c>
      <c r="U240" s="212" t="s">
        <v>520</v>
      </c>
      <c r="V240" s="212" t="s">
        <v>520</v>
      </c>
      <c r="W240" s="212" t="s">
        <v>520</v>
      </c>
      <c r="X240" s="212" t="s">
        <v>520</v>
      </c>
      <c r="Y240" s="212" t="s">
        <v>520</v>
      </c>
      <c r="Z240" s="212" t="s">
        <v>520</v>
      </c>
      <c r="AA240" s="212" t="s">
        <v>520</v>
      </c>
      <c r="AB240" s="212" t="s">
        <v>520</v>
      </c>
      <c r="AC240" s="214" t="s">
        <v>520</v>
      </c>
      <c r="AD240" s="132" t="s">
        <v>568</v>
      </c>
      <c r="AE240" s="132" t="s">
        <v>568</v>
      </c>
      <c r="AF240" s="99"/>
      <c r="AG240" s="55" t="str">
        <f>VLOOKUP(C240,'Safety-Plant'!B:B,1,FALSE)</f>
        <v>FC258</v>
      </c>
    </row>
    <row r="241" spans="1:33" s="52" customFormat="1" ht="16.5" customHeight="1">
      <c r="A241" s="88" t="s">
        <v>739</v>
      </c>
      <c r="B241" s="133"/>
      <c r="C241" s="120" t="s">
        <v>425</v>
      </c>
      <c r="D241" s="211" t="s">
        <v>426</v>
      </c>
      <c r="E241" s="188" t="s">
        <v>819</v>
      </c>
      <c r="F241" s="81">
        <v>12</v>
      </c>
      <c r="G241" s="212" t="s">
        <v>520</v>
      </c>
      <c r="H241" s="212" t="s">
        <v>520</v>
      </c>
      <c r="I241" s="212" t="s">
        <v>520</v>
      </c>
      <c r="J241" s="212" t="s">
        <v>520</v>
      </c>
      <c r="K241" s="212" t="s">
        <v>520</v>
      </c>
      <c r="L241" s="212" t="s">
        <v>520</v>
      </c>
      <c r="M241" s="212" t="s">
        <v>520</v>
      </c>
      <c r="N241" s="212" t="s">
        <v>520</v>
      </c>
      <c r="O241" s="212" t="s">
        <v>520</v>
      </c>
      <c r="P241" s="212" t="s">
        <v>520</v>
      </c>
      <c r="Q241" s="212" t="s">
        <v>520</v>
      </c>
      <c r="R241" s="212" t="s">
        <v>520</v>
      </c>
      <c r="S241" s="271">
        <v>10</v>
      </c>
      <c r="T241" s="212" t="s">
        <v>520</v>
      </c>
      <c r="U241" s="212" t="s">
        <v>520</v>
      </c>
      <c r="V241" s="212" t="s">
        <v>520</v>
      </c>
      <c r="W241" s="212" t="s">
        <v>520</v>
      </c>
      <c r="X241" s="212" t="s">
        <v>520</v>
      </c>
      <c r="Y241" s="212" t="s">
        <v>520</v>
      </c>
      <c r="Z241" s="212" t="s">
        <v>520</v>
      </c>
      <c r="AA241" s="212" t="s">
        <v>520</v>
      </c>
      <c r="AB241" s="212" t="s">
        <v>520</v>
      </c>
      <c r="AC241" s="214" t="s">
        <v>520</v>
      </c>
      <c r="AD241" s="132" t="s">
        <v>568</v>
      </c>
      <c r="AE241" s="132" t="s">
        <v>568</v>
      </c>
      <c r="AF241" s="99"/>
      <c r="AG241" s="55" t="str">
        <f>VLOOKUP(C241,'Safety-Plant'!B:B,1,FALSE)</f>
        <v>FC330</v>
      </c>
    </row>
    <row r="242" spans="1:33" s="52" customFormat="1" ht="16.5" customHeight="1">
      <c r="A242" s="88" t="s">
        <v>739</v>
      </c>
      <c r="B242" s="133"/>
      <c r="C242" s="120" t="s">
        <v>427</v>
      </c>
      <c r="D242" s="211" t="s">
        <v>428</v>
      </c>
      <c r="E242" s="188" t="s">
        <v>819</v>
      </c>
      <c r="F242" s="81">
        <v>12</v>
      </c>
      <c r="G242" s="212" t="s">
        <v>520</v>
      </c>
      <c r="H242" s="212" t="s">
        <v>520</v>
      </c>
      <c r="I242" s="212" t="s">
        <v>520</v>
      </c>
      <c r="J242" s="212" t="s">
        <v>520</v>
      </c>
      <c r="K242" s="212" t="s">
        <v>520</v>
      </c>
      <c r="L242" s="212" t="s">
        <v>520</v>
      </c>
      <c r="M242" s="212" t="s">
        <v>520</v>
      </c>
      <c r="N242" s="212" t="s">
        <v>520</v>
      </c>
      <c r="O242" s="212" t="s">
        <v>520</v>
      </c>
      <c r="P242" s="212" t="s">
        <v>520</v>
      </c>
      <c r="Q242" s="212" t="s">
        <v>520</v>
      </c>
      <c r="R242" s="212" t="s">
        <v>520</v>
      </c>
      <c r="S242" s="271">
        <v>10</v>
      </c>
      <c r="T242" s="212" t="s">
        <v>520</v>
      </c>
      <c r="U242" s="212" t="s">
        <v>520</v>
      </c>
      <c r="V242" s="212" t="s">
        <v>520</v>
      </c>
      <c r="W242" s="212" t="s">
        <v>520</v>
      </c>
      <c r="X242" s="212" t="s">
        <v>520</v>
      </c>
      <c r="Y242" s="212" t="s">
        <v>520</v>
      </c>
      <c r="Z242" s="212" t="s">
        <v>520</v>
      </c>
      <c r="AA242" s="212" t="s">
        <v>520</v>
      </c>
      <c r="AB242" s="212" t="s">
        <v>520</v>
      </c>
      <c r="AC242" s="214" t="s">
        <v>520</v>
      </c>
      <c r="AD242" s="132" t="s">
        <v>568</v>
      </c>
      <c r="AE242" s="132" t="s">
        <v>568</v>
      </c>
      <c r="AF242" s="99"/>
      <c r="AG242" s="55" t="str">
        <f>VLOOKUP(C242,'Safety-Plant'!B:B,1,FALSE)</f>
        <v>FC386</v>
      </c>
    </row>
    <row r="243" spans="1:33" s="52" customFormat="1" ht="16.5" customHeight="1">
      <c r="A243" s="88" t="s">
        <v>739</v>
      </c>
      <c r="B243" s="119"/>
      <c r="C243" s="120" t="s">
        <v>429</v>
      </c>
      <c r="D243" s="211" t="s">
        <v>430</v>
      </c>
      <c r="E243" s="103" t="s">
        <v>820</v>
      </c>
      <c r="F243" s="81">
        <v>12</v>
      </c>
      <c r="G243" s="212" t="s">
        <v>520</v>
      </c>
      <c r="H243" s="212" t="s">
        <v>520</v>
      </c>
      <c r="I243" s="212" t="s">
        <v>520</v>
      </c>
      <c r="J243" s="212" t="s">
        <v>520</v>
      </c>
      <c r="K243" s="212" t="s">
        <v>520</v>
      </c>
      <c r="L243" s="212" t="s">
        <v>520</v>
      </c>
      <c r="M243" s="212" t="s">
        <v>520</v>
      </c>
      <c r="N243" s="212" t="s">
        <v>520</v>
      </c>
      <c r="O243" s="212" t="s">
        <v>520</v>
      </c>
      <c r="P243" s="212" t="s">
        <v>520</v>
      </c>
      <c r="Q243" s="212" t="s">
        <v>520</v>
      </c>
      <c r="R243" s="212" t="s">
        <v>520</v>
      </c>
      <c r="S243" s="271">
        <v>10</v>
      </c>
      <c r="T243" s="212" t="s">
        <v>520</v>
      </c>
      <c r="U243" s="212" t="s">
        <v>520</v>
      </c>
      <c r="V243" s="212" t="s">
        <v>520</v>
      </c>
      <c r="W243" s="212" t="s">
        <v>520</v>
      </c>
      <c r="X243" s="212" t="s">
        <v>520</v>
      </c>
      <c r="Y243" s="212" t="s">
        <v>520</v>
      </c>
      <c r="Z243" s="212" t="s">
        <v>520</v>
      </c>
      <c r="AA243" s="212" t="s">
        <v>520</v>
      </c>
      <c r="AB243" s="212" t="s">
        <v>520</v>
      </c>
      <c r="AC243" s="214" t="s">
        <v>520</v>
      </c>
      <c r="AD243" s="132" t="s">
        <v>821</v>
      </c>
      <c r="AE243" s="132" t="s">
        <v>558</v>
      </c>
      <c r="AF243" s="99"/>
      <c r="AG243" s="55" t="str">
        <f>VLOOKUP(C243,'Safety-Plant'!B:B,1,FALSE)</f>
        <v>FC192</v>
      </c>
    </row>
    <row r="244" spans="1:33" s="52" customFormat="1" ht="16.5" customHeight="1">
      <c r="A244" s="88" t="s">
        <v>739</v>
      </c>
      <c r="B244" s="119"/>
      <c r="C244" s="120" t="s">
        <v>431</v>
      </c>
      <c r="D244" s="211" t="s">
        <v>432</v>
      </c>
      <c r="E244" s="103" t="s">
        <v>820</v>
      </c>
      <c r="F244" s="81">
        <v>12</v>
      </c>
      <c r="G244" s="212" t="s">
        <v>520</v>
      </c>
      <c r="H244" s="212" t="s">
        <v>520</v>
      </c>
      <c r="I244" s="212" t="s">
        <v>520</v>
      </c>
      <c r="J244" s="212" t="s">
        <v>520</v>
      </c>
      <c r="K244" s="212" t="s">
        <v>520</v>
      </c>
      <c r="L244" s="212" t="s">
        <v>520</v>
      </c>
      <c r="M244" s="212" t="s">
        <v>520</v>
      </c>
      <c r="N244" s="212" t="s">
        <v>520</v>
      </c>
      <c r="O244" s="212" t="s">
        <v>520</v>
      </c>
      <c r="P244" s="212" t="s">
        <v>520</v>
      </c>
      <c r="Q244" s="212" t="s">
        <v>520</v>
      </c>
      <c r="R244" s="212" t="s">
        <v>520</v>
      </c>
      <c r="S244" s="271">
        <v>10</v>
      </c>
      <c r="T244" s="212" t="s">
        <v>520</v>
      </c>
      <c r="U244" s="212" t="s">
        <v>520</v>
      </c>
      <c r="V244" s="212" t="s">
        <v>520</v>
      </c>
      <c r="W244" s="212" t="s">
        <v>520</v>
      </c>
      <c r="X244" s="212" t="s">
        <v>520</v>
      </c>
      <c r="Y244" s="212" t="s">
        <v>520</v>
      </c>
      <c r="Z244" s="212" t="s">
        <v>520</v>
      </c>
      <c r="AA244" s="212" t="s">
        <v>520</v>
      </c>
      <c r="AB244" s="212" t="s">
        <v>520</v>
      </c>
      <c r="AC244" s="214" t="s">
        <v>520</v>
      </c>
      <c r="AD244" s="132" t="s">
        <v>821</v>
      </c>
      <c r="AE244" s="132" t="s">
        <v>558</v>
      </c>
      <c r="AF244" s="99"/>
      <c r="AG244" s="55" t="str">
        <f>VLOOKUP(C244,'Safety-Plant'!B:B,1,FALSE)</f>
        <v>FC318</v>
      </c>
    </row>
    <row r="245" spans="1:33" s="52" customFormat="1" ht="16.5" customHeight="1">
      <c r="A245" s="88" t="s">
        <v>739</v>
      </c>
      <c r="B245" s="119"/>
      <c r="C245" s="120" t="s">
        <v>433</v>
      </c>
      <c r="D245" s="211" t="s">
        <v>434</v>
      </c>
      <c r="E245" s="120" t="s">
        <v>822</v>
      </c>
      <c r="F245" s="81">
        <v>12</v>
      </c>
      <c r="G245" s="212" t="s">
        <v>520</v>
      </c>
      <c r="H245" s="212" t="s">
        <v>520</v>
      </c>
      <c r="I245" s="212" t="s">
        <v>520</v>
      </c>
      <c r="J245" s="212" t="s">
        <v>520</v>
      </c>
      <c r="K245" s="212" t="s">
        <v>520</v>
      </c>
      <c r="L245" s="212" t="s">
        <v>520</v>
      </c>
      <c r="M245" s="212" t="s">
        <v>520</v>
      </c>
      <c r="N245" s="212" t="s">
        <v>520</v>
      </c>
      <c r="O245" s="212" t="s">
        <v>520</v>
      </c>
      <c r="P245" s="212" t="s">
        <v>520</v>
      </c>
      <c r="Q245" s="212" t="s">
        <v>520</v>
      </c>
      <c r="R245" s="212" t="s">
        <v>520</v>
      </c>
      <c r="S245" s="271">
        <v>10</v>
      </c>
      <c r="T245" s="212" t="s">
        <v>520</v>
      </c>
      <c r="U245" s="212" t="s">
        <v>520</v>
      </c>
      <c r="V245" s="212" t="s">
        <v>520</v>
      </c>
      <c r="W245" s="212" t="s">
        <v>520</v>
      </c>
      <c r="X245" s="212" t="s">
        <v>520</v>
      </c>
      <c r="Y245" s="212" t="s">
        <v>520</v>
      </c>
      <c r="Z245" s="212" t="s">
        <v>520</v>
      </c>
      <c r="AA245" s="212" t="s">
        <v>520</v>
      </c>
      <c r="AB245" s="212" t="s">
        <v>520</v>
      </c>
      <c r="AC245" s="214" t="s">
        <v>520</v>
      </c>
      <c r="AD245" s="132" t="s">
        <v>821</v>
      </c>
      <c r="AE245" s="132" t="s">
        <v>558</v>
      </c>
      <c r="AF245" s="99"/>
      <c r="AG245" s="55" t="str">
        <f>VLOOKUP(C245,'Safety-Plant'!B:B,1,FALSE)</f>
        <v>FC334</v>
      </c>
    </row>
    <row r="246" spans="1:33" s="52" customFormat="1" ht="16.5" customHeight="1">
      <c r="A246" s="88" t="s">
        <v>739</v>
      </c>
      <c r="B246" s="119"/>
      <c r="C246" s="120" t="s">
        <v>435</v>
      </c>
      <c r="D246" s="211" t="s">
        <v>436</v>
      </c>
      <c r="E246" s="103" t="s">
        <v>823</v>
      </c>
      <c r="F246" s="81">
        <v>12</v>
      </c>
      <c r="G246" s="212" t="s">
        <v>520</v>
      </c>
      <c r="H246" s="212" t="s">
        <v>520</v>
      </c>
      <c r="I246" s="212" t="s">
        <v>520</v>
      </c>
      <c r="J246" s="212" t="s">
        <v>520</v>
      </c>
      <c r="K246" s="212" t="s">
        <v>520</v>
      </c>
      <c r="L246" s="212" t="s">
        <v>520</v>
      </c>
      <c r="M246" s="212" t="s">
        <v>520</v>
      </c>
      <c r="N246" s="212" t="s">
        <v>520</v>
      </c>
      <c r="O246" s="212" t="s">
        <v>520</v>
      </c>
      <c r="P246" s="212" t="s">
        <v>520</v>
      </c>
      <c r="Q246" s="212" t="s">
        <v>520</v>
      </c>
      <c r="R246" s="212" t="s">
        <v>520</v>
      </c>
      <c r="S246" s="271">
        <v>10</v>
      </c>
      <c r="T246" s="212" t="s">
        <v>520</v>
      </c>
      <c r="U246" s="212" t="s">
        <v>520</v>
      </c>
      <c r="V246" s="212" t="s">
        <v>520</v>
      </c>
      <c r="W246" s="212" t="s">
        <v>520</v>
      </c>
      <c r="X246" s="212" t="s">
        <v>520</v>
      </c>
      <c r="Y246" s="212" t="s">
        <v>520</v>
      </c>
      <c r="Z246" s="212" t="s">
        <v>520</v>
      </c>
      <c r="AA246" s="212" t="s">
        <v>520</v>
      </c>
      <c r="AB246" s="212" t="s">
        <v>520</v>
      </c>
      <c r="AC246" s="214" t="s">
        <v>520</v>
      </c>
      <c r="AD246" s="132" t="s">
        <v>568</v>
      </c>
      <c r="AE246" s="132" t="s">
        <v>568</v>
      </c>
      <c r="AF246" s="99"/>
      <c r="AG246" s="55" t="str">
        <f>VLOOKUP(C246,'Safety-Plant'!B:B,1,FALSE)</f>
        <v>FC225</v>
      </c>
    </row>
    <row r="247" spans="1:33" s="52" customFormat="1" ht="16.5" customHeight="1">
      <c r="A247" s="88" t="s">
        <v>739</v>
      </c>
      <c r="B247" s="119"/>
      <c r="C247" s="120" t="s">
        <v>437</v>
      </c>
      <c r="D247" s="211" t="s">
        <v>438</v>
      </c>
      <c r="E247" s="188" t="s">
        <v>824</v>
      </c>
      <c r="F247" s="81">
        <v>12</v>
      </c>
      <c r="G247" s="212" t="s">
        <v>520</v>
      </c>
      <c r="H247" s="212" t="s">
        <v>520</v>
      </c>
      <c r="I247" s="212" t="s">
        <v>520</v>
      </c>
      <c r="J247" s="212" t="s">
        <v>520</v>
      </c>
      <c r="K247" s="212" t="s">
        <v>520</v>
      </c>
      <c r="L247" s="212" t="s">
        <v>520</v>
      </c>
      <c r="M247" s="212" t="s">
        <v>520</v>
      </c>
      <c r="N247" s="212" t="s">
        <v>520</v>
      </c>
      <c r="O247" s="212" t="s">
        <v>520</v>
      </c>
      <c r="P247" s="212" t="s">
        <v>520</v>
      </c>
      <c r="Q247" s="212" t="s">
        <v>520</v>
      </c>
      <c r="R247" s="212" t="s">
        <v>520</v>
      </c>
      <c r="S247" s="271">
        <v>10</v>
      </c>
      <c r="T247" s="212" t="s">
        <v>520</v>
      </c>
      <c r="U247" s="212" t="s">
        <v>520</v>
      </c>
      <c r="V247" s="212" t="s">
        <v>520</v>
      </c>
      <c r="W247" s="212" t="s">
        <v>520</v>
      </c>
      <c r="X247" s="212" t="s">
        <v>520</v>
      </c>
      <c r="Y247" s="212" t="s">
        <v>520</v>
      </c>
      <c r="Z247" s="212" t="s">
        <v>520</v>
      </c>
      <c r="AA247" s="212" t="s">
        <v>520</v>
      </c>
      <c r="AB247" s="212" t="s">
        <v>520</v>
      </c>
      <c r="AC247" s="214" t="s">
        <v>520</v>
      </c>
      <c r="AD247" s="132" t="s">
        <v>568</v>
      </c>
      <c r="AE247" s="132" t="s">
        <v>568</v>
      </c>
      <c r="AF247" s="99"/>
      <c r="AG247" s="55" t="str">
        <f>VLOOKUP(C247,'Safety-Plant'!B:B,1,FALSE)</f>
        <v>FC267</v>
      </c>
    </row>
    <row r="248" spans="1:33" s="52" customFormat="1" ht="16.5" customHeight="1">
      <c r="A248" s="88" t="s">
        <v>739</v>
      </c>
      <c r="B248" s="119"/>
      <c r="C248" s="131" t="s">
        <v>439</v>
      </c>
      <c r="D248" s="211" t="s">
        <v>440</v>
      </c>
      <c r="E248" s="120" t="s">
        <v>825</v>
      </c>
      <c r="F248" s="81">
        <v>12</v>
      </c>
      <c r="G248" s="212" t="s">
        <v>520</v>
      </c>
      <c r="H248" s="212" t="s">
        <v>520</v>
      </c>
      <c r="I248" s="212" t="s">
        <v>520</v>
      </c>
      <c r="J248" s="212" t="s">
        <v>520</v>
      </c>
      <c r="K248" s="212" t="s">
        <v>520</v>
      </c>
      <c r="L248" s="212" t="s">
        <v>520</v>
      </c>
      <c r="M248" s="212" t="s">
        <v>520</v>
      </c>
      <c r="N248" s="212" t="s">
        <v>520</v>
      </c>
      <c r="O248" s="212" t="s">
        <v>520</v>
      </c>
      <c r="P248" s="212" t="s">
        <v>520</v>
      </c>
      <c r="Q248" s="212" t="s">
        <v>520</v>
      </c>
      <c r="R248" s="212" t="s">
        <v>520</v>
      </c>
      <c r="S248" s="271">
        <v>10</v>
      </c>
      <c r="T248" s="212" t="s">
        <v>520</v>
      </c>
      <c r="U248" s="212" t="s">
        <v>520</v>
      </c>
      <c r="V248" s="212" t="s">
        <v>520</v>
      </c>
      <c r="W248" s="212" t="s">
        <v>520</v>
      </c>
      <c r="X248" s="212" t="s">
        <v>520</v>
      </c>
      <c r="Y248" s="212" t="s">
        <v>520</v>
      </c>
      <c r="Z248" s="212" t="s">
        <v>520</v>
      </c>
      <c r="AA248" s="212" t="s">
        <v>520</v>
      </c>
      <c r="AB248" s="212" t="s">
        <v>520</v>
      </c>
      <c r="AC248" s="214" t="s">
        <v>520</v>
      </c>
      <c r="AD248" s="132" t="s">
        <v>568</v>
      </c>
      <c r="AE248" s="132" t="s">
        <v>568</v>
      </c>
      <c r="AF248" s="99"/>
      <c r="AG248" s="55" t="str">
        <f>VLOOKUP(C248,'Safety-Plant'!B:B,1,FALSE)</f>
        <v>FC338</v>
      </c>
    </row>
    <row r="249" spans="1:33" s="52" customFormat="1" ht="16.5" customHeight="1">
      <c r="A249" s="88" t="s">
        <v>739</v>
      </c>
      <c r="B249" s="119"/>
      <c r="C249" s="92" t="s">
        <v>441</v>
      </c>
      <c r="D249" s="227" t="s">
        <v>442</v>
      </c>
      <c r="E249" s="276" t="s">
        <v>826</v>
      </c>
      <c r="F249" s="81">
        <v>12</v>
      </c>
      <c r="G249" s="212" t="s">
        <v>520</v>
      </c>
      <c r="H249" s="212" t="s">
        <v>520</v>
      </c>
      <c r="I249" s="212" t="s">
        <v>520</v>
      </c>
      <c r="J249" s="212" t="s">
        <v>520</v>
      </c>
      <c r="K249" s="212" t="s">
        <v>520</v>
      </c>
      <c r="L249" s="212" t="s">
        <v>520</v>
      </c>
      <c r="M249" s="212" t="s">
        <v>520</v>
      </c>
      <c r="N249" s="212" t="s">
        <v>520</v>
      </c>
      <c r="O249" s="212" t="s">
        <v>520</v>
      </c>
      <c r="P249" s="212" t="s">
        <v>520</v>
      </c>
      <c r="Q249" s="212" t="s">
        <v>520</v>
      </c>
      <c r="R249" s="212" t="s">
        <v>520</v>
      </c>
      <c r="S249" s="271">
        <v>10</v>
      </c>
      <c r="T249" s="212" t="s">
        <v>520</v>
      </c>
      <c r="U249" s="212" t="s">
        <v>520</v>
      </c>
      <c r="V249" s="212" t="s">
        <v>520</v>
      </c>
      <c r="W249" s="212" t="s">
        <v>520</v>
      </c>
      <c r="X249" s="212" t="s">
        <v>520</v>
      </c>
      <c r="Y249" s="212" t="s">
        <v>520</v>
      </c>
      <c r="Z249" s="212" t="s">
        <v>520</v>
      </c>
      <c r="AA249" s="212" t="s">
        <v>520</v>
      </c>
      <c r="AB249" s="212" t="s">
        <v>520</v>
      </c>
      <c r="AC249" s="214" t="s">
        <v>520</v>
      </c>
      <c r="AD249" s="132" t="s">
        <v>568</v>
      </c>
      <c r="AE249" s="132" t="s">
        <v>568</v>
      </c>
      <c r="AF249" s="99"/>
      <c r="AG249" s="55" t="str">
        <f>VLOOKUP(C249,'Safety-Plant'!B:B,1,FALSE)</f>
        <v>FC391</v>
      </c>
    </row>
    <row r="250" spans="1:33" s="52" customFormat="1" ht="16.5" customHeight="1">
      <c r="A250" s="88" t="s">
        <v>739</v>
      </c>
      <c r="B250" s="285"/>
      <c r="C250" s="295" t="s">
        <v>528</v>
      </c>
      <c r="D250" s="296" t="s">
        <v>529</v>
      </c>
      <c r="E250" s="297" t="s">
        <v>827</v>
      </c>
      <c r="F250" s="81">
        <v>12</v>
      </c>
      <c r="G250" s="212" t="s">
        <v>520</v>
      </c>
      <c r="H250" s="212" t="s">
        <v>520</v>
      </c>
      <c r="I250" s="212" t="s">
        <v>520</v>
      </c>
      <c r="J250" s="212" t="s">
        <v>520</v>
      </c>
      <c r="K250" s="212" t="s">
        <v>520</v>
      </c>
      <c r="L250" s="212" t="s">
        <v>520</v>
      </c>
      <c r="M250" s="212" t="s">
        <v>520</v>
      </c>
      <c r="N250" s="212" t="s">
        <v>520</v>
      </c>
      <c r="O250" s="212" t="s">
        <v>520</v>
      </c>
      <c r="P250" s="212" t="s">
        <v>520</v>
      </c>
      <c r="Q250" s="212" t="s">
        <v>520</v>
      </c>
      <c r="R250" s="212" t="s">
        <v>520</v>
      </c>
      <c r="S250" s="271">
        <v>10</v>
      </c>
      <c r="T250" s="212" t="s">
        <v>520</v>
      </c>
      <c r="U250" s="212" t="s">
        <v>520</v>
      </c>
      <c r="V250" s="212" t="s">
        <v>520</v>
      </c>
      <c r="W250" s="212" t="s">
        <v>520</v>
      </c>
      <c r="X250" s="212" t="s">
        <v>520</v>
      </c>
      <c r="Y250" s="212" t="s">
        <v>520</v>
      </c>
      <c r="Z250" s="212" t="s">
        <v>520</v>
      </c>
      <c r="AA250" s="212" t="s">
        <v>520</v>
      </c>
      <c r="AB250" s="212" t="s">
        <v>520</v>
      </c>
      <c r="AC250" s="214" t="s">
        <v>520</v>
      </c>
      <c r="AD250" s="132" t="s">
        <v>821</v>
      </c>
      <c r="AE250" s="132" t="s">
        <v>558</v>
      </c>
      <c r="AF250" s="99"/>
      <c r="AG250" s="55" t="str">
        <f>VLOOKUP(C250,'Safety-Plant'!B:B,1,FALSE)</f>
        <v>FC022</v>
      </c>
    </row>
    <row r="251" spans="1:33" s="52" customFormat="1" ht="16.5" customHeight="1">
      <c r="A251" s="88" t="s">
        <v>739</v>
      </c>
      <c r="B251" s="119"/>
      <c r="C251" s="298" t="s">
        <v>828</v>
      </c>
      <c r="D251" s="299" t="s">
        <v>609</v>
      </c>
      <c r="E251" s="300" t="s">
        <v>829</v>
      </c>
      <c r="F251" s="81">
        <v>12</v>
      </c>
      <c r="G251" s="212" t="s">
        <v>520</v>
      </c>
      <c r="H251" s="212" t="s">
        <v>520</v>
      </c>
      <c r="I251" s="212" t="s">
        <v>520</v>
      </c>
      <c r="J251" s="212" t="s">
        <v>520</v>
      </c>
      <c r="K251" s="212" t="s">
        <v>520</v>
      </c>
      <c r="L251" s="212" t="s">
        <v>520</v>
      </c>
      <c r="M251" s="212" t="s">
        <v>520</v>
      </c>
      <c r="N251" s="212" t="s">
        <v>520</v>
      </c>
      <c r="O251" s="212" t="s">
        <v>520</v>
      </c>
      <c r="P251" s="212" t="s">
        <v>520</v>
      </c>
      <c r="Q251" s="212" t="s">
        <v>520</v>
      </c>
      <c r="R251" s="212" t="s">
        <v>520</v>
      </c>
      <c r="S251" s="271">
        <v>10</v>
      </c>
      <c r="T251" s="212" t="s">
        <v>520</v>
      </c>
      <c r="U251" s="212" t="s">
        <v>520</v>
      </c>
      <c r="V251" s="212" t="s">
        <v>520</v>
      </c>
      <c r="W251" s="212" t="s">
        <v>520</v>
      </c>
      <c r="X251" s="212" t="s">
        <v>520</v>
      </c>
      <c r="Y251" s="212" t="s">
        <v>520</v>
      </c>
      <c r="Z251" s="212" t="s">
        <v>520</v>
      </c>
      <c r="AA251" s="212" t="s">
        <v>520</v>
      </c>
      <c r="AB251" s="212" t="s">
        <v>520</v>
      </c>
      <c r="AC251" s="214" t="s">
        <v>520</v>
      </c>
      <c r="AD251" s="132" t="s">
        <v>821</v>
      </c>
      <c r="AE251" s="132" t="s">
        <v>558</v>
      </c>
      <c r="AF251" s="301"/>
      <c r="AG251" s="55" t="str">
        <f>VLOOKUP(C251,'Safety-Plant'!B:B,1,FALSE)</f>
        <v>FC405</v>
      </c>
    </row>
    <row r="252" spans="1:33" s="52" customFormat="1" ht="16.5" customHeight="1" thickBot="1">
      <c r="A252" s="88" t="s">
        <v>739</v>
      </c>
      <c r="B252" s="302" t="s">
        <v>830</v>
      </c>
      <c r="C252" s="158" t="s">
        <v>443</v>
      </c>
      <c r="D252" s="303" t="s">
        <v>444</v>
      </c>
      <c r="E252" s="226" t="s">
        <v>831</v>
      </c>
      <c r="F252" s="109"/>
      <c r="G252" s="110"/>
      <c r="H252" s="110"/>
      <c r="I252" s="110"/>
      <c r="J252" s="110"/>
      <c r="K252" s="110"/>
      <c r="L252" s="110"/>
      <c r="M252" s="110"/>
      <c r="N252" s="110"/>
      <c r="O252" s="110"/>
      <c r="P252" s="110"/>
      <c r="Q252" s="110"/>
      <c r="R252" s="110"/>
      <c r="S252" s="111"/>
      <c r="T252" s="110"/>
      <c r="U252" s="110"/>
      <c r="V252" s="110"/>
      <c r="W252" s="110"/>
      <c r="X252" s="110"/>
      <c r="Y252" s="110"/>
      <c r="Z252" s="110"/>
      <c r="AA252" s="110"/>
      <c r="AB252" s="110"/>
      <c r="AC252" s="112"/>
      <c r="AD252" s="113"/>
      <c r="AE252" s="114" t="s">
        <v>558</v>
      </c>
      <c r="AF252" s="115"/>
      <c r="AG252" s="55" t="str">
        <f>VLOOKUP(C252,'Safety-Plant'!B:B,1,FALSE)</f>
        <v>ZZP9</v>
      </c>
    </row>
    <row r="253" spans="1:33" s="52" customFormat="1" ht="16.5" customHeight="1">
      <c r="A253" s="304" t="s">
        <v>832</v>
      </c>
      <c r="B253" s="54" t="s">
        <v>833</v>
      </c>
      <c r="C253" s="77" t="s">
        <v>445</v>
      </c>
      <c r="D253" s="79" t="s">
        <v>446</v>
      </c>
      <c r="E253" s="80" t="s">
        <v>834</v>
      </c>
      <c r="F253" s="93"/>
      <c r="G253" s="95"/>
      <c r="H253" s="95"/>
      <c r="I253" s="95"/>
      <c r="J253" s="95"/>
      <c r="K253" s="95"/>
      <c r="L253" s="95"/>
      <c r="M253" s="95"/>
      <c r="N253" s="95"/>
      <c r="O253" s="95"/>
      <c r="P253" s="95"/>
      <c r="Q253" s="95"/>
      <c r="R253" s="95"/>
      <c r="S253" s="96"/>
      <c r="T253" s="95"/>
      <c r="U253" s="95"/>
      <c r="V253" s="95"/>
      <c r="W253" s="95"/>
      <c r="X253" s="95"/>
      <c r="Y253" s="95"/>
      <c r="Z253" s="95"/>
      <c r="AA253" s="95"/>
      <c r="AB253" s="95"/>
      <c r="AC253" s="97"/>
      <c r="AD253" s="85"/>
      <c r="AE253" s="186" t="s">
        <v>558</v>
      </c>
      <c r="AF253" s="143"/>
      <c r="AG253" s="55" t="str">
        <f>VLOOKUP(C253,'Safety-Plant'!B:B,1,FALSE)</f>
        <v>FC006</v>
      </c>
    </row>
    <row r="254" spans="1:33" s="52" customFormat="1" ht="16.5" customHeight="1">
      <c r="A254" s="88" t="s">
        <v>832</v>
      </c>
      <c r="B254" s="119"/>
      <c r="C254" s="92" t="s">
        <v>447</v>
      </c>
      <c r="D254" s="211" t="s">
        <v>448</v>
      </c>
      <c r="E254" s="103" t="s">
        <v>835</v>
      </c>
      <c r="F254" s="93"/>
      <c r="G254" s="95"/>
      <c r="H254" s="95"/>
      <c r="I254" s="95"/>
      <c r="J254" s="95"/>
      <c r="K254" s="95"/>
      <c r="L254" s="95"/>
      <c r="M254" s="95"/>
      <c r="N254" s="95"/>
      <c r="O254" s="95"/>
      <c r="P254" s="95"/>
      <c r="Q254" s="95"/>
      <c r="R254" s="95"/>
      <c r="S254" s="96"/>
      <c r="T254" s="95"/>
      <c r="U254" s="95"/>
      <c r="V254" s="95"/>
      <c r="W254" s="95"/>
      <c r="X254" s="95"/>
      <c r="Y254" s="95"/>
      <c r="Z254" s="95"/>
      <c r="AA254" s="95"/>
      <c r="AB254" s="95"/>
      <c r="AC254" s="97"/>
      <c r="AD254" s="85"/>
      <c r="AE254" s="132" t="s">
        <v>558</v>
      </c>
      <c r="AF254" s="99"/>
      <c r="AG254" s="55" t="str">
        <f>VLOOKUP(C254,'Safety-Plant'!B:B,1,FALSE)</f>
        <v>FC213</v>
      </c>
    </row>
    <row r="255" spans="1:33" s="52" customFormat="1" ht="16.5" customHeight="1">
      <c r="A255" s="88" t="s">
        <v>832</v>
      </c>
      <c r="B255" s="150"/>
      <c r="C255" s="103" t="s">
        <v>449</v>
      </c>
      <c r="D255" s="211" t="s">
        <v>450</v>
      </c>
      <c r="E255" s="103" t="s">
        <v>836</v>
      </c>
      <c r="F255" s="93"/>
      <c r="G255" s="95"/>
      <c r="H255" s="95"/>
      <c r="I255" s="95"/>
      <c r="J255" s="95"/>
      <c r="K255" s="95"/>
      <c r="L255" s="95"/>
      <c r="M255" s="95"/>
      <c r="N255" s="95"/>
      <c r="O255" s="95"/>
      <c r="P255" s="95"/>
      <c r="Q255" s="95"/>
      <c r="R255" s="95"/>
      <c r="S255" s="96"/>
      <c r="T255" s="95"/>
      <c r="U255" s="95"/>
      <c r="V255" s="95"/>
      <c r="W255" s="95"/>
      <c r="X255" s="95"/>
      <c r="Y255" s="95"/>
      <c r="Z255" s="95"/>
      <c r="AA255" s="95"/>
      <c r="AB255" s="95"/>
      <c r="AC255" s="97"/>
      <c r="AD255" s="85"/>
      <c r="AE255" s="305" t="s">
        <v>569</v>
      </c>
      <c r="AF255" s="99"/>
      <c r="AG255" s="55" t="str">
        <f>VLOOKUP(C255,'Safety-Plant'!B:B,1,FALSE)</f>
        <v>FC027</v>
      </c>
    </row>
    <row r="256" spans="1:33" s="52" customFormat="1" ht="16.5" customHeight="1">
      <c r="A256" s="88" t="s">
        <v>832</v>
      </c>
      <c r="B256" s="119"/>
      <c r="C256" s="103" t="s">
        <v>451</v>
      </c>
      <c r="D256" s="211" t="s">
        <v>452</v>
      </c>
      <c r="E256" s="103" t="s">
        <v>837</v>
      </c>
      <c r="F256" s="93"/>
      <c r="G256" s="95"/>
      <c r="H256" s="95"/>
      <c r="I256" s="95"/>
      <c r="J256" s="95"/>
      <c r="K256" s="95"/>
      <c r="L256" s="95"/>
      <c r="M256" s="95"/>
      <c r="N256" s="95"/>
      <c r="O256" s="95"/>
      <c r="P256" s="95"/>
      <c r="Q256" s="95"/>
      <c r="R256" s="95"/>
      <c r="S256" s="96"/>
      <c r="T256" s="95"/>
      <c r="U256" s="95"/>
      <c r="V256" s="95"/>
      <c r="W256" s="95"/>
      <c r="X256" s="95"/>
      <c r="Y256" s="95"/>
      <c r="Z256" s="95"/>
      <c r="AA256" s="95"/>
      <c r="AB256" s="95"/>
      <c r="AC256" s="97"/>
      <c r="AD256" s="85"/>
      <c r="AE256" s="305" t="s">
        <v>569</v>
      </c>
      <c r="AF256" s="99"/>
      <c r="AG256" s="55" t="str">
        <f>VLOOKUP(C256,'Safety-Plant'!B:B,1,FALSE)</f>
        <v>FC058</v>
      </c>
    </row>
    <row r="257" spans="1:33" s="52" customFormat="1" ht="16.5" customHeight="1">
      <c r="A257" s="88" t="s">
        <v>832</v>
      </c>
      <c r="B257" s="119"/>
      <c r="C257" s="120" t="s">
        <v>453</v>
      </c>
      <c r="D257" s="211" t="s">
        <v>454</v>
      </c>
      <c r="E257" s="103" t="s">
        <v>837</v>
      </c>
      <c r="F257" s="93"/>
      <c r="G257" s="95"/>
      <c r="H257" s="95"/>
      <c r="I257" s="95"/>
      <c r="J257" s="95"/>
      <c r="K257" s="95"/>
      <c r="L257" s="95"/>
      <c r="M257" s="95"/>
      <c r="N257" s="95"/>
      <c r="O257" s="95"/>
      <c r="P257" s="95"/>
      <c r="Q257" s="95"/>
      <c r="R257" s="95"/>
      <c r="S257" s="96"/>
      <c r="T257" s="95"/>
      <c r="U257" s="95"/>
      <c r="V257" s="95"/>
      <c r="W257" s="95"/>
      <c r="X257" s="95"/>
      <c r="Y257" s="95"/>
      <c r="Z257" s="95"/>
      <c r="AA257" s="95"/>
      <c r="AB257" s="95"/>
      <c r="AC257" s="97"/>
      <c r="AD257" s="85"/>
      <c r="AE257" s="305" t="s">
        <v>569</v>
      </c>
      <c r="AF257" s="99"/>
      <c r="AG257" s="55" t="str">
        <f>VLOOKUP(C257,'Safety-Plant'!B:B,1,FALSE)</f>
        <v>FC212</v>
      </c>
    </row>
    <row r="258" spans="1:33" s="52" customFormat="1" ht="16.5" customHeight="1">
      <c r="A258" s="88" t="s">
        <v>832</v>
      </c>
      <c r="B258" s="119"/>
      <c r="C258" s="120" t="s">
        <v>455</v>
      </c>
      <c r="D258" s="211" t="s">
        <v>456</v>
      </c>
      <c r="E258" s="103" t="s">
        <v>838</v>
      </c>
      <c r="F258" s="93"/>
      <c r="G258" s="95"/>
      <c r="H258" s="95"/>
      <c r="I258" s="95"/>
      <c r="J258" s="95"/>
      <c r="K258" s="95"/>
      <c r="L258" s="95"/>
      <c r="M258" s="95"/>
      <c r="N258" s="95"/>
      <c r="O258" s="95"/>
      <c r="P258" s="95"/>
      <c r="Q258" s="95"/>
      <c r="R258" s="95"/>
      <c r="S258" s="96"/>
      <c r="T258" s="95"/>
      <c r="U258" s="95"/>
      <c r="V258" s="95"/>
      <c r="W258" s="95"/>
      <c r="X258" s="95"/>
      <c r="Y258" s="95"/>
      <c r="Z258" s="95"/>
      <c r="AA258" s="95"/>
      <c r="AB258" s="95"/>
      <c r="AC258" s="97"/>
      <c r="AD258" s="85"/>
      <c r="AE258" s="305" t="s">
        <v>569</v>
      </c>
      <c r="AF258" s="99"/>
      <c r="AG258" s="55" t="str">
        <f>VLOOKUP(C258,'Safety-Plant'!B:B,1,FALSE)</f>
        <v>FC218</v>
      </c>
    </row>
    <row r="259" spans="1:33" s="52" customFormat="1" ht="16.5" customHeight="1">
      <c r="A259" s="88" t="s">
        <v>832</v>
      </c>
      <c r="B259" s="119"/>
      <c r="C259" s="120" t="s">
        <v>457</v>
      </c>
      <c r="D259" s="211" t="s">
        <v>458</v>
      </c>
      <c r="E259" s="103" t="s">
        <v>839</v>
      </c>
      <c r="F259" s="93"/>
      <c r="G259" s="95"/>
      <c r="H259" s="95"/>
      <c r="I259" s="95"/>
      <c r="J259" s="95"/>
      <c r="K259" s="95"/>
      <c r="L259" s="95"/>
      <c r="M259" s="95"/>
      <c r="N259" s="95"/>
      <c r="O259" s="95"/>
      <c r="P259" s="95"/>
      <c r="Q259" s="95"/>
      <c r="R259" s="95"/>
      <c r="S259" s="96"/>
      <c r="T259" s="95"/>
      <c r="U259" s="95"/>
      <c r="V259" s="95"/>
      <c r="W259" s="95"/>
      <c r="X259" s="95"/>
      <c r="Y259" s="95"/>
      <c r="Z259" s="95"/>
      <c r="AA259" s="95"/>
      <c r="AB259" s="95"/>
      <c r="AC259" s="97"/>
      <c r="AD259" s="85"/>
      <c r="AE259" s="305" t="s">
        <v>569</v>
      </c>
      <c r="AF259" s="99"/>
      <c r="AG259" s="55" t="str">
        <f>VLOOKUP(C259,'Safety-Plant'!B:B,1,FALSE)</f>
        <v>FC238</v>
      </c>
    </row>
    <row r="260" spans="1:33" s="52" customFormat="1" ht="16.5" customHeight="1">
      <c r="A260" s="88" t="s">
        <v>832</v>
      </c>
      <c r="B260" s="119"/>
      <c r="C260" s="120" t="s">
        <v>459</v>
      </c>
      <c r="D260" s="211" t="s">
        <v>460</v>
      </c>
      <c r="E260" s="103" t="s">
        <v>839</v>
      </c>
      <c r="F260" s="93"/>
      <c r="G260" s="95"/>
      <c r="H260" s="95"/>
      <c r="I260" s="95"/>
      <c r="J260" s="95"/>
      <c r="K260" s="95"/>
      <c r="L260" s="95"/>
      <c r="M260" s="95"/>
      <c r="N260" s="95"/>
      <c r="O260" s="95"/>
      <c r="P260" s="95"/>
      <c r="Q260" s="95"/>
      <c r="R260" s="95"/>
      <c r="S260" s="96"/>
      <c r="T260" s="95"/>
      <c r="U260" s="95"/>
      <c r="V260" s="95"/>
      <c r="W260" s="95"/>
      <c r="X260" s="95"/>
      <c r="Y260" s="95"/>
      <c r="Z260" s="95"/>
      <c r="AA260" s="95"/>
      <c r="AB260" s="95"/>
      <c r="AC260" s="97"/>
      <c r="AD260" s="85"/>
      <c r="AE260" s="305" t="s">
        <v>569</v>
      </c>
      <c r="AF260" s="99"/>
      <c r="AG260" s="55" t="str">
        <f>VLOOKUP(C260,'Safety-Plant'!B:B,1,FALSE)</f>
        <v>FC310</v>
      </c>
    </row>
    <row r="261" spans="1:33" s="52" customFormat="1" ht="16.5" customHeight="1">
      <c r="A261" s="88" t="s">
        <v>832</v>
      </c>
      <c r="B261" s="168"/>
      <c r="C261" s="120" t="s">
        <v>461</v>
      </c>
      <c r="D261" s="227" t="s">
        <v>462</v>
      </c>
      <c r="E261" s="120" t="s">
        <v>840</v>
      </c>
      <c r="F261" s="93"/>
      <c r="G261" s="95"/>
      <c r="H261" s="95"/>
      <c r="I261" s="95"/>
      <c r="J261" s="95"/>
      <c r="K261" s="95"/>
      <c r="L261" s="95"/>
      <c r="M261" s="95"/>
      <c r="N261" s="95"/>
      <c r="O261" s="95"/>
      <c r="P261" s="95"/>
      <c r="Q261" s="95"/>
      <c r="R261" s="95"/>
      <c r="S261" s="96"/>
      <c r="T261" s="95"/>
      <c r="U261" s="95"/>
      <c r="V261" s="95"/>
      <c r="W261" s="95"/>
      <c r="X261" s="95"/>
      <c r="Y261" s="95"/>
      <c r="Z261" s="95"/>
      <c r="AA261" s="95"/>
      <c r="AB261" s="95"/>
      <c r="AC261" s="97"/>
      <c r="AD261" s="85"/>
      <c r="AE261" s="305" t="s">
        <v>569</v>
      </c>
      <c r="AF261" s="99"/>
      <c r="AG261" s="55" t="str">
        <f>VLOOKUP(C261,'Safety-Plant'!B:B,1,FALSE)</f>
        <v>FC366</v>
      </c>
    </row>
    <row r="262" spans="1:33" s="52" customFormat="1" ht="16.5" customHeight="1">
      <c r="A262" s="283" t="s">
        <v>832</v>
      </c>
      <c r="B262" s="54" t="s">
        <v>841</v>
      </c>
      <c r="C262" s="131" t="s">
        <v>463</v>
      </c>
      <c r="D262" s="223" t="s">
        <v>464</v>
      </c>
      <c r="E262" s="189" t="s">
        <v>842</v>
      </c>
      <c r="F262" s="93"/>
      <c r="G262" s="95"/>
      <c r="H262" s="95"/>
      <c r="I262" s="95"/>
      <c r="J262" s="95"/>
      <c r="K262" s="95"/>
      <c r="L262" s="95"/>
      <c r="M262" s="95"/>
      <c r="N262" s="95"/>
      <c r="O262" s="95"/>
      <c r="P262" s="95"/>
      <c r="Q262" s="95"/>
      <c r="R262" s="95"/>
      <c r="S262" s="96"/>
      <c r="T262" s="95"/>
      <c r="U262" s="95"/>
      <c r="V262" s="95"/>
      <c r="W262" s="95"/>
      <c r="X262" s="95"/>
      <c r="Y262" s="95"/>
      <c r="Z262" s="95"/>
      <c r="AA262" s="95"/>
      <c r="AB262" s="95"/>
      <c r="AC262" s="97"/>
      <c r="AD262" s="85"/>
      <c r="AE262" s="132" t="s">
        <v>558</v>
      </c>
      <c r="AF262" s="99"/>
      <c r="AG262" s="55" t="str">
        <f>VLOOKUP(C262,'Safety-Plant'!B:B,1,FALSE)</f>
        <v>FC028</v>
      </c>
    </row>
    <row r="263" spans="1:33" s="52" customFormat="1" ht="16.5" customHeight="1">
      <c r="A263" s="88" t="s">
        <v>832</v>
      </c>
      <c r="B263" s="128"/>
      <c r="C263" s="131" t="s">
        <v>465</v>
      </c>
      <c r="D263" s="211" t="s">
        <v>466</v>
      </c>
      <c r="E263" s="103" t="s">
        <v>843</v>
      </c>
      <c r="F263" s="93"/>
      <c r="G263" s="95"/>
      <c r="H263" s="95"/>
      <c r="I263" s="95"/>
      <c r="J263" s="95"/>
      <c r="K263" s="95"/>
      <c r="L263" s="95"/>
      <c r="M263" s="95"/>
      <c r="N263" s="95"/>
      <c r="O263" s="95"/>
      <c r="P263" s="95"/>
      <c r="Q263" s="95"/>
      <c r="R263" s="95"/>
      <c r="S263" s="96"/>
      <c r="T263" s="95"/>
      <c r="U263" s="95"/>
      <c r="V263" s="95"/>
      <c r="W263" s="95"/>
      <c r="X263" s="95"/>
      <c r="Y263" s="95"/>
      <c r="Z263" s="95"/>
      <c r="AA263" s="95"/>
      <c r="AB263" s="95"/>
      <c r="AC263" s="97"/>
      <c r="AD263" s="85"/>
      <c r="AE263" s="132" t="s">
        <v>558</v>
      </c>
      <c r="AF263" s="99"/>
      <c r="AG263" s="55" t="str">
        <f>VLOOKUP(C263,'Safety-Plant'!B:B,1,FALSE)</f>
        <v>FC082</v>
      </c>
    </row>
    <row r="264" spans="1:33" s="52" customFormat="1" ht="16.5" customHeight="1">
      <c r="A264" s="88" t="s">
        <v>832</v>
      </c>
      <c r="B264" s="306"/>
      <c r="C264" s="131" t="s">
        <v>467</v>
      </c>
      <c r="D264" s="211" t="s">
        <v>468</v>
      </c>
      <c r="E264" s="103" t="s">
        <v>843</v>
      </c>
      <c r="F264" s="93"/>
      <c r="G264" s="95"/>
      <c r="H264" s="95"/>
      <c r="I264" s="95"/>
      <c r="J264" s="95"/>
      <c r="K264" s="95"/>
      <c r="L264" s="95"/>
      <c r="M264" s="95"/>
      <c r="N264" s="95"/>
      <c r="O264" s="95"/>
      <c r="P264" s="95"/>
      <c r="Q264" s="95"/>
      <c r="R264" s="95"/>
      <c r="S264" s="96"/>
      <c r="T264" s="95"/>
      <c r="U264" s="95"/>
      <c r="V264" s="95"/>
      <c r="W264" s="95"/>
      <c r="X264" s="95"/>
      <c r="Y264" s="95"/>
      <c r="Z264" s="95"/>
      <c r="AA264" s="95"/>
      <c r="AB264" s="95"/>
      <c r="AC264" s="97"/>
      <c r="AD264" s="85"/>
      <c r="AE264" s="132" t="s">
        <v>558</v>
      </c>
      <c r="AF264" s="99"/>
      <c r="AG264" s="55" t="str">
        <f>VLOOKUP(C264,'Safety-Plant'!B:B,1,FALSE)</f>
        <v>FC210</v>
      </c>
    </row>
    <row r="265" spans="1:33" s="52" customFormat="1" ht="16.5" customHeight="1">
      <c r="A265" s="88" t="s">
        <v>832</v>
      </c>
      <c r="B265" s="119"/>
      <c r="C265" s="131" t="s">
        <v>469</v>
      </c>
      <c r="D265" s="211" t="s">
        <v>470</v>
      </c>
      <c r="E265" s="103" t="s">
        <v>844</v>
      </c>
      <c r="F265" s="93"/>
      <c r="G265" s="95"/>
      <c r="H265" s="95"/>
      <c r="I265" s="95"/>
      <c r="J265" s="95"/>
      <c r="K265" s="95"/>
      <c r="L265" s="95"/>
      <c r="M265" s="95"/>
      <c r="N265" s="95"/>
      <c r="O265" s="95"/>
      <c r="P265" s="95"/>
      <c r="Q265" s="95"/>
      <c r="R265" s="95"/>
      <c r="S265" s="96"/>
      <c r="T265" s="95"/>
      <c r="U265" s="95"/>
      <c r="V265" s="95"/>
      <c r="W265" s="95"/>
      <c r="X265" s="95"/>
      <c r="Y265" s="95"/>
      <c r="Z265" s="95"/>
      <c r="AA265" s="95"/>
      <c r="AB265" s="95"/>
      <c r="AC265" s="97"/>
      <c r="AD265" s="85"/>
      <c r="AE265" s="305" t="s">
        <v>569</v>
      </c>
      <c r="AF265" s="99"/>
      <c r="AG265" s="55" t="str">
        <f>VLOOKUP(C265,'Safety-Plant'!B:B,1,FALSE)</f>
        <v>FC072</v>
      </c>
    </row>
    <row r="266" spans="1:33" s="52" customFormat="1" ht="16.5" customHeight="1">
      <c r="A266" s="88" t="s">
        <v>832</v>
      </c>
      <c r="B266" s="119"/>
      <c r="C266" s="120" t="s">
        <v>471</v>
      </c>
      <c r="D266" s="211" t="s">
        <v>472</v>
      </c>
      <c r="E266" s="103" t="s">
        <v>845</v>
      </c>
      <c r="F266" s="93"/>
      <c r="G266" s="95"/>
      <c r="H266" s="95"/>
      <c r="I266" s="95"/>
      <c r="J266" s="95"/>
      <c r="K266" s="95"/>
      <c r="L266" s="95"/>
      <c r="M266" s="95"/>
      <c r="N266" s="95"/>
      <c r="O266" s="95"/>
      <c r="P266" s="95"/>
      <c r="Q266" s="95"/>
      <c r="R266" s="95"/>
      <c r="S266" s="96"/>
      <c r="T266" s="95"/>
      <c r="U266" s="95"/>
      <c r="V266" s="95"/>
      <c r="W266" s="95"/>
      <c r="X266" s="95"/>
      <c r="Y266" s="95"/>
      <c r="Z266" s="95"/>
      <c r="AA266" s="95"/>
      <c r="AB266" s="95"/>
      <c r="AC266" s="97"/>
      <c r="AD266" s="85"/>
      <c r="AE266" s="132" t="s">
        <v>558</v>
      </c>
      <c r="AF266" s="99"/>
      <c r="AG266" s="55" t="str">
        <f>VLOOKUP(C266,'Safety-Plant'!B:B,1,FALSE)</f>
        <v>FC227</v>
      </c>
    </row>
    <row r="267" spans="1:33" s="52" customFormat="1" ht="16.5" customHeight="1">
      <c r="A267" s="88" t="s">
        <v>832</v>
      </c>
      <c r="B267" s="128"/>
      <c r="C267" s="103" t="s">
        <v>473</v>
      </c>
      <c r="D267" s="211" t="s">
        <v>474</v>
      </c>
      <c r="E267" s="103" t="s">
        <v>846</v>
      </c>
      <c r="F267" s="93"/>
      <c r="G267" s="95"/>
      <c r="H267" s="95"/>
      <c r="I267" s="95"/>
      <c r="J267" s="95"/>
      <c r="K267" s="95"/>
      <c r="L267" s="95"/>
      <c r="M267" s="95"/>
      <c r="N267" s="95"/>
      <c r="O267" s="95"/>
      <c r="P267" s="95"/>
      <c r="Q267" s="95"/>
      <c r="R267" s="95"/>
      <c r="S267" s="96"/>
      <c r="T267" s="95"/>
      <c r="U267" s="95"/>
      <c r="V267" s="95"/>
      <c r="W267" s="95"/>
      <c r="X267" s="95"/>
      <c r="Y267" s="95"/>
      <c r="Z267" s="95"/>
      <c r="AA267" s="95"/>
      <c r="AB267" s="95"/>
      <c r="AC267" s="97"/>
      <c r="AD267" s="85"/>
      <c r="AE267" s="305" t="s">
        <v>569</v>
      </c>
      <c r="AF267" s="99"/>
      <c r="AG267" s="55" t="str">
        <f>VLOOKUP(C267,'Safety-Plant'!B:B,1,FALSE)</f>
        <v>FC162</v>
      </c>
    </row>
    <row r="268" spans="1:33" s="52" customFormat="1" ht="16.5" customHeight="1">
      <c r="A268" s="88" t="s">
        <v>832</v>
      </c>
      <c r="B268" s="119"/>
      <c r="C268" s="120" t="s">
        <v>475</v>
      </c>
      <c r="D268" s="211" t="s">
        <v>476</v>
      </c>
      <c r="E268" s="103" t="s">
        <v>847</v>
      </c>
      <c r="F268" s="93"/>
      <c r="G268" s="95"/>
      <c r="H268" s="95"/>
      <c r="I268" s="95"/>
      <c r="J268" s="95"/>
      <c r="K268" s="95"/>
      <c r="L268" s="95"/>
      <c r="M268" s="95"/>
      <c r="N268" s="95"/>
      <c r="O268" s="95"/>
      <c r="P268" s="95"/>
      <c r="Q268" s="95"/>
      <c r="R268" s="95"/>
      <c r="S268" s="96"/>
      <c r="T268" s="95"/>
      <c r="U268" s="95"/>
      <c r="V268" s="95"/>
      <c r="W268" s="95"/>
      <c r="X268" s="95"/>
      <c r="Y268" s="95"/>
      <c r="Z268" s="95"/>
      <c r="AA268" s="95"/>
      <c r="AB268" s="95"/>
      <c r="AC268" s="97"/>
      <c r="AD268" s="85"/>
      <c r="AE268" s="132" t="s">
        <v>558</v>
      </c>
      <c r="AF268" s="99"/>
      <c r="AG268" s="55" t="str">
        <f>VLOOKUP(C268,'Safety-Plant'!B:B,1,FALSE)</f>
        <v>FC127</v>
      </c>
    </row>
    <row r="269" spans="1:33" s="52" customFormat="1" ht="16.5" customHeight="1">
      <c r="A269" s="88" t="s">
        <v>832</v>
      </c>
      <c r="B269" s="119"/>
      <c r="C269" s="120" t="s">
        <v>477</v>
      </c>
      <c r="D269" s="211" t="s">
        <v>478</v>
      </c>
      <c r="E269" s="103" t="s">
        <v>847</v>
      </c>
      <c r="F269" s="93"/>
      <c r="G269" s="95"/>
      <c r="H269" s="95"/>
      <c r="I269" s="95"/>
      <c r="J269" s="95"/>
      <c r="K269" s="95"/>
      <c r="L269" s="95"/>
      <c r="M269" s="95"/>
      <c r="N269" s="95"/>
      <c r="O269" s="95"/>
      <c r="P269" s="95"/>
      <c r="Q269" s="95"/>
      <c r="R269" s="95"/>
      <c r="S269" s="96"/>
      <c r="T269" s="95"/>
      <c r="U269" s="95"/>
      <c r="V269" s="95"/>
      <c r="W269" s="95"/>
      <c r="X269" s="95"/>
      <c r="Y269" s="95"/>
      <c r="Z269" s="95"/>
      <c r="AA269" s="95"/>
      <c r="AB269" s="95"/>
      <c r="AC269" s="97"/>
      <c r="AD269" s="85"/>
      <c r="AE269" s="132" t="s">
        <v>558</v>
      </c>
      <c r="AF269" s="99"/>
      <c r="AG269" s="55" t="str">
        <f>VLOOKUP(C269,'Safety-Plant'!B:B,1,FALSE)</f>
        <v>FC166</v>
      </c>
    </row>
    <row r="270" spans="1:33" ht="16.5" customHeight="1">
      <c r="A270" s="88" t="s">
        <v>832</v>
      </c>
      <c r="B270" s="168"/>
      <c r="C270" s="120" t="s">
        <v>479</v>
      </c>
      <c r="D270" s="211" t="s">
        <v>480</v>
      </c>
      <c r="E270" s="103" t="s">
        <v>848</v>
      </c>
      <c r="F270" s="93"/>
      <c r="G270" s="95"/>
      <c r="H270" s="95"/>
      <c r="I270" s="95"/>
      <c r="J270" s="95"/>
      <c r="K270" s="95"/>
      <c r="L270" s="95"/>
      <c r="M270" s="95"/>
      <c r="N270" s="95"/>
      <c r="O270" s="95"/>
      <c r="P270" s="95"/>
      <c r="Q270" s="95"/>
      <c r="R270" s="95"/>
      <c r="S270" s="96"/>
      <c r="T270" s="95"/>
      <c r="U270" s="95"/>
      <c r="V270" s="95"/>
      <c r="W270" s="95"/>
      <c r="X270" s="95"/>
      <c r="Y270" s="95"/>
      <c r="Z270" s="95"/>
      <c r="AA270" s="95"/>
      <c r="AB270" s="95"/>
      <c r="AC270" s="97"/>
      <c r="AD270" s="85"/>
      <c r="AE270" s="305" t="s">
        <v>570</v>
      </c>
      <c r="AF270" s="99"/>
      <c r="AG270" s="55" t="str">
        <f>VLOOKUP(C270,'Safety-Plant'!B:B,1,FALSE)</f>
        <v>FC199</v>
      </c>
    </row>
    <row r="271" spans="1:33" ht="16.5" customHeight="1">
      <c r="A271" s="88" t="s">
        <v>832</v>
      </c>
      <c r="B271" s="307" t="s">
        <v>849</v>
      </c>
      <c r="C271" s="308" t="s">
        <v>481</v>
      </c>
      <c r="D271" s="211" t="s">
        <v>482</v>
      </c>
      <c r="E271" s="103" t="s">
        <v>850</v>
      </c>
      <c r="F271" s="93"/>
      <c r="G271" s="95"/>
      <c r="H271" s="95"/>
      <c r="I271" s="95"/>
      <c r="J271" s="95"/>
      <c r="K271" s="95"/>
      <c r="L271" s="95"/>
      <c r="M271" s="95"/>
      <c r="N271" s="95"/>
      <c r="O271" s="95"/>
      <c r="P271" s="95"/>
      <c r="Q271" s="95"/>
      <c r="R271" s="95"/>
      <c r="S271" s="96"/>
      <c r="T271" s="95"/>
      <c r="U271" s="95"/>
      <c r="V271" s="95"/>
      <c r="W271" s="95"/>
      <c r="X271" s="95"/>
      <c r="Y271" s="95"/>
      <c r="Z271" s="95"/>
      <c r="AA271" s="95"/>
      <c r="AB271" s="95"/>
      <c r="AC271" s="97"/>
      <c r="AD271" s="85"/>
      <c r="AE271" s="305" t="s">
        <v>571</v>
      </c>
      <c r="AF271" s="99"/>
      <c r="AG271" s="55" t="str">
        <f>VLOOKUP(C271,'Safety-Plant'!B:B,1,FALSE)</f>
        <v>FC029</v>
      </c>
    </row>
    <row r="272" spans="1:33" ht="16.5" customHeight="1">
      <c r="A272" s="88" t="s">
        <v>832</v>
      </c>
      <c r="B272" s="128"/>
      <c r="C272" s="120" t="s">
        <v>483</v>
      </c>
      <c r="D272" s="211" t="s">
        <v>484</v>
      </c>
      <c r="E272" s="103" t="s">
        <v>851</v>
      </c>
      <c r="F272" s="93"/>
      <c r="G272" s="95"/>
      <c r="H272" s="95"/>
      <c r="I272" s="95"/>
      <c r="J272" s="95"/>
      <c r="K272" s="95"/>
      <c r="L272" s="95"/>
      <c r="M272" s="95"/>
      <c r="N272" s="95"/>
      <c r="O272" s="95"/>
      <c r="P272" s="95"/>
      <c r="Q272" s="95"/>
      <c r="R272" s="95"/>
      <c r="S272" s="96"/>
      <c r="T272" s="95"/>
      <c r="U272" s="95"/>
      <c r="V272" s="95"/>
      <c r="W272" s="95"/>
      <c r="X272" s="95"/>
      <c r="Y272" s="95"/>
      <c r="Z272" s="95"/>
      <c r="AA272" s="95"/>
      <c r="AB272" s="95"/>
      <c r="AC272" s="97"/>
      <c r="AD272" s="85"/>
      <c r="AE272" s="305" t="s">
        <v>571</v>
      </c>
      <c r="AF272" s="99"/>
      <c r="AG272" s="55" t="str">
        <f>VLOOKUP(C272,'Safety-Plant'!B:B,1,FALSE)</f>
        <v>FC040</v>
      </c>
    </row>
    <row r="273" spans="1:33" ht="16.5" customHeight="1">
      <c r="A273" s="88" t="s">
        <v>832</v>
      </c>
      <c r="B273" s="119"/>
      <c r="C273" s="120" t="s">
        <v>485</v>
      </c>
      <c r="D273" s="211" t="s">
        <v>486</v>
      </c>
      <c r="E273" s="103" t="s">
        <v>852</v>
      </c>
      <c r="F273" s="93"/>
      <c r="G273" s="95"/>
      <c r="H273" s="95"/>
      <c r="I273" s="95"/>
      <c r="J273" s="95"/>
      <c r="K273" s="95"/>
      <c r="L273" s="95"/>
      <c r="M273" s="95"/>
      <c r="N273" s="95"/>
      <c r="O273" s="95"/>
      <c r="P273" s="95"/>
      <c r="Q273" s="95"/>
      <c r="R273" s="95"/>
      <c r="S273" s="96"/>
      <c r="T273" s="95"/>
      <c r="U273" s="95"/>
      <c r="V273" s="95"/>
      <c r="W273" s="95"/>
      <c r="X273" s="95"/>
      <c r="Y273" s="95"/>
      <c r="Z273" s="95"/>
      <c r="AA273" s="95"/>
      <c r="AB273" s="95"/>
      <c r="AC273" s="97"/>
      <c r="AD273" s="85"/>
      <c r="AE273" s="132" t="s">
        <v>558</v>
      </c>
      <c r="AF273" s="99"/>
      <c r="AG273" s="55" t="str">
        <f>VLOOKUP(C273,'Safety-Plant'!B:B,1,FALSE)</f>
        <v>FC282</v>
      </c>
    </row>
    <row r="274" spans="1:33" ht="16.5" customHeight="1">
      <c r="A274" s="88" t="s">
        <v>832</v>
      </c>
      <c r="B274" s="119"/>
      <c r="C274" s="120" t="s">
        <v>487</v>
      </c>
      <c r="D274" s="211" t="s">
        <v>488</v>
      </c>
      <c r="E274" s="120" t="s">
        <v>853</v>
      </c>
      <c r="F274" s="93"/>
      <c r="G274" s="95"/>
      <c r="H274" s="95"/>
      <c r="I274" s="95"/>
      <c r="J274" s="95"/>
      <c r="K274" s="95"/>
      <c r="L274" s="95"/>
      <c r="M274" s="95"/>
      <c r="N274" s="95"/>
      <c r="O274" s="95"/>
      <c r="P274" s="95"/>
      <c r="Q274" s="95"/>
      <c r="R274" s="95"/>
      <c r="S274" s="96"/>
      <c r="T274" s="95"/>
      <c r="U274" s="95"/>
      <c r="V274" s="95"/>
      <c r="W274" s="95"/>
      <c r="X274" s="95"/>
      <c r="Y274" s="95"/>
      <c r="Z274" s="95"/>
      <c r="AA274" s="95"/>
      <c r="AB274" s="95"/>
      <c r="AC274" s="97"/>
      <c r="AD274" s="85"/>
      <c r="AE274" s="305" t="s">
        <v>572</v>
      </c>
      <c r="AF274" s="99"/>
      <c r="AG274" s="55" t="str">
        <f>VLOOKUP(C274,'Safety-Plant'!B:B,1,FALSE)</f>
        <v>FC287</v>
      </c>
    </row>
    <row r="275" spans="1:33" ht="16.5" customHeight="1">
      <c r="A275" s="88" t="s">
        <v>832</v>
      </c>
      <c r="B275" s="119"/>
      <c r="C275" s="120" t="s">
        <v>489</v>
      </c>
      <c r="D275" s="211" t="s">
        <v>490</v>
      </c>
      <c r="E275" s="103" t="s">
        <v>854</v>
      </c>
      <c r="F275" s="93"/>
      <c r="G275" s="95"/>
      <c r="H275" s="95"/>
      <c r="I275" s="95"/>
      <c r="J275" s="95"/>
      <c r="K275" s="95"/>
      <c r="L275" s="95"/>
      <c r="M275" s="95"/>
      <c r="N275" s="95"/>
      <c r="O275" s="95"/>
      <c r="P275" s="95"/>
      <c r="Q275" s="95"/>
      <c r="R275" s="95"/>
      <c r="S275" s="96"/>
      <c r="T275" s="95"/>
      <c r="U275" s="95"/>
      <c r="V275" s="95"/>
      <c r="W275" s="95"/>
      <c r="X275" s="95"/>
      <c r="Y275" s="95"/>
      <c r="Z275" s="95"/>
      <c r="AA275" s="95"/>
      <c r="AB275" s="95"/>
      <c r="AC275" s="97"/>
      <c r="AD275" s="85"/>
      <c r="AE275" s="86" t="s">
        <v>558</v>
      </c>
      <c r="AF275" s="99"/>
      <c r="AG275" s="55" t="str">
        <f>VLOOKUP(C275,'Safety-Plant'!B:B,1,FALSE)</f>
        <v>FC115</v>
      </c>
    </row>
    <row r="276" spans="1:33" ht="16.5" customHeight="1">
      <c r="A276" s="88" t="s">
        <v>832</v>
      </c>
      <c r="B276" s="119"/>
      <c r="C276" s="92" t="s">
        <v>491</v>
      </c>
      <c r="D276" s="211" t="s">
        <v>492</v>
      </c>
      <c r="E276" s="188" t="s">
        <v>855</v>
      </c>
      <c r="F276" s="81">
        <v>12</v>
      </c>
      <c r="G276" s="212" t="s">
        <v>520</v>
      </c>
      <c r="H276" s="212" t="s">
        <v>520</v>
      </c>
      <c r="I276" s="212" t="s">
        <v>520</v>
      </c>
      <c r="J276" s="212" t="s">
        <v>520</v>
      </c>
      <c r="K276" s="212" t="s">
        <v>520</v>
      </c>
      <c r="L276" s="212" t="s">
        <v>520</v>
      </c>
      <c r="M276" s="212" t="s">
        <v>520</v>
      </c>
      <c r="N276" s="212" t="s">
        <v>520</v>
      </c>
      <c r="O276" s="212" t="s">
        <v>520</v>
      </c>
      <c r="P276" s="212" t="s">
        <v>520</v>
      </c>
      <c r="Q276" s="212" t="s">
        <v>520</v>
      </c>
      <c r="R276" s="212" t="s">
        <v>520</v>
      </c>
      <c r="S276" s="271">
        <v>10</v>
      </c>
      <c r="T276" s="212" t="s">
        <v>520</v>
      </c>
      <c r="U276" s="212" t="s">
        <v>520</v>
      </c>
      <c r="V276" s="212" t="s">
        <v>520</v>
      </c>
      <c r="W276" s="212" t="s">
        <v>520</v>
      </c>
      <c r="X276" s="212" t="s">
        <v>520</v>
      </c>
      <c r="Y276" s="212" t="s">
        <v>520</v>
      </c>
      <c r="Z276" s="212" t="s">
        <v>520</v>
      </c>
      <c r="AA276" s="212" t="s">
        <v>520</v>
      </c>
      <c r="AB276" s="212" t="s">
        <v>520</v>
      </c>
      <c r="AC276" s="214" t="s">
        <v>520</v>
      </c>
      <c r="AD276" s="132" t="s">
        <v>856</v>
      </c>
      <c r="AE276" s="132" t="s">
        <v>558</v>
      </c>
      <c r="AF276" s="99"/>
      <c r="AG276" s="55" t="str">
        <f>VLOOKUP(C276,'Safety-Plant'!B:B,1,FALSE)</f>
        <v>FC381</v>
      </c>
    </row>
    <row r="277" spans="1:33" s="52" customFormat="1" ht="16.5" customHeight="1">
      <c r="A277" s="88" t="s">
        <v>832</v>
      </c>
      <c r="B277" s="150"/>
      <c r="C277" s="231" t="s">
        <v>508</v>
      </c>
      <c r="D277" s="259" t="s">
        <v>509</v>
      </c>
      <c r="E277" s="120" t="s">
        <v>857</v>
      </c>
      <c r="F277" s="93"/>
      <c r="G277" s="95"/>
      <c r="H277" s="95"/>
      <c r="I277" s="95"/>
      <c r="J277" s="95"/>
      <c r="K277" s="95"/>
      <c r="L277" s="95"/>
      <c r="M277" s="95"/>
      <c r="N277" s="95"/>
      <c r="O277" s="95"/>
      <c r="P277" s="95"/>
      <c r="Q277" s="95"/>
      <c r="R277" s="95"/>
      <c r="S277" s="96"/>
      <c r="T277" s="95"/>
      <c r="U277" s="95"/>
      <c r="V277" s="95"/>
      <c r="W277" s="95"/>
      <c r="X277" s="95"/>
      <c r="Y277" s="95"/>
      <c r="Z277" s="95"/>
      <c r="AA277" s="95"/>
      <c r="AB277" s="95"/>
      <c r="AC277" s="97"/>
      <c r="AD277" s="85"/>
      <c r="AE277" s="86" t="s">
        <v>558</v>
      </c>
      <c r="AF277" s="99"/>
      <c r="AG277" s="55" t="str">
        <f>VLOOKUP(C277,'Safety-Plant'!B:B,1,FALSE)</f>
        <v>15AQ</v>
      </c>
    </row>
    <row r="278" spans="1:33" s="52" customFormat="1" ht="16.5" customHeight="1">
      <c r="A278" s="88" t="s">
        <v>832</v>
      </c>
      <c r="B278" s="128"/>
      <c r="C278" s="158" t="s">
        <v>510</v>
      </c>
      <c r="D278" s="259" t="s">
        <v>511</v>
      </c>
      <c r="E278" s="103" t="s">
        <v>858</v>
      </c>
      <c r="F278" s="93"/>
      <c r="G278" s="95"/>
      <c r="H278" s="95"/>
      <c r="I278" s="95"/>
      <c r="J278" s="95"/>
      <c r="K278" s="95"/>
      <c r="L278" s="95"/>
      <c r="M278" s="95"/>
      <c r="N278" s="95"/>
      <c r="O278" s="95"/>
      <c r="P278" s="95"/>
      <c r="Q278" s="95"/>
      <c r="R278" s="95"/>
      <c r="S278" s="96"/>
      <c r="T278" s="95"/>
      <c r="U278" s="95"/>
      <c r="V278" s="95"/>
      <c r="W278" s="95"/>
      <c r="X278" s="95"/>
      <c r="Y278" s="95"/>
      <c r="Z278" s="95"/>
      <c r="AA278" s="95"/>
      <c r="AB278" s="95"/>
      <c r="AC278" s="97"/>
      <c r="AD278" s="85"/>
      <c r="AE278" s="86" t="s">
        <v>558</v>
      </c>
      <c r="AF278" s="99"/>
      <c r="AG278" s="55" t="str">
        <f>VLOOKUP(C278,'Safety-Plant'!B:B,1,FALSE)</f>
        <v>3164</v>
      </c>
    </row>
    <row r="279" spans="1:33" s="52" customFormat="1" ht="16.5" customHeight="1">
      <c r="A279" s="88" t="s">
        <v>832</v>
      </c>
      <c r="B279" s="119"/>
      <c r="C279" s="231" t="s">
        <v>512</v>
      </c>
      <c r="D279" s="259" t="s">
        <v>513</v>
      </c>
      <c r="E279" s="188" t="s">
        <v>859</v>
      </c>
      <c r="F279" s="93"/>
      <c r="G279" s="95"/>
      <c r="H279" s="95"/>
      <c r="I279" s="95"/>
      <c r="J279" s="95"/>
      <c r="K279" s="95"/>
      <c r="L279" s="95"/>
      <c r="M279" s="95"/>
      <c r="N279" s="95"/>
      <c r="O279" s="95"/>
      <c r="P279" s="95"/>
      <c r="Q279" s="95"/>
      <c r="R279" s="95"/>
      <c r="S279" s="96"/>
      <c r="T279" s="95"/>
      <c r="U279" s="95"/>
      <c r="V279" s="95"/>
      <c r="W279" s="95"/>
      <c r="X279" s="95"/>
      <c r="Y279" s="95"/>
      <c r="Z279" s="95"/>
      <c r="AA279" s="95"/>
      <c r="AB279" s="95"/>
      <c r="AC279" s="97"/>
      <c r="AD279" s="85"/>
      <c r="AE279" s="305" t="s">
        <v>573</v>
      </c>
      <c r="AF279" s="99"/>
      <c r="AG279" s="55" t="str">
        <f>VLOOKUP(C279,'Safety-Plant'!B:B,1,FALSE)</f>
        <v>3168</v>
      </c>
    </row>
    <row r="280" spans="1:33" s="52" customFormat="1" ht="16.5" customHeight="1">
      <c r="A280" s="88" t="s">
        <v>832</v>
      </c>
      <c r="B280" s="128"/>
      <c r="C280" s="158" t="s">
        <v>514</v>
      </c>
      <c r="D280" s="259" t="s">
        <v>515</v>
      </c>
      <c r="E280" s="103" t="s">
        <v>860</v>
      </c>
      <c r="F280" s="309"/>
      <c r="G280" s="310"/>
      <c r="H280" s="310"/>
      <c r="I280" s="310"/>
      <c r="J280" s="310"/>
      <c r="K280" s="310"/>
      <c r="L280" s="310"/>
      <c r="M280" s="310"/>
      <c r="N280" s="310"/>
      <c r="O280" s="310"/>
      <c r="P280" s="310"/>
      <c r="Q280" s="310"/>
      <c r="R280" s="310"/>
      <c r="S280" s="310"/>
      <c r="T280" s="310"/>
      <c r="U280" s="310"/>
      <c r="V280" s="310"/>
      <c r="W280" s="310"/>
      <c r="X280" s="310"/>
      <c r="Y280" s="310"/>
      <c r="Z280" s="310"/>
      <c r="AA280" s="310"/>
      <c r="AB280" s="310"/>
      <c r="AC280" s="311"/>
      <c r="AD280" s="265"/>
      <c r="AE280" s="86" t="s">
        <v>558</v>
      </c>
      <c r="AF280" s="99"/>
      <c r="AG280" s="55" t="str">
        <f>VLOOKUP(C280,'Safety-Plant'!B:B,1,FALSE)</f>
        <v>3165</v>
      </c>
    </row>
    <row r="281" spans="1:33" s="52" customFormat="1" ht="16.5" customHeight="1">
      <c r="A281" s="88" t="s">
        <v>832</v>
      </c>
      <c r="B281" s="168"/>
      <c r="C281" s="158" t="s">
        <v>516</v>
      </c>
      <c r="D281" s="259" t="s">
        <v>517</v>
      </c>
      <c r="E281" s="103" t="s">
        <v>860</v>
      </c>
      <c r="F281" s="309"/>
      <c r="G281" s="310"/>
      <c r="H281" s="310"/>
      <c r="I281" s="310"/>
      <c r="J281" s="310"/>
      <c r="K281" s="310"/>
      <c r="L281" s="310"/>
      <c r="M281" s="310"/>
      <c r="N281" s="310"/>
      <c r="O281" s="310"/>
      <c r="P281" s="310"/>
      <c r="Q281" s="310"/>
      <c r="R281" s="310"/>
      <c r="S281" s="310"/>
      <c r="T281" s="310"/>
      <c r="U281" s="310"/>
      <c r="V281" s="310"/>
      <c r="W281" s="310"/>
      <c r="X281" s="310"/>
      <c r="Y281" s="310"/>
      <c r="Z281" s="310"/>
      <c r="AA281" s="310"/>
      <c r="AB281" s="310"/>
      <c r="AC281" s="311"/>
      <c r="AD281" s="265"/>
      <c r="AE281" s="86" t="s">
        <v>558</v>
      </c>
      <c r="AF281" s="99"/>
      <c r="AG281" s="55" t="str">
        <f>VLOOKUP(C281,'Safety-Plant'!B:B,1,FALSE)</f>
        <v>3166</v>
      </c>
    </row>
    <row r="282" spans="1:33" ht="16.5" customHeight="1">
      <c r="A282" s="88" t="s">
        <v>832</v>
      </c>
      <c r="B282" s="230" t="s">
        <v>861</v>
      </c>
      <c r="C282" s="92" t="s">
        <v>493</v>
      </c>
      <c r="D282" s="211" t="s">
        <v>494</v>
      </c>
      <c r="E282" s="103" t="s">
        <v>862</v>
      </c>
      <c r="F282" s="93"/>
      <c r="G282" s="95"/>
      <c r="H282" s="95"/>
      <c r="I282" s="95"/>
      <c r="J282" s="95"/>
      <c r="K282" s="95"/>
      <c r="L282" s="95"/>
      <c r="M282" s="95"/>
      <c r="N282" s="95"/>
      <c r="O282" s="95"/>
      <c r="P282" s="95"/>
      <c r="Q282" s="95"/>
      <c r="R282" s="95"/>
      <c r="S282" s="96"/>
      <c r="T282" s="95"/>
      <c r="U282" s="95"/>
      <c r="V282" s="95"/>
      <c r="W282" s="95"/>
      <c r="X282" s="95"/>
      <c r="Y282" s="95"/>
      <c r="Z282" s="95"/>
      <c r="AA282" s="95"/>
      <c r="AB282" s="95"/>
      <c r="AC282" s="97"/>
      <c r="AD282" s="85"/>
      <c r="AE282" s="305" t="s">
        <v>574</v>
      </c>
      <c r="AF282" s="99"/>
      <c r="AG282" s="55" t="str">
        <f>VLOOKUP(C282,'Safety-Plant'!B:B,1,FALSE)</f>
        <v>FC098</v>
      </c>
    </row>
    <row r="283" spans="1:33" ht="16.5" customHeight="1">
      <c r="A283" s="88" t="s">
        <v>832</v>
      </c>
      <c r="B283" s="128"/>
      <c r="C283" s="92" t="s">
        <v>495</v>
      </c>
      <c r="D283" s="211" t="s">
        <v>496</v>
      </c>
      <c r="E283" s="103" t="s">
        <v>862</v>
      </c>
      <c r="F283" s="93"/>
      <c r="G283" s="95"/>
      <c r="H283" s="95"/>
      <c r="I283" s="95"/>
      <c r="J283" s="95"/>
      <c r="K283" s="95"/>
      <c r="L283" s="95"/>
      <c r="M283" s="95"/>
      <c r="N283" s="95"/>
      <c r="O283" s="95"/>
      <c r="P283" s="95"/>
      <c r="Q283" s="95"/>
      <c r="R283" s="95"/>
      <c r="S283" s="96"/>
      <c r="T283" s="95"/>
      <c r="U283" s="95"/>
      <c r="V283" s="95"/>
      <c r="W283" s="95"/>
      <c r="X283" s="95"/>
      <c r="Y283" s="95"/>
      <c r="Z283" s="95"/>
      <c r="AA283" s="95"/>
      <c r="AB283" s="95"/>
      <c r="AC283" s="97"/>
      <c r="AD283" s="85"/>
      <c r="AE283" s="305" t="s">
        <v>563</v>
      </c>
      <c r="AF283" s="99"/>
      <c r="AG283" s="55" t="str">
        <f>VLOOKUP(C283,'Safety-Plant'!B:B,1,FALSE)</f>
        <v>FC221</v>
      </c>
    </row>
    <row r="284" spans="1:33" ht="16.5" customHeight="1">
      <c r="A284" s="88" t="s">
        <v>832</v>
      </c>
      <c r="B284" s="119"/>
      <c r="C284" s="92" t="s">
        <v>497</v>
      </c>
      <c r="D284" s="211" t="s">
        <v>498</v>
      </c>
      <c r="E284" s="103" t="s">
        <v>862</v>
      </c>
      <c r="F284" s="93"/>
      <c r="G284" s="95"/>
      <c r="H284" s="95"/>
      <c r="I284" s="95"/>
      <c r="J284" s="95"/>
      <c r="K284" s="95"/>
      <c r="L284" s="95"/>
      <c r="M284" s="95"/>
      <c r="N284" s="95"/>
      <c r="O284" s="95"/>
      <c r="P284" s="95"/>
      <c r="Q284" s="95"/>
      <c r="R284" s="95"/>
      <c r="S284" s="96"/>
      <c r="T284" s="95"/>
      <c r="U284" s="95"/>
      <c r="V284" s="95"/>
      <c r="W284" s="95"/>
      <c r="X284" s="95"/>
      <c r="Y284" s="95"/>
      <c r="Z284" s="95"/>
      <c r="AA284" s="95"/>
      <c r="AB284" s="95"/>
      <c r="AC284" s="97"/>
      <c r="AD284" s="85"/>
      <c r="AE284" s="305" t="s">
        <v>574</v>
      </c>
      <c r="AF284" s="99"/>
      <c r="AG284" s="55" t="str">
        <f>VLOOKUP(C284,'Safety-Plant'!B:B,1,FALSE)</f>
        <v>FC270</v>
      </c>
    </row>
    <row r="285" spans="1:33" ht="16.5" customHeight="1">
      <c r="A285" s="88" t="s">
        <v>832</v>
      </c>
      <c r="B285" s="119"/>
      <c r="C285" s="120" t="s">
        <v>499</v>
      </c>
      <c r="D285" s="211" t="s">
        <v>500</v>
      </c>
      <c r="E285" s="103" t="s">
        <v>863</v>
      </c>
      <c r="F285" s="93"/>
      <c r="G285" s="95"/>
      <c r="H285" s="95"/>
      <c r="I285" s="95"/>
      <c r="J285" s="95"/>
      <c r="K285" s="95"/>
      <c r="L285" s="95"/>
      <c r="M285" s="95"/>
      <c r="N285" s="95"/>
      <c r="O285" s="95"/>
      <c r="P285" s="95"/>
      <c r="Q285" s="95"/>
      <c r="R285" s="95"/>
      <c r="S285" s="96"/>
      <c r="T285" s="95"/>
      <c r="U285" s="95"/>
      <c r="V285" s="95"/>
      <c r="W285" s="95"/>
      <c r="X285" s="95"/>
      <c r="Y285" s="95"/>
      <c r="Z285" s="95"/>
      <c r="AA285" s="95"/>
      <c r="AB285" s="95"/>
      <c r="AC285" s="97"/>
      <c r="AD285" s="85"/>
      <c r="AE285" s="86" t="s">
        <v>569</v>
      </c>
      <c r="AF285" s="312"/>
      <c r="AG285" s="55" t="str">
        <f>VLOOKUP(C285,'Safety-Plant'!B:B,1,FALSE)</f>
        <v>FC129</v>
      </c>
    </row>
    <row r="286" spans="1:33" ht="16.5" customHeight="1">
      <c r="A286" s="88" t="s">
        <v>832</v>
      </c>
      <c r="B286" s="119"/>
      <c r="C286" s="120" t="s">
        <v>501</v>
      </c>
      <c r="D286" s="211" t="s">
        <v>502</v>
      </c>
      <c r="E286" s="103" t="s">
        <v>864</v>
      </c>
      <c r="F286" s="93"/>
      <c r="G286" s="95"/>
      <c r="H286" s="95"/>
      <c r="I286" s="95"/>
      <c r="J286" s="95"/>
      <c r="K286" s="95"/>
      <c r="L286" s="95"/>
      <c r="M286" s="95"/>
      <c r="N286" s="95"/>
      <c r="O286" s="95"/>
      <c r="P286" s="95"/>
      <c r="Q286" s="95"/>
      <c r="R286" s="95"/>
      <c r="S286" s="96"/>
      <c r="T286" s="95"/>
      <c r="U286" s="95"/>
      <c r="V286" s="95"/>
      <c r="W286" s="95"/>
      <c r="X286" s="95"/>
      <c r="Y286" s="95"/>
      <c r="Z286" s="95"/>
      <c r="AA286" s="95"/>
      <c r="AB286" s="95"/>
      <c r="AC286" s="97"/>
      <c r="AD286" s="85"/>
      <c r="AE286" s="305" t="s">
        <v>574</v>
      </c>
      <c r="AF286" s="99"/>
      <c r="AG286" s="55" t="str">
        <f>VLOOKUP(C286,'Safety-Plant'!B:B,1,FALSE)</f>
        <v>FC253</v>
      </c>
    </row>
    <row r="287" spans="1:33" ht="16.5" customHeight="1">
      <c r="A287" s="88" t="s">
        <v>832</v>
      </c>
      <c r="B287" s="119"/>
      <c r="C287" s="120" t="s">
        <v>503</v>
      </c>
      <c r="D287" s="211" t="s">
        <v>504</v>
      </c>
      <c r="E287" s="103" t="s">
        <v>864</v>
      </c>
      <c r="F287" s="93"/>
      <c r="G287" s="95"/>
      <c r="H287" s="95"/>
      <c r="I287" s="95"/>
      <c r="J287" s="95"/>
      <c r="K287" s="95"/>
      <c r="L287" s="95"/>
      <c r="M287" s="95"/>
      <c r="N287" s="95"/>
      <c r="O287" s="95"/>
      <c r="P287" s="95"/>
      <c r="Q287" s="95"/>
      <c r="R287" s="95"/>
      <c r="S287" s="96"/>
      <c r="T287" s="95"/>
      <c r="U287" s="95"/>
      <c r="V287" s="95"/>
      <c r="W287" s="95"/>
      <c r="X287" s="95"/>
      <c r="Y287" s="95"/>
      <c r="Z287" s="95"/>
      <c r="AA287" s="95"/>
      <c r="AB287" s="95"/>
      <c r="AC287" s="97"/>
      <c r="AD287" s="85"/>
      <c r="AE287" s="305" t="s">
        <v>574</v>
      </c>
      <c r="AF287" s="99"/>
      <c r="AG287" s="55" t="str">
        <f>VLOOKUP(C287,'Safety-Plant'!B:B,1,FALSE)</f>
        <v>FC356</v>
      </c>
    </row>
    <row r="288" spans="1:33" s="52" customFormat="1" ht="16.5" customHeight="1">
      <c r="A288" s="88" t="s">
        <v>832</v>
      </c>
      <c r="B288" s="119"/>
      <c r="C288" s="120" t="s">
        <v>505</v>
      </c>
      <c r="D288" s="211" t="s">
        <v>865</v>
      </c>
      <c r="E288" s="103" t="s">
        <v>866</v>
      </c>
      <c r="F288" s="93"/>
      <c r="G288" s="95"/>
      <c r="H288" s="95"/>
      <c r="I288" s="95"/>
      <c r="J288" s="95"/>
      <c r="K288" s="95"/>
      <c r="L288" s="95"/>
      <c r="M288" s="95"/>
      <c r="N288" s="95"/>
      <c r="O288" s="95"/>
      <c r="P288" s="95"/>
      <c r="Q288" s="95"/>
      <c r="R288" s="95"/>
      <c r="S288" s="96"/>
      <c r="T288" s="95"/>
      <c r="U288" s="95"/>
      <c r="V288" s="95"/>
      <c r="W288" s="95"/>
      <c r="X288" s="95"/>
      <c r="Y288" s="95"/>
      <c r="Z288" s="95"/>
      <c r="AA288" s="95"/>
      <c r="AB288" s="95"/>
      <c r="AC288" s="97"/>
      <c r="AD288" s="85"/>
      <c r="AE288" s="305" t="s">
        <v>563</v>
      </c>
      <c r="AF288" s="99"/>
      <c r="AG288" s="55" t="str">
        <f>VLOOKUP(C288,'Safety-Plant'!B:B,1,FALSE)</f>
        <v>FC295</v>
      </c>
    </row>
    <row r="289" spans="1:33" s="52" customFormat="1" ht="16.5" customHeight="1">
      <c r="A289" s="88" t="s">
        <v>832</v>
      </c>
      <c r="B289" s="119"/>
      <c r="C289" s="120" t="s">
        <v>506</v>
      </c>
      <c r="D289" s="211" t="s">
        <v>507</v>
      </c>
      <c r="E289" s="103" t="s">
        <v>864</v>
      </c>
      <c r="F289" s="93"/>
      <c r="G289" s="95"/>
      <c r="H289" s="95"/>
      <c r="I289" s="95"/>
      <c r="J289" s="95"/>
      <c r="K289" s="95"/>
      <c r="L289" s="95"/>
      <c r="M289" s="95"/>
      <c r="N289" s="95"/>
      <c r="O289" s="95"/>
      <c r="P289" s="95"/>
      <c r="Q289" s="95"/>
      <c r="R289" s="95"/>
      <c r="S289" s="96"/>
      <c r="T289" s="95"/>
      <c r="U289" s="95"/>
      <c r="V289" s="95"/>
      <c r="W289" s="95"/>
      <c r="X289" s="95"/>
      <c r="Y289" s="95"/>
      <c r="Z289" s="95"/>
      <c r="AA289" s="95"/>
      <c r="AB289" s="95"/>
      <c r="AC289" s="97"/>
      <c r="AD289" s="85"/>
      <c r="AE289" s="305" t="s">
        <v>574</v>
      </c>
      <c r="AF289" s="99"/>
      <c r="AG289" s="55" t="str">
        <f>VLOOKUP(C289,'Safety-Plant'!B:B,1,FALSE)</f>
        <v>FC396</v>
      </c>
    </row>
    <row r="290" spans="1:33" s="52" customFormat="1" ht="16.5" customHeight="1">
      <c r="A290" s="283" t="s">
        <v>832</v>
      </c>
      <c r="B290" s="285"/>
      <c r="C290" s="92" t="s">
        <v>518</v>
      </c>
      <c r="D290" s="227" t="s">
        <v>519</v>
      </c>
      <c r="E290" s="188" t="s">
        <v>867</v>
      </c>
      <c r="F290" s="81"/>
      <c r="G290" s="239"/>
      <c r="H290" s="239"/>
      <c r="I290" s="239"/>
      <c r="J290" s="239"/>
      <c r="K290" s="239"/>
      <c r="L290" s="239"/>
      <c r="M290" s="239"/>
      <c r="N290" s="239"/>
      <c r="O290" s="239"/>
      <c r="P290" s="239"/>
      <c r="Q290" s="239"/>
      <c r="R290" s="239"/>
      <c r="S290" s="240"/>
      <c r="T290" s="239"/>
      <c r="U290" s="239"/>
      <c r="V290" s="239"/>
      <c r="W290" s="239"/>
      <c r="X290" s="239"/>
      <c r="Y290" s="239"/>
      <c r="Z290" s="239"/>
      <c r="AA290" s="239"/>
      <c r="AB290" s="239"/>
      <c r="AC290" s="313"/>
      <c r="AD290" s="118"/>
      <c r="AE290" s="86" t="s">
        <v>569</v>
      </c>
      <c r="AF290" s="99"/>
      <c r="AG290" s="55" t="str">
        <f>VLOOKUP(C290,'Safety-Plant'!B:B,1,FALSE)</f>
        <v>FC398</v>
      </c>
    </row>
    <row r="291" spans="1:33" s="52" customFormat="1" ht="16.5" customHeight="1" thickBot="1">
      <c r="A291" s="314" t="s">
        <v>832</v>
      </c>
      <c r="B291" s="134"/>
      <c r="C291" s="315" t="s">
        <v>868</v>
      </c>
      <c r="D291" s="316" t="s">
        <v>869</v>
      </c>
      <c r="E291" s="317" t="s">
        <v>867</v>
      </c>
      <c r="F291" s="318"/>
      <c r="G291" s="319"/>
      <c r="H291" s="319"/>
      <c r="I291" s="319"/>
      <c r="J291" s="319"/>
      <c r="K291" s="319"/>
      <c r="L291" s="319"/>
      <c r="M291" s="319"/>
      <c r="N291" s="319"/>
      <c r="O291" s="319"/>
      <c r="P291" s="319"/>
      <c r="Q291" s="319"/>
      <c r="R291" s="319"/>
      <c r="S291" s="320"/>
      <c r="T291" s="319"/>
      <c r="U291" s="319"/>
      <c r="V291" s="319"/>
      <c r="W291" s="319"/>
      <c r="X291" s="319"/>
      <c r="Y291" s="319"/>
      <c r="Z291" s="319"/>
      <c r="AA291" s="319"/>
      <c r="AB291" s="319"/>
      <c r="AC291" s="321"/>
      <c r="AD291" s="322"/>
      <c r="AE291" s="323" t="s">
        <v>569</v>
      </c>
      <c r="AF291" s="324"/>
      <c r="AG291" s="55" t="str">
        <f>VLOOKUP(C291,'Safety-Plant'!B:B,1,FALSE)</f>
        <v>FC413</v>
      </c>
    </row>
  </sheetData>
  <autoFilter ref="A5:AG291" xr:uid="{470957A5-FC01-4E83-B0F3-06DACD5FFFA8}"/>
  <mergeCells count="3">
    <mergeCell ref="G4:R4"/>
    <mergeCell ref="T4:AC4"/>
    <mergeCell ref="AE4:AF4"/>
  </mergeCells>
  <conditionalFormatting sqref="E251">
    <cfRule type="duplicateValues" dxfId="0" priority="1" stopIfTrue="1"/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Safety-Plant</vt:lpstr>
      <vt:lpstr>Safety-Truck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Sivaporn Preewilai</dc:creator>
  <cp:lastModifiedBy>Prayut Puttummarin</cp:lastModifiedBy>
  <dcterms:created xsi:type="dcterms:W3CDTF">2024-09-16T07:40:52Z</dcterms:created>
  <dcterms:modified xsi:type="dcterms:W3CDTF">2026-08-25T03:56:18Z</dcterms:modified>
</cp:coreProperties>
</file>