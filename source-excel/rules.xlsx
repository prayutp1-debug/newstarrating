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รายงานการจัดระดับ\ข้อมูลทำ AI\"/>
    </mc:Choice>
  </mc:AlternateContent>
  <xr:revisionPtr revIDLastSave="0" documentId="13_ncr:1_{B19E9C10-7EAC-4DEC-BD44-092CD2315D6B}" xr6:coauthVersionLast="36" xr6:coauthVersionMax="36" xr10:uidLastSave="{00000000-0000-0000-0000-000000000000}"/>
  <bookViews>
    <workbookView xWindow="0" yWindow="0" windowWidth="19200" windowHeight="6810" xr2:uid="{3D785962-FE70-4113-B0E8-ADAF75294EB6}"/>
  </bookViews>
  <sheets>
    <sheet name="Sheet1" sheetId="1" r:id="rId1"/>
    <sheet name="STA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1" l="1"/>
  <c r="D40" i="1"/>
  <c r="D33" i="1"/>
  <c r="D28" i="1"/>
  <c r="D23" i="1"/>
  <c r="C21" i="1"/>
  <c r="C20" i="1"/>
  <c r="D20" i="1" s="1"/>
  <c r="D19" i="1"/>
  <c r="D18" i="1"/>
  <c r="D6" i="1"/>
  <c r="D7" i="1" s="1"/>
  <c r="D8" i="1" s="1"/>
  <c r="D5" i="1"/>
</calcChain>
</file>

<file path=xl/sharedStrings.xml><?xml version="1.0" encoding="utf-8"?>
<sst xmlns="http://schemas.openxmlformats.org/spreadsheetml/2006/main" count="76" uniqueCount="71">
  <si>
    <t>คะแนน</t>
  </si>
  <si>
    <t>รายละเอียด</t>
  </si>
  <si>
    <t>รายเดือน</t>
  </si>
  <si>
    <t>ปี</t>
  </si>
  <si>
    <t>&gt; 40,000</t>
  </si>
  <si>
    <t>&gt;30,000-40,000</t>
  </si>
  <si>
    <t>&gt;20,000-30,000</t>
  </si>
  <si>
    <t>&gt;10,000-20,000</t>
  </si>
  <si>
    <t>&lt;10,000</t>
  </si>
  <si>
    <t>2. การบริหารความปลอดภัย</t>
  </si>
  <si>
    <t>โรงงาน และเครื่องจักร</t>
  </si>
  <si>
    <t>ผลตรวจ FC27 ผ่านเกณฑ์ทุกข้อ</t>
  </si>
  <si>
    <t xml:space="preserve"> - ตรวจภายในเดือนสิงหาคม</t>
  </si>
  <si>
    <t xml:space="preserve"> - ตรวจหลังเดือนสิงหาคม</t>
  </si>
  <si>
    <t xml:space="preserve">เกณฑ์การหักคะแนน - มีอุบัติเหตุถึงขั้นหยุดงาน หรือเสียชีวิต </t>
  </si>
  <si>
    <t>รถโม่ และพนักงานบริการจัดส่ง</t>
  </si>
  <si>
    <t>2.2.1 ผลตรวจ F18-464 ผ่านเกณฑ์ทุกคัน</t>
  </si>
  <si>
    <t xml:space="preserve">        - ผลตรวจ ครั้งที่ 1 (มกราคม-มิถุนายน)</t>
  </si>
  <si>
    <t xml:space="preserve">        - ผลตรวจ ครั้งที่ 2 (กรกฎาคม-ธันวาคม)</t>
  </si>
  <si>
    <t>เกณฑ์การหักคะแนน พบเหตุการณ์อย่างใดอย่างหนึ่ง</t>
  </si>
  <si>
    <t>มีอุบัติเหตุถึงขั้นหยุดงานหรือเสียชีวิต ทั้งพนักงาน และบุคคลที่ 3 โดยเป็นความผิดของแฟรนไชส์</t>
  </si>
  <si>
    <t>2.2.2 การอบรมขับขี่ปลอดภัยของเจ้าหน้าที่บริการจัดส่ง</t>
  </si>
  <si>
    <t xml:space="preserve">        - อบรมและสอบผ่าน ตั้งแต่ มกราคม-กรกฎาคม</t>
  </si>
  <si>
    <t xml:space="preserve">        - อบรมและสอบผ่าน ตั้งแต่ สิงหาคม - พฤศจิกายน</t>
  </si>
  <si>
    <t xml:space="preserve">        - อบรมในเดือน ธันวาคม</t>
  </si>
  <si>
    <t>3.การบริการ (ข้อมูล เมษายน-ธันวาคม) รวม 9 เดือน</t>
  </si>
  <si>
    <t>4. การบริหารพนักงาน</t>
  </si>
  <si>
    <t>จำนวนพนักงาน 3 คน/โรงงานหรือ 5 คน/2 โรงงาน สำหรับโรงงานอยู่ในพื้นที่เดียวกัน</t>
  </si>
  <si>
    <t xml:space="preserve">การสอบ L1 , L2 </t>
  </si>
  <si>
    <t xml:space="preserve">   พนักงานผลิต ผ่านการทดสอบ L1 และ L2 (สอบผ่านทั้งทฤษฎี และปฏิบัติ)</t>
  </si>
  <si>
    <t xml:space="preserve">   พนักงาน QC ผ่านการทดสอบ L1 และ L2 (สอบผ่านทั้งทฤษฎี และปฏิบัติ)</t>
  </si>
  <si>
    <t xml:space="preserve">   พนักงานโยธา ผ่านการทดสอบ L1 (สอบปฏิบัติ)</t>
  </si>
  <si>
    <t>5. การจัดการสิ่งแวดล้อม</t>
  </si>
  <si>
    <t>ผลการตรวจ FC 28 จำนวน 10 ข้อ (ผ่านข้อละ 1 คะแนน)</t>
  </si>
  <si>
    <t>รวม</t>
  </si>
  <si>
    <t>กรณี ไม่ปฏิบัติตามเกณฑ์กติกาแฟรนไชส์</t>
  </si>
  <si>
    <t>คะแนนลบ</t>
  </si>
  <si>
    <t>1.ไม่ให้ความร่วมมือตามนโยบายบริษัทฯ ปฏิบัติผิดเงื่อนไขหรือข้อตกลงการใช้สิทธิแฟรนไชส์</t>
  </si>
  <si>
    <t>แฟรนไชส์ส่งงานข้ามเขตพื้นที่จัดส่ง</t>
  </si>
  <si>
    <t>ไม่สามารถรักษาส่วนแบ่งตลาด (Market Share) ในพื้นที่ ตามนโยบายกิจการ</t>
  </si>
  <si>
    <t>การนำตราสัญลักษณ์ CPAC หรือสัญลักษณ์อื่นใดที่มีเครื่องหมายการค้า CPAC ไปใช้นอกเหนือจากที่ได้รับอนุญาต</t>
  </si>
  <si>
    <t>แฟรนไชส์ไม่ใช้น้ำยา , PFA ตามข้อกำหนดในสัญญาให้ใช้สิทธิแฟรนไชส์ โดยไม่ได้ขออนุญาติจาก CPAC</t>
  </si>
  <si>
    <t>นำรถโม่ที่ติดสติ๊กเกอร์ซีแพคไปรับคอนกรีตจากโรงงานอื่นที่ไม่ใช่โรงงานซีแพค</t>
  </si>
  <si>
    <t>แฟรนไชส์แย่งขายงานลูกค้าของผู้แทนจำหน่าย (มีข้อร้องเรียน)</t>
  </si>
  <si>
    <t>ลดเป็นโรงงาน 1 ดาว</t>
  </si>
  <si>
    <t>2. มีข้อร้องเรียน</t>
  </si>
  <si>
    <t xml:space="preserve">    2.1 คุณภาพ และเป็นความผิดแฟรนไชส์</t>
  </si>
  <si>
    <r>
      <rPr>
        <b/>
        <sz val="14"/>
        <color rgb="FF000000"/>
        <rFont val="TH SarabunPSK"/>
        <family val="2"/>
      </rPr>
      <t xml:space="preserve">  </t>
    </r>
    <r>
      <rPr>
        <b/>
        <u/>
        <sz val="14"/>
        <color rgb="FF000000"/>
        <rFont val="TH SarabunPSK"/>
        <family val="2"/>
      </rPr>
      <t>&gt;</t>
    </r>
    <r>
      <rPr>
        <b/>
        <sz val="14"/>
        <color rgb="FF000000"/>
        <rFont val="TH SarabunPSK"/>
        <family val="2"/>
      </rPr>
      <t xml:space="preserve"> 2 ครั้ง/ปี</t>
    </r>
  </si>
  <si>
    <t xml:space="preserve">  1  ครั้ง/ปี</t>
  </si>
  <si>
    <t xml:space="preserve">    2.2 ไม่ใช่เรื่องคุณภาพ</t>
  </si>
  <si>
    <t xml:space="preserve">  &gt;  3 ครั้ง/ปี</t>
  </si>
  <si>
    <t xml:space="preserve">  2 ครั้ง/ปี</t>
  </si>
  <si>
    <t>โบนัสที่ได้ (บาท/คิว)</t>
  </si>
  <si>
    <t xml:space="preserve">1. ระดับความสามารถในการบริหารจัดการโรงงาน </t>
  </si>
  <si>
    <t>5 ดาว : โรงงานที่ได้คะแนน 80 - 100 คะแนน</t>
  </si>
  <si>
    <t>4 ดาว : โรงงานที่ได้คะแนน 70 - &lt; 80 คะแนน</t>
  </si>
  <si>
    <t>3 ดาว : โรงงานที่ได้คะแนน 60 - &lt; 70 คะแนน</t>
  </si>
  <si>
    <t>2 ดาว : โรงงานที่ได้คะแนน &lt; 60 คะแนน</t>
  </si>
  <si>
    <r>
      <t xml:space="preserve">1. Sales Volume (ลบ.ม./โรงงาน) </t>
    </r>
    <r>
      <rPr>
        <b/>
        <sz val="14"/>
        <color rgb="FFFF0000"/>
        <rFont val="TH SarabunPSK"/>
        <family val="2"/>
      </rPr>
      <t>ข้อมูล มกราคม-ธันวาคม</t>
    </r>
  </si>
  <si>
    <t>2. สั่งซื้อน้ำยาผสมคอนกรีตจาก CPAC (เมษายน-ธันวาคม)</t>
  </si>
  <si>
    <t>ยอดผลิตคอนกรีต เทียบยอดซื้อน้ำยาผสมคอนกรีต (ยอดผลิต 1 ลบ.ม. : น้ำยา 0.6 ลิตร)</t>
  </si>
  <si>
    <t>ยอดซื้อน้ำยาผสมคอนกรีต (ลิตร) ตั้งแต่ 90% ของยอดผลิตคอนกรีต</t>
  </si>
  <si>
    <t>ยอดซื้อน้ำยาผสมคอนกรีต (ลิตร) ระหว่าง 80.0% - 89.9% ของยอดผลิตคอนกรีต</t>
  </si>
  <si>
    <t xml:space="preserve">1.การบริหารคุณภาพ บันทึกคะแนนเป็นรายเดือน (ข้อมูลเมษายน-พฤศจิกายน) รวม 8 เดือน </t>
  </si>
  <si>
    <t xml:space="preserve">ผ่านเกณฑ์ CPK อยู่ระหว่าง 0.70-0.80 </t>
  </si>
  <si>
    <t>ผ่านเกณฑ์ CPK อยู่ระหว่าง 0.81-1.00</t>
  </si>
  <si>
    <t>ผ่านเกณฑ์ CPK อยู่ระหว่าง 0.55 - 0.69</t>
  </si>
  <si>
    <t>ผลคุณภาพอยู่ใน Dangerous Zone</t>
  </si>
  <si>
    <t xml:space="preserve">การผลิต Manual </t>
  </si>
  <si>
    <r>
      <t xml:space="preserve">คะแนน NPS </t>
    </r>
    <r>
      <rPr>
        <b/>
        <u/>
        <sz val="14"/>
        <rFont val="TH SarabunPSK"/>
        <family val="2"/>
      </rPr>
      <t>&gt;</t>
    </r>
    <r>
      <rPr>
        <b/>
        <sz val="14"/>
        <rFont val="TH SarabunPSK"/>
        <family val="2"/>
      </rPr>
      <t xml:space="preserve"> 75% (บันทึกคะแนนเป็นรายเดือน)</t>
    </r>
  </si>
  <si>
    <t>แฟรนไชส์ซื้อปูนซิเมนต์ตราอื่นมาใช้ในโรงงานแฟรนไชส์ (พิจารณาการให้สิทธิแฟรนไชส์)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</si>
</sst>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H SarabunPSK"/>
      <family val="2"/>
    </font>
    <font>
      <b/>
      <sz val="16"/>
      <color rgb="FFFF0000"/>
      <name val="TH SarabunPSK"/>
      <family val="2"/>
    </font>
    <font>
      <b/>
      <sz val="14"/>
      <color rgb="FFFF0000"/>
      <name val="TH SarabunPSK"/>
      <family val="2"/>
    </font>
    <font>
      <b/>
      <sz val="14"/>
      <name val="TH SarabunPSK"/>
      <family val="2"/>
    </font>
    <font>
      <b/>
      <sz val="12"/>
      <color theme="0"/>
      <name val="TH SarabunPSK"/>
      <family val="2"/>
    </font>
    <font>
      <b/>
      <sz val="14"/>
      <color rgb="FF000000"/>
      <name val="TH SarabunPSK"/>
      <family val="2"/>
    </font>
    <font>
      <b/>
      <u/>
      <sz val="14"/>
      <color rgb="FF000000"/>
      <name val="TH SarabunPSK"/>
      <family val="2"/>
    </font>
    <font>
      <sz val="10"/>
      <name val="Arial"/>
      <family val="2"/>
    </font>
    <font>
      <b/>
      <sz val="16"/>
      <name val="TH SarabunPSK"/>
      <family val="2"/>
    </font>
    <font>
      <b/>
      <sz val="15"/>
      <name val="TH SarabunPSK"/>
      <family val="2"/>
    </font>
    <font>
      <sz val="15"/>
      <name val="TH SarabunPSK"/>
      <family val="2"/>
    </font>
    <font>
      <b/>
      <u/>
      <sz val="14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auto="1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/>
  </cellStyleXfs>
  <cellXfs count="119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0" xfId="0" applyFont="1"/>
    <xf numFmtId="0" fontId="2" fillId="0" borderId="6" xfId="0" applyFont="1" applyBorder="1"/>
    <xf numFmtId="0" fontId="2" fillId="0" borderId="7" xfId="0" applyFont="1" applyBorder="1"/>
    <xf numFmtId="0" fontId="2" fillId="0" borderId="9" xfId="0" applyFont="1" applyBorder="1"/>
    <xf numFmtId="0" fontId="2" fillId="6" borderId="7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0" fontId="5" fillId="3" borderId="11" xfId="0" applyFont="1" applyFill="1" applyBorder="1"/>
    <xf numFmtId="0" fontId="5" fillId="3" borderId="21" xfId="0" applyFont="1" applyFill="1" applyBorder="1"/>
    <xf numFmtId="0" fontId="2" fillId="3" borderId="12" xfId="0" applyFont="1" applyFill="1" applyBorder="1"/>
    <xf numFmtId="0" fontId="5" fillId="3" borderId="12" xfId="0" applyFont="1" applyFill="1" applyBorder="1" applyAlignment="1">
      <alignment horizontal="center"/>
    </xf>
    <xf numFmtId="0" fontId="2" fillId="0" borderId="0" xfId="0" applyFont="1" applyBorder="1"/>
    <xf numFmtId="0" fontId="2" fillId="0" borderId="7" xfId="0" applyFont="1" applyBorder="1" applyAlignment="1">
      <alignment horizontal="center"/>
    </xf>
    <xf numFmtId="0" fontId="2" fillId="6" borderId="0" xfId="0" applyFont="1" applyFill="1" applyBorder="1"/>
    <xf numFmtId="0" fontId="2" fillId="6" borderId="7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2" fillId="3" borderId="7" xfId="0" applyFont="1" applyFill="1" applyBorder="1"/>
    <xf numFmtId="0" fontId="7" fillId="3" borderId="7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left" vertical="center"/>
    </xf>
    <xf numFmtId="0" fontId="5" fillId="8" borderId="0" xfId="0" applyFont="1" applyFill="1" applyBorder="1" applyAlignment="1">
      <alignment horizontal="left" vertical="center"/>
    </xf>
    <xf numFmtId="0" fontId="8" fillId="8" borderId="0" xfId="0" applyFont="1" applyFill="1" applyBorder="1" applyAlignment="1">
      <alignment horizontal="left" vertical="center"/>
    </xf>
    <xf numFmtId="0" fontId="7" fillId="8" borderId="0" xfId="0" applyFont="1" applyFill="1" applyBorder="1" applyAlignment="1">
      <alignment horizontal="left"/>
    </xf>
    <xf numFmtId="0" fontId="7" fillId="8" borderId="7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10" fillId="9" borderId="22" xfId="2" applyFont="1" applyFill="1" applyBorder="1" applyAlignment="1">
      <alignment horizontal="center" vertical="center"/>
    </xf>
    <xf numFmtId="0" fontId="11" fillId="10" borderId="23" xfId="2" applyFont="1" applyFill="1" applyBorder="1" applyAlignment="1">
      <alignment vertical="center"/>
    </xf>
    <xf numFmtId="0" fontId="12" fillId="0" borderId="0" xfId="2" applyFont="1" applyBorder="1" applyAlignment="1">
      <alignment vertical="center"/>
    </xf>
    <xf numFmtId="0" fontId="12" fillId="0" borderId="24" xfId="2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164" fontId="2" fillId="3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4" borderId="11" xfId="0" applyFont="1" applyFill="1" applyBorder="1" applyAlignment="1">
      <alignment vertical="center"/>
    </xf>
    <xf numFmtId="0" fontId="4" fillId="4" borderId="12" xfId="0" applyFont="1" applyFill="1" applyBorder="1" applyAlignment="1">
      <alignment horizontal="left" vertical="center"/>
    </xf>
    <xf numFmtId="0" fontId="4" fillId="4" borderId="13" xfId="0" applyFont="1" applyFill="1" applyBorder="1" applyAlignment="1">
      <alignment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  <xf numFmtId="0" fontId="4" fillId="4" borderId="7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vertical="center"/>
    </xf>
    <xf numFmtId="0" fontId="4" fillId="4" borderId="1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4" fillId="4" borderId="12" xfId="0" applyFont="1" applyFill="1" applyBorder="1" applyAlignment="1">
      <alignment vertical="center"/>
    </xf>
    <xf numFmtId="2" fontId="4" fillId="4" borderId="13" xfId="0" applyNumberFormat="1" applyFont="1" applyFill="1" applyBorder="1" applyAlignment="1">
      <alignment horizontal="center" vertical="center"/>
    </xf>
    <xf numFmtId="164" fontId="4" fillId="4" borderId="13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vertical="center"/>
    </xf>
    <xf numFmtId="2" fontId="4" fillId="4" borderId="8" xfId="0" applyNumberFormat="1" applyFont="1" applyFill="1" applyBorder="1" applyAlignment="1">
      <alignment horizontal="center" vertical="center"/>
    </xf>
    <xf numFmtId="164" fontId="4" fillId="4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164" fontId="2" fillId="4" borderId="13" xfId="0" applyNumberFormat="1" applyFont="1" applyFill="1" applyBorder="1" applyAlignment="1">
      <alignment horizontal="center" vertical="center"/>
    </xf>
    <xf numFmtId="2" fontId="4" fillId="4" borderId="10" xfId="0" applyNumberFormat="1" applyFont="1" applyFill="1" applyBorder="1" applyAlignment="1">
      <alignment horizontal="center" vertical="center"/>
    </xf>
    <xf numFmtId="164" fontId="2" fillId="4" borderId="10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right" vertical="center"/>
    </xf>
    <xf numFmtId="0" fontId="2" fillId="6" borderId="12" xfId="0" applyFont="1" applyFill="1" applyBorder="1" applyAlignment="1">
      <alignment vertical="center"/>
    </xf>
    <xf numFmtId="0" fontId="2" fillId="6" borderId="13" xfId="0" applyFont="1" applyFill="1" applyBorder="1" applyAlignment="1">
      <alignment horizontal="center" vertical="center"/>
    </xf>
    <xf numFmtId="164" fontId="2" fillId="6" borderId="13" xfId="0" applyNumberFormat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164" fontId="2" fillId="0" borderId="8" xfId="0" applyNumberFormat="1" applyFont="1" applyBorder="1" applyAlignment="1">
      <alignment horizontal="center" vertical="center"/>
    </xf>
    <xf numFmtId="0" fontId="5" fillId="6" borderId="14" xfId="0" applyFont="1" applyFill="1" applyBorder="1" applyAlignment="1">
      <alignment vertical="center"/>
    </xf>
    <xf numFmtId="0" fontId="5" fillId="6" borderId="15" xfId="0" applyFont="1" applyFill="1" applyBorder="1" applyAlignment="1">
      <alignment vertical="center"/>
    </xf>
    <xf numFmtId="164" fontId="5" fillId="6" borderId="16" xfId="0" applyNumberFormat="1" applyFont="1" applyFill="1" applyBorder="1" applyAlignment="1">
      <alignment horizontal="center" vertical="center"/>
    </xf>
    <xf numFmtId="164" fontId="2" fillId="6" borderId="6" xfId="0" applyNumberFormat="1" applyFont="1" applyFill="1" applyBorder="1" applyAlignment="1">
      <alignment horizontal="right" vertical="center"/>
    </xf>
    <xf numFmtId="0" fontId="2" fillId="6" borderId="7" xfId="0" applyFont="1" applyFill="1" applyBorder="1" applyAlignment="1">
      <alignment vertical="center"/>
    </xf>
    <xf numFmtId="164" fontId="4" fillId="0" borderId="8" xfId="0" applyNumberFormat="1" applyFont="1" applyBorder="1" applyAlignment="1">
      <alignment horizontal="center" vertical="center"/>
    </xf>
    <xf numFmtId="0" fontId="5" fillId="6" borderId="6" xfId="0" applyFont="1" applyFill="1" applyBorder="1" applyAlignment="1">
      <alignment vertical="center"/>
    </xf>
    <xf numFmtId="0" fontId="5" fillId="6" borderId="7" xfId="0" applyFont="1" applyFill="1" applyBorder="1" applyAlignment="1">
      <alignment vertical="center"/>
    </xf>
    <xf numFmtId="164" fontId="5" fillId="6" borderId="8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164" fontId="2" fillId="6" borderId="8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/>
    </xf>
    <xf numFmtId="164" fontId="2" fillId="6" borderId="10" xfId="0" applyNumberFormat="1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vertical="center"/>
    </xf>
    <xf numFmtId="0" fontId="5" fillId="6" borderId="12" xfId="0" applyFont="1" applyFill="1" applyBorder="1" applyAlignment="1">
      <alignment vertical="center"/>
    </xf>
    <xf numFmtId="39" fontId="2" fillId="6" borderId="13" xfId="1" applyNumberFormat="1" applyFont="1" applyFill="1" applyBorder="1" applyAlignment="1">
      <alignment horizontal="center" vertical="center"/>
    </xf>
    <xf numFmtId="164" fontId="2" fillId="0" borderId="17" xfId="0" applyNumberFormat="1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vertical="center"/>
    </xf>
    <xf numFmtId="164" fontId="2" fillId="0" borderId="10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164" fontId="2" fillId="0" borderId="13" xfId="0" applyNumberFormat="1" applyFont="1" applyBorder="1" applyAlignment="1">
      <alignment horizontal="center" vertical="center"/>
    </xf>
    <xf numFmtId="0" fontId="2" fillId="7" borderId="4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164" fontId="2" fillId="7" borderId="3" xfId="0" applyNumberFormat="1" applyFont="1" applyFill="1" applyBorder="1" applyAlignment="1">
      <alignment horizontal="center" vertical="center"/>
    </xf>
    <xf numFmtId="0" fontId="4" fillId="4" borderId="0" xfId="0" applyFont="1" applyFill="1" applyBorder="1"/>
    <xf numFmtId="0" fontId="2" fillId="4" borderId="7" xfId="0" applyFont="1" applyFill="1" applyBorder="1"/>
  </cellXfs>
  <cellStyles count="3">
    <cellStyle name="Comma" xfId="1" builtinId="3"/>
    <cellStyle name="Normal" xfId="0" builtinId="0"/>
    <cellStyle name="Normal 2" xfId="2" xr:uid="{1FD3DB53-0771-460C-BFFE-2F0B839E20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8AE4-BD1C-431F-9CE3-473191287767}">
  <dimension ref="A1:D67"/>
  <sheetViews>
    <sheetView tabSelected="1" topLeftCell="A58" workbookViewId="0">
      <selection activeCell="G62" sqref="G62"/>
    </sheetView>
  </sheetViews>
  <sheetFormatPr defaultRowHeight="14.5" x14ac:dyDescent="0.35"/>
  <cols>
    <col min="2" max="2" width="79.36328125" bestFit="1" customWidth="1"/>
    <col min="4" max="4" width="13.36328125" bestFit="1" customWidth="1"/>
  </cols>
  <sheetData>
    <row r="1" spans="1:4" ht="18.5" thickBot="1" x14ac:dyDescent="0.4">
      <c r="A1" s="38"/>
      <c r="B1" s="39"/>
      <c r="C1" s="40" t="s">
        <v>0</v>
      </c>
      <c r="D1" s="40"/>
    </row>
    <row r="2" spans="1:4" ht="18.5" thickBot="1" x14ac:dyDescent="0.4">
      <c r="A2" s="41"/>
      <c r="B2" s="42" t="s">
        <v>1</v>
      </c>
      <c r="C2" s="43" t="s">
        <v>2</v>
      </c>
      <c r="D2" s="43" t="s">
        <v>3</v>
      </c>
    </row>
    <row r="3" spans="1:4" ht="18.5" thickBot="1" x14ac:dyDescent="0.4">
      <c r="A3" s="44" t="s">
        <v>58</v>
      </c>
      <c r="B3" s="45"/>
      <c r="C3" s="46"/>
      <c r="D3" s="47">
        <v>15</v>
      </c>
    </row>
    <row r="4" spans="1:4" ht="18" x14ac:dyDescent="0.35">
      <c r="A4" s="48"/>
      <c r="B4" s="49" t="s">
        <v>4</v>
      </c>
      <c r="C4" s="50"/>
      <c r="D4" s="51">
        <v>15</v>
      </c>
    </row>
    <row r="5" spans="1:4" ht="18" x14ac:dyDescent="0.35">
      <c r="A5" s="48"/>
      <c r="B5" s="49" t="s">
        <v>5</v>
      </c>
      <c r="C5" s="50"/>
      <c r="D5" s="51">
        <f>D4-2</f>
        <v>13</v>
      </c>
    </row>
    <row r="6" spans="1:4" ht="18" x14ac:dyDescent="0.35">
      <c r="A6" s="48"/>
      <c r="B6" s="49" t="s">
        <v>6</v>
      </c>
      <c r="C6" s="50"/>
      <c r="D6" s="51">
        <f t="shared" ref="D6:D8" si="0">D5-2</f>
        <v>11</v>
      </c>
    </row>
    <row r="7" spans="1:4" ht="18" x14ac:dyDescent="0.35">
      <c r="A7" s="48"/>
      <c r="B7" s="49" t="s">
        <v>7</v>
      </c>
      <c r="C7" s="50"/>
      <c r="D7" s="51">
        <f t="shared" si="0"/>
        <v>9</v>
      </c>
    </row>
    <row r="8" spans="1:4" ht="18.5" thickBot="1" x14ac:dyDescent="0.4">
      <c r="A8" s="52"/>
      <c r="B8" s="53" t="s">
        <v>8</v>
      </c>
      <c r="C8" s="54"/>
      <c r="D8" s="55">
        <f t="shared" si="0"/>
        <v>7</v>
      </c>
    </row>
    <row r="9" spans="1:4" ht="18.5" thickBot="1" x14ac:dyDescent="0.4">
      <c r="A9" s="56"/>
      <c r="B9" s="57"/>
      <c r="C9" s="57"/>
      <c r="D9" s="57"/>
    </row>
    <row r="10" spans="1:4" ht="18.5" thickBot="1" x14ac:dyDescent="0.4">
      <c r="A10" s="44" t="s">
        <v>59</v>
      </c>
      <c r="B10" s="45"/>
      <c r="C10" s="46"/>
      <c r="D10" s="47">
        <v>5</v>
      </c>
    </row>
    <row r="11" spans="1:4" ht="18" x14ac:dyDescent="0.35">
      <c r="A11" s="58" t="s">
        <v>60</v>
      </c>
      <c r="B11" s="59"/>
      <c r="C11" s="60"/>
      <c r="D11" s="61"/>
    </row>
    <row r="12" spans="1:4" ht="18" x14ac:dyDescent="0.35">
      <c r="A12" s="62">
        <v>2.1</v>
      </c>
      <c r="B12" s="63" t="s">
        <v>61</v>
      </c>
      <c r="C12" s="64"/>
      <c r="D12" s="65">
        <v>5</v>
      </c>
    </row>
    <row r="13" spans="1:4" ht="18.5" thickBot="1" x14ac:dyDescent="0.4">
      <c r="A13" s="66">
        <v>2.2000000000000002</v>
      </c>
      <c r="B13" s="67" t="s">
        <v>62</v>
      </c>
      <c r="C13" s="68"/>
      <c r="D13" s="69">
        <v>4</v>
      </c>
    </row>
    <row r="14" spans="1:4" ht="18.5" thickBot="1" x14ac:dyDescent="0.4">
      <c r="A14" s="56"/>
      <c r="B14" s="70"/>
      <c r="C14" s="56"/>
      <c r="D14" s="71"/>
    </row>
    <row r="15" spans="1:4" ht="18.5" thickBot="1" x14ac:dyDescent="0.4">
      <c r="A15" s="38"/>
      <c r="B15" s="39"/>
      <c r="C15" s="40" t="s">
        <v>0</v>
      </c>
      <c r="D15" s="40"/>
    </row>
    <row r="16" spans="1:4" ht="18.5" thickBot="1" x14ac:dyDescent="0.4">
      <c r="A16" s="41"/>
      <c r="B16" s="42" t="s">
        <v>1</v>
      </c>
      <c r="C16" s="43" t="s">
        <v>2</v>
      </c>
      <c r="D16" s="43" t="s">
        <v>3</v>
      </c>
    </row>
    <row r="17" spans="1:4" ht="18.5" thickBot="1" x14ac:dyDescent="0.4">
      <c r="A17" s="72" t="s">
        <v>63</v>
      </c>
      <c r="B17" s="45"/>
      <c r="C17" s="47"/>
      <c r="D17" s="47">
        <v>20</v>
      </c>
    </row>
    <row r="18" spans="1:4" ht="18" x14ac:dyDescent="0.35">
      <c r="A18" s="58">
        <v>1.1000000000000001</v>
      </c>
      <c r="B18" s="73" t="s">
        <v>64</v>
      </c>
      <c r="C18" s="74">
        <v>2.5</v>
      </c>
      <c r="D18" s="75">
        <f>C18*H18</f>
        <v>0</v>
      </c>
    </row>
    <row r="19" spans="1:4" ht="18" x14ac:dyDescent="0.35">
      <c r="A19" s="62"/>
      <c r="B19" s="76" t="s">
        <v>65</v>
      </c>
      <c r="C19" s="77">
        <v>1.25</v>
      </c>
      <c r="D19" s="78">
        <f>C19*H18</f>
        <v>0</v>
      </c>
    </row>
    <row r="20" spans="1:4" ht="18.5" thickBot="1" x14ac:dyDescent="0.4">
      <c r="A20" s="62"/>
      <c r="B20" s="79" t="s">
        <v>66</v>
      </c>
      <c r="C20" s="77">
        <f>ROUND(C18/2,2)</f>
        <v>1.25</v>
      </c>
      <c r="D20" s="78">
        <f>C20*H18</f>
        <v>0</v>
      </c>
    </row>
    <row r="21" spans="1:4" ht="18" x14ac:dyDescent="0.35">
      <c r="A21" s="58">
        <v>1.2</v>
      </c>
      <c r="B21" s="73" t="s">
        <v>67</v>
      </c>
      <c r="C21" s="74">
        <f>-C18</f>
        <v>-2.5</v>
      </c>
      <c r="D21" s="80"/>
    </row>
    <row r="22" spans="1:4" ht="18.5" thickBot="1" x14ac:dyDescent="0.4">
      <c r="A22" s="66">
        <v>1.3</v>
      </c>
      <c r="B22" s="79" t="s">
        <v>68</v>
      </c>
      <c r="C22" s="81">
        <v>-1.25</v>
      </c>
      <c r="D22" s="82"/>
    </row>
    <row r="23" spans="1:4" ht="18.5" thickBot="1" x14ac:dyDescent="0.4">
      <c r="A23" s="44" t="s">
        <v>9</v>
      </c>
      <c r="B23" s="45"/>
      <c r="C23" s="83"/>
      <c r="D23" s="47">
        <f>D26+D31+D32+D36</f>
        <v>20</v>
      </c>
    </row>
    <row r="24" spans="1:4" ht="18" x14ac:dyDescent="0.35">
      <c r="A24" s="84">
        <v>2.1</v>
      </c>
      <c r="B24" s="85" t="s">
        <v>10</v>
      </c>
      <c r="C24" s="86"/>
      <c r="D24" s="87"/>
    </row>
    <row r="25" spans="1:4" ht="18" x14ac:dyDescent="0.35">
      <c r="A25" s="88"/>
      <c r="B25" s="89" t="s">
        <v>11</v>
      </c>
      <c r="C25" s="90"/>
      <c r="D25" s="90"/>
    </row>
    <row r="26" spans="1:4" ht="18" x14ac:dyDescent="0.35">
      <c r="A26" s="88"/>
      <c r="B26" s="89" t="s">
        <v>12</v>
      </c>
      <c r="C26" s="90"/>
      <c r="D26" s="90">
        <v>15</v>
      </c>
    </row>
    <row r="27" spans="1:4" ht="18" x14ac:dyDescent="0.35">
      <c r="A27" s="88"/>
      <c r="B27" s="89" t="s">
        <v>13</v>
      </c>
      <c r="C27" s="90"/>
      <c r="D27" s="90">
        <v>10</v>
      </c>
    </row>
    <row r="28" spans="1:4" ht="18" x14ac:dyDescent="0.35">
      <c r="A28" s="91"/>
      <c r="B28" s="92" t="s">
        <v>14</v>
      </c>
      <c r="C28" s="93"/>
      <c r="D28" s="93">
        <f>-D26</f>
        <v>-15</v>
      </c>
    </row>
    <row r="29" spans="1:4" ht="18" x14ac:dyDescent="0.35">
      <c r="A29" s="94">
        <v>2.2000000000000002</v>
      </c>
      <c r="B29" s="95" t="s">
        <v>15</v>
      </c>
      <c r="C29" s="96"/>
      <c r="D29" s="96"/>
    </row>
    <row r="30" spans="1:4" ht="18" x14ac:dyDescent="0.35">
      <c r="A30" s="88"/>
      <c r="B30" s="89" t="s">
        <v>16</v>
      </c>
      <c r="C30" s="90"/>
      <c r="D30" s="90"/>
    </row>
    <row r="31" spans="1:4" ht="18" x14ac:dyDescent="0.35">
      <c r="A31" s="48"/>
      <c r="B31" s="89" t="s">
        <v>17</v>
      </c>
      <c r="C31" s="90"/>
      <c r="D31" s="90">
        <v>1</v>
      </c>
    </row>
    <row r="32" spans="1:4" ht="18" x14ac:dyDescent="0.35">
      <c r="A32" s="48"/>
      <c r="B32" s="89" t="s">
        <v>18</v>
      </c>
      <c r="C32" s="90"/>
      <c r="D32" s="90">
        <v>1</v>
      </c>
    </row>
    <row r="33" spans="1:4" ht="18" x14ac:dyDescent="0.35">
      <c r="A33" s="97"/>
      <c r="B33" s="98" t="s">
        <v>19</v>
      </c>
      <c r="C33" s="99"/>
      <c r="D33" s="99">
        <f>-SUM(D31:D32)</f>
        <v>-2</v>
      </c>
    </row>
    <row r="34" spans="1:4" ht="18" x14ac:dyDescent="0.35">
      <c r="A34" s="48"/>
      <c r="B34" s="100" t="s">
        <v>20</v>
      </c>
      <c r="C34" s="96"/>
      <c r="D34" s="96"/>
    </row>
    <row r="35" spans="1:4" ht="18" x14ac:dyDescent="0.35">
      <c r="A35" s="48"/>
      <c r="B35" s="89" t="s">
        <v>21</v>
      </c>
      <c r="C35" s="90"/>
      <c r="D35" s="90"/>
    </row>
    <row r="36" spans="1:4" ht="18" x14ac:dyDescent="0.35">
      <c r="A36" s="48"/>
      <c r="B36" s="89" t="s">
        <v>22</v>
      </c>
      <c r="C36" s="90"/>
      <c r="D36" s="90">
        <v>3</v>
      </c>
    </row>
    <row r="37" spans="1:4" ht="18" x14ac:dyDescent="0.35">
      <c r="A37" s="48"/>
      <c r="B37" s="95" t="s">
        <v>23</v>
      </c>
      <c r="C37" s="101"/>
      <c r="D37" s="101">
        <v>2</v>
      </c>
    </row>
    <row r="38" spans="1:4" ht="18.5" thickBot="1" x14ac:dyDescent="0.4">
      <c r="A38" s="52"/>
      <c r="B38" s="102" t="s">
        <v>24</v>
      </c>
      <c r="C38" s="103"/>
      <c r="D38" s="103">
        <v>1</v>
      </c>
    </row>
    <row r="39" spans="1:4" ht="18.5" thickBot="1" x14ac:dyDescent="0.4">
      <c r="A39" s="44" t="s">
        <v>25</v>
      </c>
      <c r="B39" s="45"/>
      <c r="C39" s="47"/>
      <c r="D39" s="47">
        <v>18</v>
      </c>
    </row>
    <row r="40" spans="1:4" ht="18.5" thickBot="1" x14ac:dyDescent="0.4">
      <c r="A40" s="104"/>
      <c r="B40" s="105" t="s">
        <v>69</v>
      </c>
      <c r="C40" s="106">
        <v>2</v>
      </c>
      <c r="D40" s="87">
        <f>C40*H40</f>
        <v>0</v>
      </c>
    </row>
    <row r="41" spans="1:4" ht="18.5" thickBot="1" x14ac:dyDescent="0.4">
      <c r="A41" s="44" t="s">
        <v>26</v>
      </c>
      <c r="B41" s="45"/>
      <c r="C41" s="47"/>
      <c r="D41" s="47">
        <v>12</v>
      </c>
    </row>
    <row r="42" spans="1:4" ht="18" x14ac:dyDescent="0.35">
      <c r="A42" s="107">
        <v>4.0999999999999996</v>
      </c>
      <c r="B42" s="108" t="s">
        <v>27</v>
      </c>
      <c r="C42" s="109"/>
      <c r="D42" s="109">
        <v>9</v>
      </c>
    </row>
    <row r="43" spans="1:4" ht="18" x14ac:dyDescent="0.35">
      <c r="A43" s="110">
        <v>4.2</v>
      </c>
      <c r="B43" s="89" t="s">
        <v>28</v>
      </c>
      <c r="C43" s="90"/>
      <c r="D43" s="90"/>
    </row>
    <row r="44" spans="1:4" ht="18" x14ac:dyDescent="0.35">
      <c r="A44" s="48"/>
      <c r="B44" s="89" t="s">
        <v>29</v>
      </c>
      <c r="C44" s="90"/>
      <c r="D44" s="90">
        <v>1</v>
      </c>
    </row>
    <row r="45" spans="1:4" ht="18" x14ac:dyDescent="0.35">
      <c r="A45" s="48"/>
      <c r="B45" s="89" t="s">
        <v>30</v>
      </c>
      <c r="C45" s="90"/>
      <c r="D45" s="90">
        <v>1</v>
      </c>
    </row>
    <row r="46" spans="1:4" ht="18.5" thickBot="1" x14ac:dyDescent="0.4">
      <c r="A46" s="52"/>
      <c r="B46" s="39" t="s">
        <v>31</v>
      </c>
      <c r="C46" s="111"/>
      <c r="D46" s="111">
        <v>1</v>
      </c>
    </row>
    <row r="47" spans="1:4" ht="18.5" thickBot="1" x14ac:dyDescent="0.4">
      <c r="A47" s="44" t="s">
        <v>32</v>
      </c>
      <c r="B47" s="45"/>
      <c r="C47" s="47"/>
      <c r="D47" s="47">
        <v>10</v>
      </c>
    </row>
    <row r="48" spans="1:4" ht="18.5" thickBot="1" x14ac:dyDescent="0.4">
      <c r="A48" s="104"/>
      <c r="B48" s="112" t="s">
        <v>33</v>
      </c>
      <c r="C48" s="113"/>
      <c r="D48" s="113">
        <v>10</v>
      </c>
    </row>
    <row r="49" spans="1:4" ht="18.5" thickBot="1" x14ac:dyDescent="0.4">
      <c r="A49" s="114"/>
      <c r="B49" s="115" t="s">
        <v>34</v>
      </c>
      <c r="C49" s="116"/>
      <c r="D49" s="116">
        <f>SUM(D23,D17,D39,D41,D47)</f>
        <v>80</v>
      </c>
    </row>
    <row r="50" spans="1:4" ht="18" x14ac:dyDescent="0.4">
      <c r="A50" s="3"/>
      <c r="B50" s="3"/>
      <c r="C50" s="8"/>
      <c r="D50" s="8"/>
    </row>
    <row r="51" spans="1:4" ht="21" thickBot="1" x14ac:dyDescent="0.5">
      <c r="A51" s="9" t="s">
        <v>35</v>
      </c>
      <c r="B51" s="3"/>
      <c r="C51" s="8"/>
      <c r="D51" s="10"/>
    </row>
    <row r="52" spans="1:4" ht="18.5" thickBot="1" x14ac:dyDescent="0.45">
      <c r="A52" s="35" t="s">
        <v>1</v>
      </c>
      <c r="B52" s="36"/>
      <c r="C52" s="37"/>
      <c r="D52" s="11" t="s">
        <v>36</v>
      </c>
    </row>
    <row r="53" spans="1:4" ht="18" x14ac:dyDescent="0.4">
      <c r="A53" s="12" t="s">
        <v>37</v>
      </c>
      <c r="B53" s="13"/>
      <c r="C53" s="14"/>
      <c r="D53" s="15"/>
    </row>
    <row r="54" spans="1:4" ht="18" x14ac:dyDescent="0.4">
      <c r="A54" s="4"/>
      <c r="B54" s="16" t="s">
        <v>38</v>
      </c>
      <c r="C54" s="5"/>
      <c r="D54" s="17">
        <v>-5</v>
      </c>
    </row>
    <row r="55" spans="1:4" ht="18" x14ac:dyDescent="0.4">
      <c r="A55" s="4"/>
      <c r="B55" s="16" t="s">
        <v>39</v>
      </c>
      <c r="C55" s="5"/>
      <c r="D55" s="17">
        <v>-5</v>
      </c>
    </row>
    <row r="56" spans="1:4" ht="18" x14ac:dyDescent="0.4">
      <c r="A56" s="4"/>
      <c r="B56" s="16" t="s">
        <v>40</v>
      </c>
      <c r="C56" s="5"/>
      <c r="D56" s="17">
        <v>-5</v>
      </c>
    </row>
    <row r="57" spans="1:4" ht="18" x14ac:dyDescent="0.4">
      <c r="A57" s="4"/>
      <c r="B57" s="16" t="s">
        <v>41</v>
      </c>
      <c r="C57" s="5"/>
      <c r="D57" s="17">
        <v>-5</v>
      </c>
    </row>
    <row r="58" spans="1:4" ht="18" x14ac:dyDescent="0.4">
      <c r="A58" s="4"/>
      <c r="B58" s="18" t="s">
        <v>42</v>
      </c>
      <c r="C58" s="7"/>
      <c r="D58" s="19">
        <v>-20</v>
      </c>
    </row>
    <row r="59" spans="1:4" ht="18" x14ac:dyDescent="0.4">
      <c r="A59" s="4"/>
      <c r="B59" s="18" t="s">
        <v>43</v>
      </c>
      <c r="C59" s="7"/>
      <c r="D59" s="19">
        <v>-10</v>
      </c>
    </row>
    <row r="60" spans="1:4" ht="18" x14ac:dyDescent="0.4">
      <c r="A60" s="4"/>
      <c r="B60" s="117" t="s">
        <v>70</v>
      </c>
      <c r="C60" s="118"/>
      <c r="D60" s="20" t="s">
        <v>44</v>
      </c>
    </row>
    <row r="61" spans="1:4" ht="18" x14ac:dyDescent="0.4">
      <c r="A61" s="21" t="s">
        <v>45</v>
      </c>
      <c r="B61" s="22"/>
      <c r="C61" s="23"/>
      <c r="D61" s="24"/>
    </row>
    <row r="62" spans="1:4" ht="18" x14ac:dyDescent="0.4">
      <c r="A62" s="25" t="s">
        <v>46</v>
      </c>
      <c r="B62" s="26"/>
      <c r="C62" s="5"/>
      <c r="D62" s="5"/>
    </row>
    <row r="63" spans="1:4" ht="18" x14ac:dyDescent="0.4">
      <c r="A63" s="25"/>
      <c r="B63" s="27" t="s">
        <v>47</v>
      </c>
      <c r="C63" s="5"/>
      <c r="D63" s="17">
        <v>-10</v>
      </c>
    </row>
    <row r="64" spans="1:4" ht="18" x14ac:dyDescent="0.4">
      <c r="A64" s="25"/>
      <c r="B64" s="28" t="s">
        <v>48</v>
      </c>
      <c r="C64" s="5"/>
      <c r="D64" s="29">
        <v>-5</v>
      </c>
    </row>
    <row r="65" spans="1:4" ht="18" x14ac:dyDescent="0.4">
      <c r="A65" s="25" t="s">
        <v>49</v>
      </c>
      <c r="B65" s="26"/>
      <c r="C65" s="5"/>
      <c r="D65" s="29"/>
    </row>
    <row r="66" spans="1:4" ht="18" x14ac:dyDescent="0.4">
      <c r="A66" s="4"/>
      <c r="B66" s="16" t="s">
        <v>50</v>
      </c>
      <c r="C66" s="5"/>
      <c r="D66" s="17">
        <v>-10</v>
      </c>
    </row>
    <row r="67" spans="1:4" ht="18.5" thickBot="1" x14ac:dyDescent="0.45">
      <c r="A67" s="6"/>
      <c r="B67" s="1" t="s">
        <v>51</v>
      </c>
      <c r="C67" s="2"/>
      <c r="D67" s="30">
        <v>-5</v>
      </c>
    </row>
  </sheetData>
  <mergeCells count="3">
    <mergeCell ref="C1:D1"/>
    <mergeCell ref="C15:D15"/>
    <mergeCell ref="A52:C5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C8FC-DFFF-442B-9298-24B6FF34ECF5}">
  <dimension ref="A1:B5"/>
  <sheetViews>
    <sheetView workbookViewId="0">
      <selection activeCell="C4" sqref="C4"/>
    </sheetView>
  </sheetViews>
  <sheetFormatPr defaultRowHeight="14.5" x14ac:dyDescent="0.35"/>
  <cols>
    <col min="1" max="1" width="43.7265625" customWidth="1"/>
    <col min="2" max="2" width="17.90625" customWidth="1"/>
  </cols>
  <sheetData>
    <row r="1" spans="1:2" ht="20.5" x14ac:dyDescent="0.35">
      <c r="A1" s="32" t="s">
        <v>53</v>
      </c>
      <c r="B1" s="31" t="s">
        <v>52</v>
      </c>
    </row>
    <row r="2" spans="1:2" ht="19.5" x14ac:dyDescent="0.35">
      <c r="A2" s="33" t="s">
        <v>54</v>
      </c>
      <c r="B2" s="34">
        <v>2</v>
      </c>
    </row>
    <row r="3" spans="1:2" ht="19.5" x14ac:dyDescent="0.35">
      <c r="A3" s="33" t="s">
        <v>55</v>
      </c>
      <c r="B3" s="34">
        <v>1.5</v>
      </c>
    </row>
    <row r="4" spans="1:2" ht="19.5" x14ac:dyDescent="0.35">
      <c r="A4" s="33" t="s">
        <v>56</v>
      </c>
      <c r="B4" s="34">
        <v>1</v>
      </c>
    </row>
    <row r="5" spans="1:2" ht="19.5" x14ac:dyDescent="0.35">
      <c r="A5" s="33" t="s">
        <v>57</v>
      </c>
      <c r="B5" s="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Prayut Puttummarin</dc:creator>
  <cp:lastModifiedBy>Prayut Puttummarin</cp:lastModifiedBy>
  <dcterms:created xsi:type="dcterms:W3CDTF">2026-07-30T08:58:08Z</dcterms:created>
  <dcterms:modified xsi:type="dcterms:W3CDTF">2026-07-31T23:03:21Z</dcterms:modified>
</cp:coreProperties>
</file>