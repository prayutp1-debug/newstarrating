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64EC813E-3A5F-4415-A21F-3C65CC1E7C3E}" xr6:coauthVersionLast="36" xr6:coauthVersionMax="36" xr10:uidLastSave="{00000000-0000-0000-0000-000000000000}"/>
  <bookViews>
    <workbookView xWindow="0" yWindow="0" windowWidth="19200" windowHeight="8130" activeTab="2" xr2:uid="{A8A91EEF-99CC-4EB3-BE03-3D899D5B1C9B}"/>
  </bookViews>
  <sheets>
    <sheet name="Q" sheetId="3" r:id="rId1"/>
    <sheet name="Q-Score" sheetId="4" r:id="rId2"/>
    <sheet name="Dangerous" sheetId="5" r:id="rId3"/>
    <sheet name="Manual" sheetId="6" r:id="rId4"/>
  </sheets>
  <definedNames>
    <definedName name="_xlnm._FilterDatabase" localSheetId="2" hidden="1">Dangerous!$A$1:$N$287</definedName>
    <definedName name="_xlnm._FilterDatabase" localSheetId="0" hidden="1">Q!$A$1:$Q$291</definedName>
    <definedName name="_xlnm._FilterDatabase" localSheetId="1" hidden="1">'Q-Score'!$A$1:$S$292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2" i="5" l="1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" i="5"/>
  <c r="P292" i="4" l="1"/>
  <c r="P291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2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2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P3" i="4"/>
  <c r="P2" i="4"/>
  <c r="R292" i="4" l="1"/>
  <c r="Q292" i="4"/>
  <c r="R291" i="4"/>
  <c r="Q291" i="4"/>
  <c r="R290" i="4"/>
  <c r="Q290" i="4"/>
  <c r="R289" i="4"/>
  <c r="Q289" i="4"/>
  <c r="R288" i="4"/>
  <c r="Q288" i="4"/>
  <c r="S289" i="4" l="1"/>
  <c r="S290" i="4"/>
  <c r="S291" i="4"/>
  <c r="S288" i="4"/>
  <c r="S292" i="4"/>
  <c r="Q287" i="4"/>
  <c r="R287" i="4"/>
  <c r="S287" i="4" l="1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R3" i="4" l="1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10" i="4"/>
  <c r="S10" i="4" s="1"/>
  <c r="R11" i="4"/>
  <c r="S11" i="4" s="1"/>
  <c r="R12" i="4"/>
  <c r="S12" i="4" s="1"/>
  <c r="R13" i="4"/>
  <c r="S13" i="4" s="1"/>
  <c r="R14" i="4"/>
  <c r="S14" i="4" s="1"/>
  <c r="R15" i="4"/>
  <c r="S15" i="4" s="1"/>
  <c r="R16" i="4"/>
  <c r="S16" i="4" s="1"/>
  <c r="R17" i="4"/>
  <c r="S17" i="4" s="1"/>
  <c r="R18" i="4"/>
  <c r="S18" i="4" s="1"/>
  <c r="R19" i="4"/>
  <c r="S19" i="4" s="1"/>
  <c r="R20" i="4"/>
  <c r="S20" i="4" s="1"/>
  <c r="R21" i="4"/>
  <c r="S21" i="4" s="1"/>
  <c r="R22" i="4"/>
  <c r="S22" i="4" s="1"/>
  <c r="R23" i="4"/>
  <c r="S23" i="4" s="1"/>
  <c r="R24" i="4"/>
  <c r="S24" i="4" s="1"/>
  <c r="R25" i="4"/>
  <c r="S25" i="4" s="1"/>
  <c r="R26" i="4"/>
  <c r="S26" i="4" s="1"/>
  <c r="R27" i="4"/>
  <c r="S27" i="4" s="1"/>
  <c r="R28" i="4"/>
  <c r="S28" i="4" s="1"/>
  <c r="R29" i="4"/>
  <c r="S29" i="4" s="1"/>
  <c r="R30" i="4"/>
  <c r="S30" i="4" s="1"/>
  <c r="R31" i="4"/>
  <c r="S31" i="4" s="1"/>
  <c r="R32" i="4"/>
  <c r="S32" i="4" s="1"/>
  <c r="R33" i="4"/>
  <c r="S33" i="4" s="1"/>
  <c r="R34" i="4"/>
  <c r="S34" i="4" s="1"/>
  <c r="R35" i="4"/>
  <c r="S35" i="4" s="1"/>
  <c r="R36" i="4"/>
  <c r="S36" i="4" s="1"/>
  <c r="R37" i="4"/>
  <c r="S37" i="4" s="1"/>
  <c r="R38" i="4"/>
  <c r="S38" i="4" s="1"/>
  <c r="R39" i="4"/>
  <c r="S39" i="4" s="1"/>
  <c r="R40" i="4"/>
  <c r="S40" i="4" s="1"/>
  <c r="R41" i="4"/>
  <c r="S41" i="4" s="1"/>
  <c r="R42" i="4"/>
  <c r="S42" i="4" s="1"/>
  <c r="R43" i="4"/>
  <c r="S43" i="4" s="1"/>
  <c r="R44" i="4"/>
  <c r="S44" i="4" s="1"/>
  <c r="R45" i="4"/>
  <c r="S45" i="4" s="1"/>
  <c r="R46" i="4"/>
  <c r="S46" i="4" s="1"/>
  <c r="R47" i="4"/>
  <c r="S47" i="4" s="1"/>
  <c r="R48" i="4"/>
  <c r="S48" i="4" s="1"/>
  <c r="R49" i="4"/>
  <c r="S49" i="4" s="1"/>
  <c r="R50" i="4"/>
  <c r="S50" i="4" s="1"/>
  <c r="R51" i="4"/>
  <c r="S51" i="4" s="1"/>
  <c r="R52" i="4"/>
  <c r="S52" i="4" s="1"/>
  <c r="R53" i="4"/>
  <c r="S53" i="4" s="1"/>
  <c r="R54" i="4"/>
  <c r="S54" i="4" s="1"/>
  <c r="R55" i="4"/>
  <c r="S55" i="4" s="1"/>
  <c r="R56" i="4"/>
  <c r="S56" i="4" s="1"/>
  <c r="R57" i="4"/>
  <c r="S57" i="4" s="1"/>
  <c r="R58" i="4"/>
  <c r="S58" i="4" s="1"/>
  <c r="R59" i="4"/>
  <c r="S59" i="4" s="1"/>
  <c r="R60" i="4"/>
  <c r="S60" i="4" s="1"/>
  <c r="R61" i="4"/>
  <c r="S61" i="4" s="1"/>
  <c r="R62" i="4"/>
  <c r="S62" i="4" s="1"/>
  <c r="R63" i="4"/>
  <c r="S63" i="4" s="1"/>
  <c r="R64" i="4"/>
  <c r="S64" i="4" s="1"/>
  <c r="R65" i="4"/>
  <c r="S65" i="4" s="1"/>
  <c r="R66" i="4"/>
  <c r="S66" i="4" s="1"/>
  <c r="R67" i="4"/>
  <c r="S67" i="4" s="1"/>
  <c r="R68" i="4"/>
  <c r="S68" i="4" s="1"/>
  <c r="R69" i="4"/>
  <c r="S69" i="4" s="1"/>
  <c r="R70" i="4"/>
  <c r="S70" i="4" s="1"/>
  <c r="R71" i="4"/>
  <c r="S71" i="4" s="1"/>
  <c r="R72" i="4"/>
  <c r="S72" i="4" s="1"/>
  <c r="R73" i="4"/>
  <c r="S73" i="4" s="1"/>
  <c r="R74" i="4"/>
  <c r="S74" i="4" s="1"/>
  <c r="R75" i="4"/>
  <c r="S75" i="4" s="1"/>
  <c r="R76" i="4"/>
  <c r="S76" i="4" s="1"/>
  <c r="R77" i="4"/>
  <c r="S77" i="4" s="1"/>
  <c r="R78" i="4"/>
  <c r="S78" i="4" s="1"/>
  <c r="R79" i="4"/>
  <c r="S79" i="4" s="1"/>
  <c r="R80" i="4"/>
  <c r="S80" i="4" s="1"/>
  <c r="R81" i="4"/>
  <c r="S81" i="4" s="1"/>
  <c r="R82" i="4"/>
  <c r="S82" i="4" s="1"/>
  <c r="R83" i="4"/>
  <c r="S83" i="4" s="1"/>
  <c r="R84" i="4"/>
  <c r="S84" i="4" s="1"/>
  <c r="R85" i="4"/>
  <c r="S85" i="4" s="1"/>
  <c r="R86" i="4"/>
  <c r="S86" i="4" s="1"/>
  <c r="R87" i="4"/>
  <c r="S87" i="4" s="1"/>
  <c r="R88" i="4"/>
  <c r="S88" i="4" s="1"/>
  <c r="R89" i="4"/>
  <c r="S89" i="4" s="1"/>
  <c r="R90" i="4"/>
  <c r="S90" i="4" s="1"/>
  <c r="R91" i="4"/>
  <c r="S91" i="4" s="1"/>
  <c r="R92" i="4"/>
  <c r="S92" i="4" s="1"/>
  <c r="R93" i="4"/>
  <c r="S93" i="4" s="1"/>
  <c r="R94" i="4"/>
  <c r="S94" i="4" s="1"/>
  <c r="R95" i="4"/>
  <c r="S95" i="4" s="1"/>
  <c r="R96" i="4"/>
  <c r="S96" i="4" s="1"/>
  <c r="R97" i="4"/>
  <c r="S97" i="4" s="1"/>
  <c r="R98" i="4"/>
  <c r="S98" i="4" s="1"/>
  <c r="R99" i="4"/>
  <c r="S99" i="4" s="1"/>
  <c r="R100" i="4"/>
  <c r="S100" i="4" s="1"/>
  <c r="R101" i="4"/>
  <c r="S101" i="4" s="1"/>
  <c r="R102" i="4"/>
  <c r="S102" i="4" s="1"/>
  <c r="R103" i="4"/>
  <c r="S103" i="4" s="1"/>
  <c r="R104" i="4"/>
  <c r="S104" i="4" s="1"/>
  <c r="R105" i="4"/>
  <c r="S105" i="4" s="1"/>
  <c r="R106" i="4"/>
  <c r="S106" i="4" s="1"/>
  <c r="R107" i="4"/>
  <c r="S107" i="4" s="1"/>
  <c r="R108" i="4"/>
  <c r="S108" i="4" s="1"/>
  <c r="R109" i="4"/>
  <c r="S109" i="4" s="1"/>
  <c r="R110" i="4"/>
  <c r="S110" i="4" s="1"/>
  <c r="R111" i="4"/>
  <c r="S111" i="4" s="1"/>
  <c r="R112" i="4"/>
  <c r="S112" i="4" s="1"/>
  <c r="R113" i="4"/>
  <c r="S113" i="4" s="1"/>
  <c r="R114" i="4"/>
  <c r="S114" i="4" s="1"/>
  <c r="R115" i="4"/>
  <c r="S115" i="4" s="1"/>
  <c r="R116" i="4"/>
  <c r="S116" i="4" s="1"/>
  <c r="R117" i="4"/>
  <c r="S117" i="4" s="1"/>
  <c r="R118" i="4"/>
  <c r="S118" i="4" s="1"/>
  <c r="R119" i="4"/>
  <c r="S119" i="4" s="1"/>
  <c r="R120" i="4"/>
  <c r="S120" i="4" s="1"/>
  <c r="R121" i="4"/>
  <c r="S121" i="4" s="1"/>
  <c r="R122" i="4"/>
  <c r="S122" i="4" s="1"/>
  <c r="R123" i="4"/>
  <c r="S123" i="4" s="1"/>
  <c r="R124" i="4"/>
  <c r="S124" i="4" s="1"/>
  <c r="R125" i="4"/>
  <c r="S125" i="4" s="1"/>
  <c r="R126" i="4"/>
  <c r="S126" i="4" s="1"/>
  <c r="R127" i="4"/>
  <c r="S127" i="4" s="1"/>
  <c r="R128" i="4"/>
  <c r="S128" i="4" s="1"/>
  <c r="R129" i="4"/>
  <c r="S129" i="4" s="1"/>
  <c r="R130" i="4"/>
  <c r="S130" i="4" s="1"/>
  <c r="R131" i="4"/>
  <c r="S131" i="4" s="1"/>
  <c r="R132" i="4"/>
  <c r="S132" i="4" s="1"/>
  <c r="R133" i="4"/>
  <c r="S133" i="4" s="1"/>
  <c r="R134" i="4"/>
  <c r="S134" i="4" s="1"/>
  <c r="R135" i="4"/>
  <c r="S135" i="4" s="1"/>
  <c r="R136" i="4"/>
  <c r="S136" i="4" s="1"/>
  <c r="R137" i="4"/>
  <c r="S137" i="4" s="1"/>
  <c r="R138" i="4"/>
  <c r="S138" i="4" s="1"/>
  <c r="R139" i="4"/>
  <c r="S139" i="4" s="1"/>
  <c r="R140" i="4"/>
  <c r="S140" i="4" s="1"/>
  <c r="R141" i="4"/>
  <c r="S141" i="4" s="1"/>
  <c r="R142" i="4"/>
  <c r="S142" i="4" s="1"/>
  <c r="R143" i="4"/>
  <c r="S143" i="4" s="1"/>
  <c r="R144" i="4"/>
  <c r="S144" i="4" s="1"/>
  <c r="R145" i="4"/>
  <c r="S145" i="4" s="1"/>
  <c r="R146" i="4"/>
  <c r="S146" i="4" s="1"/>
  <c r="R147" i="4"/>
  <c r="S147" i="4" s="1"/>
  <c r="R148" i="4"/>
  <c r="S148" i="4" s="1"/>
  <c r="R149" i="4"/>
  <c r="S149" i="4" s="1"/>
  <c r="R150" i="4"/>
  <c r="S150" i="4" s="1"/>
  <c r="R151" i="4"/>
  <c r="S151" i="4" s="1"/>
  <c r="R152" i="4"/>
  <c r="S152" i="4" s="1"/>
  <c r="R153" i="4"/>
  <c r="S153" i="4" s="1"/>
  <c r="R154" i="4"/>
  <c r="S154" i="4" s="1"/>
  <c r="R155" i="4"/>
  <c r="S155" i="4" s="1"/>
  <c r="R156" i="4"/>
  <c r="S156" i="4" s="1"/>
  <c r="R157" i="4"/>
  <c r="S157" i="4" s="1"/>
  <c r="R158" i="4"/>
  <c r="S158" i="4" s="1"/>
  <c r="R159" i="4"/>
  <c r="S159" i="4" s="1"/>
  <c r="R160" i="4"/>
  <c r="S160" i="4" s="1"/>
  <c r="R161" i="4"/>
  <c r="S161" i="4" s="1"/>
  <c r="R162" i="4"/>
  <c r="S162" i="4" s="1"/>
  <c r="R163" i="4"/>
  <c r="S163" i="4" s="1"/>
  <c r="R164" i="4"/>
  <c r="S164" i="4" s="1"/>
  <c r="R165" i="4"/>
  <c r="S165" i="4" s="1"/>
  <c r="R166" i="4"/>
  <c r="S166" i="4" s="1"/>
  <c r="R167" i="4"/>
  <c r="S167" i="4" s="1"/>
  <c r="R168" i="4"/>
  <c r="S168" i="4" s="1"/>
  <c r="R169" i="4"/>
  <c r="S169" i="4" s="1"/>
  <c r="R170" i="4"/>
  <c r="S170" i="4" s="1"/>
  <c r="R171" i="4"/>
  <c r="S171" i="4" s="1"/>
  <c r="R172" i="4"/>
  <c r="S172" i="4" s="1"/>
  <c r="R173" i="4"/>
  <c r="S173" i="4" s="1"/>
  <c r="R174" i="4"/>
  <c r="S174" i="4" s="1"/>
  <c r="R175" i="4"/>
  <c r="S175" i="4" s="1"/>
  <c r="R176" i="4"/>
  <c r="S176" i="4" s="1"/>
  <c r="R177" i="4"/>
  <c r="S177" i="4" s="1"/>
  <c r="R178" i="4"/>
  <c r="S178" i="4" s="1"/>
  <c r="R179" i="4"/>
  <c r="S179" i="4" s="1"/>
  <c r="R180" i="4"/>
  <c r="S180" i="4" s="1"/>
  <c r="R181" i="4"/>
  <c r="S181" i="4" s="1"/>
  <c r="R182" i="4"/>
  <c r="S182" i="4" s="1"/>
  <c r="R183" i="4"/>
  <c r="S183" i="4" s="1"/>
  <c r="R184" i="4"/>
  <c r="S184" i="4" s="1"/>
  <c r="R185" i="4"/>
  <c r="S185" i="4" s="1"/>
  <c r="R186" i="4"/>
  <c r="S186" i="4" s="1"/>
  <c r="R187" i="4"/>
  <c r="S187" i="4" s="1"/>
  <c r="R188" i="4"/>
  <c r="S188" i="4" s="1"/>
  <c r="R189" i="4"/>
  <c r="S189" i="4" s="1"/>
  <c r="R190" i="4"/>
  <c r="S190" i="4" s="1"/>
  <c r="R191" i="4"/>
  <c r="S191" i="4" s="1"/>
  <c r="R192" i="4"/>
  <c r="S192" i="4" s="1"/>
  <c r="R193" i="4"/>
  <c r="S193" i="4" s="1"/>
  <c r="R194" i="4"/>
  <c r="S194" i="4" s="1"/>
  <c r="R195" i="4"/>
  <c r="S195" i="4" s="1"/>
  <c r="R196" i="4"/>
  <c r="S196" i="4" s="1"/>
  <c r="R197" i="4"/>
  <c r="S197" i="4" s="1"/>
  <c r="R198" i="4"/>
  <c r="S198" i="4" s="1"/>
  <c r="R199" i="4"/>
  <c r="S199" i="4" s="1"/>
  <c r="R200" i="4"/>
  <c r="S200" i="4" s="1"/>
  <c r="R201" i="4"/>
  <c r="S201" i="4" s="1"/>
  <c r="R202" i="4"/>
  <c r="S202" i="4" s="1"/>
  <c r="R203" i="4"/>
  <c r="S203" i="4" s="1"/>
  <c r="R204" i="4"/>
  <c r="S204" i="4" s="1"/>
  <c r="R205" i="4"/>
  <c r="S205" i="4" s="1"/>
  <c r="R206" i="4"/>
  <c r="S206" i="4" s="1"/>
  <c r="R207" i="4"/>
  <c r="S207" i="4" s="1"/>
  <c r="R208" i="4"/>
  <c r="S208" i="4" s="1"/>
  <c r="R209" i="4"/>
  <c r="S209" i="4" s="1"/>
  <c r="R210" i="4"/>
  <c r="S210" i="4" s="1"/>
  <c r="R211" i="4"/>
  <c r="S211" i="4" s="1"/>
  <c r="R212" i="4"/>
  <c r="S212" i="4" s="1"/>
  <c r="R213" i="4"/>
  <c r="S213" i="4" s="1"/>
  <c r="R214" i="4"/>
  <c r="S214" i="4" s="1"/>
  <c r="R215" i="4"/>
  <c r="S215" i="4" s="1"/>
  <c r="R216" i="4"/>
  <c r="S216" i="4" s="1"/>
  <c r="R217" i="4"/>
  <c r="S217" i="4" s="1"/>
  <c r="R218" i="4"/>
  <c r="S218" i="4" s="1"/>
  <c r="R219" i="4"/>
  <c r="S219" i="4" s="1"/>
  <c r="R220" i="4"/>
  <c r="S220" i="4" s="1"/>
  <c r="R221" i="4"/>
  <c r="S221" i="4" s="1"/>
  <c r="R222" i="4"/>
  <c r="S222" i="4" s="1"/>
  <c r="R223" i="4"/>
  <c r="S223" i="4" s="1"/>
  <c r="R224" i="4"/>
  <c r="S224" i="4" s="1"/>
  <c r="R225" i="4"/>
  <c r="S225" i="4" s="1"/>
  <c r="R226" i="4"/>
  <c r="S226" i="4" s="1"/>
  <c r="R227" i="4"/>
  <c r="S227" i="4" s="1"/>
  <c r="R228" i="4"/>
  <c r="S228" i="4" s="1"/>
  <c r="R229" i="4"/>
  <c r="S229" i="4" s="1"/>
  <c r="R230" i="4"/>
  <c r="S230" i="4" s="1"/>
  <c r="R231" i="4"/>
  <c r="S231" i="4" s="1"/>
  <c r="R232" i="4"/>
  <c r="S232" i="4" s="1"/>
  <c r="R233" i="4"/>
  <c r="S233" i="4" s="1"/>
  <c r="R234" i="4"/>
  <c r="S234" i="4" s="1"/>
  <c r="R235" i="4"/>
  <c r="S235" i="4" s="1"/>
  <c r="R236" i="4"/>
  <c r="S236" i="4" s="1"/>
  <c r="R237" i="4"/>
  <c r="S237" i="4" s="1"/>
  <c r="R238" i="4"/>
  <c r="S238" i="4" s="1"/>
  <c r="R239" i="4"/>
  <c r="S239" i="4" s="1"/>
  <c r="R240" i="4"/>
  <c r="S240" i="4" s="1"/>
  <c r="R241" i="4"/>
  <c r="S241" i="4" s="1"/>
  <c r="R242" i="4"/>
  <c r="S242" i="4" s="1"/>
  <c r="R243" i="4"/>
  <c r="S243" i="4" s="1"/>
  <c r="R244" i="4"/>
  <c r="S244" i="4" s="1"/>
  <c r="R245" i="4"/>
  <c r="S245" i="4" s="1"/>
  <c r="R246" i="4"/>
  <c r="S246" i="4" s="1"/>
  <c r="R247" i="4"/>
  <c r="S247" i="4" s="1"/>
  <c r="R248" i="4"/>
  <c r="S248" i="4" s="1"/>
  <c r="R249" i="4"/>
  <c r="S249" i="4" s="1"/>
  <c r="R250" i="4"/>
  <c r="S250" i="4" s="1"/>
  <c r="R251" i="4"/>
  <c r="S251" i="4" s="1"/>
  <c r="R252" i="4"/>
  <c r="S252" i="4" s="1"/>
  <c r="R253" i="4"/>
  <c r="S253" i="4" s="1"/>
  <c r="R254" i="4"/>
  <c r="S254" i="4" s="1"/>
  <c r="R255" i="4"/>
  <c r="S255" i="4" s="1"/>
  <c r="R256" i="4"/>
  <c r="S256" i="4" s="1"/>
  <c r="R257" i="4"/>
  <c r="S257" i="4" s="1"/>
  <c r="R258" i="4"/>
  <c r="S258" i="4" s="1"/>
  <c r="R259" i="4"/>
  <c r="S259" i="4" s="1"/>
  <c r="R260" i="4"/>
  <c r="S260" i="4" s="1"/>
  <c r="R261" i="4"/>
  <c r="S261" i="4" s="1"/>
  <c r="R262" i="4"/>
  <c r="S262" i="4" s="1"/>
  <c r="R263" i="4"/>
  <c r="S263" i="4" s="1"/>
  <c r="R264" i="4"/>
  <c r="S264" i="4" s="1"/>
  <c r="R265" i="4"/>
  <c r="S265" i="4" s="1"/>
  <c r="R266" i="4"/>
  <c r="S266" i="4" s="1"/>
  <c r="R267" i="4"/>
  <c r="S267" i="4" s="1"/>
  <c r="R268" i="4"/>
  <c r="S268" i="4" s="1"/>
  <c r="R269" i="4"/>
  <c r="S269" i="4" s="1"/>
  <c r="R270" i="4"/>
  <c r="S270" i="4" s="1"/>
  <c r="R271" i="4"/>
  <c r="S271" i="4" s="1"/>
  <c r="R272" i="4"/>
  <c r="S272" i="4" s="1"/>
  <c r="R273" i="4"/>
  <c r="S273" i="4" s="1"/>
  <c r="R274" i="4"/>
  <c r="S274" i="4" s="1"/>
  <c r="R275" i="4"/>
  <c r="S275" i="4" s="1"/>
  <c r="R276" i="4"/>
  <c r="S276" i="4" s="1"/>
  <c r="R277" i="4"/>
  <c r="S277" i="4" s="1"/>
  <c r="R278" i="4"/>
  <c r="S278" i="4" s="1"/>
  <c r="R279" i="4"/>
  <c r="S279" i="4" s="1"/>
  <c r="R280" i="4"/>
  <c r="S280" i="4" s="1"/>
  <c r="R281" i="4"/>
  <c r="S281" i="4" s="1"/>
  <c r="R282" i="4"/>
  <c r="S282" i="4" s="1"/>
  <c r="R283" i="4"/>
  <c r="S283" i="4" s="1"/>
  <c r="R284" i="4"/>
  <c r="S284" i="4" s="1"/>
  <c r="R285" i="4"/>
  <c r="S285" i="4" s="1"/>
  <c r="R286" i="4"/>
  <c r="S286" i="4" s="1"/>
  <c r="R2" i="4"/>
  <c r="S2" i="4" s="1"/>
  <c r="N286" i="6" l="1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</calcChain>
</file>

<file path=xl/sharedStrings.xml><?xml version="1.0" encoding="utf-8"?>
<sst xmlns="http://schemas.openxmlformats.org/spreadsheetml/2006/main" count="3817" uniqueCount="975">
  <si>
    <t>กิจการ</t>
  </si>
  <si>
    <t>ชื่อโรงงาน</t>
  </si>
  <si>
    <t>FC194</t>
  </si>
  <si>
    <t>พาน</t>
  </si>
  <si>
    <t>FC404</t>
  </si>
  <si>
    <t>แม่สรวย 2</t>
  </si>
  <si>
    <t>FC265</t>
  </si>
  <si>
    <t>เทิง</t>
  </si>
  <si>
    <t>FC082</t>
  </si>
  <si>
    <t>สตูล</t>
  </si>
  <si>
    <t>FC098</t>
  </si>
  <si>
    <t>ทับปุด</t>
  </si>
  <si>
    <t>FC221</t>
  </si>
  <si>
    <t>พังงา</t>
  </si>
  <si>
    <t>FC270</t>
  </si>
  <si>
    <t>ทุ่งมะพร้าว</t>
  </si>
  <si>
    <t>31ED</t>
  </si>
  <si>
    <t>31EC</t>
  </si>
  <si>
    <t>FC214</t>
  </si>
  <si>
    <t>FC248</t>
  </si>
  <si>
    <t>สองพี่น้อง</t>
  </si>
  <si>
    <t>FC299</t>
  </si>
  <si>
    <t>FC046</t>
  </si>
  <si>
    <t>วังม่วง</t>
  </si>
  <si>
    <t>FC095</t>
  </si>
  <si>
    <t>มวกเหล็ก</t>
  </si>
  <si>
    <t>FC014</t>
  </si>
  <si>
    <t>แก้งคร้อ</t>
  </si>
  <si>
    <t>FC156</t>
  </si>
  <si>
    <t>มัญจาคีรี</t>
  </si>
  <si>
    <t>FC243</t>
  </si>
  <si>
    <t>สีชมพู</t>
  </si>
  <si>
    <t>ZZS1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</si>
  <si>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</si>
  <si>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</si>
  <si>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</si>
  <si>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</si>
  <si>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</si>
  <si>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</si>
  <si>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</si>
  <si>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</si>
  <si>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</si>
  <si>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</si>
  <si>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</si>
  <si>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1-Metro</t>
  </si>
  <si>
    <t>2-East</t>
  </si>
  <si>
    <t>3-West</t>
  </si>
  <si>
    <t>4-North</t>
  </si>
  <si>
    <t>6-South</t>
  </si>
  <si>
    <t>FC139</t>
  </si>
  <si>
    <t>คลอง 11</t>
  </si>
  <si>
    <t>31EF</t>
  </si>
  <si>
    <t>นพวงศ์(N)</t>
  </si>
  <si>
    <t>หลวงแพ่ง (N)</t>
  </si>
  <si>
    <t>คลองด่าน (N)</t>
  </si>
  <si>
    <t>FC105</t>
  </si>
  <si>
    <t>นิคมพัฒนา</t>
  </si>
  <si>
    <t>FC399</t>
  </si>
  <si>
    <t>ตราด</t>
  </si>
  <si>
    <t>FC068</t>
  </si>
  <si>
    <t>บ้านอำเภอ 1</t>
  </si>
  <si>
    <t>FC117</t>
  </si>
  <si>
    <t>บ้านอำเภอ 2</t>
  </si>
  <si>
    <t>FC169</t>
  </si>
  <si>
    <t>มาบประชัน 1</t>
  </si>
  <si>
    <t>FC273</t>
  </si>
  <si>
    <t>สัตหีบ 2</t>
  </si>
  <si>
    <t>FC043</t>
  </si>
  <si>
    <t>เกาะช้าง</t>
  </si>
  <si>
    <t>FC017</t>
  </si>
  <si>
    <t>สอยดาว</t>
  </si>
  <si>
    <t>FC228</t>
  </si>
  <si>
    <t>พนัสนิคม</t>
  </si>
  <si>
    <t>FC388</t>
  </si>
  <si>
    <t>หมอนนาง</t>
  </si>
  <si>
    <t>FC071</t>
  </si>
  <si>
    <t>ปลวกแดง</t>
  </si>
  <si>
    <t>FC256</t>
  </si>
  <si>
    <t>บ้านบึง 2</t>
  </si>
  <si>
    <t>FC272</t>
  </si>
  <si>
    <t>หนองใหญ่ 2</t>
  </si>
  <si>
    <t>FC300</t>
  </si>
  <si>
    <t>หนองไผ่แก้ว</t>
  </si>
  <si>
    <t>FC332</t>
  </si>
  <si>
    <t>วังจันทร์</t>
  </si>
  <si>
    <t>FC401</t>
  </si>
  <si>
    <t>บ้านค่าย 2</t>
  </si>
  <si>
    <t>FC402</t>
  </si>
  <si>
    <t>หนองใหญ่ 3</t>
  </si>
  <si>
    <t>FC406</t>
  </si>
  <si>
    <t>โรจนะหนองใหญ่</t>
  </si>
  <si>
    <t>FC410</t>
  </si>
  <si>
    <t>บ้านบึง 3</t>
  </si>
  <si>
    <t>FC088</t>
  </si>
  <si>
    <t>บางน้ำเปรี้ยว 1</t>
  </si>
  <si>
    <t>FC309</t>
  </si>
  <si>
    <t>บางน้ำเปรี้ยว 2</t>
  </si>
  <si>
    <t>13O3</t>
  </si>
  <si>
    <t>บูรพา ท่าหลวง</t>
  </si>
  <si>
    <t>13O6</t>
  </si>
  <si>
    <t>แปลงยาว Type X</t>
  </si>
  <si>
    <t>FC065</t>
  </si>
  <si>
    <t>บ้านนา</t>
  </si>
  <si>
    <t>FC013</t>
  </si>
  <si>
    <t>ลำนารายณ์</t>
  </si>
  <si>
    <t>FC111</t>
  </si>
  <si>
    <t>ดาวเรือง 1</t>
  </si>
  <si>
    <t>FC175</t>
  </si>
  <si>
    <t>พัฒนานิคม</t>
  </si>
  <si>
    <t>FC390</t>
  </si>
  <si>
    <t>โคกสำโรง</t>
  </si>
  <si>
    <t>FC323</t>
  </si>
  <si>
    <t>ตาพระยา</t>
  </si>
  <si>
    <t>FC015</t>
  </si>
  <si>
    <t>บ้านหมี่</t>
  </si>
  <si>
    <t>FC209</t>
  </si>
  <si>
    <t>บ้านหมอ</t>
  </si>
  <si>
    <t>FC389</t>
  </si>
  <si>
    <t>บ้านหมอ 2</t>
  </si>
  <si>
    <t>FC308</t>
  </si>
  <si>
    <t>วังสมบูรณ์</t>
  </si>
  <si>
    <t>FC056</t>
  </si>
  <si>
    <t>พนมสารคาม</t>
  </si>
  <si>
    <t>13O4</t>
  </si>
  <si>
    <t>วี.เอส.คอนกรีต (X)</t>
  </si>
  <si>
    <t>13O5</t>
  </si>
  <si>
    <t>ซิโนมา Type X</t>
  </si>
  <si>
    <t>31IH</t>
  </si>
  <si>
    <t>บางแสน1 (X)</t>
  </si>
  <si>
    <t>FC137</t>
  </si>
  <si>
    <t>ห้วยมงคล</t>
  </si>
  <si>
    <t>FC070</t>
  </si>
  <si>
    <t>ท่ามะกา</t>
  </si>
  <si>
    <t>FC254</t>
  </si>
  <si>
    <t xml:space="preserve">พนมทวน </t>
  </si>
  <si>
    <t>FC369</t>
  </si>
  <si>
    <t xml:space="preserve">FC กาญจนบุรี 2 </t>
  </si>
  <si>
    <t>FC397</t>
  </si>
  <si>
    <t>ท่าม่วง</t>
  </si>
  <si>
    <t>FC158</t>
  </si>
  <si>
    <t>แก่งกระจาน</t>
  </si>
  <si>
    <t>FC069</t>
  </si>
  <si>
    <t>จอมบึง</t>
  </si>
  <si>
    <t>FC236</t>
  </si>
  <si>
    <t>ทับสะแก</t>
  </si>
  <si>
    <t>FC009</t>
  </si>
  <si>
    <t>ประจวบคีรีขันธ์</t>
  </si>
  <si>
    <t>FC035</t>
  </si>
  <si>
    <t>บางสะพาน</t>
  </si>
  <si>
    <t>FC176</t>
  </si>
  <si>
    <t>บางตะเคียน</t>
  </si>
  <si>
    <t>FC201</t>
  </si>
  <si>
    <t>ศรีประจันต์</t>
  </si>
  <si>
    <t>FC092</t>
  </si>
  <si>
    <t>อู่ทอง</t>
  </si>
  <si>
    <t>FC142</t>
  </si>
  <si>
    <t>บางปลาม้า</t>
  </si>
  <si>
    <t>FC249</t>
  </si>
  <si>
    <t>ด่านช้าง 2</t>
  </si>
  <si>
    <t>FC138</t>
  </si>
  <si>
    <t>หันตรา</t>
  </si>
  <si>
    <t>FC197</t>
  </si>
  <si>
    <t>สรรคบุรี</t>
  </si>
  <si>
    <t>FC094</t>
  </si>
  <si>
    <t>บางระกำ</t>
  </si>
  <si>
    <t>FC250</t>
  </si>
  <si>
    <t>ลานกระบือ</t>
  </si>
  <si>
    <t>FC148</t>
  </si>
  <si>
    <t>พรานกระต่าย</t>
  </si>
  <si>
    <t>FC208</t>
  </si>
  <si>
    <t>พรหมพิราม</t>
  </si>
  <si>
    <t>FC207</t>
  </si>
  <si>
    <t>กงไกรลาศ</t>
  </si>
  <si>
    <t>FC373</t>
  </si>
  <si>
    <t>เนินมะปราง (Type M)</t>
  </si>
  <si>
    <t>FC240</t>
  </si>
  <si>
    <t>ทรัพย์ไพรวัลย์</t>
  </si>
  <si>
    <t>FC347</t>
  </si>
  <si>
    <t>M ชาติตระการ</t>
  </si>
  <si>
    <t>FC187</t>
  </si>
  <si>
    <t>นครไทย</t>
  </si>
  <si>
    <t>FC167</t>
  </si>
  <si>
    <t>พิชัย</t>
  </si>
  <si>
    <t>FC368</t>
  </si>
  <si>
    <t>แม่ฮ่องสอน (Type M)</t>
  </si>
  <si>
    <t>FC408</t>
  </si>
  <si>
    <t>ปาย (Type M)</t>
  </si>
  <si>
    <t>FC146</t>
  </si>
  <si>
    <t>ฝาง 2</t>
  </si>
  <si>
    <t>FC276</t>
  </si>
  <si>
    <t>ไชยปราการ</t>
  </si>
  <si>
    <t>FC322</t>
  </si>
  <si>
    <t>ฝาง-สันทราย</t>
  </si>
  <si>
    <t>FC205</t>
  </si>
  <si>
    <t>แม่สะเรียง</t>
  </si>
  <si>
    <t>FC007</t>
  </si>
  <si>
    <t>ฮอด</t>
  </si>
  <si>
    <t>FC297</t>
  </si>
  <si>
    <t>ลี้ 2</t>
  </si>
  <si>
    <t>FC393</t>
  </si>
  <si>
    <t>ลี้แม่ตืน</t>
  </si>
  <si>
    <t>FC348</t>
  </si>
  <si>
    <t>เชียงดาว</t>
  </si>
  <si>
    <t>FC216</t>
  </si>
  <si>
    <t>พร้าว</t>
  </si>
  <si>
    <t>FC364</t>
  </si>
  <si>
    <t>แม่แจ่ม (Type M)</t>
  </si>
  <si>
    <t>FC392</t>
  </si>
  <si>
    <t>สะเมิง (Type M)</t>
  </si>
  <si>
    <t>FC374</t>
  </si>
  <si>
    <t>ลำปาง-สบปราบ</t>
  </si>
  <si>
    <t>FC360</t>
  </si>
  <si>
    <t>วังเหนือ</t>
  </si>
  <si>
    <t>FC219</t>
  </si>
  <si>
    <t>เชียงคำ</t>
  </si>
  <si>
    <t>FC403</t>
  </si>
  <si>
    <t>เวียงสา 2(Type M)</t>
  </si>
  <si>
    <t>FC172</t>
  </si>
  <si>
    <t>งาว</t>
  </si>
  <si>
    <t>FC362</t>
  </si>
  <si>
    <t>เชียงม่วน (M)</t>
  </si>
  <si>
    <t>FC371</t>
  </si>
  <si>
    <t>แม่ใจ (Type M)</t>
  </si>
  <si>
    <t>FC357</t>
  </si>
  <si>
    <t>ปง (FC Type M)</t>
  </si>
  <si>
    <t>FC306</t>
  </si>
  <si>
    <t>แจ้ห่ม</t>
  </si>
  <si>
    <t>FC057</t>
  </si>
  <si>
    <t>ปัว</t>
  </si>
  <si>
    <t>19FJ</t>
  </si>
  <si>
    <t>ลำปาง-ห้างฉัตร (Co-Area)</t>
  </si>
  <si>
    <t>19FD</t>
  </si>
  <si>
    <t>ลำปาง-เกาะคา  (Co-Area)</t>
  </si>
  <si>
    <t>19FE</t>
  </si>
  <si>
    <t>แม่ทะ-ผาลาด (Co-Area)</t>
  </si>
  <si>
    <t>19AP</t>
  </si>
  <si>
    <t>ร้องกวาง (Co-Area)</t>
  </si>
  <si>
    <t>FC045</t>
  </si>
  <si>
    <t>ขาณุวรลักษบุรี</t>
  </si>
  <si>
    <t>FC067</t>
  </si>
  <si>
    <t>ท่าตะโก</t>
  </si>
  <si>
    <t>FC289</t>
  </si>
  <si>
    <t>คลองขลุง 2</t>
  </si>
  <si>
    <t>FC382</t>
  </si>
  <si>
    <t>หนองบัว 2</t>
  </si>
  <si>
    <t>FC261</t>
  </si>
  <si>
    <t>ลาดยาว</t>
  </si>
  <si>
    <t>FC293</t>
  </si>
  <si>
    <t>บรรพตพิสัย</t>
  </si>
  <si>
    <t>FC303</t>
  </si>
  <si>
    <t>ตาคลี</t>
  </si>
  <si>
    <t>FC333</t>
  </si>
  <si>
    <t>นครสวรรค์ ไบโอคอมเพล็ก</t>
  </si>
  <si>
    <t>FC118</t>
  </si>
  <si>
    <t>บ้านไร่ 1</t>
  </si>
  <si>
    <t>FC178</t>
  </si>
  <si>
    <t>บ้านไร่ 2</t>
  </si>
  <si>
    <t>FC121</t>
  </si>
  <si>
    <t>คลองลาน</t>
  </si>
  <si>
    <t>FC036</t>
  </si>
  <si>
    <t>เพชรบูรณ์</t>
  </si>
  <si>
    <t>FC051</t>
  </si>
  <si>
    <t>หล่มสัก</t>
  </si>
  <si>
    <t>FC053</t>
  </si>
  <si>
    <t>หนองไผ่</t>
  </si>
  <si>
    <t>FC259</t>
  </si>
  <si>
    <t>วังชมภู</t>
  </si>
  <si>
    <t>FC278</t>
  </si>
  <si>
    <t>เขาค้อ</t>
  </si>
  <si>
    <t>FC130</t>
  </si>
  <si>
    <t>วชิรบารมี</t>
  </si>
  <si>
    <t>FC101</t>
  </si>
  <si>
    <t>โพทะเล</t>
  </si>
  <si>
    <t>FC153</t>
  </si>
  <si>
    <t>ทับคล้อ</t>
  </si>
  <si>
    <t>FC154</t>
  </si>
  <si>
    <t>ตะพานหิน</t>
  </si>
  <si>
    <t>FC246</t>
  </si>
  <si>
    <t>ชนแดน</t>
  </si>
  <si>
    <t>FC025</t>
  </si>
  <si>
    <t>ศรีเทพ</t>
  </si>
  <si>
    <t>FC165</t>
  </si>
  <si>
    <t>วิเชียรบุรี</t>
  </si>
  <si>
    <t>FC372</t>
  </si>
  <si>
    <t>พญาเม็งราย (Type M)</t>
  </si>
  <si>
    <t>FC048</t>
  </si>
  <si>
    <t>แม่สาย</t>
  </si>
  <si>
    <t>FC049</t>
  </si>
  <si>
    <t>แม่จัน</t>
  </si>
  <si>
    <t>FC204</t>
  </si>
  <si>
    <t>เชียงแสน</t>
  </si>
  <si>
    <t>FC195</t>
  </si>
  <si>
    <t>เวียงป่าเป้า</t>
  </si>
  <si>
    <t>FC247</t>
  </si>
  <si>
    <t>แม่สรวย</t>
  </si>
  <si>
    <t>FC280</t>
  </si>
  <si>
    <t>ป่าแดด</t>
  </si>
  <si>
    <t>FC174</t>
  </si>
  <si>
    <t>เชียงของ</t>
  </si>
  <si>
    <t>FC081</t>
  </si>
  <si>
    <t>ปราสาท</t>
  </si>
  <si>
    <t>FC090</t>
  </si>
  <si>
    <t>สุรินทร์ 1</t>
  </si>
  <si>
    <t>FC113</t>
  </si>
  <si>
    <t>ท่าตูม</t>
  </si>
  <si>
    <t>FC147</t>
  </si>
  <si>
    <t>ลำปลายมาศ</t>
  </si>
  <si>
    <t>FC245</t>
  </si>
  <si>
    <t>สุรินทร์ 2</t>
  </si>
  <si>
    <t>FC383</t>
  </si>
  <si>
    <t>FC ศีขรภูมิ</t>
  </si>
  <si>
    <t>ZZP1</t>
  </si>
  <si>
    <t>อุบลรัตน์ (X2)</t>
  </si>
  <si>
    <t>ZZP2</t>
  </si>
  <si>
    <t>น้ำพอง(X2)</t>
  </si>
  <si>
    <t>ZZP3</t>
  </si>
  <si>
    <t>ขอนแก่น 1(X2)</t>
  </si>
  <si>
    <t>ZZP4</t>
  </si>
  <si>
    <t>ขอนแก่น 2(X2)</t>
  </si>
  <si>
    <t>ZZP5</t>
  </si>
  <si>
    <t>ท่าพระ(X2)</t>
  </si>
  <si>
    <t>ZZP8</t>
  </si>
  <si>
    <t>หนองเรือ(X2)</t>
  </si>
  <si>
    <t>ภูเวียง (N)</t>
  </si>
  <si>
    <t>FC242</t>
  </si>
  <si>
    <t>ภูเรือ</t>
  </si>
  <si>
    <t>FC337</t>
  </si>
  <si>
    <t>M เชียงคาน</t>
  </si>
  <si>
    <t>FC363</t>
  </si>
  <si>
    <t>ศรีบุญเรือง</t>
  </si>
  <si>
    <t>FC089</t>
  </si>
  <si>
    <t>ท่าบ่อ</t>
  </si>
  <si>
    <t>14H3</t>
  </si>
  <si>
    <t>วังสะพุง 2 (Type N)</t>
  </si>
  <si>
    <t>FC286</t>
  </si>
  <si>
    <t>ภูกระดึง</t>
  </si>
  <si>
    <t>FC326</t>
  </si>
  <si>
    <t>หนองหิน</t>
  </si>
  <si>
    <t>FC379</t>
  </si>
  <si>
    <t>หนองบัวลำภู</t>
  </si>
  <si>
    <t>FC296</t>
  </si>
  <si>
    <t>ปากชม</t>
  </si>
  <si>
    <t>FC001</t>
  </si>
  <si>
    <t>ชุมแพ</t>
  </si>
  <si>
    <t>FC232</t>
  </si>
  <si>
    <t>บ้านผือ</t>
  </si>
  <si>
    <t>FC336</t>
  </si>
  <si>
    <t>สังคม</t>
  </si>
  <si>
    <t>ZZS2</t>
  </si>
  <si>
    <t>โนนศิลา (N)</t>
  </si>
  <si>
    <t>14IU</t>
  </si>
  <si>
    <t>พล (X2)</t>
  </si>
  <si>
    <t>14H8</t>
  </si>
  <si>
    <t>ร้อยเอ็ด 3 (N)</t>
  </si>
  <si>
    <t>FC226</t>
  </si>
  <si>
    <t>แวงใหญ่</t>
  </si>
  <si>
    <t>FC350</t>
  </si>
  <si>
    <t>เกษตรวิสัย</t>
  </si>
  <si>
    <t>FC351</t>
  </si>
  <si>
    <t>โพนทอง</t>
  </si>
  <si>
    <t>FC387</t>
  </si>
  <si>
    <t xml:space="preserve">FC อาจสามารถ </t>
  </si>
  <si>
    <t>FC329</t>
  </si>
  <si>
    <t>พยัคฆภูมิพิสัย</t>
  </si>
  <si>
    <t>FC324</t>
  </si>
  <si>
    <t>นาเชือก</t>
  </si>
  <si>
    <t>FC321</t>
  </si>
  <si>
    <t>แวงน้อย</t>
  </si>
  <si>
    <t>FC283</t>
  </si>
  <si>
    <t>หนองสองห้อง</t>
  </si>
  <si>
    <t>FC313</t>
  </si>
  <si>
    <t>วาปีปทุม</t>
  </si>
  <si>
    <t>FC179</t>
  </si>
  <si>
    <t>บำเหน็จณรงค์</t>
  </si>
  <si>
    <t>FC376</t>
  </si>
  <si>
    <t>จัตุรัส</t>
  </si>
  <si>
    <t>ZZTA</t>
  </si>
  <si>
    <t>โนนสะอาดType X2</t>
  </si>
  <si>
    <t>14H5</t>
  </si>
  <si>
    <t>อุดร-มิตรภาพ คูย่งฮวด Type N</t>
  </si>
  <si>
    <t>31P2</t>
  </si>
  <si>
    <t>อุดรธานี Type N</t>
  </si>
  <si>
    <t>ZZP6</t>
  </si>
  <si>
    <t>เมืองเลย 2 Type N</t>
  </si>
  <si>
    <t>14H4</t>
  </si>
  <si>
    <t xml:space="preserve">อุดร-สามพร้าว Type N </t>
  </si>
  <si>
    <t>ZZS4</t>
  </si>
  <si>
    <t>อุดร-นาข่า Type N</t>
  </si>
  <si>
    <t>ZZS5</t>
  </si>
  <si>
    <t>อุดร-นิคมสงเคราะห์ Type N</t>
  </si>
  <si>
    <t>FC291</t>
  </si>
  <si>
    <t>FC ละหานทราย</t>
  </si>
  <si>
    <t>FC344</t>
  </si>
  <si>
    <t>ปะคำ</t>
  </si>
  <si>
    <t>FC335</t>
  </si>
  <si>
    <t>พนมไพร2</t>
  </si>
  <si>
    <t>FC292</t>
  </si>
  <si>
    <t>สุวรรณภูมิ</t>
  </si>
  <si>
    <t>FC314</t>
  </si>
  <si>
    <t>ท่าอุเทน</t>
  </si>
  <si>
    <t>FC361</t>
  </si>
  <si>
    <t>โพนสวรรค์</t>
  </si>
  <si>
    <t>FC143</t>
  </si>
  <si>
    <t>ธาตุพนม</t>
  </si>
  <si>
    <t>FC334</t>
  </si>
  <si>
    <t>บ้านม่วง</t>
  </si>
  <si>
    <t>FC192</t>
  </si>
  <si>
    <t>วานรนิวาส</t>
  </si>
  <si>
    <t>FC318</t>
  </si>
  <si>
    <t>อากาศอำนวย</t>
  </si>
  <si>
    <t>FC022</t>
  </si>
  <si>
    <t>สว่างแดนดิน</t>
  </si>
  <si>
    <t>FC225</t>
  </si>
  <si>
    <t>ศรีวิไล</t>
  </si>
  <si>
    <t>FC267</t>
  </si>
  <si>
    <t>พรเจริญ</t>
  </si>
  <si>
    <t>FC338</t>
  </si>
  <si>
    <t>เซกา-บึงโขงหลง</t>
  </si>
  <si>
    <t>FC391</t>
  </si>
  <si>
    <t>FC โซ่พิสัย</t>
  </si>
  <si>
    <t>FC258</t>
  </si>
  <si>
    <t>บ้านแพง</t>
  </si>
  <si>
    <t>FC330</t>
  </si>
  <si>
    <t>ศรีสงคราม</t>
  </si>
  <si>
    <t>FC386</t>
  </si>
  <si>
    <t>FC นาหว้า</t>
  </si>
  <si>
    <t>ZZP9</t>
  </si>
  <si>
    <t>นครพนม 3 (N)</t>
  </si>
  <si>
    <t>FC136</t>
  </si>
  <si>
    <t>อำนาจเจริญ 1</t>
  </si>
  <si>
    <t>FC181</t>
  </si>
  <si>
    <t>อำนาจเจริญ 2</t>
  </si>
  <si>
    <t>FC285</t>
  </si>
  <si>
    <t>ปทุมราชวงศา</t>
  </si>
  <si>
    <t>FC370</t>
  </si>
  <si>
    <t xml:space="preserve">เสนางคนิคม </t>
  </si>
  <si>
    <t>FC378</t>
  </si>
  <si>
    <t>อำนาจเจริญ 3 -น้ำปลีก</t>
  </si>
  <si>
    <t>FC400</t>
  </si>
  <si>
    <t>FC ชานุมาน</t>
  </si>
  <si>
    <t>FC002</t>
  </si>
  <si>
    <t>กันทรลักษ์</t>
  </si>
  <si>
    <t>FC041</t>
  </si>
  <si>
    <t>ศรีสะเกษ</t>
  </si>
  <si>
    <t>FC231</t>
  </si>
  <si>
    <t>โนนคูณ</t>
  </si>
  <si>
    <t>FC268</t>
  </si>
  <si>
    <t>อุทุมพรพิสัย</t>
  </si>
  <si>
    <t>FC290</t>
  </si>
  <si>
    <t>น้ำยืน</t>
  </si>
  <si>
    <t>FC189</t>
  </si>
  <si>
    <t>ตระการพืชผล</t>
  </si>
  <si>
    <t>FC222</t>
  </si>
  <si>
    <t>เขมราฐ</t>
  </si>
  <si>
    <t>FC188</t>
  </si>
  <si>
    <t>เลิงนกทา</t>
  </si>
  <si>
    <t>FC407</t>
  </si>
  <si>
    <t>FC ยโสธร 3</t>
  </si>
  <si>
    <t>FC377</t>
  </si>
  <si>
    <t>M กุดจับ</t>
  </si>
  <si>
    <t>FC395</t>
  </si>
  <si>
    <t>FC หนองคาย เลี่ยงเมือง</t>
  </si>
  <si>
    <t>FC412</t>
  </si>
  <si>
    <t>FC หนองหาน-ทล.2350</t>
  </si>
  <si>
    <t>FC141</t>
  </si>
  <si>
    <t>กาฬสินธุ์</t>
  </si>
  <si>
    <t>FC193</t>
  </si>
  <si>
    <t>สมเด็จ</t>
  </si>
  <si>
    <t>FC288</t>
  </si>
  <si>
    <t>ยางตลาด</t>
  </si>
  <si>
    <t>FC325</t>
  </si>
  <si>
    <t>เพ็ญ</t>
  </si>
  <si>
    <t>FC380</t>
  </si>
  <si>
    <t>M สร้างคอม</t>
  </si>
  <si>
    <t>FC260</t>
  </si>
  <si>
    <t>ศรีธาตุ</t>
  </si>
  <si>
    <t>FC305</t>
  </si>
  <si>
    <t>วังสามหมอ</t>
  </si>
  <si>
    <t>FC331</t>
  </si>
  <si>
    <t>หนองกุงศรี</t>
  </si>
  <si>
    <t>FC375</t>
  </si>
  <si>
    <t>FC กระนวน</t>
  </si>
  <si>
    <t>FC358</t>
  </si>
  <si>
    <t>โพนพิสัย</t>
  </si>
  <si>
    <t>FC359</t>
  </si>
  <si>
    <t>เสิงสาง</t>
  </si>
  <si>
    <t>FC031</t>
  </si>
  <si>
    <t>สีคิ้ว</t>
  </si>
  <si>
    <t>FC063</t>
  </si>
  <si>
    <t>ปากช่อง 2</t>
  </si>
  <si>
    <t>FC160</t>
  </si>
  <si>
    <t>ปากช่อง 3</t>
  </si>
  <si>
    <t>FC354</t>
  </si>
  <si>
    <t>ด่านขุนทด</t>
  </si>
  <si>
    <t>FC385</t>
  </si>
  <si>
    <t>โนนไทย ATSITE</t>
  </si>
  <si>
    <t>FC411</t>
  </si>
  <si>
    <t>ห้วยบง</t>
  </si>
  <si>
    <t>FC050</t>
  </si>
  <si>
    <t>พิมาย 2</t>
  </si>
  <si>
    <t>FC114</t>
  </si>
  <si>
    <t>สีดา</t>
  </si>
  <si>
    <t>FC144</t>
  </si>
  <si>
    <t>ชุมพวง</t>
  </si>
  <si>
    <t>FC157</t>
  </si>
  <si>
    <t>จักราช</t>
  </si>
  <si>
    <t>FC266</t>
  </si>
  <si>
    <t>บัวใหญ่</t>
  </si>
  <si>
    <t>FC320</t>
  </si>
  <si>
    <t>ประทาย</t>
  </si>
  <si>
    <t>FC339</t>
  </si>
  <si>
    <t>คง</t>
  </si>
  <si>
    <t>FC394</t>
  </si>
  <si>
    <t>FC โนนไทย-พระทองคำ</t>
  </si>
  <si>
    <t>FC409</t>
  </si>
  <si>
    <t>โนนสูง</t>
  </si>
  <si>
    <t>FC027</t>
  </si>
  <si>
    <t>ระโนด</t>
  </si>
  <si>
    <t>FC058</t>
  </si>
  <si>
    <t>หัวไทร 1</t>
  </si>
  <si>
    <t>FC212</t>
  </si>
  <si>
    <t>หัวไทร 2</t>
  </si>
  <si>
    <t>FC218</t>
  </si>
  <si>
    <t>บ่อล้อ</t>
  </si>
  <si>
    <t>FC238</t>
  </si>
  <si>
    <t>ชะอวด 1</t>
  </si>
  <si>
    <t>FC310</t>
  </si>
  <si>
    <t>ชะอวด 2</t>
  </si>
  <si>
    <t>FC366</t>
  </si>
  <si>
    <t>จุฬาภรณ์</t>
  </si>
  <si>
    <t>FC028</t>
  </si>
  <si>
    <t>เกาะลันตาใหญ่</t>
  </si>
  <si>
    <t>FC006</t>
  </si>
  <si>
    <t>ขนอม</t>
  </si>
  <si>
    <t>FC213</t>
  </si>
  <si>
    <t>สิชล</t>
  </si>
  <si>
    <t>3164</t>
  </si>
  <si>
    <t>ปากน้ำชุมพร (N)</t>
  </si>
  <si>
    <t>3165</t>
  </si>
  <si>
    <t>ผาหลวงคอนกรีต (N)</t>
  </si>
  <si>
    <t>3166</t>
  </si>
  <si>
    <t>ผาหลวง 2(N)</t>
  </si>
  <si>
    <t>3168</t>
  </si>
  <si>
    <t>หนองขรี (N)</t>
  </si>
  <si>
    <t>15AQ</t>
  </si>
  <si>
    <t>กาญจนดิษฐ์ (Type X)</t>
  </si>
  <si>
    <t>FC127</t>
  </si>
  <si>
    <t>ปัตตานี</t>
  </si>
  <si>
    <t>FC166</t>
  </si>
  <si>
    <t>บ่อทอง</t>
  </si>
  <si>
    <t>FC072</t>
  </si>
  <si>
    <t>สิงหนคร</t>
  </si>
  <si>
    <t>FC227</t>
  </si>
  <si>
    <t>สะเดา</t>
  </si>
  <si>
    <t>FC210</t>
  </si>
  <si>
    <t>ละงู</t>
  </si>
  <si>
    <t>FC199</t>
  </si>
  <si>
    <t>นราธิวาส 2</t>
  </si>
  <si>
    <t>FC162</t>
  </si>
  <si>
    <t>สุไหงโกลก</t>
  </si>
  <si>
    <t>FC129</t>
  </si>
  <si>
    <t>ทุ่งใหญ่</t>
  </si>
  <si>
    <t>FC253</t>
  </si>
  <si>
    <t>นาสาร</t>
  </si>
  <si>
    <t>FC295</t>
  </si>
  <si>
    <t>บางสวรรค์ 3</t>
  </si>
  <si>
    <t>FC356</t>
  </si>
  <si>
    <t>นาสาร 2</t>
  </si>
  <si>
    <t>FC396</t>
  </si>
  <si>
    <t>เวียงสระ</t>
  </si>
  <si>
    <t>FC414</t>
  </si>
  <si>
    <t>ทับปุด 2</t>
  </si>
  <si>
    <t>FC398</t>
  </si>
  <si>
    <t>บางม่วง</t>
  </si>
  <si>
    <t>FC381</t>
  </si>
  <si>
    <t>ทุ่งตะโก</t>
  </si>
  <si>
    <t>FC029</t>
  </si>
  <si>
    <t>ไชยา</t>
  </si>
  <si>
    <t>FC040</t>
  </si>
  <si>
    <t>เชี่ยวหลาน</t>
  </si>
  <si>
    <t>FC282</t>
  </si>
  <si>
    <t>ระนอง</t>
  </si>
  <si>
    <t>FC287</t>
  </si>
  <si>
    <t>มาบอำมฤต</t>
  </si>
  <si>
    <t>FC115</t>
  </si>
  <si>
    <t>เกาะพงัน</t>
  </si>
  <si>
    <t>รหัส</t>
  </si>
  <si>
    <t>Type</t>
  </si>
  <si>
    <t>S</t>
  </si>
  <si>
    <t>NX</t>
  </si>
  <si>
    <t>หจก./บจก.</t>
  </si>
  <si>
    <t>FR002</t>
  </si>
  <si>
    <t>บจก.สหชัยธุรกิจก่อสร้าง 1993</t>
  </si>
  <si>
    <t>FR187</t>
  </si>
  <si>
    <t>หจก.เพาเวอร์ แลนด์ คอนกรีต</t>
  </si>
  <si>
    <t>FR109</t>
  </si>
  <si>
    <t>บจก.เจเอ็นเจพี ซิเมนต์</t>
  </si>
  <si>
    <t>FR100</t>
  </si>
  <si>
    <t>FR102</t>
  </si>
  <si>
    <t>บจก.กฤษฎ์ศุภณัฐ</t>
  </si>
  <si>
    <t>FR336</t>
  </si>
  <si>
    <t>บจก.ตราดคอนกรีต เรดดี้มิกซ์</t>
  </si>
  <si>
    <t>FR010</t>
  </si>
  <si>
    <t>บจก.บี.เอ.ซี.คอนกรีต</t>
  </si>
  <si>
    <t>FR016</t>
  </si>
  <si>
    <t>หจก.เกาะช้างคอนกรีต</t>
  </si>
  <si>
    <t>FR014</t>
  </si>
  <si>
    <t>หจก.บุญทวีคอนกรีต</t>
  </si>
  <si>
    <t>FR168</t>
  </si>
  <si>
    <t>บจก.พี.เอส.ดี.คอนกรีตโปรดักส์</t>
  </si>
  <si>
    <t>FR012</t>
  </si>
  <si>
    <t>บจก.หนองใหญ่คอนกรีต</t>
  </si>
  <si>
    <t>FR006</t>
  </si>
  <si>
    <t>หจก.ท.ทวีทรัพย์คอนกรีต</t>
  </si>
  <si>
    <t>FR334</t>
  </si>
  <si>
    <t>บจก.บูรพาคอนกรีต แอนด์ คอนสตรัคชั่น</t>
  </si>
  <si>
    <t>FR344</t>
  </si>
  <si>
    <t>บจก.แปลงยาว คอนกรีต</t>
  </si>
  <si>
    <t>FR008</t>
  </si>
  <si>
    <t>บจก.นิติมงคลคอนกรีต</t>
  </si>
  <si>
    <t>FR005</t>
  </si>
  <si>
    <t>บจก.นิธิศพันธ์</t>
  </si>
  <si>
    <t>FR003</t>
  </si>
  <si>
    <t>บจก.ศุภภัณฑ์คอนกรีต</t>
  </si>
  <si>
    <t>FR248</t>
  </si>
  <si>
    <t>บจก.อีสต์บลู</t>
  </si>
  <si>
    <t>FR004</t>
  </si>
  <si>
    <t>หจก.งามยิ่งเจริญคอนกรีต</t>
  </si>
  <si>
    <t>FR150</t>
  </si>
  <si>
    <t>หจก.ดวงแสงทองคอนกรีต</t>
  </si>
  <si>
    <t>FR015</t>
  </si>
  <si>
    <t>หจก.บุญทวีพนมคอนกรีต</t>
  </si>
  <si>
    <t>FR333</t>
  </si>
  <si>
    <t>หจก.วี.เอส.อินดัสเตรียล ซัพพลาย</t>
  </si>
  <si>
    <t>FR340</t>
  </si>
  <si>
    <t>บจก.ซิโนมา หานดาน(ไทยแลนด์)</t>
  </si>
  <si>
    <t>FR225</t>
  </si>
  <si>
    <t>บจก.บางแสนมหานคร ผลิตภัณฑ์คอนกรีต</t>
  </si>
  <si>
    <t>FR082</t>
  </si>
  <si>
    <t>บจก.เบญจพลชัยคอนกรีต</t>
  </si>
  <si>
    <t>FR019</t>
  </si>
  <si>
    <t>บจก.กอวัฒนาคอนกรีต</t>
  </si>
  <si>
    <t>FR115</t>
  </si>
  <si>
    <t>บจก.จิรดีผลิตภัณฑ์คอนกรีต</t>
  </si>
  <si>
    <t>FR020</t>
  </si>
  <si>
    <t>บจก.ช.พรประสิทธิ์</t>
  </si>
  <si>
    <t>FR175</t>
  </si>
  <si>
    <t>บจก.ว.บัญชา คอนสตรัคชั่น</t>
  </si>
  <si>
    <t>FR022</t>
  </si>
  <si>
    <t>หจก.ร่อนทองชัย</t>
  </si>
  <si>
    <t>FR021</t>
  </si>
  <si>
    <t>หจก.ศิริภัณฑ์บางสะพานคอนกรีต</t>
  </si>
  <si>
    <t>FR129</t>
  </si>
  <si>
    <t>บจก.ซี.แอล.คอนกรีต</t>
  </si>
  <si>
    <t>FR017</t>
  </si>
  <si>
    <t>บจก.ต.แสงพัฒนาคอนกรีต</t>
  </si>
  <si>
    <t>FR083</t>
  </si>
  <si>
    <t>บจก.วรวิทย์คอนกรีต</t>
  </si>
  <si>
    <t>FR027</t>
  </si>
  <si>
    <t>บจก.รุ่งวิชัยคอนกรีต</t>
  </si>
  <si>
    <t>FR107</t>
  </si>
  <si>
    <t>บจก.วังทองเซอร์วิส</t>
  </si>
  <si>
    <t>FR149</t>
  </si>
  <si>
    <t>บจก.อุตรดิตถ์พิชัย</t>
  </si>
  <si>
    <t>FR148</t>
  </si>
  <si>
    <t>หจก.ไทยสมบูรณ์ บิ๊กโฮม คอนกรีต</t>
  </si>
  <si>
    <t>FR310</t>
  </si>
  <si>
    <t xml:space="preserve">หจก.กิจเจริญคอนกรีต(2558)
</t>
  </si>
  <si>
    <t>FR179</t>
  </si>
  <si>
    <t>หจก.จรูญคอนกรีต</t>
  </si>
  <si>
    <t>FR284</t>
  </si>
  <si>
    <t>หจก.ซีเค 2024 คอนกรีต</t>
  </si>
  <si>
    <t>FR136</t>
  </si>
  <si>
    <t>หจก.ณัฐชูพงศ์คอนกรีต</t>
  </si>
  <si>
    <t>FR121</t>
  </si>
  <si>
    <t>หจก.ม.บุญทำพานิช</t>
  </si>
  <si>
    <t>FR305</t>
  </si>
  <si>
    <t>หจก.เจเอ็นเพาเวอร์ คอนกรีต</t>
  </si>
  <si>
    <t>FR033</t>
  </si>
  <si>
    <t>หจก.เรืองชัยคอนกรีต</t>
  </si>
  <si>
    <t>FR144</t>
  </si>
  <si>
    <t>หจก.ชื่นชูไพรคอนกรีต</t>
  </si>
  <si>
    <t>FR034</t>
  </si>
  <si>
    <t>หจก.ทวิภัณฑ์ฮอดคอนกรีต</t>
  </si>
  <si>
    <t>FR221</t>
  </si>
  <si>
    <t>หจก.ทองคอนส์ซัพพลาย</t>
  </si>
  <si>
    <t>FR285</t>
  </si>
  <si>
    <t xml:space="preserve">หจก.ที เอ็น ดับเบิ้ลยู เชียงดาวก่อสร้าง </t>
  </si>
  <si>
    <t>FR156</t>
  </si>
  <si>
    <t>หจก.บุญพลกิจ คอนกรีต</t>
  </si>
  <si>
    <t>FR299</t>
  </si>
  <si>
    <t>หจก.พงษ์ศราคอนกรีต</t>
  </si>
  <si>
    <t>FR328</t>
  </si>
  <si>
    <t>หจก.สิงโตทอง คอนกรีต</t>
  </si>
  <si>
    <t>FR314</t>
  </si>
  <si>
    <t>บจก.นอร์ทเทิร์น แมททีเรียล แอนด์ คอนกรีต</t>
  </si>
  <si>
    <t>FR295</t>
  </si>
  <si>
    <t>หจก.เกษมชัยพานิช</t>
  </si>
  <si>
    <t>FR160</t>
  </si>
  <si>
    <t>หจก.เชียงคำคอนกรีต(2011)</t>
  </si>
  <si>
    <t>FR290</t>
  </si>
  <si>
    <t>หจก.เอ็นพี วัสดุก่อสร้าง</t>
  </si>
  <si>
    <t>FR123</t>
  </si>
  <si>
    <t>หจก.จักรภัทรคอนกรีต</t>
  </si>
  <si>
    <t>FR297</t>
  </si>
  <si>
    <t xml:space="preserve">หจก.ชุมพลวัสดุก่อสร้าง </t>
  </si>
  <si>
    <t>FR307</t>
  </si>
  <si>
    <t>หจก.ดับเบิ้ลยูซี คอนกรีต</t>
  </si>
  <si>
    <t>FR289</t>
  </si>
  <si>
    <t>หจก.ปงคอนกรีต</t>
  </si>
  <si>
    <t>FR208</t>
  </si>
  <si>
    <t>หจก.พี ดี คอนกรีต</t>
  </si>
  <si>
    <t>FR029</t>
  </si>
  <si>
    <t>หจก.สุเกียวคอนกรีต</t>
  </si>
  <si>
    <t>FR324</t>
  </si>
  <si>
    <t>บจก.เอ็น.ดี.พี.เอ็นจิเนียริ่ง</t>
  </si>
  <si>
    <t>FR023</t>
  </si>
  <si>
    <t>บจก.เจริญภัณฑ์ผลิตคอนกรีต</t>
  </si>
  <si>
    <t>FR193</t>
  </si>
  <si>
    <t>บจก.ตึกน้ำเงินคอนกรีต</t>
  </si>
  <si>
    <t>FR091</t>
  </si>
  <si>
    <t>หจก.คณฑาทองการโยธา</t>
  </si>
  <si>
    <t>FR076</t>
  </si>
  <si>
    <t>หจก.ส.พงษ์เจริญคอนกรีตผสมเสร็จ</t>
  </si>
  <si>
    <t>FR025</t>
  </si>
  <si>
    <t>บจก.วีคอนกรีต</t>
  </si>
  <si>
    <t>FR089</t>
  </si>
  <si>
    <t>หจก.บรรจงกิจคอนกรีต</t>
  </si>
  <si>
    <t>FR113</t>
  </si>
  <si>
    <t>หจก.มังกรทองคอนกรีต</t>
  </si>
  <si>
    <t>FR026</t>
  </si>
  <si>
    <t>หจก.ศรีเทพคอนกรีตผสมเสร็จ</t>
  </si>
  <si>
    <t>FR308</t>
  </si>
  <si>
    <t>บจก.เทพนว</t>
  </si>
  <si>
    <t>FR032</t>
  </si>
  <si>
    <t>บจก.เม็งรายคอนกรีต</t>
  </si>
  <si>
    <t>FR141</t>
  </si>
  <si>
    <t>บจก.ซีแมทคอนกรีต</t>
  </si>
  <si>
    <t>FR125</t>
  </si>
  <si>
    <t>บจก.ดวงแสงทอง</t>
  </si>
  <si>
    <t>FR046</t>
  </si>
  <si>
    <t>บจก.เจ.เค.คอนกรีต</t>
  </si>
  <si>
    <t>FR045</t>
  </si>
  <si>
    <t>บจก.คูย่งฮวด (1995)</t>
  </si>
  <si>
    <t>FR228</t>
  </si>
  <si>
    <t>บจก.เคแพคคอนกรีต 2004</t>
  </si>
  <si>
    <t>FR040</t>
  </si>
  <si>
    <t>หจก.ภูเวียงคอนกรีต</t>
  </si>
  <si>
    <t>FR182</t>
  </si>
  <si>
    <t>บจก.ซี.ซี.คอนกรีต</t>
  </si>
  <si>
    <t>FR298</t>
  </si>
  <si>
    <t>หจก.เคพีอาร์ คอนกรีต</t>
  </si>
  <si>
    <t>FR071</t>
  </si>
  <si>
    <t>หจก.ณัฐรวี คอนกรีต</t>
  </si>
  <si>
    <t>FR252</t>
  </si>
  <si>
    <t>หจก.นาซ่าคอนกรีต</t>
  </si>
  <si>
    <t>FR219</t>
  </si>
  <si>
    <t>หจก.บิ๊ก.เอส.คอนกรีต</t>
  </si>
  <si>
    <t>FR039</t>
  </si>
  <si>
    <t>หจก.ผาน้ำเที่ยง</t>
  </si>
  <si>
    <t>FR172</t>
  </si>
  <si>
    <t>หจก.ส.ปราณี(คอนกรีต)</t>
  </si>
  <si>
    <t>FR272</t>
  </si>
  <si>
    <t>หจก.สมพรพาณิชย์ คอนกรีต</t>
  </si>
  <si>
    <t>FR263</t>
  </si>
  <si>
    <t>หจก.โนนศิลาดาวเงินคอนกรีต</t>
  </si>
  <si>
    <t>FR212</t>
  </si>
  <si>
    <t>หจก.จำลองชัยคอนกรีต</t>
  </si>
  <si>
    <t>FR339</t>
  </si>
  <si>
    <t>หจก.เอส อาร์ อาร์ คอนกรีต</t>
  </si>
  <si>
    <t>FR167</t>
  </si>
  <si>
    <t>บจก.แซ่หวัง(ปักกิ่ง)คอนกรีต</t>
  </si>
  <si>
    <t>FR286</t>
  </si>
  <si>
    <t>บจก.กนกนภาคอนกรีต</t>
  </si>
  <si>
    <t>FR255</t>
  </si>
  <si>
    <t>บจก.จงเจริญ คอนกรีต</t>
  </si>
  <si>
    <t>FR249</t>
  </si>
  <si>
    <t>บจก.จำลองชัยโฮมเซ็นเตอร์</t>
  </si>
  <si>
    <t>FR245</t>
  </si>
  <si>
    <t>บจก.สมยงคอนกรีต</t>
  </si>
  <si>
    <t>FR038</t>
  </si>
  <si>
    <t>หจก.ซีเมนต์ทอง 2543</t>
  </si>
  <si>
    <t>FR130</t>
  </si>
  <si>
    <t>หจก.พลังเพชร (2009)</t>
  </si>
  <si>
    <t>FR287</t>
  </si>
  <si>
    <t>หจก.สยาม เค กรุ๊ป</t>
  </si>
  <si>
    <t>FR223</t>
  </si>
  <si>
    <t>บจก.คูย่งฮวด อุดรธานี</t>
  </si>
  <si>
    <t>FR281</t>
  </si>
  <si>
    <t>บจก.ซีมิกซ์คอนกรีต</t>
  </si>
  <si>
    <t>FR216</t>
  </si>
  <si>
    <t>หจก.เจริญศิลป์เคหะละหานทราย</t>
  </si>
  <si>
    <t>FR270</t>
  </si>
  <si>
    <t>หจก.ชัยวัฒน์เซ่งฮะเซียง</t>
  </si>
  <si>
    <t>FR226</t>
  </si>
  <si>
    <t>บจก.เมโทรพาวเวอร์คอนกรีต</t>
  </si>
  <si>
    <t>FR101</t>
  </si>
  <si>
    <t>บจก.กิจเจริญชัย ธุรกิจคอนกรีต</t>
  </si>
  <si>
    <t>FR269</t>
  </si>
  <si>
    <t>หจก.เนินปัญญา ก่อสร้าง</t>
  </si>
  <si>
    <t>FR137</t>
  </si>
  <si>
    <t>หจก.เอส พี เค คอนกรีต</t>
  </si>
  <si>
    <t>FR051</t>
  </si>
  <si>
    <t>หจก.คอนกรีตรุ่งโรจน์</t>
  </si>
  <si>
    <t>FR165</t>
  </si>
  <si>
    <t>หจก.พัฒนกิจคอนกรีต</t>
  </si>
  <si>
    <t>FR191</t>
  </si>
  <si>
    <t>หจก.ว.รามฤทธิรงค์ เอ็นจิเนียริ่ง</t>
  </si>
  <si>
    <t>FR242</t>
  </si>
  <si>
    <t>บจก.สิริพัฒน์ บิวดิ้ง</t>
  </si>
  <si>
    <t>FR084</t>
  </si>
  <si>
    <t>บจก.บุษยาคอนกรีต อำนาจเจริญ</t>
  </si>
  <si>
    <t>FR047</t>
  </si>
  <si>
    <t>หจก.เค.ที.เอส.ผลิตภัณฑ์คอนกรีต</t>
  </si>
  <si>
    <t>FR139</t>
  </si>
  <si>
    <t>หจก.เนรมิตวัสดุก่อสร้าง</t>
  </si>
  <si>
    <t>FR138</t>
  </si>
  <si>
    <t>หจก.ขุนคลังคอนกรีต</t>
  </si>
  <si>
    <t>FR342</t>
  </si>
  <si>
    <t>หจก.ธีระคอนกรีต</t>
  </si>
  <si>
    <t>FR317</t>
  </si>
  <si>
    <t>บจก.เป เป้ คอนกรีต</t>
  </si>
  <si>
    <t>FR094</t>
  </si>
  <si>
    <t>บจก.ทวีสินคอนกรีต</t>
  </si>
  <si>
    <t>FR251</t>
  </si>
  <si>
    <t>บจก.พี เอ็น คอนกรีต</t>
  </si>
  <si>
    <t>FR320</t>
  </si>
  <si>
    <t>หจก.นครพัฒน์ คอนกรีต</t>
  </si>
  <si>
    <t>FR192</t>
  </si>
  <si>
    <t>หจก.สมจินตนาวงษ์เจริญ คอนกรีต</t>
  </si>
  <si>
    <t>FR292</t>
  </si>
  <si>
    <t>หจก.หงษ์ทองสว่างคอนกรีต</t>
  </si>
  <si>
    <t>FR293</t>
  </si>
  <si>
    <t>บจก.ประทุมศิริ ซิเมนต์</t>
  </si>
  <si>
    <t>FR035</t>
  </si>
  <si>
    <t>หจก.เจตนะธรรมค้าไม้</t>
  </si>
  <si>
    <t>FR037</t>
  </si>
  <si>
    <t>หจก.เจริญพัฒนา</t>
  </si>
  <si>
    <t>FR036</t>
  </si>
  <si>
    <t>หจก.อังครงค์รักษ์พาณิชย์</t>
  </si>
  <si>
    <t>FR063</t>
  </si>
  <si>
    <t>บจก.เจริญสหกิจหัวไทร</t>
  </si>
  <si>
    <t>FR057</t>
  </si>
  <si>
    <t>บจก.ลันตามิกซ์คอน</t>
  </si>
  <si>
    <t>FR055</t>
  </si>
  <si>
    <t>หจก.ขนอมคอนกรีต 2000</t>
  </si>
  <si>
    <t>FR159</t>
  </si>
  <si>
    <t>บจก.ชุมพรไถ่เชียงคอนกรีต</t>
  </si>
  <si>
    <t>FR162</t>
  </si>
  <si>
    <t>บจก.ผาหลวงคอนกรีต</t>
  </si>
  <si>
    <t>FR202</t>
  </si>
  <si>
    <t>บจก.พุนพินมาตรฐานคอนกรีต</t>
  </si>
  <si>
    <t>FR312</t>
  </si>
  <si>
    <t>หจก.จุฑารัตน์คอนกรีต</t>
  </si>
  <si>
    <t>FR074</t>
  </si>
  <si>
    <t>บจก.ปัตตานีคอนกรีต</t>
  </si>
  <si>
    <t>FR061</t>
  </si>
  <si>
    <t>บจก.พีระวัฒน์คอนกรีต</t>
  </si>
  <si>
    <t>FR069</t>
  </si>
  <si>
    <t>บจก.สตูลผลิตภัณฑ์คอนกรีต</t>
  </si>
  <si>
    <t>FR140</t>
  </si>
  <si>
    <t>หจก.นราธิวาสทักษิณคอนกรีต</t>
  </si>
  <si>
    <t>FR118</t>
  </si>
  <si>
    <t>หจก.พิชัยอุปกรณ์ก่อสร้าง</t>
  </si>
  <si>
    <t>FR093</t>
  </si>
  <si>
    <t>บจก.ปัญญามาตรฐานคอนกรีต</t>
  </si>
  <si>
    <t>FR070</t>
  </si>
  <si>
    <t>หจก.พังงาซีแพค</t>
  </si>
  <si>
    <t>FR097</t>
  </si>
  <si>
    <t>หจก.วี.วี.เอ็มคอนกรีต</t>
  </si>
  <si>
    <t>FR256</t>
  </si>
  <si>
    <t>บจก.โยธาวิทย์ โฮมเซ็นเตอร์</t>
  </si>
  <si>
    <t>FR053</t>
  </si>
  <si>
    <t>บจก.ไชยาคอนกรีต</t>
  </si>
  <si>
    <t>FR211</t>
  </si>
  <si>
    <t>บจก.คอนกรีตซีแพคระนอง</t>
  </si>
  <si>
    <t>FR073</t>
  </si>
  <si>
    <t>หจก.ลิ้มปิพงษ์ค้าวัสดุก่อสร้างและคอนกรีต</t>
  </si>
  <si>
    <t>Total</t>
  </si>
  <si>
    <t>Dangerous</t>
  </si>
  <si>
    <t>Manual</t>
  </si>
  <si>
    <t>คะแนนรวม</t>
  </si>
  <si>
    <t>FR042</t>
  </si>
  <si>
    <t>หจก.เซ็นจูรี่บึงกาฬ</t>
  </si>
  <si>
    <t>FC018</t>
  </si>
  <si>
    <t>บึงกาฬ</t>
  </si>
  <si>
    <t>สองพี่น้อง 2</t>
  </si>
  <si>
    <t>ดอนเจดีย์</t>
  </si>
  <si>
    <t>FCPLNO</t>
  </si>
  <si>
    <t>โรงงาน</t>
  </si>
  <si>
    <t>หลวงแพ่ง</t>
  </si>
  <si>
    <t>บจก.เอส.เอส.พี (072) คอนสตรัคชั่น</t>
  </si>
  <si>
    <t>คลองด่าน</t>
  </si>
  <si>
    <t>นพวงศ์</t>
  </si>
  <si>
    <t>บางแสน 1</t>
  </si>
  <si>
    <t>วี.เอส.คอนกรีต</t>
  </si>
  <si>
    <t>13O7</t>
  </si>
  <si>
    <t>วี.เอส.คอนกรีต2</t>
  </si>
  <si>
    <t>13O9</t>
  </si>
  <si>
    <t>วี.เอส.คอนกรีต 3 ลาดตะเคียน (Type X)</t>
  </si>
  <si>
    <t>แปลงยาว</t>
  </si>
  <si>
    <t>ซิโนมา</t>
  </si>
  <si>
    <t xml:space="preserve">กาญจนบุรี 2 </t>
  </si>
  <si>
    <t>พนมทวน</t>
  </si>
  <si>
    <t>ชาติตระการ</t>
  </si>
  <si>
    <t>ปง</t>
  </si>
  <si>
    <t>เชียงม่วน</t>
  </si>
  <si>
    <t>แม่ฮ่องสอน</t>
  </si>
  <si>
    <t>ปาย</t>
  </si>
  <si>
    <t>แม่ใจ</t>
  </si>
  <si>
    <t>เนินมะปราง</t>
  </si>
  <si>
    <t>แม่แจ่ม</t>
  </si>
  <si>
    <t>แพร่-ร้องกวาง</t>
  </si>
  <si>
    <t>เวียงสา 2</t>
  </si>
  <si>
    <t>พญาเม็งราย</t>
  </si>
  <si>
    <t>ลำปาง-เกาะคา</t>
  </si>
  <si>
    <t>ลำปาง-แม่ทะ(ผาลาด)</t>
  </si>
  <si>
    <t>ลำปาง-ห้างฉัตร</t>
  </si>
  <si>
    <t>สะเมิง</t>
  </si>
  <si>
    <t>5-NorthE</t>
  </si>
  <si>
    <t>โนนไทย-พระทองคำ</t>
  </si>
  <si>
    <t>ภูเวียง</t>
  </si>
  <si>
    <t xml:space="preserve">พล </t>
  </si>
  <si>
    <t>ศีขรภูมิ</t>
  </si>
  <si>
    <t>อุดร-มิตรภาพ คูย่งฮวด</t>
  </si>
  <si>
    <t>อุดรธานี</t>
  </si>
  <si>
    <t>FC415</t>
  </si>
  <si>
    <t>ราษีไศล</t>
  </si>
  <si>
    <t>น้ำพอง</t>
  </si>
  <si>
    <t>ขอนแก่น 1</t>
  </si>
  <si>
    <t>ขอนแก่น 2</t>
  </si>
  <si>
    <t>ท่าพระ</t>
  </si>
  <si>
    <t>โนนสะอาด</t>
  </si>
  <si>
    <t>หนองเรือ</t>
  </si>
  <si>
    <t>เขื่อนอุบลรัตน์</t>
  </si>
  <si>
    <t>ละหานทราย</t>
  </si>
  <si>
    <t xml:space="preserve">ปะคำ </t>
  </si>
  <si>
    <t>เสนางคนิคม</t>
  </si>
  <si>
    <t>ชานุมาน</t>
  </si>
  <si>
    <t>โซ่พิสัย</t>
  </si>
  <si>
    <t>นาหว้า</t>
  </si>
  <si>
    <t>กระนวน</t>
  </si>
  <si>
    <t xml:space="preserve">ภูเรือ </t>
  </si>
  <si>
    <t>เมืองเลย2</t>
  </si>
  <si>
    <t>เชียงคาน</t>
  </si>
  <si>
    <t>วังสะพุง</t>
  </si>
  <si>
    <t>หจก.ทรัพย์รุ่งเรืองวัสดุ</t>
  </si>
  <si>
    <t>ร้อยเอ็ด3</t>
  </si>
  <si>
    <t>นครพนม 3</t>
  </si>
  <si>
    <t>โนนศิลา</t>
  </si>
  <si>
    <t>พนมไพร 2</t>
  </si>
  <si>
    <t>โนนไทย (At Site)</t>
  </si>
  <si>
    <t>กุดจับ</t>
  </si>
  <si>
    <t>สร้างคอม</t>
  </si>
  <si>
    <t>ยโสธร 3</t>
  </si>
  <si>
    <t>FC405</t>
  </si>
  <si>
    <t>พังโคน 2</t>
  </si>
  <si>
    <t xml:space="preserve">เกษตรวิสัย </t>
  </si>
  <si>
    <t xml:space="preserve">อาจสามารถ </t>
  </si>
  <si>
    <t xml:space="preserve">อุดร - นาข่า  </t>
  </si>
  <si>
    <t xml:space="preserve">อุดร - นิคมสงเคราะห์  </t>
  </si>
  <si>
    <t>หนองคาย เลี่ยงเมือง</t>
  </si>
  <si>
    <t>หนองหาน-ทล.2350</t>
  </si>
  <si>
    <t>อุดร-สามพร้าว</t>
  </si>
  <si>
    <t>ปากน้ำชุมพร</t>
  </si>
  <si>
    <t>ผาหลวงคอนกรีต 1</t>
  </si>
  <si>
    <t>ผาหลวงคอนกรีต 2</t>
  </si>
  <si>
    <t>เกาะพะงัน</t>
  </si>
  <si>
    <t xml:space="preserve">หนองขรี </t>
  </si>
  <si>
    <t>กาญจนดิษฐ์</t>
  </si>
  <si>
    <t>บ่อทอง (จ.ปัตตานี)</t>
  </si>
  <si>
    <t>FC413</t>
  </si>
  <si>
    <t>เขาหลักโกลเด้นฮิลล์</t>
  </si>
  <si>
    <t>X</t>
  </si>
  <si>
    <t>คะแนน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</si>
</sst>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4" x14ac:knownFonts="1">
    <font>
      <sz val="11"/>
      <color theme="1"/>
      <name val="Calibri"/>
      <family val="2"/>
      <scheme val="minor"/>
    </font>
    <font>
      <b/>
      <sz val="10"/>
      <name val="SCG"/>
      <family val="3"/>
    </font>
    <font>
      <b/>
      <sz val="10"/>
      <color rgb="FF000000"/>
      <name val="SCG"/>
      <family val="3"/>
    </font>
    <font>
      <b/>
      <sz val="10"/>
      <color theme="1"/>
      <name val="SCG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8CB6E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C0C0"/>
      </left>
      <right style="medium">
        <color rgb="FFC0C0C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/>
    </xf>
    <xf numFmtId="0" fontId="1" fillId="0" borderId="1" xfId="0" applyFont="1" applyBorder="1"/>
    <xf numFmtId="2" fontId="2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/>
    <xf numFmtId="0" fontId="3" fillId="0" borderId="0" xfId="0" applyFont="1"/>
    <xf numFmtId="0" fontId="3" fillId="0" borderId="0" xfId="0" applyFont="1" applyAlignment="1">
      <alignment horizontal="lef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0" fontId="3" fillId="0" borderId="1" xfId="0" applyFont="1" applyBorder="1"/>
    <xf numFmtId="0" fontId="1" fillId="3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center"/>
    </xf>
    <xf numFmtId="164" fontId="2" fillId="4" borderId="4" xfId="0" applyNumberFormat="1" applyFont="1" applyFill="1" applyBorder="1" applyAlignment="1">
      <alignment horizontal="center" vertical="center"/>
    </xf>
    <xf numFmtId="0" fontId="1" fillId="0" borderId="3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1" fillId="5" borderId="3" xfId="0" applyFont="1" applyFill="1" applyBorder="1"/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/>
    <xf numFmtId="0" fontId="3" fillId="0" borderId="3" xfId="0" applyFont="1" applyBorder="1"/>
    <xf numFmtId="0" fontId="0" fillId="0" borderId="0" xfId="0" applyBorder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2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6DEB-D6D2-4541-A2C9-F907FBFFFC48}">
  <sheetPr filterMode="1"/>
  <dimension ref="A1:Q291"/>
  <sheetViews>
    <sheetView workbookViewId="0">
      <pane xSplit="2" ySplit="1" topLeftCell="D30" activePane="bottomRight" state="frozen"/>
      <selection pane="topRight" activeCell="D1" sqref="D1"/>
      <selection pane="bottomLeft" activeCell="A2" sqref="A2"/>
      <selection pane="bottomRight" activeCell="K297" sqref="K297"/>
    </sheetView>
  </sheetViews>
  <sheetFormatPr defaultRowHeight="17" x14ac:dyDescent="0.6"/>
  <cols>
    <col min="1" max="1" width="9.26953125" style="8" bestFit="1" customWidth="1"/>
    <col min="2" max="2" width="9.26953125" style="9" customWidth="1"/>
    <col min="3" max="3" width="39" style="8" customWidth="1"/>
    <col min="4" max="4" width="7" style="9" bestFit="1" customWidth="1"/>
    <col min="5" max="5" width="16.90625" style="9" customWidth="1"/>
    <col min="6" max="6" width="5.54296875" style="9" customWidth="1"/>
    <col min="7" max="16384" width="8.7265625" style="8"/>
  </cols>
  <sheetData>
    <row r="1" spans="1:17" x14ac:dyDescent="0.6">
      <c r="A1" s="1" t="s">
        <v>0</v>
      </c>
      <c r="B1" s="18" t="s">
        <v>586</v>
      </c>
      <c r="C1" s="1" t="s">
        <v>590</v>
      </c>
      <c r="D1" s="2" t="s">
        <v>586</v>
      </c>
      <c r="E1" s="2" t="s">
        <v>1</v>
      </c>
      <c r="F1" s="13" t="s">
        <v>587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</row>
    <row r="2" spans="1:17" hidden="1" x14ac:dyDescent="0.6">
      <c r="A2" s="4" t="s">
        <v>44</v>
      </c>
      <c r="B2" s="4" t="s">
        <v>595</v>
      </c>
      <c r="C2" s="4" t="s">
        <v>596</v>
      </c>
      <c r="D2" s="5" t="s">
        <v>16</v>
      </c>
      <c r="E2" s="5" t="s">
        <v>890</v>
      </c>
      <c r="F2" s="14" t="s">
        <v>589</v>
      </c>
      <c r="G2" s="6">
        <v>0.66</v>
      </c>
      <c r="H2" s="6">
        <v>0.46</v>
      </c>
      <c r="I2" s="6">
        <v>0.47</v>
      </c>
      <c r="J2" s="6">
        <v>0</v>
      </c>
      <c r="K2" s="6">
        <v>0.74</v>
      </c>
      <c r="L2" s="6">
        <v>0.62</v>
      </c>
      <c r="M2" s="6">
        <v>0.94</v>
      </c>
      <c r="N2" s="6">
        <v>0.56999999999999995</v>
      </c>
      <c r="O2" s="6">
        <v>0</v>
      </c>
      <c r="P2" s="6">
        <v>0</v>
      </c>
      <c r="Q2" s="6">
        <v>0</v>
      </c>
    </row>
    <row r="3" spans="1:17" hidden="1" x14ac:dyDescent="0.6">
      <c r="A3" s="4" t="s">
        <v>44</v>
      </c>
      <c r="B3" s="4" t="s">
        <v>597</v>
      </c>
      <c r="C3" s="4" t="s">
        <v>891</v>
      </c>
      <c r="D3" s="7" t="s">
        <v>17</v>
      </c>
      <c r="E3" s="7" t="s">
        <v>892</v>
      </c>
      <c r="F3" s="15" t="s">
        <v>589</v>
      </c>
      <c r="G3" s="6">
        <v>1.66</v>
      </c>
      <c r="H3" s="6">
        <v>2.63</v>
      </c>
      <c r="I3" s="6">
        <v>1.57</v>
      </c>
      <c r="J3" s="6">
        <v>0.89</v>
      </c>
      <c r="K3" s="6">
        <v>1.61</v>
      </c>
      <c r="L3" s="6">
        <v>1.06</v>
      </c>
      <c r="M3" s="6">
        <v>1.1399999999999999</v>
      </c>
      <c r="N3" s="6">
        <v>1.1399999999999999</v>
      </c>
      <c r="O3" s="6">
        <v>0</v>
      </c>
      <c r="P3" s="6">
        <v>0</v>
      </c>
      <c r="Q3" s="6">
        <v>0</v>
      </c>
    </row>
    <row r="4" spans="1:17" hidden="1" x14ac:dyDescent="0.6">
      <c r="A4" s="4" t="s">
        <v>44</v>
      </c>
      <c r="B4" s="4" t="s">
        <v>593</v>
      </c>
      <c r="C4" s="4" t="s">
        <v>594</v>
      </c>
      <c r="D4" s="7" t="s">
        <v>51</v>
      </c>
      <c r="E4" s="7" t="s">
        <v>893</v>
      </c>
      <c r="F4" s="15" t="s">
        <v>589</v>
      </c>
      <c r="G4" s="6">
        <v>0</v>
      </c>
      <c r="H4" s="6">
        <v>0</v>
      </c>
      <c r="I4" s="6">
        <v>0</v>
      </c>
      <c r="J4" s="6">
        <v>0</v>
      </c>
      <c r="K4" s="6">
        <v>0.83</v>
      </c>
      <c r="L4" s="6">
        <v>0.92</v>
      </c>
      <c r="M4" s="6">
        <v>0.33</v>
      </c>
      <c r="N4" s="6">
        <v>0.17</v>
      </c>
      <c r="O4" s="6">
        <v>0</v>
      </c>
      <c r="P4" s="6">
        <v>0</v>
      </c>
      <c r="Q4" s="6">
        <v>0</v>
      </c>
    </row>
    <row r="5" spans="1:17" hidden="1" x14ac:dyDescent="0.6">
      <c r="A5" s="4" t="s">
        <v>44</v>
      </c>
      <c r="B5" s="4" t="s">
        <v>591</v>
      </c>
      <c r="C5" s="4" t="s">
        <v>592</v>
      </c>
      <c r="D5" s="7" t="s">
        <v>49</v>
      </c>
      <c r="E5" s="7" t="s">
        <v>50</v>
      </c>
      <c r="F5" s="15" t="s">
        <v>588</v>
      </c>
      <c r="G5" s="6">
        <v>7.34</v>
      </c>
      <c r="H5" s="6">
        <v>0.89</v>
      </c>
      <c r="I5" s="6">
        <v>9.9700000000000006</v>
      </c>
      <c r="J5" s="6">
        <v>8.2200000000000006</v>
      </c>
      <c r="K5" s="6">
        <v>3.71</v>
      </c>
      <c r="L5" s="6">
        <v>0.69</v>
      </c>
      <c r="M5" s="6">
        <v>6.09</v>
      </c>
      <c r="N5" s="6">
        <v>1.52</v>
      </c>
      <c r="O5" s="6">
        <v>0</v>
      </c>
      <c r="P5" s="6">
        <v>0</v>
      </c>
      <c r="Q5" s="6">
        <v>0</v>
      </c>
    </row>
    <row r="6" spans="1:17" hidden="1" x14ac:dyDescent="0.6">
      <c r="A6" s="4" t="s">
        <v>45</v>
      </c>
      <c r="B6" s="4" t="s">
        <v>591</v>
      </c>
      <c r="C6" s="4" t="s">
        <v>592</v>
      </c>
      <c r="D6" s="7" t="s">
        <v>24</v>
      </c>
      <c r="E6" s="7" t="s">
        <v>25</v>
      </c>
      <c r="F6" s="15" t="s">
        <v>588</v>
      </c>
      <c r="G6" s="6">
        <v>0.8</v>
      </c>
      <c r="H6" s="6">
        <v>1.1399999999999999</v>
      </c>
      <c r="I6" s="6">
        <v>0.89</v>
      </c>
      <c r="J6" s="6">
        <v>0.85</v>
      </c>
      <c r="K6" s="6">
        <v>0.4</v>
      </c>
      <c r="L6" s="6">
        <v>0.74</v>
      </c>
      <c r="M6" s="6">
        <v>0.57999999999999996</v>
      </c>
      <c r="N6" s="6">
        <v>0.49</v>
      </c>
      <c r="O6" s="6">
        <v>0</v>
      </c>
      <c r="P6" s="6">
        <v>0</v>
      </c>
      <c r="Q6" s="6">
        <v>0</v>
      </c>
    </row>
    <row r="7" spans="1:17" hidden="1" x14ac:dyDescent="0.6">
      <c r="A7" s="4" t="s">
        <v>45</v>
      </c>
      <c r="B7" s="4" t="s">
        <v>591</v>
      </c>
      <c r="C7" s="4" t="s">
        <v>592</v>
      </c>
      <c r="D7" s="7" t="s">
        <v>22</v>
      </c>
      <c r="E7" s="7" t="s">
        <v>23</v>
      </c>
      <c r="F7" s="15" t="s">
        <v>588</v>
      </c>
      <c r="G7" s="6">
        <v>1.38</v>
      </c>
      <c r="H7" s="6">
        <v>1.55</v>
      </c>
      <c r="I7" s="6">
        <v>0.73</v>
      </c>
      <c r="J7" s="6">
        <v>0.63</v>
      </c>
      <c r="K7" s="6">
        <v>0.78</v>
      </c>
      <c r="L7" s="6">
        <v>0.69</v>
      </c>
      <c r="M7" s="6">
        <v>0.51</v>
      </c>
      <c r="N7" s="6">
        <v>1.19</v>
      </c>
      <c r="O7" s="6">
        <v>0</v>
      </c>
      <c r="P7" s="6">
        <v>0</v>
      </c>
      <c r="Q7" s="6">
        <v>0</v>
      </c>
    </row>
    <row r="8" spans="1:17" hidden="1" x14ac:dyDescent="0.6">
      <c r="A8" s="4" t="s">
        <v>45</v>
      </c>
      <c r="B8" s="4" t="s">
        <v>591</v>
      </c>
      <c r="C8" s="4" t="s">
        <v>592</v>
      </c>
      <c r="D8" s="7" t="s">
        <v>107</v>
      </c>
      <c r="E8" s="7" t="s">
        <v>108</v>
      </c>
      <c r="F8" s="15" t="s">
        <v>588</v>
      </c>
      <c r="G8" s="6">
        <v>1.08</v>
      </c>
      <c r="H8" s="6">
        <v>1.44</v>
      </c>
      <c r="I8" s="6">
        <v>0.34</v>
      </c>
      <c r="J8" s="6">
        <v>0.97</v>
      </c>
      <c r="K8" s="6">
        <v>0.75</v>
      </c>
      <c r="L8" s="6">
        <v>0.59</v>
      </c>
      <c r="M8" s="6">
        <v>0.34</v>
      </c>
      <c r="N8" s="6">
        <v>0.35</v>
      </c>
      <c r="O8" s="6">
        <v>0</v>
      </c>
      <c r="P8" s="6">
        <v>0</v>
      </c>
      <c r="Q8" s="6">
        <v>0</v>
      </c>
    </row>
    <row r="9" spans="1:17" hidden="1" x14ac:dyDescent="0.6">
      <c r="A9" s="4" t="s">
        <v>45</v>
      </c>
      <c r="B9" s="4" t="s">
        <v>591</v>
      </c>
      <c r="C9" s="4" t="s">
        <v>592</v>
      </c>
      <c r="D9" s="7" t="s">
        <v>109</v>
      </c>
      <c r="E9" s="7" t="s">
        <v>110</v>
      </c>
      <c r="F9" s="15" t="s">
        <v>588</v>
      </c>
      <c r="G9" s="6">
        <v>1.42</v>
      </c>
      <c r="H9" s="6">
        <v>1.4</v>
      </c>
      <c r="I9" s="6">
        <v>1.1299999999999999</v>
      </c>
      <c r="J9" s="6">
        <v>1</v>
      </c>
      <c r="K9" s="6">
        <v>0.82</v>
      </c>
      <c r="L9" s="6">
        <v>1.18</v>
      </c>
      <c r="M9" s="6">
        <v>0.75</v>
      </c>
      <c r="N9" s="6">
        <v>0.75</v>
      </c>
      <c r="O9" s="6">
        <v>0</v>
      </c>
      <c r="P9" s="6">
        <v>0</v>
      </c>
      <c r="Q9" s="6">
        <v>0</v>
      </c>
    </row>
    <row r="10" spans="1:17" hidden="1" x14ac:dyDescent="0.6">
      <c r="A10" s="4" t="s">
        <v>45</v>
      </c>
      <c r="B10" s="4" t="s">
        <v>620</v>
      </c>
      <c r="C10" s="4" t="s">
        <v>621</v>
      </c>
      <c r="D10" s="7" t="s">
        <v>103</v>
      </c>
      <c r="E10" s="7" t="s">
        <v>104</v>
      </c>
      <c r="F10" s="15" t="s">
        <v>588</v>
      </c>
      <c r="G10" s="6">
        <v>0</v>
      </c>
      <c r="H10" s="6">
        <v>-0.09</v>
      </c>
      <c r="I10" s="6">
        <v>0</v>
      </c>
      <c r="J10" s="6">
        <v>0</v>
      </c>
      <c r="K10" s="6">
        <v>0</v>
      </c>
      <c r="L10" s="6">
        <v>0</v>
      </c>
      <c r="M10" s="6">
        <v>0.92</v>
      </c>
      <c r="N10" s="6">
        <v>0.43</v>
      </c>
      <c r="O10" s="6">
        <v>0</v>
      </c>
      <c r="P10" s="6">
        <v>0</v>
      </c>
      <c r="Q10" s="6">
        <v>0</v>
      </c>
    </row>
    <row r="11" spans="1:17" hidden="1" x14ac:dyDescent="0.6">
      <c r="A11" s="4" t="s">
        <v>45</v>
      </c>
      <c r="B11" s="4" t="s">
        <v>622</v>
      </c>
      <c r="C11" s="4" t="s">
        <v>623</v>
      </c>
      <c r="D11" s="7" t="s">
        <v>105</v>
      </c>
      <c r="E11" s="7" t="s">
        <v>106</v>
      </c>
      <c r="F11" s="15" t="s">
        <v>588</v>
      </c>
      <c r="G11" s="6">
        <v>0.28000000000000003</v>
      </c>
      <c r="H11" s="6">
        <v>0.31</v>
      </c>
      <c r="I11" s="6">
        <v>0.13</v>
      </c>
      <c r="J11" s="6">
        <v>0.74</v>
      </c>
      <c r="K11" s="6">
        <v>0.42</v>
      </c>
      <c r="L11" s="6">
        <v>0.53</v>
      </c>
      <c r="M11" s="6">
        <v>0.72</v>
      </c>
      <c r="N11" s="6">
        <v>0.57999999999999996</v>
      </c>
      <c r="O11" s="6">
        <v>0</v>
      </c>
      <c r="P11" s="6">
        <v>0</v>
      </c>
      <c r="Q11" s="6">
        <v>0</v>
      </c>
    </row>
    <row r="12" spans="1:17" hidden="1" x14ac:dyDescent="0.6">
      <c r="A12" s="4" t="s">
        <v>45</v>
      </c>
      <c r="B12" s="4" t="s">
        <v>628</v>
      </c>
      <c r="C12" s="4" t="s">
        <v>629</v>
      </c>
      <c r="D12" s="7" t="s">
        <v>115</v>
      </c>
      <c r="E12" s="7" t="s">
        <v>116</v>
      </c>
      <c r="F12" s="15" t="s">
        <v>588</v>
      </c>
      <c r="G12" s="6">
        <v>0.86</v>
      </c>
      <c r="H12" s="6">
        <v>1.0900000000000001</v>
      </c>
      <c r="I12" s="6">
        <v>0.46</v>
      </c>
      <c r="J12" s="6">
        <v>0.69</v>
      </c>
      <c r="K12" s="6">
        <v>0.51</v>
      </c>
      <c r="L12" s="6">
        <v>0.19</v>
      </c>
      <c r="M12" s="6">
        <v>0.14000000000000001</v>
      </c>
      <c r="N12" s="6">
        <v>0.25</v>
      </c>
      <c r="O12" s="6">
        <v>0</v>
      </c>
      <c r="P12" s="6">
        <v>0</v>
      </c>
      <c r="Q12" s="6">
        <v>0</v>
      </c>
    </row>
    <row r="13" spans="1:17" hidden="1" x14ac:dyDescent="0.6">
      <c r="A13" s="4" t="s">
        <v>45</v>
      </c>
      <c r="B13" s="4" t="s">
        <v>628</v>
      </c>
      <c r="C13" s="4" t="s">
        <v>629</v>
      </c>
      <c r="D13" s="7" t="s">
        <v>117</v>
      </c>
      <c r="E13" s="7" t="s">
        <v>118</v>
      </c>
      <c r="F13" s="15" t="s">
        <v>588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</row>
    <row r="14" spans="1:17" hidden="1" x14ac:dyDescent="0.6">
      <c r="A14" s="4" t="s">
        <v>45</v>
      </c>
      <c r="B14" s="4" t="s">
        <v>602</v>
      </c>
      <c r="C14" s="4" t="s">
        <v>603</v>
      </c>
      <c r="D14" s="7" t="s">
        <v>59</v>
      </c>
      <c r="E14" s="7" t="s">
        <v>60</v>
      </c>
      <c r="F14" s="15" t="s">
        <v>588</v>
      </c>
      <c r="G14" s="6">
        <v>0.45</v>
      </c>
      <c r="H14" s="6">
        <v>1.06</v>
      </c>
      <c r="I14" s="6">
        <v>2.62</v>
      </c>
      <c r="J14" s="6">
        <v>1.96</v>
      </c>
      <c r="K14" s="6">
        <v>0.96</v>
      </c>
      <c r="L14" s="6">
        <v>2.34</v>
      </c>
      <c r="M14" s="6">
        <v>1.43</v>
      </c>
      <c r="N14" s="6">
        <v>0.52</v>
      </c>
      <c r="O14" s="6">
        <v>0</v>
      </c>
      <c r="P14" s="6">
        <v>0</v>
      </c>
      <c r="Q14" s="6">
        <v>0</v>
      </c>
    </row>
    <row r="15" spans="1:17" hidden="1" x14ac:dyDescent="0.6">
      <c r="A15" s="4" t="s">
        <v>45</v>
      </c>
      <c r="B15" s="4" t="s">
        <v>602</v>
      </c>
      <c r="C15" s="4" t="s">
        <v>603</v>
      </c>
      <c r="D15" s="7" t="s">
        <v>61</v>
      </c>
      <c r="E15" s="7" t="s">
        <v>62</v>
      </c>
      <c r="F15" s="15" t="s">
        <v>588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</row>
    <row r="16" spans="1:17" hidden="1" x14ac:dyDescent="0.6">
      <c r="A16" s="4" t="s">
        <v>45</v>
      </c>
      <c r="B16" s="4" t="s">
        <v>602</v>
      </c>
      <c r="C16" s="4" t="s">
        <v>603</v>
      </c>
      <c r="D16" s="7" t="s">
        <v>63</v>
      </c>
      <c r="E16" s="7" t="s">
        <v>64</v>
      </c>
      <c r="F16" s="15" t="s">
        <v>588</v>
      </c>
      <c r="G16" s="6">
        <v>0.76</v>
      </c>
      <c r="H16" s="6">
        <v>0.79</v>
      </c>
      <c r="I16" s="6">
        <v>1.26</v>
      </c>
      <c r="J16" s="6">
        <v>1.71</v>
      </c>
      <c r="K16" s="6">
        <v>0.95</v>
      </c>
      <c r="L16" s="6">
        <v>1.72</v>
      </c>
      <c r="M16" s="6">
        <v>1.19</v>
      </c>
      <c r="N16" s="6">
        <v>1.1000000000000001</v>
      </c>
      <c r="O16" s="6">
        <v>0</v>
      </c>
      <c r="P16" s="6">
        <v>0</v>
      </c>
      <c r="Q16" s="6">
        <v>0</v>
      </c>
    </row>
    <row r="17" spans="1:17" hidden="1" x14ac:dyDescent="0.6">
      <c r="A17" s="4" t="s">
        <v>45</v>
      </c>
      <c r="B17" s="4" t="s">
        <v>602</v>
      </c>
      <c r="C17" s="4" t="s">
        <v>603</v>
      </c>
      <c r="D17" s="7" t="s">
        <v>65</v>
      </c>
      <c r="E17" s="7" t="s">
        <v>66</v>
      </c>
      <c r="F17" s="15" t="s">
        <v>588</v>
      </c>
      <c r="G17" s="6">
        <v>0.56000000000000005</v>
      </c>
      <c r="H17" s="6">
        <v>0.94</v>
      </c>
      <c r="I17" s="6">
        <v>1.57</v>
      </c>
      <c r="J17" s="6">
        <v>0.82</v>
      </c>
      <c r="K17" s="6">
        <v>0.87</v>
      </c>
      <c r="L17" s="6">
        <v>2.13</v>
      </c>
      <c r="M17" s="6">
        <v>1.59</v>
      </c>
      <c r="N17" s="6">
        <v>1.8</v>
      </c>
      <c r="O17" s="6">
        <v>0</v>
      </c>
      <c r="P17" s="6">
        <v>0</v>
      </c>
      <c r="Q17" s="6">
        <v>0</v>
      </c>
    </row>
    <row r="18" spans="1:17" hidden="1" x14ac:dyDescent="0.6">
      <c r="A18" s="4" t="s">
        <v>45</v>
      </c>
      <c r="B18" s="4" t="s">
        <v>608</v>
      </c>
      <c r="C18" s="4" t="s">
        <v>609</v>
      </c>
      <c r="D18" s="7" t="s">
        <v>71</v>
      </c>
      <c r="E18" s="7" t="s">
        <v>72</v>
      </c>
      <c r="F18" s="15" t="s">
        <v>588</v>
      </c>
      <c r="G18" s="6">
        <v>0.87</v>
      </c>
      <c r="H18" s="6">
        <v>0.63</v>
      </c>
      <c r="I18" s="6">
        <v>0.76</v>
      </c>
      <c r="J18" s="6">
        <v>0.56000000000000005</v>
      </c>
      <c r="K18" s="6">
        <v>0.55000000000000004</v>
      </c>
      <c r="L18" s="6">
        <v>0.26</v>
      </c>
      <c r="M18" s="6">
        <v>0.37</v>
      </c>
      <c r="N18" s="6">
        <v>0.6</v>
      </c>
      <c r="O18" s="6">
        <v>0</v>
      </c>
      <c r="P18" s="6">
        <v>0</v>
      </c>
      <c r="Q18" s="6">
        <v>0</v>
      </c>
    </row>
    <row r="19" spans="1:17" hidden="1" x14ac:dyDescent="0.6">
      <c r="A19" s="4" t="s">
        <v>45</v>
      </c>
      <c r="B19" s="4" t="s">
        <v>608</v>
      </c>
      <c r="C19" s="4" t="s">
        <v>609</v>
      </c>
      <c r="D19" s="7" t="s">
        <v>73</v>
      </c>
      <c r="E19" s="7" t="s">
        <v>74</v>
      </c>
      <c r="F19" s="15" t="s">
        <v>588</v>
      </c>
      <c r="G19" s="6">
        <v>0.75</v>
      </c>
      <c r="H19" s="6">
        <v>0.47</v>
      </c>
      <c r="I19" s="6">
        <v>0.75</v>
      </c>
      <c r="J19" s="6">
        <v>0.57999999999999996</v>
      </c>
      <c r="K19" s="6">
        <v>0.71</v>
      </c>
      <c r="L19" s="6">
        <v>0.45</v>
      </c>
      <c r="M19" s="6">
        <v>0.4</v>
      </c>
      <c r="N19" s="6">
        <v>0.56999999999999995</v>
      </c>
      <c r="O19" s="6">
        <v>0</v>
      </c>
      <c r="P19" s="6">
        <v>0</v>
      </c>
      <c r="Q19" s="6">
        <v>0</v>
      </c>
    </row>
    <row r="20" spans="1:17" hidden="1" x14ac:dyDescent="0.6">
      <c r="A20" s="4" t="s">
        <v>45</v>
      </c>
      <c r="B20" s="4" t="s">
        <v>610</v>
      </c>
      <c r="C20" s="4" t="s">
        <v>611</v>
      </c>
      <c r="D20" s="7" t="s">
        <v>77</v>
      </c>
      <c r="E20" s="7" t="s">
        <v>78</v>
      </c>
      <c r="F20" s="15" t="s">
        <v>588</v>
      </c>
      <c r="G20" s="6">
        <v>0.35</v>
      </c>
      <c r="H20" s="6">
        <v>0.28000000000000003</v>
      </c>
      <c r="I20" s="6">
        <v>0.66</v>
      </c>
      <c r="J20" s="6">
        <v>0.56999999999999995</v>
      </c>
      <c r="K20" s="6">
        <v>0.61</v>
      </c>
      <c r="L20" s="6">
        <v>0</v>
      </c>
      <c r="M20" s="6">
        <v>0.42</v>
      </c>
      <c r="N20" s="6">
        <v>0.62</v>
      </c>
      <c r="O20" s="6">
        <v>0</v>
      </c>
      <c r="P20" s="6">
        <v>0</v>
      </c>
      <c r="Q20" s="6">
        <v>0</v>
      </c>
    </row>
    <row r="21" spans="1:17" hidden="1" x14ac:dyDescent="0.6">
      <c r="A21" s="4" t="s">
        <v>45</v>
      </c>
      <c r="B21" s="4" t="s">
        <v>610</v>
      </c>
      <c r="C21" s="4" t="s">
        <v>611</v>
      </c>
      <c r="D21" s="7" t="s">
        <v>75</v>
      </c>
      <c r="E21" s="7" t="s">
        <v>76</v>
      </c>
      <c r="F21" s="15" t="s">
        <v>588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</row>
    <row r="22" spans="1:17" hidden="1" x14ac:dyDescent="0.6">
      <c r="A22" s="4" t="s">
        <v>45</v>
      </c>
      <c r="B22" s="4" t="s">
        <v>610</v>
      </c>
      <c r="C22" s="4" t="s">
        <v>611</v>
      </c>
      <c r="D22" s="7" t="s">
        <v>79</v>
      </c>
      <c r="E22" s="7" t="s">
        <v>80</v>
      </c>
      <c r="F22" s="15" t="s">
        <v>588</v>
      </c>
      <c r="G22" s="6">
        <v>0.98</v>
      </c>
      <c r="H22" s="6">
        <v>0.72</v>
      </c>
      <c r="I22" s="6">
        <v>1.22</v>
      </c>
      <c r="J22" s="6">
        <v>0.75</v>
      </c>
      <c r="K22" s="6">
        <v>0.96</v>
      </c>
      <c r="L22" s="6">
        <v>0.85</v>
      </c>
      <c r="M22" s="6">
        <v>0.54</v>
      </c>
      <c r="N22" s="6">
        <v>0.66</v>
      </c>
      <c r="O22" s="6">
        <v>0</v>
      </c>
      <c r="P22" s="6">
        <v>0</v>
      </c>
      <c r="Q22" s="6">
        <v>0</v>
      </c>
    </row>
    <row r="23" spans="1:17" hidden="1" x14ac:dyDescent="0.6">
      <c r="A23" s="4" t="s">
        <v>45</v>
      </c>
      <c r="B23" s="4" t="s">
        <v>610</v>
      </c>
      <c r="C23" s="4" t="s">
        <v>611</v>
      </c>
      <c r="D23" s="7" t="s">
        <v>81</v>
      </c>
      <c r="E23" s="7" t="s">
        <v>82</v>
      </c>
      <c r="F23" s="15" t="s">
        <v>588</v>
      </c>
      <c r="G23" s="6">
        <v>0.22</v>
      </c>
      <c r="H23" s="6">
        <v>0.54</v>
      </c>
      <c r="I23" s="6">
        <v>0.65</v>
      </c>
      <c r="J23" s="6">
        <v>0.61</v>
      </c>
      <c r="K23" s="6">
        <v>0.87</v>
      </c>
      <c r="L23" s="6">
        <v>0</v>
      </c>
      <c r="M23" s="6">
        <v>0.31</v>
      </c>
      <c r="N23" s="6">
        <v>0</v>
      </c>
      <c r="O23" s="6">
        <v>0</v>
      </c>
      <c r="P23" s="6">
        <v>0</v>
      </c>
      <c r="Q23" s="6">
        <v>0</v>
      </c>
    </row>
    <row r="24" spans="1:17" hidden="1" x14ac:dyDescent="0.6">
      <c r="A24" s="4" t="s">
        <v>45</v>
      </c>
      <c r="B24" s="4" t="s">
        <v>610</v>
      </c>
      <c r="C24" s="4" t="s">
        <v>611</v>
      </c>
      <c r="D24" s="7" t="s">
        <v>83</v>
      </c>
      <c r="E24" s="7" t="s">
        <v>84</v>
      </c>
      <c r="F24" s="15" t="s">
        <v>588</v>
      </c>
      <c r="G24" s="6">
        <v>1.49</v>
      </c>
      <c r="H24" s="6">
        <v>1.59</v>
      </c>
      <c r="I24" s="6">
        <v>0</v>
      </c>
      <c r="J24" s="6">
        <v>0</v>
      </c>
      <c r="K24" s="6">
        <v>0.78</v>
      </c>
      <c r="L24" s="6">
        <v>0.8</v>
      </c>
      <c r="M24" s="6">
        <v>0.5</v>
      </c>
      <c r="N24" s="6">
        <v>0.56999999999999995</v>
      </c>
      <c r="O24" s="6">
        <v>0</v>
      </c>
      <c r="P24" s="6">
        <v>0</v>
      </c>
      <c r="Q24" s="6">
        <v>0</v>
      </c>
    </row>
    <row r="25" spans="1:17" hidden="1" x14ac:dyDescent="0.6">
      <c r="A25" s="4" t="s">
        <v>45</v>
      </c>
      <c r="B25" s="4" t="s">
        <v>610</v>
      </c>
      <c r="C25" s="4" t="s">
        <v>611</v>
      </c>
      <c r="D25" s="7" t="s">
        <v>87</v>
      </c>
      <c r="E25" s="7" t="s">
        <v>88</v>
      </c>
      <c r="F25" s="15" t="s">
        <v>588</v>
      </c>
      <c r="G25" s="6">
        <v>1.07</v>
      </c>
      <c r="H25" s="6">
        <v>0</v>
      </c>
      <c r="I25" s="6">
        <v>1.7</v>
      </c>
      <c r="J25" s="6">
        <v>0</v>
      </c>
      <c r="K25" s="6">
        <v>0</v>
      </c>
      <c r="L25" s="6">
        <v>0.48</v>
      </c>
      <c r="M25" s="6">
        <v>0.39</v>
      </c>
      <c r="N25" s="6">
        <v>0.66</v>
      </c>
      <c r="O25" s="6">
        <v>0</v>
      </c>
      <c r="P25" s="6">
        <v>0</v>
      </c>
      <c r="Q25" s="6">
        <v>0</v>
      </c>
    </row>
    <row r="26" spans="1:17" hidden="1" x14ac:dyDescent="0.6">
      <c r="A26" s="4" t="s">
        <v>45</v>
      </c>
      <c r="B26" s="4" t="s">
        <v>610</v>
      </c>
      <c r="C26" s="4" t="s">
        <v>611</v>
      </c>
      <c r="D26" s="7" t="s">
        <v>85</v>
      </c>
      <c r="E26" s="7" t="s">
        <v>86</v>
      </c>
      <c r="F26" s="15" t="s">
        <v>588</v>
      </c>
      <c r="G26" s="6">
        <v>1.06</v>
      </c>
      <c r="H26" s="6">
        <v>1.1100000000000001</v>
      </c>
      <c r="I26" s="6">
        <v>1.1299999999999999</v>
      </c>
      <c r="J26" s="6">
        <v>0.97</v>
      </c>
      <c r="K26" s="6">
        <v>0.44</v>
      </c>
      <c r="L26" s="6">
        <v>1.18</v>
      </c>
      <c r="M26" s="6">
        <v>0.84</v>
      </c>
      <c r="N26" s="6">
        <v>0.78</v>
      </c>
      <c r="O26" s="6">
        <v>0</v>
      </c>
      <c r="P26" s="6">
        <v>0</v>
      </c>
      <c r="Q26" s="6">
        <v>0</v>
      </c>
    </row>
    <row r="27" spans="1:17" hidden="1" x14ac:dyDescent="0.6">
      <c r="A27" s="4" t="s">
        <v>45</v>
      </c>
      <c r="B27" s="4" t="s">
        <v>610</v>
      </c>
      <c r="C27" s="4" t="s">
        <v>611</v>
      </c>
      <c r="D27" s="7" t="s">
        <v>89</v>
      </c>
      <c r="E27" s="7" t="s">
        <v>90</v>
      </c>
      <c r="F27" s="15" t="s">
        <v>588</v>
      </c>
      <c r="G27" s="6">
        <v>1.2</v>
      </c>
      <c r="H27" s="6">
        <v>0.95</v>
      </c>
      <c r="I27" s="6">
        <v>0.79</v>
      </c>
      <c r="J27" s="6">
        <v>0</v>
      </c>
      <c r="K27" s="6">
        <v>1.89</v>
      </c>
      <c r="L27" s="6">
        <v>0.74</v>
      </c>
      <c r="M27" s="6">
        <v>0.77</v>
      </c>
      <c r="N27" s="6">
        <v>0.64</v>
      </c>
      <c r="O27" s="6">
        <v>0</v>
      </c>
      <c r="P27" s="6">
        <v>0</v>
      </c>
      <c r="Q27" s="6">
        <v>0</v>
      </c>
    </row>
    <row r="28" spans="1:17" hidden="1" x14ac:dyDescent="0.6">
      <c r="A28" s="4" t="s">
        <v>45</v>
      </c>
      <c r="B28" s="4" t="s">
        <v>610</v>
      </c>
      <c r="C28" s="4" t="s">
        <v>611</v>
      </c>
      <c r="D28" s="5" t="s">
        <v>91</v>
      </c>
      <c r="E28" s="5" t="s">
        <v>92</v>
      </c>
      <c r="F28" s="14" t="s">
        <v>588</v>
      </c>
      <c r="G28" s="6">
        <v>0.68</v>
      </c>
      <c r="H28" s="6">
        <v>0.22</v>
      </c>
      <c r="I28" s="6">
        <v>0.59</v>
      </c>
      <c r="J28" s="6">
        <v>0.62</v>
      </c>
      <c r="K28" s="6">
        <v>0.74</v>
      </c>
      <c r="L28" s="6">
        <v>0.42</v>
      </c>
      <c r="M28" s="6">
        <v>0.52</v>
      </c>
      <c r="N28" s="6">
        <v>0.26</v>
      </c>
      <c r="O28" s="6">
        <v>0</v>
      </c>
      <c r="P28" s="6">
        <v>0</v>
      </c>
      <c r="Q28" s="6">
        <v>0</v>
      </c>
    </row>
    <row r="29" spans="1:17" hidden="1" x14ac:dyDescent="0.6">
      <c r="A29" s="4" t="s">
        <v>45</v>
      </c>
      <c r="B29" s="4" t="s">
        <v>612</v>
      </c>
      <c r="C29" s="4" t="s">
        <v>613</v>
      </c>
      <c r="D29" s="5" t="s">
        <v>93</v>
      </c>
      <c r="E29" s="5" t="s">
        <v>94</v>
      </c>
      <c r="F29" s="14" t="s">
        <v>588</v>
      </c>
      <c r="G29" s="6">
        <v>0.96</v>
      </c>
      <c r="H29" s="6">
        <v>1.44</v>
      </c>
      <c r="I29" s="6">
        <v>0.73</v>
      </c>
      <c r="J29" s="6">
        <v>0.76</v>
      </c>
      <c r="K29" s="6">
        <v>0.87</v>
      </c>
      <c r="L29" s="6">
        <v>1.08</v>
      </c>
      <c r="M29" s="6">
        <v>0.63</v>
      </c>
      <c r="N29" s="6">
        <v>0.67</v>
      </c>
      <c r="O29" s="6">
        <v>0</v>
      </c>
      <c r="P29" s="6">
        <v>0</v>
      </c>
      <c r="Q29" s="6">
        <v>0</v>
      </c>
    </row>
    <row r="30" spans="1:17" hidden="1" x14ac:dyDescent="0.6">
      <c r="A30" s="4" t="s">
        <v>45</v>
      </c>
      <c r="B30" s="4" t="s">
        <v>612</v>
      </c>
      <c r="C30" s="4" t="s">
        <v>613</v>
      </c>
      <c r="D30" s="7" t="s">
        <v>95</v>
      </c>
      <c r="E30" s="7" t="s">
        <v>96</v>
      </c>
      <c r="F30" s="15" t="s">
        <v>588</v>
      </c>
      <c r="G30" s="6">
        <v>0.98</v>
      </c>
      <c r="H30" s="6">
        <v>0.98</v>
      </c>
      <c r="I30" s="6">
        <v>0.56999999999999995</v>
      </c>
      <c r="J30" s="6">
        <v>0.63</v>
      </c>
      <c r="K30" s="6">
        <v>0.7</v>
      </c>
      <c r="L30" s="6">
        <v>0.76</v>
      </c>
      <c r="M30" s="6">
        <v>0.87</v>
      </c>
      <c r="N30" s="6">
        <v>0.61</v>
      </c>
      <c r="O30" s="6">
        <v>0</v>
      </c>
      <c r="P30" s="6">
        <v>0</v>
      </c>
      <c r="Q30" s="6">
        <v>0</v>
      </c>
    </row>
    <row r="31" spans="1:17" hidden="1" x14ac:dyDescent="0.6">
      <c r="A31" s="4" t="s">
        <v>45</v>
      </c>
      <c r="B31" s="4" t="s">
        <v>618</v>
      </c>
      <c r="C31" s="4" t="s">
        <v>619</v>
      </c>
      <c r="D31" s="7" t="s">
        <v>101</v>
      </c>
      <c r="E31" s="7" t="s">
        <v>102</v>
      </c>
      <c r="F31" s="15" t="s">
        <v>588</v>
      </c>
      <c r="G31" s="6">
        <v>0.15</v>
      </c>
      <c r="H31" s="6">
        <v>0.02</v>
      </c>
      <c r="I31" s="6">
        <v>7.0000000000000007E-2</v>
      </c>
      <c r="J31" s="6">
        <v>0.11</v>
      </c>
      <c r="K31" s="6">
        <v>0.56000000000000005</v>
      </c>
      <c r="L31" s="6">
        <v>0.71</v>
      </c>
      <c r="M31" s="6">
        <v>0.69</v>
      </c>
      <c r="N31" s="6">
        <v>0.38</v>
      </c>
      <c r="O31" s="6">
        <v>0</v>
      </c>
      <c r="P31" s="6">
        <v>0</v>
      </c>
      <c r="Q31" s="6">
        <v>0</v>
      </c>
    </row>
    <row r="32" spans="1:17" hidden="1" x14ac:dyDescent="0.6">
      <c r="A32" s="4" t="s">
        <v>45</v>
      </c>
      <c r="B32" s="4" t="s">
        <v>630</v>
      </c>
      <c r="C32" s="4" t="s">
        <v>631</v>
      </c>
      <c r="D32" s="7" t="s">
        <v>121</v>
      </c>
      <c r="E32" s="7" t="s">
        <v>122</v>
      </c>
      <c r="F32" s="15" t="s">
        <v>588</v>
      </c>
      <c r="G32" s="6">
        <v>1</v>
      </c>
      <c r="H32" s="6">
        <v>0.73</v>
      </c>
      <c r="I32" s="6">
        <v>1.03</v>
      </c>
      <c r="J32" s="6">
        <v>0.85</v>
      </c>
      <c r="K32" s="6">
        <v>0.99</v>
      </c>
      <c r="L32" s="6">
        <v>0.95</v>
      </c>
      <c r="M32" s="6">
        <v>1.27</v>
      </c>
      <c r="N32" s="6">
        <v>0.65</v>
      </c>
      <c r="O32" s="6">
        <v>0</v>
      </c>
      <c r="P32" s="6">
        <v>0</v>
      </c>
      <c r="Q32" s="6">
        <v>0</v>
      </c>
    </row>
    <row r="33" spans="1:17" hidden="1" x14ac:dyDescent="0.6">
      <c r="A33" s="4" t="s">
        <v>45</v>
      </c>
      <c r="B33" s="4" t="s">
        <v>606</v>
      </c>
      <c r="C33" s="4" t="s">
        <v>607</v>
      </c>
      <c r="D33" s="7" t="s">
        <v>69</v>
      </c>
      <c r="E33" s="7" t="s">
        <v>70</v>
      </c>
      <c r="F33" s="15" t="s">
        <v>588</v>
      </c>
      <c r="G33" s="6">
        <v>0.45</v>
      </c>
      <c r="H33" s="6">
        <v>0.81</v>
      </c>
      <c r="I33" s="6">
        <v>0.28999999999999998</v>
      </c>
      <c r="J33" s="6">
        <v>1.19</v>
      </c>
      <c r="K33" s="6">
        <v>1.51</v>
      </c>
      <c r="L33" s="6">
        <v>0.9</v>
      </c>
      <c r="M33" s="6">
        <v>0.77</v>
      </c>
      <c r="N33" s="6">
        <v>0.68</v>
      </c>
      <c r="O33" s="6">
        <v>0</v>
      </c>
      <c r="P33" s="6">
        <v>0</v>
      </c>
      <c r="Q33" s="6">
        <v>0</v>
      </c>
    </row>
    <row r="34" spans="1:17" hidden="1" x14ac:dyDescent="0.6">
      <c r="A34" s="4" t="s">
        <v>45</v>
      </c>
      <c r="B34" s="4" t="s">
        <v>606</v>
      </c>
      <c r="C34" s="4" t="s">
        <v>607</v>
      </c>
      <c r="D34" s="7" t="s">
        <v>119</v>
      </c>
      <c r="E34" s="7" t="s">
        <v>120</v>
      </c>
      <c r="F34" s="15" t="s">
        <v>588</v>
      </c>
      <c r="G34" s="6">
        <v>0.79</v>
      </c>
      <c r="H34" s="6">
        <v>1.76</v>
      </c>
      <c r="I34" s="6">
        <v>0.33</v>
      </c>
      <c r="J34" s="6">
        <v>0.4</v>
      </c>
      <c r="K34" s="6">
        <v>0.94</v>
      </c>
      <c r="L34" s="6">
        <v>0.8</v>
      </c>
      <c r="M34" s="6">
        <v>0.91</v>
      </c>
      <c r="N34" s="6">
        <v>0.33</v>
      </c>
      <c r="O34" s="6">
        <v>0</v>
      </c>
      <c r="P34" s="6">
        <v>0</v>
      </c>
      <c r="Q34" s="6">
        <v>0</v>
      </c>
    </row>
    <row r="35" spans="1:17" hidden="1" x14ac:dyDescent="0.6">
      <c r="A35" s="4" t="s">
        <v>45</v>
      </c>
      <c r="B35" s="4" t="s">
        <v>598</v>
      </c>
      <c r="C35" s="4" t="s">
        <v>599</v>
      </c>
      <c r="D35" s="7" t="s">
        <v>55</v>
      </c>
      <c r="E35" s="7" t="s">
        <v>56</v>
      </c>
      <c r="F35" s="15" t="s">
        <v>588</v>
      </c>
      <c r="G35" s="6">
        <v>1.17</v>
      </c>
      <c r="H35" s="6">
        <v>0.32</v>
      </c>
      <c r="I35" s="6">
        <v>0.53</v>
      </c>
      <c r="J35" s="6">
        <v>0.36</v>
      </c>
      <c r="K35" s="6">
        <v>0.56999999999999995</v>
      </c>
      <c r="L35" s="6">
        <v>1.38</v>
      </c>
      <c r="M35" s="6">
        <v>1.1299999999999999</v>
      </c>
      <c r="N35" s="6">
        <v>0.45</v>
      </c>
      <c r="O35" s="6">
        <v>0</v>
      </c>
      <c r="P35" s="6">
        <v>0</v>
      </c>
      <c r="Q35" s="6">
        <v>0</v>
      </c>
    </row>
    <row r="36" spans="1:17" hidden="1" x14ac:dyDescent="0.6">
      <c r="A36" s="4" t="s">
        <v>45</v>
      </c>
      <c r="B36" s="4" t="s">
        <v>604</v>
      </c>
      <c r="C36" s="4" t="s">
        <v>605</v>
      </c>
      <c r="D36" s="7" t="s">
        <v>67</v>
      </c>
      <c r="E36" s="7" t="s">
        <v>68</v>
      </c>
      <c r="F36" s="15" t="s">
        <v>588</v>
      </c>
      <c r="G36" s="6">
        <v>0.66</v>
      </c>
      <c r="H36" s="6">
        <v>1.19</v>
      </c>
      <c r="I36" s="6">
        <v>1.1200000000000001</v>
      </c>
      <c r="J36" s="6">
        <v>0</v>
      </c>
      <c r="K36" s="6">
        <v>1.55</v>
      </c>
      <c r="L36" s="6">
        <v>0.45</v>
      </c>
      <c r="M36" s="6">
        <v>2.29</v>
      </c>
      <c r="N36" s="6">
        <v>0.4</v>
      </c>
      <c r="O36" s="6">
        <v>0</v>
      </c>
      <c r="P36" s="6">
        <v>0</v>
      </c>
      <c r="Q36" s="6">
        <v>0</v>
      </c>
    </row>
    <row r="37" spans="1:17" hidden="1" x14ac:dyDescent="0.6">
      <c r="A37" s="4" t="s">
        <v>45</v>
      </c>
      <c r="B37" s="4" t="s">
        <v>636</v>
      </c>
      <c r="C37" s="4" t="s">
        <v>637</v>
      </c>
      <c r="D37" s="7" t="s">
        <v>127</v>
      </c>
      <c r="E37" s="7" t="s">
        <v>894</v>
      </c>
      <c r="F37" s="15" t="s">
        <v>589</v>
      </c>
      <c r="G37" s="6">
        <v>0.62</v>
      </c>
      <c r="H37" s="6">
        <v>0.51</v>
      </c>
      <c r="I37" s="6">
        <v>0.86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</row>
    <row r="38" spans="1:17" hidden="1" x14ac:dyDescent="0.6">
      <c r="A38" s="4" t="s">
        <v>45</v>
      </c>
      <c r="B38" s="4" t="s">
        <v>632</v>
      </c>
      <c r="C38" s="4" t="s">
        <v>633</v>
      </c>
      <c r="D38" s="7" t="s">
        <v>123</v>
      </c>
      <c r="E38" s="7" t="s">
        <v>895</v>
      </c>
      <c r="F38" s="15" t="s">
        <v>589</v>
      </c>
      <c r="G38" s="6">
        <v>0.5</v>
      </c>
      <c r="H38" s="6">
        <v>0.9</v>
      </c>
      <c r="I38" s="6">
        <v>0.66</v>
      </c>
      <c r="J38" s="6">
        <v>0.66</v>
      </c>
      <c r="K38" s="6">
        <v>0.59</v>
      </c>
      <c r="L38" s="6">
        <v>0.15</v>
      </c>
      <c r="M38" s="6">
        <v>0.18</v>
      </c>
      <c r="N38" s="6">
        <v>0.17</v>
      </c>
      <c r="O38" s="6">
        <v>0</v>
      </c>
      <c r="P38" s="6">
        <v>0</v>
      </c>
      <c r="Q38" s="6">
        <v>0</v>
      </c>
    </row>
    <row r="39" spans="1:17" hidden="1" x14ac:dyDescent="0.6">
      <c r="A39" s="4" t="s">
        <v>45</v>
      </c>
      <c r="B39" s="4" t="s">
        <v>632</v>
      </c>
      <c r="C39" s="4" t="s">
        <v>633</v>
      </c>
      <c r="D39" s="7" t="s">
        <v>896</v>
      </c>
      <c r="E39" s="7" t="s">
        <v>897</v>
      </c>
      <c r="F39" s="15" t="s">
        <v>973</v>
      </c>
      <c r="G39" s="6">
        <v>0.32</v>
      </c>
      <c r="H39" s="6">
        <v>0.4</v>
      </c>
      <c r="I39" s="6">
        <v>0.9</v>
      </c>
      <c r="J39" s="6">
        <v>0</v>
      </c>
      <c r="K39" s="6">
        <v>0</v>
      </c>
      <c r="L39" s="6">
        <v>0.19</v>
      </c>
      <c r="M39" s="6">
        <v>0.31</v>
      </c>
      <c r="N39" s="6">
        <v>0.42</v>
      </c>
      <c r="O39" s="6">
        <v>0</v>
      </c>
      <c r="P39" s="6">
        <v>0</v>
      </c>
      <c r="Q39" s="6">
        <v>0</v>
      </c>
    </row>
    <row r="40" spans="1:17" hidden="1" x14ac:dyDescent="0.6">
      <c r="A40" s="4" t="s">
        <v>45</v>
      </c>
      <c r="B40" s="4" t="s">
        <v>632</v>
      </c>
      <c r="C40" s="4" t="s">
        <v>633</v>
      </c>
      <c r="D40" s="7" t="s">
        <v>898</v>
      </c>
      <c r="E40" s="7" t="s">
        <v>899</v>
      </c>
      <c r="F40" s="15" t="s">
        <v>973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</row>
    <row r="41" spans="1:17" x14ac:dyDescent="0.6">
      <c r="A41" s="4" t="s">
        <v>45</v>
      </c>
      <c r="B41" s="4" t="s">
        <v>624</v>
      </c>
      <c r="C41" s="4" t="s">
        <v>625</v>
      </c>
      <c r="D41" s="7" t="s">
        <v>111</v>
      </c>
      <c r="E41" s="7" t="s">
        <v>112</v>
      </c>
      <c r="F41" s="15" t="s">
        <v>588</v>
      </c>
      <c r="G41" s="6">
        <v>0.92</v>
      </c>
      <c r="H41" s="6">
        <v>1.04</v>
      </c>
      <c r="I41" s="6">
        <v>0.82</v>
      </c>
      <c r="J41" s="6">
        <v>0.84</v>
      </c>
      <c r="K41" s="6">
        <v>1.29</v>
      </c>
      <c r="L41" s="6">
        <v>0.74</v>
      </c>
      <c r="M41" s="6">
        <v>0.9</v>
      </c>
      <c r="N41" s="6">
        <v>1.1499999999999999</v>
      </c>
      <c r="O41" s="6">
        <v>0</v>
      </c>
      <c r="P41" s="6">
        <v>0</v>
      </c>
      <c r="Q41" s="6">
        <v>0</v>
      </c>
    </row>
    <row r="42" spans="1:17" hidden="1" x14ac:dyDescent="0.6">
      <c r="A42" s="4" t="s">
        <v>45</v>
      </c>
      <c r="B42" s="4" t="s">
        <v>614</v>
      </c>
      <c r="C42" s="4" t="s">
        <v>615</v>
      </c>
      <c r="D42" s="7" t="s">
        <v>97</v>
      </c>
      <c r="E42" s="7" t="s">
        <v>98</v>
      </c>
      <c r="F42" s="15" t="s">
        <v>589</v>
      </c>
      <c r="G42" s="6">
        <v>0.51</v>
      </c>
      <c r="H42" s="6">
        <v>0.37</v>
      </c>
      <c r="I42" s="6">
        <v>0.68</v>
      </c>
      <c r="J42" s="6">
        <v>0.61</v>
      </c>
      <c r="K42" s="6">
        <v>0.4</v>
      </c>
      <c r="L42" s="6">
        <v>0.91</v>
      </c>
      <c r="M42" s="6">
        <v>0.61</v>
      </c>
      <c r="N42" s="6">
        <v>0.73</v>
      </c>
      <c r="O42" s="6">
        <v>0</v>
      </c>
      <c r="P42" s="6">
        <v>0</v>
      </c>
      <c r="Q42" s="6">
        <v>0</v>
      </c>
    </row>
    <row r="43" spans="1:17" hidden="1" x14ac:dyDescent="0.6">
      <c r="A43" s="4" t="s">
        <v>45</v>
      </c>
      <c r="B43" s="4" t="s">
        <v>616</v>
      </c>
      <c r="C43" s="4" t="s">
        <v>617</v>
      </c>
      <c r="D43" s="7" t="s">
        <v>99</v>
      </c>
      <c r="E43" s="7" t="s">
        <v>900</v>
      </c>
      <c r="F43" s="15" t="s">
        <v>589</v>
      </c>
      <c r="G43" s="6">
        <v>0</v>
      </c>
      <c r="H43" s="6">
        <v>0</v>
      </c>
      <c r="I43" s="6">
        <v>-0.47</v>
      </c>
      <c r="J43" s="6">
        <v>-0.57999999999999996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</row>
    <row r="44" spans="1:17" hidden="1" x14ac:dyDescent="0.6">
      <c r="A44" s="4" t="s">
        <v>45</v>
      </c>
      <c r="B44" s="4" t="s">
        <v>634</v>
      </c>
      <c r="C44" s="4" t="s">
        <v>635</v>
      </c>
      <c r="D44" s="7" t="s">
        <v>125</v>
      </c>
      <c r="E44" s="7" t="s">
        <v>901</v>
      </c>
      <c r="F44" s="15" t="s">
        <v>589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</row>
    <row r="45" spans="1:17" hidden="1" x14ac:dyDescent="0.6">
      <c r="A45" s="4" t="s">
        <v>45</v>
      </c>
      <c r="B45" s="4" t="s">
        <v>600</v>
      </c>
      <c r="C45" s="4" t="s">
        <v>601</v>
      </c>
      <c r="D45" s="7" t="s">
        <v>57</v>
      </c>
      <c r="E45" s="7" t="s">
        <v>58</v>
      </c>
      <c r="F45" s="15" t="s">
        <v>588</v>
      </c>
      <c r="G45" s="6">
        <v>0</v>
      </c>
      <c r="H45" s="6">
        <v>-0.68</v>
      </c>
      <c r="I45" s="6">
        <v>0.48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</row>
    <row r="46" spans="1:17" hidden="1" x14ac:dyDescent="0.6">
      <c r="A46" s="4" t="s">
        <v>45</v>
      </c>
      <c r="B46" s="4" t="s">
        <v>626</v>
      </c>
      <c r="C46" s="4" t="s">
        <v>627</v>
      </c>
      <c r="D46" s="7" t="s">
        <v>113</v>
      </c>
      <c r="E46" s="7" t="s">
        <v>114</v>
      </c>
      <c r="F46" s="15" t="s">
        <v>588</v>
      </c>
      <c r="G46" s="6">
        <v>0.84</v>
      </c>
      <c r="H46" s="6">
        <v>0.74</v>
      </c>
      <c r="I46" s="6">
        <v>0.65</v>
      </c>
      <c r="J46" s="6">
        <v>0.99</v>
      </c>
      <c r="K46" s="6">
        <v>0.66</v>
      </c>
      <c r="L46" s="6">
        <v>0.28000000000000003</v>
      </c>
      <c r="M46" s="6">
        <v>0.28999999999999998</v>
      </c>
      <c r="N46" s="6">
        <v>0.36</v>
      </c>
      <c r="O46" s="6">
        <v>0</v>
      </c>
      <c r="P46" s="6">
        <v>0</v>
      </c>
      <c r="Q46" s="6">
        <v>0</v>
      </c>
    </row>
    <row r="47" spans="1:17" hidden="1" x14ac:dyDescent="0.6">
      <c r="A47" s="4" t="s">
        <v>46</v>
      </c>
      <c r="B47" s="4" t="s">
        <v>626</v>
      </c>
      <c r="C47" s="4" t="s">
        <v>627</v>
      </c>
      <c r="D47" s="7" t="s">
        <v>161</v>
      </c>
      <c r="E47" s="7" t="s">
        <v>162</v>
      </c>
      <c r="F47" s="15" t="s">
        <v>588</v>
      </c>
      <c r="G47" s="6">
        <v>0.68</v>
      </c>
      <c r="H47" s="6">
        <v>0.61</v>
      </c>
      <c r="I47" s="6">
        <v>0.97</v>
      </c>
      <c r="J47" s="6">
        <v>0</v>
      </c>
      <c r="K47" s="6">
        <v>1.65</v>
      </c>
      <c r="L47" s="6">
        <v>0.64</v>
      </c>
      <c r="M47" s="6">
        <v>0.6</v>
      </c>
      <c r="N47" s="6">
        <v>0.3</v>
      </c>
      <c r="O47" s="6">
        <v>0</v>
      </c>
      <c r="P47" s="6">
        <v>0</v>
      </c>
      <c r="Q47" s="6">
        <v>0</v>
      </c>
    </row>
    <row r="48" spans="1:17" hidden="1" x14ac:dyDescent="0.6">
      <c r="A48" s="4" t="s">
        <v>46</v>
      </c>
      <c r="B48" s="4" t="s">
        <v>656</v>
      </c>
      <c r="C48" s="4" t="s">
        <v>657</v>
      </c>
      <c r="D48" s="7" t="s">
        <v>159</v>
      </c>
      <c r="E48" s="7" t="s">
        <v>160</v>
      </c>
      <c r="F48" s="15" t="s">
        <v>588</v>
      </c>
      <c r="G48" s="6">
        <v>1.27</v>
      </c>
      <c r="H48" s="6">
        <v>0.76</v>
      </c>
      <c r="I48" s="6">
        <v>0.76</v>
      </c>
      <c r="J48" s="6">
        <v>0.34</v>
      </c>
      <c r="K48" s="6">
        <v>0.33</v>
      </c>
      <c r="L48" s="6">
        <v>0.23</v>
      </c>
      <c r="M48" s="6">
        <v>0.74</v>
      </c>
      <c r="N48" s="6">
        <v>0.36</v>
      </c>
      <c r="O48" s="6">
        <v>0</v>
      </c>
      <c r="P48" s="6">
        <v>0</v>
      </c>
      <c r="Q48" s="6">
        <v>0</v>
      </c>
    </row>
    <row r="49" spans="1:17" hidden="1" x14ac:dyDescent="0.6">
      <c r="A49" s="4" t="s">
        <v>46</v>
      </c>
      <c r="B49" s="4" t="s">
        <v>654</v>
      </c>
      <c r="C49" s="4" t="s">
        <v>655</v>
      </c>
      <c r="D49" s="7" t="s">
        <v>155</v>
      </c>
      <c r="E49" s="7" t="s">
        <v>156</v>
      </c>
      <c r="F49" s="15" t="s">
        <v>588</v>
      </c>
      <c r="G49" s="6">
        <v>1.04</v>
      </c>
      <c r="H49" s="6">
        <v>0.4</v>
      </c>
      <c r="I49" s="6">
        <v>0.69</v>
      </c>
      <c r="J49" s="6">
        <v>0.6</v>
      </c>
      <c r="K49" s="6">
        <v>1.1200000000000001</v>
      </c>
      <c r="L49" s="6">
        <v>0.91</v>
      </c>
      <c r="M49" s="6">
        <v>0.85</v>
      </c>
      <c r="N49" s="6">
        <v>0.76</v>
      </c>
      <c r="O49" s="6">
        <v>0</v>
      </c>
      <c r="P49" s="6">
        <v>0</v>
      </c>
      <c r="Q49" s="6">
        <v>0</v>
      </c>
    </row>
    <row r="50" spans="1:17" hidden="1" x14ac:dyDescent="0.6">
      <c r="A50" s="4" t="s">
        <v>46</v>
      </c>
      <c r="B50" s="4" t="s">
        <v>654</v>
      </c>
      <c r="C50" s="4" t="s">
        <v>655</v>
      </c>
      <c r="D50" s="7" t="s">
        <v>157</v>
      </c>
      <c r="E50" s="7" t="s">
        <v>158</v>
      </c>
      <c r="F50" s="15" t="s">
        <v>588</v>
      </c>
      <c r="G50" s="6">
        <v>0.28000000000000003</v>
      </c>
      <c r="H50" s="6">
        <v>-0.1</v>
      </c>
      <c r="I50" s="6">
        <v>0.18</v>
      </c>
      <c r="J50" s="6">
        <v>0.3</v>
      </c>
      <c r="K50" s="6">
        <v>1.49</v>
      </c>
      <c r="L50" s="6">
        <v>0.72</v>
      </c>
      <c r="M50" s="6">
        <v>0.34</v>
      </c>
      <c r="N50" s="6">
        <v>0.63</v>
      </c>
      <c r="O50" s="6">
        <v>0</v>
      </c>
      <c r="P50" s="6">
        <v>0</v>
      </c>
      <c r="Q50" s="6">
        <v>0</v>
      </c>
    </row>
    <row r="51" spans="1:17" hidden="1" x14ac:dyDescent="0.6">
      <c r="A51" s="4" t="s">
        <v>46</v>
      </c>
      <c r="B51" s="4" t="s">
        <v>654</v>
      </c>
      <c r="C51" s="4" t="s">
        <v>655</v>
      </c>
      <c r="D51" s="7" t="s">
        <v>153</v>
      </c>
      <c r="E51" s="7" t="s">
        <v>154</v>
      </c>
      <c r="F51" s="15" t="s">
        <v>588</v>
      </c>
      <c r="G51" s="6">
        <v>0.88</v>
      </c>
      <c r="H51" s="6">
        <v>1.54</v>
      </c>
      <c r="I51" s="6">
        <v>2.25</v>
      </c>
      <c r="J51" s="6">
        <v>0.85</v>
      </c>
      <c r="K51" s="6">
        <v>0.74</v>
      </c>
      <c r="L51" s="6">
        <v>0.95</v>
      </c>
      <c r="M51" s="6">
        <v>0.98</v>
      </c>
      <c r="N51" s="6">
        <v>1.69</v>
      </c>
      <c r="O51" s="6">
        <v>0</v>
      </c>
      <c r="P51" s="6">
        <v>0</v>
      </c>
      <c r="Q51" s="6">
        <v>0</v>
      </c>
    </row>
    <row r="52" spans="1:17" hidden="1" x14ac:dyDescent="0.6">
      <c r="A52" s="4" t="s">
        <v>46</v>
      </c>
      <c r="B52" s="4" t="s">
        <v>652</v>
      </c>
      <c r="C52" s="4" t="s">
        <v>653</v>
      </c>
      <c r="D52" s="7" t="s">
        <v>149</v>
      </c>
      <c r="E52" s="7" t="s">
        <v>150</v>
      </c>
      <c r="F52" s="15" t="s">
        <v>588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</row>
    <row r="53" spans="1:17" hidden="1" x14ac:dyDescent="0.6">
      <c r="A53" s="4" t="s">
        <v>46</v>
      </c>
      <c r="B53" s="4" t="s">
        <v>652</v>
      </c>
      <c r="C53" s="4" t="s">
        <v>653</v>
      </c>
      <c r="D53" s="7" t="s">
        <v>151</v>
      </c>
      <c r="E53" s="7" t="s">
        <v>152</v>
      </c>
      <c r="F53" s="15" t="s">
        <v>588</v>
      </c>
      <c r="G53" s="6">
        <v>1.25</v>
      </c>
      <c r="H53" s="6">
        <v>1.35</v>
      </c>
      <c r="I53" s="6">
        <v>0.66</v>
      </c>
      <c r="J53" s="6">
        <v>0.31</v>
      </c>
      <c r="K53" s="6">
        <v>1.02</v>
      </c>
      <c r="L53" s="6">
        <v>0.96</v>
      </c>
      <c r="M53" s="6">
        <v>1.1100000000000001</v>
      </c>
      <c r="N53" s="6">
        <v>0.92</v>
      </c>
      <c r="O53" s="6">
        <v>0</v>
      </c>
      <c r="P53" s="6">
        <v>0</v>
      </c>
      <c r="Q53" s="6">
        <v>0</v>
      </c>
    </row>
    <row r="54" spans="1:17" hidden="1" x14ac:dyDescent="0.6">
      <c r="A54" s="4" t="s">
        <v>46</v>
      </c>
      <c r="B54" s="4" t="s">
        <v>652</v>
      </c>
      <c r="C54" s="4" t="s">
        <v>653</v>
      </c>
      <c r="D54" s="7" t="s">
        <v>18</v>
      </c>
      <c r="E54" s="7" t="s">
        <v>887</v>
      </c>
      <c r="F54" s="15" t="s">
        <v>588</v>
      </c>
      <c r="G54" s="6">
        <v>0.61</v>
      </c>
      <c r="H54" s="6">
        <v>0</v>
      </c>
      <c r="I54" s="6">
        <v>1.23</v>
      </c>
      <c r="J54" s="6">
        <v>0.63</v>
      </c>
      <c r="K54" s="6">
        <v>0.24</v>
      </c>
      <c r="L54" s="6">
        <v>0.11</v>
      </c>
      <c r="M54" s="6">
        <v>0.99</v>
      </c>
      <c r="N54" s="6">
        <v>0</v>
      </c>
      <c r="O54" s="6">
        <v>0</v>
      </c>
      <c r="P54" s="6">
        <v>0</v>
      </c>
      <c r="Q54" s="6">
        <v>0</v>
      </c>
    </row>
    <row r="55" spans="1:17" hidden="1" x14ac:dyDescent="0.6">
      <c r="A55" s="4" t="s">
        <v>46</v>
      </c>
      <c r="B55" s="4" t="s">
        <v>652</v>
      </c>
      <c r="C55" s="4" t="s">
        <v>653</v>
      </c>
      <c r="D55" s="7" t="s">
        <v>19</v>
      </c>
      <c r="E55" s="7" t="s">
        <v>20</v>
      </c>
      <c r="F55" s="15" t="s">
        <v>588</v>
      </c>
      <c r="G55" s="6">
        <v>1.46</v>
      </c>
      <c r="H55" s="6">
        <v>1.41</v>
      </c>
      <c r="I55" s="6">
        <v>1.35</v>
      </c>
      <c r="J55" s="6">
        <v>0.47</v>
      </c>
      <c r="K55" s="6">
        <v>1.53</v>
      </c>
      <c r="L55" s="6">
        <v>0.7</v>
      </c>
      <c r="M55" s="6">
        <v>0.75</v>
      </c>
      <c r="N55" s="6">
        <v>1.01</v>
      </c>
      <c r="O55" s="6">
        <v>0</v>
      </c>
      <c r="P55" s="6">
        <v>0</v>
      </c>
      <c r="Q55" s="6">
        <v>0</v>
      </c>
    </row>
    <row r="56" spans="1:17" hidden="1" x14ac:dyDescent="0.6">
      <c r="A56" s="4" t="s">
        <v>46</v>
      </c>
      <c r="B56" s="4" t="s">
        <v>652</v>
      </c>
      <c r="C56" s="4" t="s">
        <v>653</v>
      </c>
      <c r="D56" s="7" t="s">
        <v>21</v>
      </c>
      <c r="E56" s="7" t="s">
        <v>886</v>
      </c>
      <c r="F56" s="15" t="s">
        <v>588</v>
      </c>
      <c r="G56" s="6">
        <v>1.28</v>
      </c>
      <c r="H56" s="6">
        <v>1.35</v>
      </c>
      <c r="I56" s="6">
        <v>0.83</v>
      </c>
      <c r="J56" s="6">
        <v>1.1499999999999999</v>
      </c>
      <c r="K56" s="6">
        <v>0.72</v>
      </c>
      <c r="L56" s="6">
        <v>0.34</v>
      </c>
      <c r="M56" s="6">
        <v>0.77</v>
      </c>
      <c r="N56" s="6">
        <v>1.1000000000000001</v>
      </c>
      <c r="O56" s="6">
        <v>0</v>
      </c>
      <c r="P56" s="6">
        <v>0</v>
      </c>
      <c r="Q56" s="6">
        <v>0</v>
      </c>
    </row>
    <row r="57" spans="1:17" hidden="1" x14ac:dyDescent="0.6">
      <c r="A57" s="4" t="s">
        <v>46</v>
      </c>
      <c r="B57" s="4" t="s">
        <v>640</v>
      </c>
      <c r="C57" s="4" t="s">
        <v>641</v>
      </c>
      <c r="D57" s="7" t="s">
        <v>131</v>
      </c>
      <c r="E57" s="7" t="s">
        <v>132</v>
      </c>
      <c r="F57" s="15" t="s">
        <v>588</v>
      </c>
      <c r="G57" s="6">
        <v>0.68</v>
      </c>
      <c r="H57" s="6">
        <v>0.36</v>
      </c>
      <c r="I57" s="6">
        <v>0.19</v>
      </c>
      <c r="J57" s="6">
        <v>0</v>
      </c>
      <c r="K57" s="6">
        <v>0.66</v>
      </c>
      <c r="L57" s="6">
        <v>0.8</v>
      </c>
      <c r="M57" s="6">
        <v>0.73</v>
      </c>
      <c r="N57" s="6">
        <v>0</v>
      </c>
      <c r="O57" s="6">
        <v>0</v>
      </c>
      <c r="P57" s="6">
        <v>0</v>
      </c>
      <c r="Q57" s="6">
        <v>0</v>
      </c>
    </row>
    <row r="58" spans="1:17" hidden="1" x14ac:dyDescent="0.6">
      <c r="A58" s="4" t="s">
        <v>46</v>
      </c>
      <c r="B58" s="4" t="s">
        <v>640</v>
      </c>
      <c r="C58" s="4" t="s">
        <v>641</v>
      </c>
      <c r="D58" s="7" t="s">
        <v>135</v>
      </c>
      <c r="E58" s="7" t="s">
        <v>902</v>
      </c>
      <c r="F58" s="15" t="s">
        <v>588</v>
      </c>
      <c r="G58" s="6">
        <v>1.01</v>
      </c>
      <c r="H58" s="6">
        <v>0</v>
      </c>
      <c r="I58" s="6">
        <v>0</v>
      </c>
      <c r="J58" s="6">
        <v>0</v>
      </c>
      <c r="K58" s="6">
        <v>0.94</v>
      </c>
      <c r="L58" s="6">
        <v>0.52</v>
      </c>
      <c r="M58" s="6">
        <v>0</v>
      </c>
      <c r="N58" s="6">
        <v>0.71</v>
      </c>
      <c r="O58" s="6">
        <v>0</v>
      </c>
      <c r="P58" s="6">
        <v>0</v>
      </c>
      <c r="Q58" s="6">
        <v>0</v>
      </c>
    </row>
    <row r="59" spans="1:17" hidden="1" x14ac:dyDescent="0.6">
      <c r="A59" s="4" t="s">
        <v>46</v>
      </c>
      <c r="B59" s="4" t="s">
        <v>640</v>
      </c>
      <c r="C59" s="4" t="s">
        <v>641</v>
      </c>
      <c r="D59" s="7" t="s">
        <v>133</v>
      </c>
      <c r="E59" s="7" t="s">
        <v>903</v>
      </c>
      <c r="F59" s="15" t="s">
        <v>588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</row>
    <row r="60" spans="1:17" hidden="1" x14ac:dyDescent="0.6">
      <c r="A60" s="4" t="s">
        <v>46</v>
      </c>
      <c r="B60" s="4" t="s">
        <v>640</v>
      </c>
      <c r="C60" s="4" t="s">
        <v>641</v>
      </c>
      <c r="D60" s="7" t="s">
        <v>137</v>
      </c>
      <c r="E60" s="7" t="s">
        <v>138</v>
      </c>
      <c r="F60" s="15" t="s">
        <v>588</v>
      </c>
      <c r="G60" s="6">
        <v>0.96</v>
      </c>
      <c r="H60" s="6">
        <v>0.61</v>
      </c>
      <c r="I60" s="6">
        <v>0.43</v>
      </c>
      <c r="J60" s="6">
        <v>0.76</v>
      </c>
      <c r="K60" s="6">
        <v>0.51</v>
      </c>
      <c r="L60" s="6">
        <v>0.62</v>
      </c>
      <c r="M60" s="6">
        <v>0.86</v>
      </c>
      <c r="N60" s="6">
        <v>0.89</v>
      </c>
      <c r="O60" s="6">
        <v>0</v>
      </c>
      <c r="P60" s="6">
        <v>0</v>
      </c>
      <c r="Q60" s="6">
        <v>0</v>
      </c>
    </row>
    <row r="61" spans="1:17" hidden="1" x14ac:dyDescent="0.6">
      <c r="A61" s="4" t="s">
        <v>46</v>
      </c>
      <c r="B61" s="4" t="s">
        <v>644</v>
      </c>
      <c r="C61" s="4" t="s">
        <v>645</v>
      </c>
      <c r="D61" s="4" t="s">
        <v>141</v>
      </c>
      <c r="E61" s="4" t="s">
        <v>142</v>
      </c>
      <c r="F61" s="15" t="s">
        <v>588</v>
      </c>
      <c r="G61" s="6">
        <v>0</v>
      </c>
      <c r="H61" s="6">
        <v>0</v>
      </c>
      <c r="I61" s="6">
        <v>0</v>
      </c>
      <c r="J61" s="6">
        <v>0</v>
      </c>
      <c r="K61" s="6">
        <v>0.83</v>
      </c>
      <c r="L61" s="6">
        <v>0</v>
      </c>
      <c r="M61" s="6">
        <v>0</v>
      </c>
      <c r="N61" s="6">
        <v>2.15</v>
      </c>
      <c r="O61" s="6">
        <v>0</v>
      </c>
      <c r="P61" s="6">
        <v>0</v>
      </c>
      <c r="Q61" s="6">
        <v>0</v>
      </c>
    </row>
    <row r="62" spans="1:17" hidden="1" x14ac:dyDescent="0.6">
      <c r="A62" s="4" t="s">
        <v>46</v>
      </c>
      <c r="B62" s="4" t="s">
        <v>648</v>
      </c>
      <c r="C62" s="4" t="s">
        <v>649</v>
      </c>
      <c r="D62" s="7" t="s">
        <v>145</v>
      </c>
      <c r="E62" s="7" t="s">
        <v>146</v>
      </c>
      <c r="F62" s="15" t="s">
        <v>588</v>
      </c>
      <c r="G62" s="6">
        <v>0.21</v>
      </c>
      <c r="H62" s="6">
        <v>1.07</v>
      </c>
      <c r="I62" s="6">
        <v>0</v>
      </c>
      <c r="J62" s="6">
        <v>0</v>
      </c>
      <c r="K62" s="6">
        <v>0</v>
      </c>
      <c r="L62" s="6">
        <v>0.41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</row>
    <row r="63" spans="1:17" hidden="1" x14ac:dyDescent="0.6">
      <c r="A63" s="4" t="s">
        <v>46</v>
      </c>
      <c r="B63" s="4" t="s">
        <v>638</v>
      </c>
      <c r="C63" s="4" t="s">
        <v>639</v>
      </c>
      <c r="D63" s="7" t="s">
        <v>129</v>
      </c>
      <c r="E63" s="7" t="s">
        <v>130</v>
      </c>
      <c r="F63" s="15" t="s">
        <v>588</v>
      </c>
      <c r="G63" s="6">
        <v>0.41</v>
      </c>
      <c r="H63" s="6">
        <v>0.57999999999999996</v>
      </c>
      <c r="I63" s="6">
        <v>1.25</v>
      </c>
      <c r="J63" s="6">
        <v>0.38</v>
      </c>
      <c r="K63" s="6">
        <v>0.13</v>
      </c>
      <c r="L63" s="6">
        <v>0</v>
      </c>
      <c r="M63" s="6">
        <v>0.87</v>
      </c>
      <c r="N63" s="6">
        <v>0</v>
      </c>
      <c r="O63" s="6">
        <v>0</v>
      </c>
      <c r="P63" s="6">
        <v>0</v>
      </c>
      <c r="Q63" s="6">
        <v>0</v>
      </c>
    </row>
    <row r="64" spans="1:17" hidden="1" x14ac:dyDescent="0.6">
      <c r="A64" s="4" t="s">
        <v>46</v>
      </c>
      <c r="B64" s="4" t="s">
        <v>642</v>
      </c>
      <c r="C64" s="4" t="s">
        <v>643</v>
      </c>
      <c r="D64" s="7" t="s">
        <v>139</v>
      </c>
      <c r="E64" s="7" t="s">
        <v>140</v>
      </c>
      <c r="F64" s="15" t="s">
        <v>588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</row>
    <row r="65" spans="1:17" hidden="1" x14ac:dyDescent="0.6">
      <c r="A65" s="4" t="s">
        <v>46</v>
      </c>
      <c r="B65" s="4" t="s">
        <v>646</v>
      </c>
      <c r="C65" s="4" t="s">
        <v>647</v>
      </c>
      <c r="D65" s="10" t="s">
        <v>143</v>
      </c>
      <c r="E65" s="10" t="s">
        <v>144</v>
      </c>
      <c r="F65" s="16" t="s">
        <v>588</v>
      </c>
      <c r="G65" s="6">
        <v>1.03</v>
      </c>
      <c r="H65" s="6">
        <v>0.62</v>
      </c>
      <c r="I65" s="6">
        <v>0.46</v>
      </c>
      <c r="J65" s="6">
        <v>0.63</v>
      </c>
      <c r="K65" s="6">
        <v>0.81</v>
      </c>
      <c r="L65" s="6">
        <v>0.37</v>
      </c>
      <c r="M65" s="6">
        <v>0</v>
      </c>
      <c r="N65" s="6">
        <v>0.09</v>
      </c>
      <c r="O65" s="6">
        <v>0</v>
      </c>
      <c r="P65" s="6">
        <v>0</v>
      </c>
      <c r="Q65" s="6">
        <v>0</v>
      </c>
    </row>
    <row r="66" spans="1:17" hidden="1" x14ac:dyDescent="0.6">
      <c r="A66" s="4" t="s">
        <v>46</v>
      </c>
      <c r="B66" s="4" t="s">
        <v>650</v>
      </c>
      <c r="C66" s="4" t="s">
        <v>651</v>
      </c>
      <c r="D66" s="7" t="s">
        <v>147</v>
      </c>
      <c r="E66" s="7" t="s">
        <v>148</v>
      </c>
      <c r="F66" s="15" t="s">
        <v>588</v>
      </c>
      <c r="G66" s="6">
        <v>1.03</v>
      </c>
      <c r="H66" s="6">
        <v>1.1399999999999999</v>
      </c>
      <c r="I66" s="6">
        <v>0.91</v>
      </c>
      <c r="J66" s="6">
        <v>0.37</v>
      </c>
      <c r="K66" s="6">
        <v>0.55000000000000004</v>
      </c>
      <c r="L66" s="6">
        <v>0.8</v>
      </c>
      <c r="M66" s="6">
        <v>0.55000000000000004</v>
      </c>
      <c r="N66" s="6">
        <v>0.46</v>
      </c>
      <c r="O66" s="6">
        <v>0</v>
      </c>
      <c r="P66" s="6">
        <v>0</v>
      </c>
      <c r="Q66" s="6">
        <v>0</v>
      </c>
    </row>
    <row r="67" spans="1:17" hidden="1" x14ac:dyDescent="0.6">
      <c r="A67" s="4" t="s">
        <v>47</v>
      </c>
      <c r="B67" s="4" t="s">
        <v>678</v>
      </c>
      <c r="C67" s="4" t="s">
        <v>679</v>
      </c>
      <c r="D67" s="7" t="s">
        <v>187</v>
      </c>
      <c r="E67" s="7" t="s">
        <v>188</v>
      </c>
      <c r="F67" s="15" t="s">
        <v>588</v>
      </c>
      <c r="G67" s="6">
        <v>1.83</v>
      </c>
      <c r="H67" s="6">
        <v>1.41</v>
      </c>
      <c r="I67" s="6">
        <v>1.34</v>
      </c>
      <c r="J67" s="6">
        <v>0</v>
      </c>
      <c r="K67" s="6">
        <v>0.97</v>
      </c>
      <c r="L67" s="6">
        <v>0.8</v>
      </c>
      <c r="M67" s="6">
        <v>0.95</v>
      </c>
      <c r="N67" s="6">
        <v>1.02</v>
      </c>
      <c r="O67" s="6">
        <v>0</v>
      </c>
      <c r="P67" s="6">
        <v>0</v>
      </c>
      <c r="Q67" s="6">
        <v>0</v>
      </c>
    </row>
    <row r="68" spans="1:17" hidden="1" x14ac:dyDescent="0.6">
      <c r="A68" s="4" t="s">
        <v>47</v>
      </c>
      <c r="B68" s="4" t="s">
        <v>678</v>
      </c>
      <c r="C68" s="4" t="s">
        <v>679</v>
      </c>
      <c r="D68" s="7" t="s">
        <v>189</v>
      </c>
      <c r="E68" s="7" t="s">
        <v>190</v>
      </c>
      <c r="F68" s="15" t="s">
        <v>588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0.91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</row>
    <row r="69" spans="1:17" hidden="1" x14ac:dyDescent="0.6">
      <c r="A69" s="4" t="s">
        <v>47</v>
      </c>
      <c r="B69" s="4" t="s">
        <v>678</v>
      </c>
      <c r="C69" s="4" t="s">
        <v>679</v>
      </c>
      <c r="D69" s="7" t="s">
        <v>191</v>
      </c>
      <c r="E69" s="7" t="s">
        <v>192</v>
      </c>
      <c r="F69" s="15" t="s">
        <v>588</v>
      </c>
      <c r="G69" s="6">
        <v>1.61</v>
      </c>
      <c r="H69" s="6">
        <v>1.71</v>
      </c>
      <c r="I69" s="6">
        <v>1.83</v>
      </c>
      <c r="J69" s="6">
        <v>1.89</v>
      </c>
      <c r="K69" s="6">
        <v>0.87</v>
      </c>
      <c r="L69" s="6">
        <v>0.81</v>
      </c>
      <c r="M69" s="6">
        <v>0.88</v>
      </c>
      <c r="N69" s="6">
        <v>0.93</v>
      </c>
      <c r="O69" s="6">
        <v>0</v>
      </c>
      <c r="P69" s="6">
        <v>0</v>
      </c>
      <c r="Q69" s="6">
        <v>0</v>
      </c>
    </row>
    <row r="70" spans="1:17" hidden="1" x14ac:dyDescent="0.6">
      <c r="A70" s="4" t="s">
        <v>47</v>
      </c>
      <c r="B70" s="4" t="s">
        <v>688</v>
      </c>
      <c r="C70" s="4" t="s">
        <v>689</v>
      </c>
      <c r="D70" s="10" t="s">
        <v>203</v>
      </c>
      <c r="E70" s="10" t="s">
        <v>204</v>
      </c>
      <c r="F70" s="16" t="s">
        <v>588</v>
      </c>
      <c r="G70" s="6">
        <v>1.3</v>
      </c>
      <c r="H70" s="6">
        <v>2.2000000000000002</v>
      </c>
      <c r="I70" s="6">
        <v>1.55</v>
      </c>
      <c r="J70" s="6">
        <v>0.31</v>
      </c>
      <c r="K70" s="6">
        <v>0.99</v>
      </c>
      <c r="L70" s="6">
        <v>1.35</v>
      </c>
      <c r="M70" s="6">
        <v>1.06</v>
      </c>
      <c r="N70" s="6">
        <v>1.29</v>
      </c>
      <c r="O70" s="6">
        <v>0</v>
      </c>
      <c r="P70" s="6">
        <v>0</v>
      </c>
      <c r="Q70" s="6">
        <v>0</v>
      </c>
    </row>
    <row r="71" spans="1:17" hidden="1" x14ac:dyDescent="0.6">
      <c r="A71" s="4" t="s">
        <v>47</v>
      </c>
      <c r="B71" s="4" t="s">
        <v>682</v>
      </c>
      <c r="C71" s="4" t="s">
        <v>683</v>
      </c>
      <c r="D71" s="10" t="s">
        <v>195</v>
      </c>
      <c r="E71" s="10" t="s">
        <v>196</v>
      </c>
      <c r="F71" s="16" t="s">
        <v>588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6.44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</row>
    <row r="72" spans="1:17" hidden="1" x14ac:dyDescent="0.6">
      <c r="A72" s="4" t="s">
        <v>47</v>
      </c>
      <c r="B72" s="4" t="s">
        <v>680</v>
      </c>
      <c r="C72" s="4" t="s">
        <v>681</v>
      </c>
      <c r="D72" s="10" t="s">
        <v>193</v>
      </c>
      <c r="E72" s="10" t="s">
        <v>194</v>
      </c>
      <c r="F72" s="16" t="s">
        <v>588</v>
      </c>
      <c r="G72" s="6">
        <v>1.3</v>
      </c>
      <c r="H72" s="6">
        <v>1.1499999999999999</v>
      </c>
      <c r="I72" s="6">
        <v>0.66</v>
      </c>
      <c r="J72" s="6">
        <v>1.4</v>
      </c>
      <c r="K72" s="6">
        <v>1.0900000000000001</v>
      </c>
      <c r="L72" s="6">
        <v>1.26</v>
      </c>
      <c r="M72" s="6">
        <v>1.04</v>
      </c>
      <c r="N72" s="6">
        <v>0.93</v>
      </c>
      <c r="O72" s="6">
        <v>0</v>
      </c>
      <c r="P72" s="6">
        <v>0</v>
      </c>
      <c r="Q72" s="6">
        <v>0</v>
      </c>
    </row>
    <row r="73" spans="1:17" hidden="1" x14ac:dyDescent="0.6">
      <c r="A73" s="4" t="s">
        <v>47</v>
      </c>
      <c r="B73" s="4" t="s">
        <v>684</v>
      </c>
      <c r="C73" s="4" t="s">
        <v>685</v>
      </c>
      <c r="D73" s="10" t="s">
        <v>197</v>
      </c>
      <c r="E73" s="10" t="s">
        <v>198</v>
      </c>
      <c r="F73" s="16" t="s">
        <v>588</v>
      </c>
      <c r="G73" s="6">
        <v>1.33</v>
      </c>
      <c r="H73" s="6">
        <v>0.96</v>
      </c>
      <c r="I73" s="6">
        <v>0.68</v>
      </c>
      <c r="J73" s="6">
        <v>1.43</v>
      </c>
      <c r="K73" s="6">
        <v>1.63</v>
      </c>
      <c r="L73" s="6">
        <v>1.81</v>
      </c>
      <c r="M73" s="6">
        <v>1.25</v>
      </c>
      <c r="N73" s="6">
        <v>1.1200000000000001</v>
      </c>
      <c r="O73" s="6">
        <v>0</v>
      </c>
      <c r="P73" s="6">
        <v>0</v>
      </c>
      <c r="Q73" s="6">
        <v>0</v>
      </c>
    </row>
    <row r="74" spans="1:17" hidden="1" x14ac:dyDescent="0.6">
      <c r="A74" s="4" t="s">
        <v>47</v>
      </c>
      <c r="B74" s="4" t="s">
        <v>684</v>
      </c>
      <c r="C74" s="4" t="s">
        <v>685</v>
      </c>
      <c r="D74" s="7" t="s">
        <v>199</v>
      </c>
      <c r="E74" s="7" t="s">
        <v>200</v>
      </c>
      <c r="F74" s="15" t="s">
        <v>588</v>
      </c>
      <c r="G74" s="6">
        <v>0</v>
      </c>
      <c r="H74" s="6">
        <v>1.53</v>
      </c>
      <c r="I74" s="6">
        <v>0.75</v>
      </c>
      <c r="J74" s="6">
        <v>0.94</v>
      </c>
      <c r="K74" s="6">
        <v>1.1100000000000001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</row>
    <row r="75" spans="1:17" hidden="1" x14ac:dyDescent="0.6">
      <c r="A75" s="4" t="s">
        <v>47</v>
      </c>
      <c r="B75" s="4" t="s">
        <v>736</v>
      </c>
      <c r="C75" s="4" t="s">
        <v>737</v>
      </c>
      <c r="D75" s="11" t="s">
        <v>291</v>
      </c>
      <c r="E75" s="10" t="s">
        <v>292</v>
      </c>
      <c r="F75" s="16" t="s">
        <v>588</v>
      </c>
      <c r="G75" s="6">
        <v>1.27</v>
      </c>
      <c r="H75" s="6">
        <v>0.85</v>
      </c>
      <c r="I75" s="6">
        <v>0.81</v>
      </c>
      <c r="J75" s="6">
        <v>0.68</v>
      </c>
      <c r="K75" s="6">
        <v>0.48</v>
      </c>
      <c r="L75" s="6">
        <v>0.42</v>
      </c>
      <c r="M75" s="6">
        <v>0.86</v>
      </c>
      <c r="N75" s="6">
        <v>0.75</v>
      </c>
      <c r="O75" s="6">
        <v>0</v>
      </c>
      <c r="P75" s="6">
        <v>0</v>
      </c>
      <c r="Q75" s="6">
        <v>0</v>
      </c>
    </row>
    <row r="76" spans="1:17" hidden="1" x14ac:dyDescent="0.6">
      <c r="A76" s="4" t="s">
        <v>47</v>
      </c>
      <c r="B76" s="4" t="s">
        <v>736</v>
      </c>
      <c r="C76" s="4" t="s">
        <v>737</v>
      </c>
      <c r="D76" s="7" t="s">
        <v>293</v>
      </c>
      <c r="E76" s="7" t="s">
        <v>294</v>
      </c>
      <c r="F76" s="15" t="s">
        <v>588</v>
      </c>
      <c r="G76" s="6">
        <v>0.77</v>
      </c>
      <c r="H76" s="6">
        <v>1.99</v>
      </c>
      <c r="I76" s="6">
        <v>1.35</v>
      </c>
      <c r="J76" s="6">
        <v>0.5</v>
      </c>
      <c r="K76" s="6">
        <v>0.83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</row>
    <row r="77" spans="1:17" hidden="1" x14ac:dyDescent="0.6">
      <c r="A77" s="4" t="s">
        <v>47</v>
      </c>
      <c r="B77" s="4" t="s">
        <v>736</v>
      </c>
      <c r="C77" s="4" t="s">
        <v>737</v>
      </c>
      <c r="D77" s="7" t="s">
        <v>4</v>
      </c>
      <c r="E77" s="7" t="s">
        <v>5</v>
      </c>
      <c r="F77" s="15" t="s">
        <v>588</v>
      </c>
      <c r="G77" s="6">
        <v>0.76</v>
      </c>
      <c r="H77" s="6">
        <v>1.02</v>
      </c>
      <c r="I77" s="6">
        <v>1.41</v>
      </c>
      <c r="J77" s="6">
        <v>0</v>
      </c>
      <c r="K77" s="6">
        <v>0.89</v>
      </c>
      <c r="L77" s="6">
        <v>0.49</v>
      </c>
      <c r="M77" s="6">
        <v>0.57999999999999996</v>
      </c>
      <c r="N77" s="6">
        <v>0.86</v>
      </c>
      <c r="O77" s="6">
        <v>0</v>
      </c>
      <c r="P77" s="6">
        <v>0</v>
      </c>
      <c r="Q77" s="6">
        <v>0</v>
      </c>
    </row>
    <row r="78" spans="1:17" hidden="1" x14ac:dyDescent="0.6">
      <c r="A78" s="4" t="s">
        <v>47</v>
      </c>
      <c r="B78" s="4" t="s">
        <v>736</v>
      </c>
      <c r="C78" s="4" t="s">
        <v>737</v>
      </c>
      <c r="D78" s="7" t="s">
        <v>2</v>
      </c>
      <c r="E78" s="7" t="s">
        <v>3</v>
      </c>
      <c r="F78" s="15" t="s">
        <v>588</v>
      </c>
      <c r="G78" s="6">
        <v>1.02</v>
      </c>
      <c r="H78" s="6">
        <v>1.05</v>
      </c>
      <c r="I78" s="6">
        <v>1.43</v>
      </c>
      <c r="J78" s="6">
        <v>2</v>
      </c>
      <c r="K78" s="6">
        <v>1.6</v>
      </c>
      <c r="L78" s="6">
        <v>2.16</v>
      </c>
      <c r="M78" s="6">
        <v>2.0099999999999998</v>
      </c>
      <c r="N78" s="6">
        <v>2.04</v>
      </c>
      <c r="O78" s="6">
        <v>0</v>
      </c>
      <c r="P78" s="6">
        <v>0</v>
      </c>
      <c r="Q78" s="6">
        <v>0</v>
      </c>
    </row>
    <row r="79" spans="1:17" hidden="1" x14ac:dyDescent="0.6">
      <c r="A79" s="4" t="s">
        <v>47</v>
      </c>
      <c r="B79" s="4" t="s">
        <v>736</v>
      </c>
      <c r="C79" s="4" t="s">
        <v>737</v>
      </c>
      <c r="D79" s="7" t="s">
        <v>6</v>
      </c>
      <c r="E79" s="7" t="s">
        <v>7</v>
      </c>
      <c r="F79" s="15" t="s">
        <v>588</v>
      </c>
      <c r="G79" s="6">
        <v>0</v>
      </c>
      <c r="H79" s="6">
        <v>0.82</v>
      </c>
      <c r="I79" s="6">
        <v>5.0999999999999996</v>
      </c>
      <c r="J79" s="6">
        <v>0</v>
      </c>
      <c r="K79" s="6">
        <v>10.24</v>
      </c>
      <c r="L79" s="6">
        <v>1.92</v>
      </c>
      <c r="M79" s="6">
        <v>1.88</v>
      </c>
      <c r="N79" s="6">
        <v>3.04</v>
      </c>
      <c r="O79" s="6">
        <v>0</v>
      </c>
      <c r="P79" s="6">
        <v>0</v>
      </c>
      <c r="Q79" s="6">
        <v>0</v>
      </c>
    </row>
    <row r="80" spans="1:17" hidden="1" x14ac:dyDescent="0.6">
      <c r="A80" s="4" t="s">
        <v>47</v>
      </c>
      <c r="B80" s="4" t="s">
        <v>736</v>
      </c>
      <c r="C80" s="4" t="s">
        <v>737</v>
      </c>
      <c r="D80" s="7" t="s">
        <v>295</v>
      </c>
      <c r="E80" s="7" t="s">
        <v>296</v>
      </c>
      <c r="F80" s="15" t="s">
        <v>588</v>
      </c>
      <c r="G80" s="6">
        <v>0.52</v>
      </c>
      <c r="H80" s="6">
        <v>0.75</v>
      </c>
      <c r="I80" s="6">
        <v>0</v>
      </c>
      <c r="J80" s="6">
        <v>0</v>
      </c>
      <c r="K80" s="6">
        <v>15.1</v>
      </c>
      <c r="L80" s="6">
        <v>2.12</v>
      </c>
      <c r="M80" s="6">
        <v>1.81</v>
      </c>
      <c r="N80" s="6">
        <v>2.36</v>
      </c>
      <c r="O80" s="6">
        <v>0</v>
      </c>
      <c r="P80" s="6">
        <v>0</v>
      </c>
      <c r="Q80" s="6">
        <v>0</v>
      </c>
    </row>
    <row r="81" spans="1:17" hidden="1" x14ac:dyDescent="0.6">
      <c r="A81" s="4" t="s">
        <v>47</v>
      </c>
      <c r="B81" s="4" t="s">
        <v>738</v>
      </c>
      <c r="C81" s="4" t="s">
        <v>739</v>
      </c>
      <c r="D81" s="7" t="s">
        <v>297</v>
      </c>
      <c r="E81" s="7" t="s">
        <v>298</v>
      </c>
      <c r="F81" s="15" t="s">
        <v>588</v>
      </c>
      <c r="G81" s="6">
        <v>0.64</v>
      </c>
      <c r="H81" s="6">
        <v>1.1399999999999999</v>
      </c>
      <c r="I81" s="6">
        <v>0.28999999999999998</v>
      </c>
      <c r="J81" s="6">
        <v>0.75</v>
      </c>
      <c r="K81" s="6">
        <v>0.57999999999999996</v>
      </c>
      <c r="L81" s="6">
        <v>0.86</v>
      </c>
      <c r="M81" s="6">
        <v>1.22</v>
      </c>
      <c r="N81" s="6">
        <v>1.31</v>
      </c>
      <c r="O81" s="6">
        <v>0</v>
      </c>
      <c r="P81" s="6">
        <v>0</v>
      </c>
      <c r="Q81" s="6">
        <v>0</v>
      </c>
    </row>
    <row r="82" spans="1:17" hidden="1" x14ac:dyDescent="0.6">
      <c r="A82" s="4" t="s">
        <v>47</v>
      </c>
      <c r="B82" s="4" t="s">
        <v>734</v>
      </c>
      <c r="C82" s="4" t="s">
        <v>735</v>
      </c>
      <c r="D82" s="7" t="s">
        <v>285</v>
      </c>
      <c r="E82" s="7" t="s">
        <v>286</v>
      </c>
      <c r="F82" s="15" t="s">
        <v>588</v>
      </c>
      <c r="G82" s="6">
        <v>2.21</v>
      </c>
      <c r="H82" s="6">
        <v>1.17</v>
      </c>
      <c r="I82" s="6">
        <v>1.73</v>
      </c>
      <c r="J82" s="6">
        <v>0</v>
      </c>
      <c r="K82" s="6">
        <v>1.65</v>
      </c>
      <c r="L82" s="6">
        <v>0</v>
      </c>
      <c r="M82" s="6">
        <v>0.78</v>
      </c>
      <c r="N82" s="6">
        <v>1.35</v>
      </c>
      <c r="O82" s="6">
        <v>0</v>
      </c>
      <c r="P82" s="6">
        <v>0</v>
      </c>
      <c r="Q82" s="6">
        <v>0</v>
      </c>
    </row>
    <row r="83" spans="1:17" hidden="1" x14ac:dyDescent="0.6">
      <c r="A83" s="4" t="s">
        <v>47</v>
      </c>
      <c r="B83" s="4" t="s">
        <v>734</v>
      </c>
      <c r="C83" s="4" t="s">
        <v>735</v>
      </c>
      <c r="D83" s="7" t="s">
        <v>289</v>
      </c>
      <c r="E83" s="7" t="s">
        <v>290</v>
      </c>
      <c r="F83" s="15" t="s">
        <v>588</v>
      </c>
      <c r="G83" s="6">
        <v>1.8</v>
      </c>
      <c r="H83" s="6">
        <v>1.45</v>
      </c>
      <c r="I83" s="6">
        <v>0</v>
      </c>
      <c r="J83" s="6">
        <v>2.82</v>
      </c>
      <c r="K83" s="6">
        <v>2.52</v>
      </c>
      <c r="L83" s="6">
        <v>3.09</v>
      </c>
      <c r="M83" s="6">
        <v>2.89</v>
      </c>
      <c r="N83" s="6">
        <v>1.42</v>
      </c>
      <c r="O83" s="6">
        <v>0</v>
      </c>
      <c r="P83" s="6">
        <v>0</v>
      </c>
      <c r="Q83" s="6">
        <v>0</v>
      </c>
    </row>
    <row r="84" spans="1:17" hidden="1" x14ac:dyDescent="0.6">
      <c r="A84" s="4" t="s">
        <v>47</v>
      </c>
      <c r="B84" s="4" t="s">
        <v>734</v>
      </c>
      <c r="C84" s="4" t="s">
        <v>735</v>
      </c>
      <c r="D84" s="7" t="s">
        <v>287</v>
      </c>
      <c r="E84" s="7" t="s">
        <v>288</v>
      </c>
      <c r="F84" s="15" t="s">
        <v>588</v>
      </c>
      <c r="G84" s="6">
        <v>5.64</v>
      </c>
      <c r="H84" s="6">
        <v>8.49</v>
      </c>
      <c r="I84" s="6">
        <v>8.6</v>
      </c>
      <c r="J84" s="6">
        <v>9.76</v>
      </c>
      <c r="K84" s="6">
        <v>9.23</v>
      </c>
      <c r="L84" s="6">
        <v>12.6</v>
      </c>
      <c r="M84" s="6">
        <v>11.81</v>
      </c>
      <c r="N84" s="6">
        <v>5.32</v>
      </c>
      <c r="O84" s="6">
        <v>0</v>
      </c>
      <c r="P84" s="6">
        <v>0</v>
      </c>
      <c r="Q84" s="6">
        <v>0</v>
      </c>
    </row>
    <row r="85" spans="1:17" hidden="1" x14ac:dyDescent="0.6">
      <c r="A85" s="4" t="s">
        <v>47</v>
      </c>
      <c r="B85" s="4" t="s">
        <v>698</v>
      </c>
      <c r="C85" s="4" t="s">
        <v>699</v>
      </c>
      <c r="D85" s="7" t="s">
        <v>213</v>
      </c>
      <c r="E85" s="7" t="s">
        <v>214</v>
      </c>
      <c r="F85" s="15" t="s">
        <v>588</v>
      </c>
      <c r="G85" s="6">
        <v>4.49</v>
      </c>
      <c r="H85" s="6">
        <v>4.4800000000000004</v>
      </c>
      <c r="I85" s="6">
        <v>4.45</v>
      </c>
      <c r="J85" s="6">
        <v>11.65</v>
      </c>
      <c r="K85" s="6">
        <v>2.84</v>
      </c>
      <c r="L85" s="6">
        <v>7.33</v>
      </c>
      <c r="M85" s="6">
        <v>3.78</v>
      </c>
      <c r="N85" s="6">
        <v>6.79</v>
      </c>
      <c r="O85" s="6">
        <v>0</v>
      </c>
      <c r="P85" s="6">
        <v>0</v>
      </c>
      <c r="Q85" s="6">
        <v>0</v>
      </c>
    </row>
    <row r="86" spans="1:17" hidden="1" x14ac:dyDescent="0.6">
      <c r="A86" s="4" t="s">
        <v>47</v>
      </c>
      <c r="B86" s="4" t="s">
        <v>712</v>
      </c>
      <c r="C86" s="4" t="s">
        <v>713</v>
      </c>
      <c r="D86" s="7" t="s">
        <v>227</v>
      </c>
      <c r="E86" s="7" t="s">
        <v>228</v>
      </c>
      <c r="F86" s="15" t="s">
        <v>588</v>
      </c>
      <c r="G86" s="6">
        <v>0</v>
      </c>
      <c r="H86" s="6">
        <v>0</v>
      </c>
      <c r="I86" s="6">
        <v>0</v>
      </c>
      <c r="J86" s="6">
        <v>0.94</v>
      </c>
      <c r="K86" s="6">
        <v>0.67</v>
      </c>
      <c r="L86" s="6">
        <v>0.83</v>
      </c>
      <c r="M86" s="6">
        <v>1.24</v>
      </c>
      <c r="N86" s="6">
        <v>0.65</v>
      </c>
      <c r="O86" s="6">
        <v>0</v>
      </c>
      <c r="P86" s="6">
        <v>0</v>
      </c>
      <c r="Q86" s="6">
        <v>0</v>
      </c>
    </row>
    <row r="87" spans="1:17" hidden="1" x14ac:dyDescent="0.6">
      <c r="A87" s="4" t="s">
        <v>47</v>
      </c>
      <c r="B87" s="4" t="s">
        <v>702</v>
      </c>
      <c r="C87" s="4" t="s">
        <v>703</v>
      </c>
      <c r="D87" s="7" t="s">
        <v>217</v>
      </c>
      <c r="E87" s="7" t="s">
        <v>218</v>
      </c>
      <c r="F87" s="15" t="s">
        <v>588</v>
      </c>
      <c r="G87" s="6">
        <v>0.83</v>
      </c>
      <c r="H87" s="6">
        <v>0.85</v>
      </c>
      <c r="I87" s="6">
        <v>0</v>
      </c>
      <c r="J87" s="6">
        <v>1.76</v>
      </c>
      <c r="K87" s="6">
        <v>0.76</v>
      </c>
      <c r="L87" s="6">
        <v>0.61</v>
      </c>
      <c r="M87" s="6">
        <v>0.82</v>
      </c>
      <c r="N87" s="6">
        <v>1.08</v>
      </c>
      <c r="O87" s="6">
        <v>0</v>
      </c>
      <c r="P87" s="6">
        <v>0</v>
      </c>
      <c r="Q87" s="6">
        <v>0</v>
      </c>
    </row>
    <row r="88" spans="1:17" hidden="1" x14ac:dyDescent="0.6">
      <c r="A88" s="4" t="s">
        <v>47</v>
      </c>
      <c r="B88" s="4" t="s">
        <v>722</v>
      </c>
      <c r="C88" s="4" t="s">
        <v>723</v>
      </c>
      <c r="D88" s="7" t="s">
        <v>257</v>
      </c>
      <c r="E88" s="7" t="s">
        <v>258</v>
      </c>
      <c r="F88" s="15" t="s">
        <v>588</v>
      </c>
      <c r="G88" s="6">
        <v>1.35</v>
      </c>
      <c r="H88" s="6">
        <v>0.62</v>
      </c>
      <c r="I88" s="6">
        <v>0.82</v>
      </c>
      <c r="J88" s="6">
        <v>0.74</v>
      </c>
      <c r="K88" s="6">
        <v>1.0900000000000001</v>
      </c>
      <c r="L88" s="6">
        <v>0.62</v>
      </c>
      <c r="M88" s="6">
        <v>0.6</v>
      </c>
      <c r="N88" s="6">
        <v>0.75</v>
      </c>
      <c r="O88" s="6">
        <v>0</v>
      </c>
      <c r="P88" s="6">
        <v>0</v>
      </c>
      <c r="Q88" s="6">
        <v>0</v>
      </c>
    </row>
    <row r="89" spans="1:17" hidden="1" x14ac:dyDescent="0.6">
      <c r="A89" s="4" t="s">
        <v>47</v>
      </c>
      <c r="B89" s="4" t="s">
        <v>674</v>
      </c>
      <c r="C89" s="4" t="s">
        <v>675</v>
      </c>
      <c r="D89" s="10" t="s">
        <v>181</v>
      </c>
      <c r="E89" s="10" t="s">
        <v>182</v>
      </c>
      <c r="F89" s="16" t="s">
        <v>588</v>
      </c>
      <c r="G89" s="6">
        <v>1.03</v>
      </c>
      <c r="H89" s="6">
        <v>0.14000000000000001</v>
      </c>
      <c r="I89" s="6">
        <v>0.95</v>
      </c>
      <c r="J89" s="6">
        <v>0.97</v>
      </c>
      <c r="K89" s="6">
        <v>0.77</v>
      </c>
      <c r="L89" s="6">
        <v>0.82</v>
      </c>
      <c r="M89" s="6">
        <v>0.79</v>
      </c>
      <c r="N89" s="6">
        <v>0.88</v>
      </c>
      <c r="O89" s="6">
        <v>0</v>
      </c>
      <c r="P89" s="6">
        <v>0</v>
      </c>
      <c r="Q89" s="6">
        <v>0</v>
      </c>
    </row>
    <row r="90" spans="1:17" hidden="1" x14ac:dyDescent="0.6">
      <c r="A90" s="4" t="s">
        <v>47</v>
      </c>
      <c r="B90" s="4" t="s">
        <v>662</v>
      </c>
      <c r="C90" s="4" t="s">
        <v>663</v>
      </c>
      <c r="D90" s="10" t="s">
        <v>169</v>
      </c>
      <c r="E90" s="10" t="s">
        <v>170</v>
      </c>
      <c r="F90" s="16" t="s">
        <v>588</v>
      </c>
      <c r="G90" s="6">
        <v>0</v>
      </c>
      <c r="H90" s="6">
        <v>0.93</v>
      </c>
      <c r="I90" s="6">
        <v>0.96</v>
      </c>
      <c r="J90" s="6">
        <v>1.06</v>
      </c>
      <c r="K90" s="6">
        <v>2.16</v>
      </c>
      <c r="L90" s="6">
        <v>1.75</v>
      </c>
      <c r="M90" s="6">
        <v>1.1200000000000001</v>
      </c>
      <c r="N90" s="6">
        <v>0.89</v>
      </c>
      <c r="O90" s="6">
        <v>0</v>
      </c>
      <c r="P90" s="6">
        <v>0</v>
      </c>
      <c r="Q90" s="6">
        <v>0</v>
      </c>
    </row>
    <row r="91" spans="1:17" hidden="1" x14ac:dyDescent="0.6">
      <c r="A91" s="4" t="s">
        <v>47</v>
      </c>
      <c r="B91" s="4" t="s">
        <v>726</v>
      </c>
      <c r="C91" s="4" t="s">
        <v>727</v>
      </c>
      <c r="D91" s="7" t="s">
        <v>269</v>
      </c>
      <c r="E91" s="7" t="s">
        <v>270</v>
      </c>
      <c r="F91" s="15" t="s">
        <v>588</v>
      </c>
      <c r="G91" s="6">
        <v>0.69</v>
      </c>
      <c r="H91" s="6">
        <v>0.61</v>
      </c>
      <c r="I91" s="6">
        <v>1.43</v>
      </c>
      <c r="J91" s="6">
        <v>1.46</v>
      </c>
      <c r="K91" s="6">
        <v>1.27</v>
      </c>
      <c r="L91" s="6">
        <v>0.74</v>
      </c>
      <c r="M91" s="6">
        <v>0.77</v>
      </c>
      <c r="N91" s="6">
        <v>0.73</v>
      </c>
      <c r="O91" s="6">
        <v>0</v>
      </c>
      <c r="P91" s="6">
        <v>0</v>
      </c>
      <c r="Q91" s="6">
        <v>0</v>
      </c>
    </row>
    <row r="92" spans="1:17" hidden="1" x14ac:dyDescent="0.6">
      <c r="A92" s="4" t="s">
        <v>47</v>
      </c>
      <c r="B92" s="4" t="s">
        <v>660</v>
      </c>
      <c r="C92" s="4" t="s">
        <v>661</v>
      </c>
      <c r="D92" s="7" t="s">
        <v>167</v>
      </c>
      <c r="E92" s="7" t="s">
        <v>168</v>
      </c>
      <c r="F92" s="15" t="s">
        <v>588</v>
      </c>
      <c r="G92" s="6">
        <v>0.6</v>
      </c>
      <c r="H92" s="6">
        <v>0.57999999999999996</v>
      </c>
      <c r="I92" s="6">
        <v>0.57999999999999996</v>
      </c>
      <c r="J92" s="6">
        <v>0.61</v>
      </c>
      <c r="K92" s="6">
        <v>0.78</v>
      </c>
      <c r="L92" s="6">
        <v>0.78</v>
      </c>
      <c r="M92" s="6">
        <v>0.67</v>
      </c>
      <c r="N92" s="6">
        <v>0.88</v>
      </c>
      <c r="O92" s="6">
        <v>0</v>
      </c>
      <c r="P92" s="6">
        <v>0</v>
      </c>
      <c r="Q92" s="6">
        <v>0</v>
      </c>
    </row>
    <row r="93" spans="1:17" hidden="1" x14ac:dyDescent="0.6">
      <c r="A93" s="4" t="s">
        <v>47</v>
      </c>
      <c r="B93" s="4" t="s">
        <v>658</v>
      </c>
      <c r="C93" s="4" t="s">
        <v>659</v>
      </c>
      <c r="D93" s="10" t="s">
        <v>163</v>
      </c>
      <c r="E93" s="10" t="s">
        <v>164</v>
      </c>
      <c r="F93" s="16" t="s">
        <v>588</v>
      </c>
      <c r="G93" s="6">
        <v>0.91</v>
      </c>
      <c r="H93" s="6">
        <v>0.94</v>
      </c>
      <c r="I93" s="6">
        <v>1.88</v>
      </c>
      <c r="J93" s="6">
        <v>1.06</v>
      </c>
      <c r="K93" s="6">
        <v>1.62</v>
      </c>
      <c r="L93" s="6">
        <v>1.45</v>
      </c>
      <c r="M93" s="6">
        <v>0.8</v>
      </c>
      <c r="N93" s="6">
        <v>1.1000000000000001</v>
      </c>
      <c r="O93" s="6">
        <v>0</v>
      </c>
      <c r="P93" s="6">
        <v>0</v>
      </c>
      <c r="Q93" s="6">
        <v>0</v>
      </c>
    </row>
    <row r="94" spans="1:17" hidden="1" x14ac:dyDescent="0.6">
      <c r="A94" s="4" t="s">
        <v>47</v>
      </c>
      <c r="B94" s="4" t="s">
        <v>658</v>
      </c>
      <c r="C94" s="4" t="s">
        <v>659</v>
      </c>
      <c r="D94" s="7" t="s">
        <v>165</v>
      </c>
      <c r="E94" s="7" t="s">
        <v>166</v>
      </c>
      <c r="F94" s="15" t="s">
        <v>588</v>
      </c>
      <c r="G94" s="6">
        <v>0.9</v>
      </c>
      <c r="H94" s="6">
        <v>0.8</v>
      </c>
      <c r="I94" s="6">
        <v>0.82</v>
      </c>
      <c r="J94" s="6">
        <v>0.69</v>
      </c>
      <c r="K94" s="6">
        <v>1.1499999999999999</v>
      </c>
      <c r="L94" s="6">
        <v>1.27</v>
      </c>
      <c r="M94" s="6">
        <v>0.75</v>
      </c>
      <c r="N94" s="6">
        <v>0.89</v>
      </c>
      <c r="O94" s="6">
        <v>0</v>
      </c>
      <c r="P94" s="6">
        <v>0</v>
      </c>
      <c r="Q94" s="6">
        <v>0</v>
      </c>
    </row>
    <row r="95" spans="1:17" hidden="1" x14ac:dyDescent="0.6">
      <c r="A95" s="4" t="s">
        <v>47</v>
      </c>
      <c r="B95" s="4" t="s">
        <v>664</v>
      </c>
      <c r="C95" s="4" t="s">
        <v>665</v>
      </c>
      <c r="D95" s="7" t="s">
        <v>171</v>
      </c>
      <c r="E95" s="7" t="s">
        <v>172</v>
      </c>
      <c r="F95" s="15" t="s">
        <v>588</v>
      </c>
      <c r="G95" s="6">
        <v>0.71</v>
      </c>
      <c r="H95" s="6">
        <v>0.91</v>
      </c>
      <c r="I95" s="6">
        <v>0.76</v>
      </c>
      <c r="J95" s="6">
        <v>1.42</v>
      </c>
      <c r="K95" s="6">
        <v>1.1200000000000001</v>
      </c>
      <c r="L95" s="6">
        <v>0.95</v>
      </c>
      <c r="M95" s="6">
        <v>1.07</v>
      </c>
      <c r="N95" s="6">
        <v>0.72</v>
      </c>
      <c r="O95" s="6">
        <v>0</v>
      </c>
      <c r="P95" s="6">
        <v>0</v>
      </c>
      <c r="Q95" s="6">
        <v>0</v>
      </c>
    </row>
    <row r="96" spans="1:17" hidden="1" x14ac:dyDescent="0.6">
      <c r="A96" s="4" t="s">
        <v>47</v>
      </c>
      <c r="B96" s="4" t="s">
        <v>716</v>
      </c>
      <c r="C96" s="4" t="s">
        <v>717</v>
      </c>
      <c r="D96" s="7" t="s">
        <v>237</v>
      </c>
      <c r="E96" s="7" t="s">
        <v>238</v>
      </c>
      <c r="F96" s="15" t="s">
        <v>588</v>
      </c>
      <c r="G96" s="6">
        <v>0</v>
      </c>
      <c r="H96" s="6">
        <v>0.52</v>
      </c>
      <c r="I96" s="6">
        <v>0.96</v>
      </c>
      <c r="J96" s="6">
        <v>0.76</v>
      </c>
      <c r="K96" s="6">
        <v>1.17</v>
      </c>
      <c r="L96" s="6">
        <v>0.83</v>
      </c>
      <c r="M96" s="6">
        <v>0.8</v>
      </c>
      <c r="N96" s="6">
        <v>0.8</v>
      </c>
      <c r="O96" s="6">
        <v>0</v>
      </c>
      <c r="P96" s="6">
        <v>0</v>
      </c>
      <c r="Q96" s="6">
        <v>0</v>
      </c>
    </row>
    <row r="97" spans="1:17" hidden="1" x14ac:dyDescent="0.6">
      <c r="A97" s="4" t="s">
        <v>47</v>
      </c>
      <c r="B97" s="4" t="s">
        <v>716</v>
      </c>
      <c r="C97" s="4" t="s">
        <v>717</v>
      </c>
      <c r="D97" s="7" t="s">
        <v>241</v>
      </c>
      <c r="E97" s="7" t="s">
        <v>242</v>
      </c>
      <c r="F97" s="15" t="s">
        <v>588</v>
      </c>
      <c r="G97" s="6">
        <v>0.8</v>
      </c>
      <c r="H97" s="6">
        <v>0.76</v>
      </c>
      <c r="I97" s="6">
        <v>1.1399999999999999</v>
      </c>
      <c r="J97" s="6">
        <v>0.89</v>
      </c>
      <c r="K97" s="6">
        <v>0.75</v>
      </c>
      <c r="L97" s="6">
        <v>0.82</v>
      </c>
      <c r="M97" s="6">
        <v>0.83</v>
      </c>
      <c r="N97" s="6">
        <v>0.72</v>
      </c>
      <c r="O97" s="6">
        <v>0</v>
      </c>
      <c r="P97" s="6">
        <v>0</v>
      </c>
      <c r="Q97" s="6">
        <v>0</v>
      </c>
    </row>
    <row r="98" spans="1:17" hidden="1" x14ac:dyDescent="0.6">
      <c r="A98" s="4" t="s">
        <v>47</v>
      </c>
      <c r="B98" s="4" t="s">
        <v>716</v>
      </c>
      <c r="C98" s="4" t="s">
        <v>717</v>
      </c>
      <c r="D98" s="7" t="s">
        <v>239</v>
      </c>
      <c r="E98" s="7" t="s">
        <v>240</v>
      </c>
      <c r="F98" s="15" t="s">
        <v>588</v>
      </c>
      <c r="G98" s="6">
        <v>0.68</v>
      </c>
      <c r="H98" s="6">
        <v>0.75</v>
      </c>
      <c r="I98" s="6">
        <v>1.23</v>
      </c>
      <c r="J98" s="6">
        <v>1.21</v>
      </c>
      <c r="K98" s="6">
        <v>0.81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</row>
    <row r="99" spans="1:17" hidden="1" x14ac:dyDescent="0.6">
      <c r="A99" s="4" t="s">
        <v>47</v>
      </c>
      <c r="B99" s="4" t="s">
        <v>716</v>
      </c>
      <c r="C99" s="4" t="s">
        <v>717</v>
      </c>
      <c r="D99" s="7" t="s">
        <v>243</v>
      </c>
      <c r="E99" s="7" t="s">
        <v>244</v>
      </c>
      <c r="F99" s="15" t="s">
        <v>588</v>
      </c>
      <c r="G99" s="6">
        <v>0.88</v>
      </c>
      <c r="H99" s="6">
        <v>1.22</v>
      </c>
      <c r="I99" s="6">
        <v>1.75</v>
      </c>
      <c r="J99" s="6">
        <v>1.1499999999999999</v>
      </c>
      <c r="K99" s="6">
        <v>0.77</v>
      </c>
      <c r="L99" s="6">
        <v>0.69</v>
      </c>
      <c r="M99" s="6">
        <v>0.85</v>
      </c>
      <c r="N99" s="6">
        <v>0.98</v>
      </c>
      <c r="O99" s="6">
        <v>0</v>
      </c>
      <c r="P99" s="6">
        <v>0</v>
      </c>
      <c r="Q99" s="6">
        <v>0</v>
      </c>
    </row>
    <row r="100" spans="1:17" hidden="1" x14ac:dyDescent="0.6">
      <c r="A100" s="4" t="s">
        <v>47</v>
      </c>
      <c r="B100" s="4" t="s">
        <v>720</v>
      </c>
      <c r="C100" s="4" t="s">
        <v>721</v>
      </c>
      <c r="D100" s="7" t="s">
        <v>253</v>
      </c>
      <c r="E100" s="7" t="s">
        <v>254</v>
      </c>
      <c r="F100" s="15" t="s">
        <v>588</v>
      </c>
      <c r="G100" s="6">
        <v>2.5499999999999998</v>
      </c>
      <c r="H100" s="6">
        <v>7.43</v>
      </c>
      <c r="I100" s="6">
        <v>1.06</v>
      </c>
      <c r="J100" s="6">
        <v>2.14</v>
      </c>
      <c r="K100" s="6">
        <v>1.96</v>
      </c>
      <c r="L100" s="6">
        <v>1.37</v>
      </c>
      <c r="M100" s="6">
        <v>0.64</v>
      </c>
      <c r="N100" s="6">
        <v>1</v>
      </c>
      <c r="O100" s="6">
        <v>0</v>
      </c>
      <c r="P100" s="6">
        <v>0</v>
      </c>
      <c r="Q100" s="6">
        <v>0</v>
      </c>
    </row>
    <row r="101" spans="1:17" hidden="1" x14ac:dyDescent="0.6">
      <c r="A101" s="4" t="s">
        <v>47</v>
      </c>
      <c r="B101" s="4" t="s">
        <v>720</v>
      </c>
      <c r="C101" s="4" t="s">
        <v>721</v>
      </c>
      <c r="D101" s="12" t="s">
        <v>255</v>
      </c>
      <c r="E101" s="12" t="s">
        <v>256</v>
      </c>
      <c r="F101" s="17" t="s">
        <v>588</v>
      </c>
      <c r="G101" s="6">
        <v>0.81</v>
      </c>
      <c r="H101" s="6">
        <v>1.71</v>
      </c>
      <c r="I101" s="6">
        <v>0</v>
      </c>
      <c r="J101" s="6">
        <v>1.1599999999999999</v>
      </c>
      <c r="K101" s="6">
        <v>2.0099999999999998</v>
      </c>
      <c r="L101" s="6">
        <v>2.23</v>
      </c>
      <c r="M101" s="6">
        <v>1.04</v>
      </c>
      <c r="N101" s="6">
        <v>2.65</v>
      </c>
      <c r="O101" s="6">
        <v>0</v>
      </c>
      <c r="P101" s="6">
        <v>0</v>
      </c>
      <c r="Q101" s="6">
        <v>0</v>
      </c>
    </row>
    <row r="102" spans="1:17" hidden="1" x14ac:dyDescent="0.6">
      <c r="A102" s="4" t="s">
        <v>47</v>
      </c>
      <c r="B102" s="4" t="s">
        <v>730</v>
      </c>
      <c r="C102" s="4" t="s">
        <v>731</v>
      </c>
      <c r="D102" s="7" t="s">
        <v>279</v>
      </c>
      <c r="E102" s="7" t="s">
        <v>280</v>
      </c>
      <c r="F102" s="15" t="s">
        <v>588</v>
      </c>
      <c r="G102" s="6">
        <v>0.87</v>
      </c>
      <c r="H102" s="6">
        <v>0.86</v>
      </c>
      <c r="I102" s="6">
        <v>1.32</v>
      </c>
      <c r="J102" s="6">
        <v>1.27</v>
      </c>
      <c r="K102" s="6">
        <v>3.05</v>
      </c>
      <c r="L102" s="6">
        <v>1.0900000000000001</v>
      </c>
      <c r="M102" s="6">
        <v>1.1200000000000001</v>
      </c>
      <c r="N102" s="6">
        <v>0.87</v>
      </c>
      <c r="O102" s="6">
        <v>0</v>
      </c>
      <c r="P102" s="6">
        <v>0</v>
      </c>
      <c r="Q102" s="6">
        <v>0</v>
      </c>
    </row>
    <row r="103" spans="1:17" hidden="1" x14ac:dyDescent="0.6">
      <c r="A103" s="4" t="s">
        <v>47</v>
      </c>
      <c r="B103" s="4" t="s">
        <v>730</v>
      </c>
      <c r="C103" s="4" t="s">
        <v>731</v>
      </c>
      <c r="D103" s="12" t="s">
        <v>281</v>
      </c>
      <c r="E103" s="12" t="s">
        <v>282</v>
      </c>
      <c r="F103" s="17" t="s">
        <v>588</v>
      </c>
      <c r="G103" s="6">
        <v>2.11</v>
      </c>
      <c r="H103" s="6">
        <v>2.72</v>
      </c>
      <c r="I103" s="6">
        <v>2.5</v>
      </c>
      <c r="J103" s="6">
        <v>3.09</v>
      </c>
      <c r="K103" s="6">
        <v>2.84</v>
      </c>
      <c r="L103" s="6">
        <v>2.52</v>
      </c>
      <c r="M103" s="6">
        <v>2.5099999999999998</v>
      </c>
      <c r="N103" s="6">
        <v>2.87</v>
      </c>
      <c r="O103" s="6">
        <v>0</v>
      </c>
      <c r="P103" s="6">
        <v>0</v>
      </c>
      <c r="Q103" s="6">
        <v>0</v>
      </c>
    </row>
    <row r="104" spans="1:17" hidden="1" x14ac:dyDescent="0.6">
      <c r="A104" s="4" t="s">
        <v>47</v>
      </c>
      <c r="B104" s="4" t="s">
        <v>718</v>
      </c>
      <c r="C104" s="4" t="s">
        <v>719</v>
      </c>
      <c r="D104" s="12" t="s">
        <v>245</v>
      </c>
      <c r="E104" s="12" t="s">
        <v>246</v>
      </c>
      <c r="F104" s="17" t="s">
        <v>588</v>
      </c>
      <c r="G104" s="6">
        <v>1.08</v>
      </c>
      <c r="H104" s="6">
        <v>1.06</v>
      </c>
      <c r="I104" s="6">
        <v>0.88</v>
      </c>
      <c r="J104" s="6">
        <v>1.19</v>
      </c>
      <c r="K104" s="6">
        <v>0.95</v>
      </c>
      <c r="L104" s="6">
        <v>0.92</v>
      </c>
      <c r="M104" s="6">
        <v>0.74</v>
      </c>
      <c r="N104" s="6">
        <v>0.95</v>
      </c>
      <c r="O104" s="6">
        <v>0</v>
      </c>
      <c r="P104" s="6">
        <v>0</v>
      </c>
      <c r="Q104" s="6">
        <v>0</v>
      </c>
    </row>
    <row r="105" spans="1:17" hidden="1" x14ac:dyDescent="0.6">
      <c r="A105" s="4" t="s">
        <v>47</v>
      </c>
      <c r="B105" s="4" t="s">
        <v>718</v>
      </c>
      <c r="C105" s="4" t="s">
        <v>719</v>
      </c>
      <c r="D105" s="7" t="s">
        <v>247</v>
      </c>
      <c r="E105" s="7" t="s">
        <v>248</v>
      </c>
      <c r="F105" s="15" t="s">
        <v>588</v>
      </c>
      <c r="G105" s="6">
        <v>0.87</v>
      </c>
      <c r="H105" s="6">
        <v>0.93</v>
      </c>
      <c r="I105" s="6">
        <v>1.32</v>
      </c>
      <c r="J105" s="6">
        <v>1.1599999999999999</v>
      </c>
      <c r="K105" s="6">
        <v>0.93</v>
      </c>
      <c r="L105" s="6">
        <v>1.08</v>
      </c>
      <c r="M105" s="6">
        <v>0.86</v>
      </c>
      <c r="N105" s="6">
        <v>1.01</v>
      </c>
      <c r="O105" s="6">
        <v>0</v>
      </c>
      <c r="P105" s="6">
        <v>0</v>
      </c>
      <c r="Q105" s="6">
        <v>0</v>
      </c>
    </row>
    <row r="106" spans="1:17" hidden="1" x14ac:dyDescent="0.6">
      <c r="A106" s="4" t="s">
        <v>47</v>
      </c>
      <c r="B106" s="4" t="s">
        <v>718</v>
      </c>
      <c r="C106" s="4" t="s">
        <v>719</v>
      </c>
      <c r="D106" s="7" t="s">
        <v>249</v>
      </c>
      <c r="E106" s="7" t="s">
        <v>250</v>
      </c>
      <c r="F106" s="15" t="s">
        <v>588</v>
      </c>
      <c r="G106" s="6">
        <v>1.37</v>
      </c>
      <c r="H106" s="6">
        <v>1.48</v>
      </c>
      <c r="I106" s="6">
        <v>1.59</v>
      </c>
      <c r="J106" s="6">
        <v>1.38</v>
      </c>
      <c r="K106" s="6">
        <v>1.69</v>
      </c>
      <c r="L106" s="6">
        <v>1.29</v>
      </c>
      <c r="M106" s="6">
        <v>1.98</v>
      </c>
      <c r="N106" s="6">
        <v>1.36</v>
      </c>
      <c r="O106" s="6">
        <v>0</v>
      </c>
      <c r="P106" s="6">
        <v>0</v>
      </c>
      <c r="Q106" s="6">
        <v>0</v>
      </c>
    </row>
    <row r="107" spans="1:17" hidden="1" x14ac:dyDescent="0.6">
      <c r="A107" s="4" t="s">
        <v>47</v>
      </c>
      <c r="B107" s="4" t="s">
        <v>718</v>
      </c>
      <c r="C107" s="4" t="s">
        <v>719</v>
      </c>
      <c r="D107" s="7" t="s">
        <v>251</v>
      </c>
      <c r="E107" s="7" t="s">
        <v>252</v>
      </c>
      <c r="F107" s="15" t="s">
        <v>588</v>
      </c>
      <c r="G107" s="6">
        <v>1.55</v>
      </c>
      <c r="H107" s="6">
        <v>1.6</v>
      </c>
      <c r="I107" s="6">
        <v>1.25</v>
      </c>
      <c r="J107" s="6">
        <v>1.45</v>
      </c>
      <c r="K107" s="6">
        <v>1.78</v>
      </c>
      <c r="L107" s="6">
        <v>1.01</v>
      </c>
      <c r="M107" s="6">
        <v>1.43</v>
      </c>
      <c r="N107" s="6">
        <v>1.05</v>
      </c>
      <c r="O107" s="6">
        <v>0</v>
      </c>
      <c r="P107" s="6">
        <v>0</v>
      </c>
      <c r="Q107" s="6">
        <v>0</v>
      </c>
    </row>
    <row r="108" spans="1:17" hidden="1" x14ac:dyDescent="0.6">
      <c r="A108" s="4" t="s">
        <v>47</v>
      </c>
      <c r="B108" s="4" t="s">
        <v>728</v>
      </c>
      <c r="C108" s="4" t="s">
        <v>729</v>
      </c>
      <c r="D108" s="7" t="s">
        <v>273</v>
      </c>
      <c r="E108" s="7" t="s">
        <v>274</v>
      </c>
      <c r="F108" s="15" t="s">
        <v>588</v>
      </c>
      <c r="G108" s="6">
        <v>0</v>
      </c>
      <c r="H108" s="6">
        <v>1.07</v>
      </c>
      <c r="I108" s="6">
        <v>1.1499999999999999</v>
      </c>
      <c r="J108" s="6">
        <v>1.07</v>
      </c>
      <c r="K108" s="6">
        <v>0</v>
      </c>
      <c r="L108" s="6">
        <v>0.4</v>
      </c>
      <c r="M108" s="6">
        <v>0.79</v>
      </c>
      <c r="N108" s="6">
        <v>0.84</v>
      </c>
      <c r="O108" s="6">
        <v>0</v>
      </c>
      <c r="P108" s="6">
        <v>0</v>
      </c>
      <c r="Q108" s="6">
        <v>0</v>
      </c>
    </row>
    <row r="109" spans="1:17" hidden="1" x14ac:dyDescent="0.6">
      <c r="A109" s="4" t="s">
        <v>47</v>
      </c>
      <c r="B109" s="4" t="s">
        <v>728</v>
      </c>
      <c r="C109" s="4" t="s">
        <v>729</v>
      </c>
      <c r="D109" s="7" t="s">
        <v>275</v>
      </c>
      <c r="E109" s="7" t="s">
        <v>276</v>
      </c>
      <c r="F109" s="15" t="s">
        <v>588</v>
      </c>
      <c r="G109" s="6">
        <v>0</v>
      </c>
      <c r="H109" s="6">
        <v>1.1100000000000001</v>
      </c>
      <c r="I109" s="6">
        <v>0.93</v>
      </c>
      <c r="J109" s="6">
        <v>0.68</v>
      </c>
      <c r="K109" s="6">
        <v>0.86</v>
      </c>
      <c r="L109" s="6">
        <v>0.5</v>
      </c>
      <c r="M109" s="6">
        <v>0.79</v>
      </c>
      <c r="N109" s="6">
        <v>1.02</v>
      </c>
      <c r="O109" s="6">
        <v>0</v>
      </c>
      <c r="P109" s="6">
        <v>0</v>
      </c>
      <c r="Q109" s="6">
        <v>0</v>
      </c>
    </row>
    <row r="110" spans="1:17" hidden="1" x14ac:dyDescent="0.6">
      <c r="A110" s="4" t="s">
        <v>47</v>
      </c>
      <c r="B110" s="4" t="s">
        <v>728</v>
      </c>
      <c r="C110" s="4" t="s">
        <v>729</v>
      </c>
      <c r="D110" s="7" t="s">
        <v>271</v>
      </c>
      <c r="E110" s="7" t="s">
        <v>272</v>
      </c>
      <c r="F110" s="15" t="s">
        <v>588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</row>
    <row r="111" spans="1:17" hidden="1" x14ac:dyDescent="0.6">
      <c r="A111" s="4" t="s">
        <v>47</v>
      </c>
      <c r="B111" s="4" t="s">
        <v>728</v>
      </c>
      <c r="C111" s="4" t="s">
        <v>729</v>
      </c>
      <c r="D111" s="7" t="s">
        <v>277</v>
      </c>
      <c r="E111" s="7" t="s">
        <v>278</v>
      </c>
      <c r="F111" s="15" t="s">
        <v>588</v>
      </c>
      <c r="G111" s="6">
        <v>0</v>
      </c>
      <c r="H111" s="6">
        <v>1.0900000000000001</v>
      </c>
      <c r="I111" s="6">
        <v>2.2200000000000002</v>
      </c>
      <c r="J111" s="6">
        <v>1.72</v>
      </c>
      <c r="K111" s="6">
        <v>1.66</v>
      </c>
      <c r="L111" s="6">
        <v>1.38</v>
      </c>
      <c r="M111" s="6">
        <v>1.1399999999999999</v>
      </c>
      <c r="N111" s="6">
        <v>0</v>
      </c>
      <c r="O111" s="6">
        <v>0</v>
      </c>
      <c r="P111" s="6">
        <v>0</v>
      </c>
      <c r="Q111" s="6">
        <v>0</v>
      </c>
    </row>
    <row r="112" spans="1:17" hidden="1" x14ac:dyDescent="0.6">
      <c r="A112" s="4" t="s">
        <v>47</v>
      </c>
      <c r="B112" s="4" t="s">
        <v>672</v>
      </c>
      <c r="C112" s="4" t="s">
        <v>673</v>
      </c>
      <c r="D112" s="7" t="s">
        <v>179</v>
      </c>
      <c r="E112" s="7" t="s">
        <v>180</v>
      </c>
      <c r="F112" s="15" t="s">
        <v>588</v>
      </c>
      <c r="G112" s="6">
        <v>0.72</v>
      </c>
      <c r="H112" s="6">
        <v>1.02</v>
      </c>
      <c r="I112" s="6">
        <v>1.63</v>
      </c>
      <c r="J112" s="6">
        <v>1.75</v>
      </c>
      <c r="K112" s="6">
        <v>1.28</v>
      </c>
      <c r="L112" s="6">
        <v>0.98</v>
      </c>
      <c r="M112" s="6">
        <v>1.0900000000000001</v>
      </c>
      <c r="N112" s="6">
        <v>0.73</v>
      </c>
      <c r="O112" s="6">
        <v>0</v>
      </c>
      <c r="P112" s="6">
        <v>0</v>
      </c>
      <c r="Q112" s="6">
        <v>0</v>
      </c>
    </row>
    <row r="113" spans="1:17" hidden="1" x14ac:dyDescent="0.6">
      <c r="A113" s="4" t="s">
        <v>47</v>
      </c>
      <c r="B113" s="4" t="s">
        <v>724</v>
      </c>
      <c r="C113" s="4" t="s">
        <v>725</v>
      </c>
      <c r="D113" s="12" t="s">
        <v>263</v>
      </c>
      <c r="E113" s="12" t="s">
        <v>264</v>
      </c>
      <c r="F113" s="17" t="s">
        <v>588</v>
      </c>
      <c r="G113" s="6">
        <v>0.72</v>
      </c>
      <c r="H113" s="6">
        <v>0.8</v>
      </c>
      <c r="I113" s="6">
        <v>1.24</v>
      </c>
      <c r="J113" s="6">
        <v>0.76</v>
      </c>
      <c r="K113" s="6">
        <v>1.37</v>
      </c>
      <c r="L113" s="6">
        <v>0.64</v>
      </c>
      <c r="M113" s="6">
        <v>1</v>
      </c>
      <c r="N113" s="6">
        <v>0.56999999999999995</v>
      </c>
      <c r="O113" s="6">
        <v>0</v>
      </c>
      <c r="P113" s="6">
        <v>0</v>
      </c>
      <c r="Q113" s="6">
        <v>0</v>
      </c>
    </row>
    <row r="114" spans="1:17" hidden="1" x14ac:dyDescent="0.6">
      <c r="A114" s="4" t="s">
        <v>47</v>
      </c>
      <c r="B114" s="4" t="s">
        <v>724</v>
      </c>
      <c r="C114" s="4" t="s">
        <v>725</v>
      </c>
      <c r="D114" s="12" t="s">
        <v>259</v>
      </c>
      <c r="E114" s="12" t="s">
        <v>260</v>
      </c>
      <c r="F114" s="17" t="s">
        <v>588</v>
      </c>
      <c r="G114" s="6">
        <v>1.36</v>
      </c>
      <c r="H114" s="6">
        <v>1.68</v>
      </c>
      <c r="I114" s="6">
        <v>1.23</v>
      </c>
      <c r="J114" s="6">
        <v>1</v>
      </c>
      <c r="K114" s="6">
        <v>1.35</v>
      </c>
      <c r="L114" s="6">
        <v>0.75</v>
      </c>
      <c r="M114" s="6">
        <v>0.79</v>
      </c>
      <c r="N114" s="6">
        <v>1.05</v>
      </c>
      <c r="O114" s="6">
        <v>0</v>
      </c>
      <c r="P114" s="6">
        <v>0</v>
      </c>
      <c r="Q114" s="6">
        <v>0</v>
      </c>
    </row>
    <row r="115" spans="1:17" hidden="1" x14ac:dyDescent="0.6">
      <c r="A115" s="4" t="s">
        <v>47</v>
      </c>
      <c r="B115" s="4" t="s">
        <v>724</v>
      </c>
      <c r="C115" s="4" t="s">
        <v>725</v>
      </c>
      <c r="D115" s="7" t="s">
        <v>261</v>
      </c>
      <c r="E115" s="7" t="s">
        <v>262</v>
      </c>
      <c r="F115" s="15" t="s">
        <v>588</v>
      </c>
      <c r="G115" s="6">
        <v>0.77</v>
      </c>
      <c r="H115" s="6">
        <v>1.48</v>
      </c>
      <c r="I115" s="6">
        <v>1.1599999999999999</v>
      </c>
      <c r="J115" s="6">
        <v>0.77</v>
      </c>
      <c r="K115" s="6">
        <v>0.91</v>
      </c>
      <c r="L115" s="6">
        <v>0.57999999999999996</v>
      </c>
      <c r="M115" s="6">
        <v>0.97</v>
      </c>
      <c r="N115" s="6">
        <v>1.1200000000000001</v>
      </c>
      <c r="O115" s="6">
        <v>0</v>
      </c>
      <c r="P115" s="6">
        <v>0</v>
      </c>
      <c r="Q115" s="6">
        <v>0</v>
      </c>
    </row>
    <row r="116" spans="1:17" hidden="1" x14ac:dyDescent="0.6">
      <c r="A116" s="4" t="s">
        <v>47</v>
      </c>
      <c r="B116" s="4" t="s">
        <v>724</v>
      </c>
      <c r="C116" s="4" t="s">
        <v>725</v>
      </c>
      <c r="D116" s="12" t="s">
        <v>265</v>
      </c>
      <c r="E116" s="12" t="s">
        <v>266</v>
      </c>
      <c r="F116" s="17" t="s">
        <v>588</v>
      </c>
      <c r="G116" s="6">
        <v>0.98</v>
      </c>
      <c r="H116" s="6">
        <v>0.84</v>
      </c>
      <c r="I116" s="6">
        <v>1.27</v>
      </c>
      <c r="J116" s="6">
        <v>0.62</v>
      </c>
      <c r="K116" s="6">
        <v>1.1599999999999999</v>
      </c>
      <c r="L116" s="6">
        <v>0.78</v>
      </c>
      <c r="M116" s="6">
        <v>0.94</v>
      </c>
      <c r="N116" s="6">
        <v>0.85</v>
      </c>
      <c r="O116" s="6">
        <v>0</v>
      </c>
      <c r="P116" s="6">
        <v>0</v>
      </c>
      <c r="Q116" s="6">
        <v>0</v>
      </c>
    </row>
    <row r="117" spans="1:17" hidden="1" x14ac:dyDescent="0.6">
      <c r="A117" s="4" t="s">
        <v>47</v>
      </c>
      <c r="B117" s="4" t="s">
        <v>724</v>
      </c>
      <c r="C117" s="4" t="s">
        <v>725</v>
      </c>
      <c r="D117" s="7" t="s">
        <v>267</v>
      </c>
      <c r="E117" s="7" t="s">
        <v>268</v>
      </c>
      <c r="F117" s="15" t="s">
        <v>588</v>
      </c>
      <c r="G117" s="6">
        <v>0.73</v>
      </c>
      <c r="H117" s="6">
        <v>1.28</v>
      </c>
      <c r="I117" s="6">
        <v>1.37</v>
      </c>
      <c r="J117" s="6">
        <v>0.85</v>
      </c>
      <c r="K117" s="6">
        <v>0.98</v>
      </c>
      <c r="L117" s="6">
        <v>1.46</v>
      </c>
      <c r="M117" s="6">
        <v>0.89</v>
      </c>
      <c r="N117" s="6">
        <v>0.81</v>
      </c>
      <c r="O117" s="6">
        <v>0</v>
      </c>
      <c r="P117" s="6">
        <v>0</v>
      </c>
      <c r="Q117" s="6">
        <v>0</v>
      </c>
    </row>
    <row r="118" spans="1:17" hidden="1" x14ac:dyDescent="0.6">
      <c r="A118" s="4" t="s">
        <v>47</v>
      </c>
      <c r="B118" s="4" t="s">
        <v>668</v>
      </c>
      <c r="C118" s="4" t="s">
        <v>669</v>
      </c>
      <c r="D118" s="7" t="s">
        <v>175</v>
      </c>
      <c r="E118" s="7" t="s">
        <v>176</v>
      </c>
      <c r="F118" s="15" t="s">
        <v>588</v>
      </c>
      <c r="G118" s="6">
        <v>2.94</v>
      </c>
      <c r="H118" s="6">
        <v>2.91</v>
      </c>
      <c r="I118" s="6">
        <v>0.88</v>
      </c>
      <c r="J118" s="6">
        <v>1.21</v>
      </c>
      <c r="K118" s="6">
        <v>0.87</v>
      </c>
      <c r="L118" s="6">
        <v>0.96</v>
      </c>
      <c r="M118" s="6">
        <v>0.86</v>
      </c>
      <c r="N118" s="6">
        <v>1.47</v>
      </c>
      <c r="O118" s="6">
        <v>0</v>
      </c>
      <c r="P118" s="6">
        <v>0</v>
      </c>
      <c r="Q118" s="6">
        <v>0</v>
      </c>
    </row>
    <row r="119" spans="1:17" hidden="1" x14ac:dyDescent="0.6">
      <c r="A119" s="4" t="s">
        <v>47</v>
      </c>
      <c r="B119" s="4" t="s">
        <v>670</v>
      </c>
      <c r="C119" s="4" t="s">
        <v>671</v>
      </c>
      <c r="D119" s="7" t="s">
        <v>177</v>
      </c>
      <c r="E119" s="7" t="s">
        <v>904</v>
      </c>
      <c r="F119" s="15" t="s">
        <v>588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0.05</v>
      </c>
      <c r="N119" s="6">
        <v>0.76</v>
      </c>
      <c r="O119" s="6">
        <v>0</v>
      </c>
      <c r="P119" s="6">
        <v>0</v>
      </c>
      <c r="Q119" s="6">
        <v>0</v>
      </c>
    </row>
    <row r="120" spans="1:17" hidden="1" x14ac:dyDescent="0.6">
      <c r="A120" s="4" t="s">
        <v>47</v>
      </c>
      <c r="B120" s="4" t="s">
        <v>686</v>
      </c>
      <c r="C120" s="4" t="s">
        <v>687</v>
      </c>
      <c r="D120" s="12" t="s">
        <v>201</v>
      </c>
      <c r="E120" s="12" t="s">
        <v>202</v>
      </c>
      <c r="F120" s="17" t="s">
        <v>588</v>
      </c>
      <c r="G120" s="6">
        <v>0</v>
      </c>
      <c r="H120" s="6">
        <v>2.91</v>
      </c>
      <c r="I120" s="6">
        <v>1.93</v>
      </c>
      <c r="J120" s="6">
        <v>1.99</v>
      </c>
      <c r="K120" s="6">
        <v>0.05</v>
      </c>
      <c r="L120" s="6">
        <v>1.42</v>
      </c>
      <c r="M120" s="6">
        <v>1.58</v>
      </c>
      <c r="N120" s="6">
        <v>1.32</v>
      </c>
      <c r="O120" s="6">
        <v>0</v>
      </c>
      <c r="P120" s="6">
        <v>0</v>
      </c>
      <c r="Q120" s="6">
        <v>0</v>
      </c>
    </row>
    <row r="121" spans="1:17" hidden="1" x14ac:dyDescent="0.6">
      <c r="A121" s="4" t="s">
        <v>47</v>
      </c>
      <c r="B121" s="4" t="s">
        <v>696</v>
      </c>
      <c r="C121" s="4" t="s">
        <v>697</v>
      </c>
      <c r="D121" s="7" t="s">
        <v>211</v>
      </c>
      <c r="E121" s="7" t="s">
        <v>212</v>
      </c>
      <c r="F121" s="15" t="s">
        <v>588</v>
      </c>
      <c r="G121" s="6">
        <v>0.73</v>
      </c>
      <c r="H121" s="6">
        <v>0.66</v>
      </c>
      <c r="I121" s="6">
        <v>0.7</v>
      </c>
      <c r="J121" s="6">
        <v>0.97</v>
      </c>
      <c r="K121" s="6">
        <v>0.46</v>
      </c>
      <c r="L121" s="6">
        <v>0.81</v>
      </c>
      <c r="M121" s="6">
        <v>0.4</v>
      </c>
      <c r="N121" s="6">
        <v>0.45</v>
      </c>
      <c r="O121" s="6">
        <v>0</v>
      </c>
      <c r="P121" s="6">
        <v>0</v>
      </c>
      <c r="Q121" s="6">
        <v>0</v>
      </c>
    </row>
    <row r="122" spans="1:17" hidden="1" x14ac:dyDescent="0.6">
      <c r="A122" s="4" t="s">
        <v>47</v>
      </c>
      <c r="B122" s="4" t="s">
        <v>708</v>
      </c>
      <c r="C122" s="4" t="s">
        <v>709</v>
      </c>
      <c r="D122" s="7" t="s">
        <v>223</v>
      </c>
      <c r="E122" s="7" t="s">
        <v>905</v>
      </c>
      <c r="F122" s="15" t="s">
        <v>588</v>
      </c>
      <c r="G122" s="6">
        <v>0</v>
      </c>
      <c r="H122" s="6">
        <v>0</v>
      </c>
      <c r="I122" s="6">
        <v>0.75</v>
      </c>
      <c r="J122" s="6">
        <v>0.42</v>
      </c>
      <c r="K122" s="6">
        <v>0.56000000000000005</v>
      </c>
      <c r="L122" s="6">
        <v>0.53</v>
      </c>
      <c r="M122" s="6">
        <v>-0.09</v>
      </c>
      <c r="N122" s="6">
        <v>-7.0000000000000007E-2</v>
      </c>
      <c r="O122" s="6">
        <v>0</v>
      </c>
      <c r="P122" s="6">
        <v>0</v>
      </c>
      <c r="Q122" s="6">
        <v>0</v>
      </c>
    </row>
    <row r="123" spans="1:17" hidden="1" x14ac:dyDescent="0.6">
      <c r="A123" s="4" t="s">
        <v>47</v>
      </c>
      <c r="B123" s="4" t="s">
        <v>704</v>
      </c>
      <c r="C123" s="4" t="s">
        <v>705</v>
      </c>
      <c r="D123" s="7" t="s">
        <v>219</v>
      </c>
      <c r="E123" s="7" t="s">
        <v>906</v>
      </c>
      <c r="F123" s="15" t="s">
        <v>588</v>
      </c>
      <c r="G123" s="6">
        <v>0.89</v>
      </c>
      <c r="H123" s="6">
        <v>1.08</v>
      </c>
      <c r="I123" s="6">
        <v>0.88</v>
      </c>
      <c r="J123" s="6">
        <v>1.23</v>
      </c>
      <c r="K123" s="6">
        <v>1.25</v>
      </c>
      <c r="L123" s="6">
        <v>0.61</v>
      </c>
      <c r="M123" s="6">
        <v>0.39</v>
      </c>
      <c r="N123" s="6">
        <v>1.1399999999999999</v>
      </c>
      <c r="O123" s="6">
        <v>0</v>
      </c>
      <c r="P123" s="6">
        <v>0</v>
      </c>
      <c r="Q123" s="6">
        <v>0</v>
      </c>
    </row>
    <row r="124" spans="1:17" hidden="1" x14ac:dyDescent="0.6">
      <c r="A124" s="4" t="s">
        <v>47</v>
      </c>
      <c r="B124" s="4" t="s">
        <v>676</v>
      </c>
      <c r="C124" s="4" t="s">
        <v>677</v>
      </c>
      <c r="D124" s="7" t="s">
        <v>183</v>
      </c>
      <c r="E124" s="7" t="s">
        <v>907</v>
      </c>
      <c r="F124" s="15" t="s">
        <v>588</v>
      </c>
      <c r="G124" s="6">
        <v>0.98</v>
      </c>
      <c r="H124" s="6">
        <v>0.95</v>
      </c>
      <c r="I124" s="6">
        <v>1.34</v>
      </c>
      <c r="J124" s="6">
        <v>0</v>
      </c>
      <c r="K124" s="6">
        <v>0.85</v>
      </c>
      <c r="L124" s="6">
        <v>1.2</v>
      </c>
      <c r="M124" s="6">
        <v>1.08</v>
      </c>
      <c r="N124" s="6">
        <v>1.1299999999999999</v>
      </c>
      <c r="O124" s="6">
        <v>0</v>
      </c>
      <c r="P124" s="6">
        <v>0</v>
      </c>
      <c r="Q124" s="6">
        <v>0</v>
      </c>
    </row>
    <row r="125" spans="1:17" hidden="1" x14ac:dyDescent="0.6">
      <c r="A125" s="4" t="s">
        <v>47</v>
      </c>
      <c r="B125" s="4" t="s">
        <v>676</v>
      </c>
      <c r="C125" s="4" t="s">
        <v>677</v>
      </c>
      <c r="D125" s="7" t="s">
        <v>185</v>
      </c>
      <c r="E125" s="7" t="s">
        <v>908</v>
      </c>
      <c r="F125" s="15" t="s">
        <v>588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</row>
    <row r="126" spans="1:17" hidden="1" x14ac:dyDescent="0.6">
      <c r="A126" s="4" t="s">
        <v>47</v>
      </c>
      <c r="B126" s="4" t="s">
        <v>706</v>
      </c>
      <c r="C126" s="4" t="s">
        <v>707</v>
      </c>
      <c r="D126" s="7" t="s">
        <v>221</v>
      </c>
      <c r="E126" s="7" t="s">
        <v>909</v>
      </c>
      <c r="F126" s="15" t="s">
        <v>588</v>
      </c>
      <c r="G126" s="6">
        <v>0</v>
      </c>
      <c r="H126" s="6">
        <v>0.28999999999999998</v>
      </c>
      <c r="I126" s="6">
        <v>0</v>
      </c>
      <c r="J126" s="6">
        <v>0.44</v>
      </c>
      <c r="K126" s="6">
        <v>0.35</v>
      </c>
      <c r="L126" s="6">
        <v>0.11</v>
      </c>
      <c r="M126" s="6">
        <v>0.56000000000000005</v>
      </c>
      <c r="N126" s="6">
        <v>0.25</v>
      </c>
      <c r="O126" s="6">
        <v>0</v>
      </c>
      <c r="P126" s="6">
        <v>0</v>
      </c>
      <c r="Q126" s="6">
        <v>0</v>
      </c>
    </row>
    <row r="127" spans="1:17" hidden="1" x14ac:dyDescent="0.6">
      <c r="A127" s="4" t="s">
        <v>47</v>
      </c>
      <c r="B127" s="4" t="s">
        <v>666</v>
      </c>
      <c r="C127" s="4" t="s">
        <v>667</v>
      </c>
      <c r="D127" s="7" t="s">
        <v>173</v>
      </c>
      <c r="E127" s="7" t="s">
        <v>910</v>
      </c>
      <c r="F127" s="15" t="s">
        <v>588</v>
      </c>
      <c r="G127" s="6">
        <v>0.47</v>
      </c>
      <c r="H127" s="6">
        <v>1.42</v>
      </c>
      <c r="I127" s="6">
        <v>2.5</v>
      </c>
      <c r="J127" s="6">
        <v>1.34</v>
      </c>
      <c r="K127" s="6">
        <v>1.1499999999999999</v>
      </c>
      <c r="L127" s="6">
        <v>1.47</v>
      </c>
      <c r="M127" s="6">
        <v>1.71</v>
      </c>
      <c r="N127" s="6">
        <v>1.77</v>
      </c>
      <c r="O127" s="6">
        <v>0</v>
      </c>
      <c r="P127" s="6">
        <v>0</v>
      </c>
      <c r="Q127" s="6">
        <v>0</v>
      </c>
    </row>
    <row r="128" spans="1:17" hidden="1" x14ac:dyDescent="0.6">
      <c r="A128" s="4" t="s">
        <v>47</v>
      </c>
      <c r="B128" s="4" t="s">
        <v>690</v>
      </c>
      <c r="C128" s="4" t="s">
        <v>691</v>
      </c>
      <c r="D128" s="7" t="s">
        <v>205</v>
      </c>
      <c r="E128" s="7" t="s">
        <v>911</v>
      </c>
      <c r="F128" s="15" t="s">
        <v>588</v>
      </c>
      <c r="G128" s="6">
        <v>0.79</v>
      </c>
      <c r="H128" s="6">
        <v>1.28</v>
      </c>
      <c r="I128" s="6">
        <v>1.25</v>
      </c>
      <c r="J128" s="6">
        <v>1.28</v>
      </c>
      <c r="K128" s="6">
        <v>0.47</v>
      </c>
      <c r="L128" s="6">
        <v>0.49</v>
      </c>
      <c r="M128" s="6">
        <v>1.1000000000000001</v>
      </c>
      <c r="N128" s="6">
        <v>1.04</v>
      </c>
      <c r="O128" s="6">
        <v>0</v>
      </c>
      <c r="P128" s="6">
        <v>0</v>
      </c>
      <c r="Q128" s="6">
        <v>0</v>
      </c>
    </row>
    <row r="129" spans="1:17" hidden="1" x14ac:dyDescent="0.6">
      <c r="A129" s="4" t="s">
        <v>47</v>
      </c>
      <c r="B129" s="4" t="s">
        <v>700</v>
      </c>
      <c r="C129" s="4" t="s">
        <v>701</v>
      </c>
      <c r="D129" s="7" t="s">
        <v>235</v>
      </c>
      <c r="E129" s="7" t="s">
        <v>912</v>
      </c>
      <c r="F129" s="15" t="s">
        <v>589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0.5</v>
      </c>
      <c r="N129" s="6">
        <v>0.61</v>
      </c>
      <c r="O129" s="6">
        <v>0</v>
      </c>
      <c r="P129" s="6">
        <v>0</v>
      </c>
      <c r="Q129" s="6">
        <v>0</v>
      </c>
    </row>
    <row r="130" spans="1:17" hidden="1" x14ac:dyDescent="0.6">
      <c r="A130" s="4" t="s">
        <v>47</v>
      </c>
      <c r="B130" s="4" t="s">
        <v>700</v>
      </c>
      <c r="C130" s="4" t="s">
        <v>701</v>
      </c>
      <c r="D130" s="7" t="s">
        <v>215</v>
      </c>
      <c r="E130" s="7" t="s">
        <v>913</v>
      </c>
      <c r="F130" s="15" t="s">
        <v>588</v>
      </c>
      <c r="G130" s="6">
        <v>1.5</v>
      </c>
      <c r="H130" s="6">
        <v>1.41</v>
      </c>
      <c r="I130" s="6">
        <v>0.95</v>
      </c>
      <c r="J130" s="6">
        <v>0.48</v>
      </c>
      <c r="K130" s="6">
        <v>0.66</v>
      </c>
      <c r="L130" s="6">
        <v>0.43</v>
      </c>
      <c r="M130" s="6">
        <v>0.73</v>
      </c>
      <c r="N130" s="6">
        <v>2.65</v>
      </c>
      <c r="O130" s="6">
        <v>0</v>
      </c>
      <c r="P130" s="6">
        <v>0</v>
      </c>
      <c r="Q130" s="6">
        <v>0</v>
      </c>
    </row>
    <row r="131" spans="1:17" hidden="1" x14ac:dyDescent="0.6">
      <c r="A131" s="4" t="s">
        <v>47</v>
      </c>
      <c r="B131" s="4" t="s">
        <v>732</v>
      </c>
      <c r="C131" s="4" t="s">
        <v>733</v>
      </c>
      <c r="D131" s="7" t="s">
        <v>283</v>
      </c>
      <c r="E131" s="7" t="s">
        <v>914</v>
      </c>
      <c r="F131" s="15" t="s">
        <v>588</v>
      </c>
      <c r="G131" s="6">
        <v>0.78</v>
      </c>
      <c r="H131" s="6">
        <v>0.94</v>
      </c>
      <c r="I131" s="6">
        <v>1.81</v>
      </c>
      <c r="J131" s="6">
        <v>0.63</v>
      </c>
      <c r="K131" s="6">
        <v>1.25</v>
      </c>
      <c r="L131" s="6">
        <v>0.81</v>
      </c>
      <c r="M131" s="6">
        <v>0.56999999999999995</v>
      </c>
      <c r="N131" s="6">
        <v>0</v>
      </c>
      <c r="O131" s="6">
        <v>0</v>
      </c>
      <c r="P131" s="6">
        <v>0</v>
      </c>
      <c r="Q131" s="6">
        <v>0</v>
      </c>
    </row>
    <row r="132" spans="1:17" hidden="1" x14ac:dyDescent="0.6">
      <c r="A132" s="4" t="s">
        <v>47</v>
      </c>
      <c r="B132" s="4" t="s">
        <v>694</v>
      </c>
      <c r="C132" s="4" t="s">
        <v>695</v>
      </c>
      <c r="D132" s="7" t="s">
        <v>231</v>
      </c>
      <c r="E132" s="7" t="s">
        <v>915</v>
      </c>
      <c r="F132" s="15" t="s">
        <v>589</v>
      </c>
      <c r="G132" s="6">
        <v>0.24</v>
      </c>
      <c r="H132" s="6">
        <v>0.62</v>
      </c>
      <c r="I132" s="6">
        <v>1.08</v>
      </c>
      <c r="J132" s="6">
        <v>0.86</v>
      </c>
      <c r="K132" s="6">
        <v>0.69</v>
      </c>
      <c r="L132" s="6">
        <v>0.79</v>
      </c>
      <c r="M132" s="6">
        <v>0.51</v>
      </c>
      <c r="N132" s="6">
        <v>0</v>
      </c>
      <c r="O132" s="6">
        <v>0</v>
      </c>
      <c r="P132" s="6">
        <v>0</v>
      </c>
      <c r="Q132" s="6">
        <v>0</v>
      </c>
    </row>
    <row r="133" spans="1:17" hidden="1" x14ac:dyDescent="0.6">
      <c r="A133" s="4" t="s">
        <v>47</v>
      </c>
      <c r="B133" s="4" t="s">
        <v>694</v>
      </c>
      <c r="C133" s="4" t="s">
        <v>695</v>
      </c>
      <c r="D133" s="7" t="s">
        <v>233</v>
      </c>
      <c r="E133" s="7" t="s">
        <v>916</v>
      </c>
      <c r="F133" s="15" t="s">
        <v>589</v>
      </c>
      <c r="G133" s="6">
        <v>0.3</v>
      </c>
      <c r="H133" s="6">
        <v>-0.15</v>
      </c>
      <c r="I133" s="6">
        <v>0.1</v>
      </c>
      <c r="J133" s="6">
        <v>1.1100000000000001</v>
      </c>
      <c r="K133" s="6">
        <v>0.67</v>
      </c>
      <c r="L133" s="6">
        <v>0.26</v>
      </c>
      <c r="M133" s="6">
        <v>0.71</v>
      </c>
      <c r="N133" s="6">
        <v>0</v>
      </c>
      <c r="O133" s="6">
        <v>0</v>
      </c>
      <c r="P133" s="6">
        <v>0</v>
      </c>
      <c r="Q133" s="6">
        <v>0</v>
      </c>
    </row>
    <row r="134" spans="1:17" hidden="1" x14ac:dyDescent="0.6">
      <c r="A134" s="4" t="s">
        <v>47</v>
      </c>
      <c r="B134" s="4" t="s">
        <v>694</v>
      </c>
      <c r="C134" s="4" t="s">
        <v>695</v>
      </c>
      <c r="D134" s="12" t="s">
        <v>209</v>
      </c>
      <c r="E134" s="12" t="s">
        <v>210</v>
      </c>
      <c r="F134" s="17" t="s">
        <v>588</v>
      </c>
      <c r="G134" s="6">
        <v>0.97</v>
      </c>
      <c r="H134" s="6">
        <v>0</v>
      </c>
      <c r="I134" s="6">
        <v>0</v>
      </c>
      <c r="J134" s="6">
        <v>0</v>
      </c>
      <c r="K134" s="6">
        <v>0.59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</row>
    <row r="135" spans="1:17" hidden="1" x14ac:dyDescent="0.6">
      <c r="A135" s="4" t="s">
        <v>47</v>
      </c>
      <c r="B135" s="4" t="s">
        <v>710</v>
      </c>
      <c r="C135" s="4" t="s">
        <v>711</v>
      </c>
      <c r="D135" s="7" t="s">
        <v>225</v>
      </c>
      <c r="E135" s="7" t="s">
        <v>226</v>
      </c>
      <c r="F135" s="15" t="s">
        <v>588</v>
      </c>
      <c r="G135" s="6">
        <v>0.68</v>
      </c>
      <c r="H135" s="6">
        <v>1.99</v>
      </c>
      <c r="I135" s="6">
        <v>0</v>
      </c>
      <c r="J135" s="6">
        <v>0</v>
      </c>
      <c r="K135" s="6">
        <v>0.46</v>
      </c>
      <c r="L135" s="6">
        <v>1.31</v>
      </c>
      <c r="M135" s="6">
        <v>0.72</v>
      </c>
      <c r="N135" s="6">
        <v>0.08</v>
      </c>
      <c r="O135" s="6">
        <v>0</v>
      </c>
      <c r="P135" s="6">
        <v>0</v>
      </c>
      <c r="Q135" s="6">
        <v>0</v>
      </c>
    </row>
    <row r="136" spans="1:17" hidden="1" x14ac:dyDescent="0.6">
      <c r="A136" s="4" t="s">
        <v>47</v>
      </c>
      <c r="B136" s="4" t="s">
        <v>714</v>
      </c>
      <c r="C136" s="4" t="s">
        <v>715</v>
      </c>
      <c r="D136" s="7" t="s">
        <v>229</v>
      </c>
      <c r="E136" s="7" t="s">
        <v>917</v>
      </c>
      <c r="F136" s="15" t="s">
        <v>589</v>
      </c>
      <c r="G136" s="6">
        <v>2.1800000000000002</v>
      </c>
      <c r="H136" s="6">
        <v>2.5299999999999998</v>
      </c>
      <c r="I136" s="6">
        <v>1.1100000000000001</v>
      </c>
      <c r="J136" s="6">
        <v>0.74</v>
      </c>
      <c r="K136" s="6">
        <v>2.99</v>
      </c>
      <c r="L136" s="6">
        <v>3.74</v>
      </c>
      <c r="M136" s="6">
        <v>0.5</v>
      </c>
      <c r="N136" s="6">
        <v>1.26</v>
      </c>
      <c r="O136" s="6">
        <v>0</v>
      </c>
      <c r="P136" s="6">
        <v>0</v>
      </c>
      <c r="Q136" s="6">
        <v>0</v>
      </c>
    </row>
    <row r="137" spans="1:17" hidden="1" x14ac:dyDescent="0.6">
      <c r="A137" s="4" t="s">
        <v>47</v>
      </c>
      <c r="B137" s="4" t="s">
        <v>692</v>
      </c>
      <c r="C137" s="4" t="s">
        <v>693</v>
      </c>
      <c r="D137" s="12" t="s">
        <v>207</v>
      </c>
      <c r="E137" s="12" t="s">
        <v>918</v>
      </c>
      <c r="F137" s="17" t="s">
        <v>588</v>
      </c>
      <c r="G137" s="6">
        <v>0</v>
      </c>
      <c r="H137" s="6">
        <v>0</v>
      </c>
      <c r="I137" s="6">
        <v>0</v>
      </c>
      <c r="J137" s="6">
        <v>0.57999999999999996</v>
      </c>
      <c r="K137" s="6">
        <v>0.67</v>
      </c>
      <c r="L137" s="6">
        <v>0</v>
      </c>
      <c r="M137" s="6">
        <v>1.1499999999999999</v>
      </c>
      <c r="N137" s="6">
        <v>0</v>
      </c>
      <c r="O137" s="6">
        <v>0</v>
      </c>
      <c r="P137" s="6">
        <v>0</v>
      </c>
      <c r="Q137" s="6">
        <v>0</v>
      </c>
    </row>
    <row r="138" spans="1:17" hidden="1" x14ac:dyDescent="0.6">
      <c r="A138" s="4" t="s">
        <v>919</v>
      </c>
      <c r="B138" s="4" t="s">
        <v>836</v>
      </c>
      <c r="C138" s="4" t="s">
        <v>837</v>
      </c>
      <c r="D138" s="7" t="s">
        <v>488</v>
      </c>
      <c r="E138" s="7" t="s">
        <v>489</v>
      </c>
      <c r="F138" s="15" t="s">
        <v>588</v>
      </c>
      <c r="G138" s="6">
        <v>0.87</v>
      </c>
      <c r="H138" s="6">
        <v>0.76</v>
      </c>
      <c r="I138" s="6">
        <v>0.36</v>
      </c>
      <c r="J138" s="6">
        <v>1.62</v>
      </c>
      <c r="K138" s="6">
        <v>1.43</v>
      </c>
      <c r="L138" s="6">
        <v>2.2000000000000002</v>
      </c>
      <c r="M138" s="6">
        <v>1.9</v>
      </c>
      <c r="N138" s="6">
        <v>1.83</v>
      </c>
      <c r="O138" s="6">
        <v>0</v>
      </c>
      <c r="P138" s="6">
        <v>0</v>
      </c>
      <c r="Q138" s="6">
        <v>0</v>
      </c>
    </row>
    <row r="139" spans="1:17" hidden="1" x14ac:dyDescent="0.6">
      <c r="A139" s="4" t="s">
        <v>919</v>
      </c>
      <c r="B139" s="4" t="s">
        <v>836</v>
      </c>
      <c r="C139" s="4" t="s">
        <v>837</v>
      </c>
      <c r="D139" s="7" t="s">
        <v>490</v>
      </c>
      <c r="E139" s="7" t="s">
        <v>491</v>
      </c>
      <c r="F139" s="15" t="s">
        <v>588</v>
      </c>
      <c r="G139" s="6">
        <v>3.94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</row>
    <row r="140" spans="1:17" hidden="1" x14ac:dyDescent="0.6">
      <c r="A140" s="4" t="s">
        <v>919</v>
      </c>
      <c r="B140" s="4" t="s">
        <v>834</v>
      </c>
      <c r="C140" s="4" t="s">
        <v>835</v>
      </c>
      <c r="D140" s="7" t="s">
        <v>486</v>
      </c>
      <c r="E140" s="7" t="s">
        <v>487</v>
      </c>
      <c r="F140" s="15" t="s">
        <v>588</v>
      </c>
      <c r="G140" s="6">
        <v>0.81</v>
      </c>
      <c r="H140" s="6">
        <v>2.4300000000000002</v>
      </c>
      <c r="I140" s="6">
        <v>1.42</v>
      </c>
      <c r="J140" s="6">
        <v>0.57999999999999996</v>
      </c>
      <c r="K140" s="6">
        <v>1.39</v>
      </c>
      <c r="L140" s="6">
        <v>2.2200000000000002</v>
      </c>
      <c r="M140" s="6">
        <v>0.8</v>
      </c>
      <c r="N140" s="6">
        <v>1.32</v>
      </c>
      <c r="O140" s="6">
        <v>0</v>
      </c>
      <c r="P140" s="6">
        <v>0</v>
      </c>
      <c r="Q140" s="6">
        <v>0</v>
      </c>
    </row>
    <row r="141" spans="1:17" hidden="1" x14ac:dyDescent="0.6">
      <c r="A141" s="4" t="s">
        <v>919</v>
      </c>
      <c r="B141" s="4" t="s">
        <v>838</v>
      </c>
      <c r="C141" s="4" t="s">
        <v>839</v>
      </c>
      <c r="D141" s="7" t="s">
        <v>498</v>
      </c>
      <c r="E141" s="7" t="s">
        <v>499</v>
      </c>
      <c r="F141" s="15" t="s">
        <v>588</v>
      </c>
      <c r="G141" s="6">
        <v>0.9</v>
      </c>
      <c r="H141" s="6">
        <v>0.99</v>
      </c>
      <c r="I141" s="6">
        <v>0.97</v>
      </c>
      <c r="J141" s="6">
        <v>0.56000000000000005</v>
      </c>
      <c r="K141" s="6">
        <v>0.72</v>
      </c>
      <c r="L141" s="6">
        <v>0.92</v>
      </c>
      <c r="M141" s="6">
        <v>1.68</v>
      </c>
      <c r="N141" s="6">
        <v>1.43</v>
      </c>
      <c r="O141" s="6">
        <v>0</v>
      </c>
      <c r="P141" s="6">
        <v>0</v>
      </c>
      <c r="Q141" s="6">
        <v>0</v>
      </c>
    </row>
    <row r="142" spans="1:17" hidden="1" x14ac:dyDescent="0.6">
      <c r="A142" s="4" t="s">
        <v>919</v>
      </c>
      <c r="B142" s="4" t="s">
        <v>838</v>
      </c>
      <c r="C142" s="4" t="s">
        <v>839</v>
      </c>
      <c r="D142" s="7" t="s">
        <v>502</v>
      </c>
      <c r="E142" s="7" t="s">
        <v>503</v>
      </c>
      <c r="F142" s="15" t="s">
        <v>588</v>
      </c>
      <c r="G142" s="6">
        <v>0.38</v>
      </c>
      <c r="H142" s="6">
        <v>0.74</v>
      </c>
      <c r="I142" s="6">
        <v>1.35</v>
      </c>
      <c r="J142" s="6">
        <v>2.06</v>
      </c>
      <c r="K142" s="6">
        <v>1.44</v>
      </c>
      <c r="L142" s="6">
        <v>1.39</v>
      </c>
      <c r="M142" s="6">
        <v>1.62</v>
      </c>
      <c r="N142" s="6">
        <v>1.07</v>
      </c>
      <c r="O142" s="6">
        <v>0</v>
      </c>
      <c r="P142" s="6">
        <v>0</v>
      </c>
      <c r="Q142" s="6">
        <v>0</v>
      </c>
    </row>
    <row r="143" spans="1:17" hidden="1" x14ac:dyDescent="0.6">
      <c r="A143" s="4" t="s">
        <v>919</v>
      </c>
      <c r="B143" s="4" t="s">
        <v>838</v>
      </c>
      <c r="C143" s="4" t="s">
        <v>839</v>
      </c>
      <c r="D143" s="12" t="s">
        <v>504</v>
      </c>
      <c r="E143" s="12" t="s">
        <v>505</v>
      </c>
      <c r="F143" s="17" t="s">
        <v>588</v>
      </c>
      <c r="G143" s="6">
        <v>1.69</v>
      </c>
      <c r="H143" s="6">
        <v>0.96</v>
      </c>
      <c r="I143" s="6">
        <v>1.72</v>
      </c>
      <c r="J143" s="6">
        <v>0.71</v>
      </c>
      <c r="K143" s="6">
        <v>1.1000000000000001</v>
      </c>
      <c r="L143" s="6">
        <v>0.8</v>
      </c>
      <c r="M143" s="6">
        <v>1.54</v>
      </c>
      <c r="N143" s="6">
        <v>1.38</v>
      </c>
      <c r="O143" s="6">
        <v>0</v>
      </c>
      <c r="P143" s="6">
        <v>0</v>
      </c>
      <c r="Q143" s="6">
        <v>0</v>
      </c>
    </row>
    <row r="144" spans="1:17" hidden="1" x14ac:dyDescent="0.6">
      <c r="A144" s="4" t="s">
        <v>919</v>
      </c>
      <c r="B144" s="4" t="s">
        <v>838</v>
      </c>
      <c r="C144" s="4" t="s">
        <v>839</v>
      </c>
      <c r="D144" s="7" t="s">
        <v>500</v>
      </c>
      <c r="E144" s="7" t="s">
        <v>501</v>
      </c>
      <c r="F144" s="15" t="s">
        <v>588</v>
      </c>
      <c r="G144" s="6">
        <v>1.23</v>
      </c>
      <c r="H144" s="6">
        <v>1.02</v>
      </c>
      <c r="I144" s="6">
        <v>1.22</v>
      </c>
      <c r="J144" s="6">
        <v>1.53</v>
      </c>
      <c r="K144" s="6">
        <v>1.72</v>
      </c>
      <c r="L144" s="6">
        <v>2.46</v>
      </c>
      <c r="M144" s="6">
        <v>1.06</v>
      </c>
      <c r="N144" s="6">
        <v>1.17</v>
      </c>
      <c r="O144" s="6">
        <v>0</v>
      </c>
      <c r="P144" s="6">
        <v>0</v>
      </c>
      <c r="Q144" s="6">
        <v>0</v>
      </c>
    </row>
    <row r="145" spans="1:17" hidden="1" x14ac:dyDescent="0.6">
      <c r="A145" s="4" t="s">
        <v>919</v>
      </c>
      <c r="B145" s="4" t="s">
        <v>838</v>
      </c>
      <c r="C145" s="4" t="s">
        <v>839</v>
      </c>
      <c r="D145" s="7" t="s">
        <v>506</v>
      </c>
      <c r="E145" s="7" t="s">
        <v>507</v>
      </c>
      <c r="F145" s="15" t="s">
        <v>588</v>
      </c>
      <c r="G145" s="6">
        <v>1.06</v>
      </c>
      <c r="H145" s="6">
        <v>3.23</v>
      </c>
      <c r="I145" s="6">
        <v>0</v>
      </c>
      <c r="J145" s="6">
        <v>3.21</v>
      </c>
      <c r="K145" s="6">
        <v>0.66</v>
      </c>
      <c r="L145" s="6">
        <v>0.69</v>
      </c>
      <c r="M145" s="6">
        <v>0.66</v>
      </c>
      <c r="N145" s="6">
        <v>1.1100000000000001</v>
      </c>
      <c r="O145" s="6">
        <v>0</v>
      </c>
      <c r="P145" s="6">
        <v>0</v>
      </c>
      <c r="Q145" s="6">
        <v>0</v>
      </c>
    </row>
    <row r="146" spans="1:17" hidden="1" x14ac:dyDescent="0.6">
      <c r="A146" s="4" t="s">
        <v>919</v>
      </c>
      <c r="B146" s="4" t="s">
        <v>838</v>
      </c>
      <c r="C146" s="4" t="s">
        <v>839</v>
      </c>
      <c r="D146" s="7" t="s">
        <v>508</v>
      </c>
      <c r="E146" s="7" t="s">
        <v>509</v>
      </c>
      <c r="F146" s="15" t="s">
        <v>588</v>
      </c>
      <c r="G146" s="6">
        <v>0.8</v>
      </c>
      <c r="H146" s="6">
        <v>0.84</v>
      </c>
      <c r="I146" s="6">
        <v>1.23</v>
      </c>
      <c r="J146" s="6">
        <v>1.18</v>
      </c>
      <c r="K146" s="6">
        <v>0.92</v>
      </c>
      <c r="L146" s="6">
        <v>1.02</v>
      </c>
      <c r="M146" s="6">
        <v>0.71</v>
      </c>
      <c r="N146" s="6">
        <v>1.38</v>
      </c>
      <c r="O146" s="6">
        <v>0</v>
      </c>
      <c r="P146" s="6">
        <v>0</v>
      </c>
      <c r="Q146" s="6">
        <v>0</v>
      </c>
    </row>
    <row r="147" spans="1:17" hidden="1" x14ac:dyDescent="0.6">
      <c r="A147" s="4" t="s">
        <v>919</v>
      </c>
      <c r="B147" s="4" t="s">
        <v>838</v>
      </c>
      <c r="C147" s="4" t="s">
        <v>839</v>
      </c>
      <c r="D147" s="7" t="s">
        <v>510</v>
      </c>
      <c r="E147" s="7" t="s">
        <v>511</v>
      </c>
      <c r="F147" s="15" t="s">
        <v>588</v>
      </c>
      <c r="G147" s="6">
        <v>1.1100000000000001</v>
      </c>
      <c r="H147" s="6">
        <v>1.05</v>
      </c>
      <c r="I147" s="6">
        <v>0.56000000000000005</v>
      </c>
      <c r="J147" s="6">
        <v>0.93</v>
      </c>
      <c r="K147" s="6">
        <v>0.76</v>
      </c>
      <c r="L147" s="6">
        <v>0.96</v>
      </c>
      <c r="M147" s="6">
        <v>1.1200000000000001</v>
      </c>
      <c r="N147" s="6">
        <v>1.05</v>
      </c>
      <c r="O147" s="6">
        <v>0</v>
      </c>
      <c r="P147" s="6">
        <v>0</v>
      </c>
      <c r="Q147" s="6">
        <v>0</v>
      </c>
    </row>
    <row r="148" spans="1:17" hidden="1" x14ac:dyDescent="0.6">
      <c r="A148" s="4" t="s">
        <v>919</v>
      </c>
      <c r="B148" s="4" t="s">
        <v>838</v>
      </c>
      <c r="C148" s="4" t="s">
        <v>839</v>
      </c>
      <c r="D148" s="7" t="s">
        <v>512</v>
      </c>
      <c r="E148" s="7" t="s">
        <v>920</v>
      </c>
      <c r="F148" s="15" t="s">
        <v>588</v>
      </c>
      <c r="G148" s="6">
        <v>1.44</v>
      </c>
      <c r="H148" s="6">
        <v>1.59</v>
      </c>
      <c r="I148" s="6">
        <v>1.1599999999999999</v>
      </c>
      <c r="J148" s="6">
        <v>1.02</v>
      </c>
      <c r="K148" s="6">
        <v>1.63</v>
      </c>
      <c r="L148" s="6">
        <v>1.86</v>
      </c>
      <c r="M148" s="6">
        <v>1.4</v>
      </c>
      <c r="N148" s="6">
        <v>1.62</v>
      </c>
      <c r="O148" s="6">
        <v>0</v>
      </c>
      <c r="P148" s="6">
        <v>0</v>
      </c>
      <c r="Q148" s="6">
        <v>0</v>
      </c>
    </row>
    <row r="149" spans="1:17" hidden="1" x14ac:dyDescent="0.6">
      <c r="A149" s="4" t="s">
        <v>919</v>
      </c>
      <c r="B149" s="4" t="s">
        <v>838</v>
      </c>
      <c r="C149" s="4" t="s">
        <v>839</v>
      </c>
      <c r="D149" s="7" t="s">
        <v>514</v>
      </c>
      <c r="E149" s="7" t="s">
        <v>515</v>
      </c>
      <c r="F149" s="15" t="s">
        <v>588</v>
      </c>
      <c r="G149" s="6">
        <v>1.67</v>
      </c>
      <c r="H149" s="6">
        <v>1.17</v>
      </c>
      <c r="I149" s="6">
        <v>1.7</v>
      </c>
      <c r="J149" s="6">
        <v>1.29</v>
      </c>
      <c r="K149" s="6">
        <v>1.1299999999999999</v>
      </c>
      <c r="L149" s="6">
        <v>0.9</v>
      </c>
      <c r="M149" s="6">
        <v>1.29</v>
      </c>
      <c r="N149" s="6">
        <v>0.46</v>
      </c>
      <c r="O149" s="6">
        <v>0</v>
      </c>
      <c r="P149" s="6">
        <v>0</v>
      </c>
      <c r="Q149" s="6">
        <v>0</v>
      </c>
    </row>
    <row r="150" spans="1:17" hidden="1" x14ac:dyDescent="0.6">
      <c r="A150" s="4" t="s">
        <v>919</v>
      </c>
      <c r="B150" s="4" t="s">
        <v>758</v>
      </c>
      <c r="C150" s="4" t="s">
        <v>759</v>
      </c>
      <c r="D150" s="7" t="s">
        <v>342</v>
      </c>
      <c r="E150" s="7" t="s">
        <v>343</v>
      </c>
      <c r="F150" s="15" t="s">
        <v>588</v>
      </c>
      <c r="G150" s="6">
        <v>1.79</v>
      </c>
      <c r="H150" s="6">
        <v>1.1100000000000001</v>
      </c>
      <c r="I150" s="6">
        <v>0.74</v>
      </c>
      <c r="J150" s="6">
        <v>0.91</v>
      </c>
      <c r="K150" s="6">
        <v>0.2</v>
      </c>
      <c r="L150" s="6">
        <v>1.1499999999999999</v>
      </c>
      <c r="M150" s="6">
        <v>1.53</v>
      </c>
      <c r="N150" s="6">
        <v>-0.12</v>
      </c>
      <c r="O150" s="6">
        <v>0</v>
      </c>
      <c r="P150" s="6">
        <v>0</v>
      </c>
      <c r="Q150" s="6">
        <v>0</v>
      </c>
    </row>
    <row r="151" spans="1:17" hidden="1" x14ac:dyDescent="0.6">
      <c r="A151" s="4" t="s">
        <v>919</v>
      </c>
      <c r="B151" s="4" t="s">
        <v>758</v>
      </c>
      <c r="C151" s="4" t="s">
        <v>759</v>
      </c>
      <c r="D151" s="7" t="s">
        <v>30</v>
      </c>
      <c r="E151" s="7" t="s">
        <v>31</v>
      </c>
      <c r="F151" s="15" t="s">
        <v>588</v>
      </c>
      <c r="G151" s="6">
        <v>1.86</v>
      </c>
      <c r="H151" s="6">
        <v>0.77</v>
      </c>
      <c r="I151" s="6">
        <v>1.47</v>
      </c>
      <c r="J151" s="6">
        <v>0.85</v>
      </c>
      <c r="K151" s="6">
        <v>0.79</v>
      </c>
      <c r="L151" s="6">
        <v>1.48</v>
      </c>
      <c r="M151" s="6">
        <v>1.31</v>
      </c>
      <c r="N151" s="6">
        <v>1.1399999999999999</v>
      </c>
      <c r="O151" s="6">
        <v>0</v>
      </c>
      <c r="P151" s="6">
        <v>0</v>
      </c>
      <c r="Q151" s="6">
        <v>0</v>
      </c>
    </row>
    <row r="152" spans="1:17" hidden="1" x14ac:dyDescent="0.6">
      <c r="A152" s="4" t="s">
        <v>919</v>
      </c>
      <c r="B152" s="4" t="s">
        <v>746</v>
      </c>
      <c r="C152" s="4" t="s">
        <v>747</v>
      </c>
      <c r="D152" s="7" t="s">
        <v>32</v>
      </c>
      <c r="E152" s="7" t="s">
        <v>921</v>
      </c>
      <c r="F152" s="15" t="s">
        <v>589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</row>
    <row r="153" spans="1:17" hidden="1" x14ac:dyDescent="0.6">
      <c r="A153" s="4" t="s">
        <v>919</v>
      </c>
      <c r="B153" s="4" t="s">
        <v>780</v>
      </c>
      <c r="C153" s="4" t="s">
        <v>781</v>
      </c>
      <c r="D153" s="7" t="s">
        <v>28</v>
      </c>
      <c r="E153" s="7" t="s">
        <v>29</v>
      </c>
      <c r="F153" s="15" t="s">
        <v>588</v>
      </c>
      <c r="G153" s="6">
        <v>1.61</v>
      </c>
      <c r="H153" s="6">
        <v>0</v>
      </c>
      <c r="I153" s="6">
        <v>0.98</v>
      </c>
      <c r="J153" s="6">
        <v>0</v>
      </c>
      <c r="K153" s="6">
        <v>2.31</v>
      </c>
      <c r="L153" s="6">
        <v>1.81</v>
      </c>
      <c r="M153" s="6">
        <v>0.56000000000000005</v>
      </c>
      <c r="N153" s="6">
        <v>0.97</v>
      </c>
      <c r="O153" s="6">
        <v>0</v>
      </c>
      <c r="P153" s="6">
        <v>0</v>
      </c>
      <c r="Q153" s="6">
        <v>0</v>
      </c>
    </row>
    <row r="154" spans="1:17" hidden="1" x14ac:dyDescent="0.6">
      <c r="A154" s="4" t="s">
        <v>919</v>
      </c>
      <c r="B154" s="4" t="s">
        <v>780</v>
      </c>
      <c r="C154" s="4" t="s">
        <v>781</v>
      </c>
      <c r="D154" s="7" t="s">
        <v>26</v>
      </c>
      <c r="E154" s="7" t="s">
        <v>27</v>
      </c>
      <c r="F154" s="15" t="s">
        <v>588</v>
      </c>
      <c r="G154" s="6">
        <v>2.5</v>
      </c>
      <c r="H154" s="6">
        <v>2.1800000000000002</v>
      </c>
      <c r="I154" s="6">
        <v>1.03</v>
      </c>
      <c r="J154" s="6">
        <v>0.57999999999999996</v>
      </c>
      <c r="K154" s="6">
        <v>1.1399999999999999</v>
      </c>
      <c r="L154" s="6">
        <v>0.86</v>
      </c>
      <c r="M154" s="6">
        <v>1.1399999999999999</v>
      </c>
      <c r="N154" s="6">
        <v>1.69</v>
      </c>
      <c r="O154" s="6">
        <v>0</v>
      </c>
      <c r="P154" s="6">
        <v>0</v>
      </c>
      <c r="Q154" s="6">
        <v>0</v>
      </c>
    </row>
    <row r="155" spans="1:17" hidden="1" x14ac:dyDescent="0.6">
      <c r="A155" s="4" t="s">
        <v>919</v>
      </c>
      <c r="B155" s="4" t="s">
        <v>782</v>
      </c>
      <c r="C155" s="4" t="s">
        <v>783</v>
      </c>
      <c r="D155" s="7" t="s">
        <v>372</v>
      </c>
      <c r="E155" s="7" t="s">
        <v>373</v>
      </c>
      <c r="F155" s="15" t="s">
        <v>588</v>
      </c>
      <c r="G155" s="6">
        <v>1.75</v>
      </c>
      <c r="H155" s="6">
        <v>2.7</v>
      </c>
      <c r="I155" s="6">
        <v>1.81</v>
      </c>
      <c r="J155" s="6">
        <v>0.39</v>
      </c>
      <c r="K155" s="6">
        <v>0.55000000000000004</v>
      </c>
      <c r="L155" s="6">
        <v>1.33</v>
      </c>
      <c r="M155" s="6">
        <v>1.24</v>
      </c>
      <c r="N155" s="6">
        <v>1.45</v>
      </c>
      <c r="O155" s="6">
        <v>0</v>
      </c>
      <c r="P155" s="6">
        <v>0</v>
      </c>
      <c r="Q155" s="6">
        <v>0</v>
      </c>
    </row>
    <row r="156" spans="1:17" hidden="1" x14ac:dyDescent="0.6">
      <c r="A156" s="4" t="s">
        <v>919</v>
      </c>
      <c r="B156" s="4" t="s">
        <v>766</v>
      </c>
      <c r="C156" s="4" t="s">
        <v>767</v>
      </c>
      <c r="D156" s="7" t="s">
        <v>368</v>
      </c>
      <c r="E156" s="7" t="s">
        <v>369</v>
      </c>
      <c r="F156" s="15" t="s">
        <v>588</v>
      </c>
      <c r="G156" s="6">
        <v>1.4</v>
      </c>
      <c r="H156" s="6">
        <v>2.4500000000000002</v>
      </c>
      <c r="I156" s="6">
        <v>1.2</v>
      </c>
      <c r="J156" s="6">
        <v>2.06</v>
      </c>
      <c r="K156" s="6">
        <v>0.99</v>
      </c>
      <c r="L156" s="6">
        <v>1.3</v>
      </c>
      <c r="M156" s="6">
        <v>1.28</v>
      </c>
      <c r="N156" s="6">
        <v>1.75</v>
      </c>
      <c r="O156" s="6">
        <v>0</v>
      </c>
      <c r="P156" s="6">
        <v>0</v>
      </c>
      <c r="Q156" s="6">
        <v>0</v>
      </c>
    </row>
    <row r="157" spans="1:17" hidden="1" x14ac:dyDescent="0.6">
      <c r="A157" s="4" t="s">
        <v>919</v>
      </c>
      <c r="B157" s="4" t="s">
        <v>766</v>
      </c>
      <c r="C157" s="4" t="s">
        <v>767</v>
      </c>
      <c r="D157" s="7" t="s">
        <v>350</v>
      </c>
      <c r="E157" s="7" t="s">
        <v>922</v>
      </c>
      <c r="F157" s="15" t="s">
        <v>589</v>
      </c>
      <c r="G157" s="6">
        <v>0.98</v>
      </c>
      <c r="H157" s="6">
        <v>0.78</v>
      </c>
      <c r="I157" s="6">
        <v>1.34</v>
      </c>
      <c r="J157" s="6">
        <v>0.28999999999999998</v>
      </c>
      <c r="K157" s="6">
        <v>1.25</v>
      </c>
      <c r="L157" s="6">
        <v>1.42</v>
      </c>
      <c r="M157" s="6">
        <v>0.4</v>
      </c>
      <c r="N157" s="6">
        <v>0.5</v>
      </c>
      <c r="O157" s="6">
        <v>0</v>
      </c>
      <c r="P157" s="6">
        <v>0</v>
      </c>
      <c r="Q157" s="6">
        <v>0</v>
      </c>
    </row>
    <row r="158" spans="1:17" hidden="1" x14ac:dyDescent="0.6">
      <c r="A158" s="4" t="s">
        <v>919</v>
      </c>
      <c r="B158" s="4" t="s">
        <v>766</v>
      </c>
      <c r="C158" s="4" t="s">
        <v>767</v>
      </c>
      <c r="D158" s="7" t="s">
        <v>370</v>
      </c>
      <c r="E158" s="7" t="s">
        <v>371</v>
      </c>
      <c r="F158" s="15" t="s">
        <v>588</v>
      </c>
      <c r="G158" s="6">
        <v>0.98</v>
      </c>
      <c r="H158" s="6">
        <v>2.4</v>
      </c>
      <c r="I158" s="6">
        <v>1.51</v>
      </c>
      <c r="J158" s="6">
        <v>0.66</v>
      </c>
      <c r="K158" s="6">
        <v>0.71</v>
      </c>
      <c r="L158" s="6">
        <v>0.56999999999999995</v>
      </c>
      <c r="M158" s="6">
        <v>0.96</v>
      </c>
      <c r="N158" s="6">
        <v>1.37</v>
      </c>
      <c r="O158" s="6">
        <v>0</v>
      </c>
      <c r="P158" s="6">
        <v>0</v>
      </c>
      <c r="Q158" s="6">
        <v>0</v>
      </c>
    </row>
    <row r="159" spans="1:17" hidden="1" x14ac:dyDescent="0.6">
      <c r="A159" s="4" t="s">
        <v>919</v>
      </c>
      <c r="B159" s="4" t="s">
        <v>740</v>
      </c>
      <c r="C159" s="4" t="s">
        <v>741</v>
      </c>
      <c r="D159" s="7" t="s">
        <v>299</v>
      </c>
      <c r="E159" s="7" t="s">
        <v>300</v>
      </c>
      <c r="F159" s="15" t="s">
        <v>588</v>
      </c>
      <c r="G159" s="6">
        <v>0.93</v>
      </c>
      <c r="H159" s="6">
        <v>0.84</v>
      </c>
      <c r="I159" s="6">
        <v>0.82</v>
      </c>
      <c r="J159" s="6">
        <v>0.8</v>
      </c>
      <c r="K159" s="6">
        <v>1.06</v>
      </c>
      <c r="L159" s="6">
        <v>0.87</v>
      </c>
      <c r="M159" s="6">
        <v>0.8</v>
      </c>
      <c r="N159" s="6">
        <v>0.84</v>
      </c>
      <c r="O159" s="6">
        <v>0</v>
      </c>
      <c r="P159" s="6">
        <v>0</v>
      </c>
      <c r="Q159" s="6">
        <v>0</v>
      </c>
    </row>
    <row r="160" spans="1:17" hidden="1" x14ac:dyDescent="0.6">
      <c r="A160" s="4" t="s">
        <v>919</v>
      </c>
      <c r="B160" s="4" t="s">
        <v>742</v>
      </c>
      <c r="C160" s="4" t="s">
        <v>743</v>
      </c>
      <c r="D160" s="7" t="s">
        <v>305</v>
      </c>
      <c r="E160" s="7" t="s">
        <v>306</v>
      </c>
      <c r="F160" s="15" t="s">
        <v>588</v>
      </c>
      <c r="G160" s="6">
        <v>0.94</v>
      </c>
      <c r="H160" s="6">
        <v>1.25</v>
      </c>
      <c r="I160" s="6">
        <v>1.03</v>
      </c>
      <c r="J160" s="6">
        <v>0.7</v>
      </c>
      <c r="K160" s="6">
        <v>0.47</v>
      </c>
      <c r="L160" s="6">
        <v>0.81</v>
      </c>
      <c r="M160" s="6">
        <v>1.08</v>
      </c>
      <c r="N160" s="6">
        <v>0.7</v>
      </c>
      <c r="O160" s="6">
        <v>0</v>
      </c>
      <c r="P160" s="6">
        <v>0</v>
      </c>
      <c r="Q160" s="6">
        <v>0</v>
      </c>
    </row>
    <row r="161" spans="1:17" hidden="1" x14ac:dyDescent="0.6">
      <c r="A161" s="4" t="s">
        <v>919</v>
      </c>
      <c r="B161" s="4" t="s">
        <v>742</v>
      </c>
      <c r="C161" s="4" t="s">
        <v>743</v>
      </c>
      <c r="D161" s="7" t="s">
        <v>301</v>
      </c>
      <c r="E161" s="7" t="s">
        <v>302</v>
      </c>
      <c r="F161" s="15" t="s">
        <v>588</v>
      </c>
      <c r="G161" s="6">
        <v>0.78</v>
      </c>
      <c r="H161" s="6">
        <v>0.64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</row>
    <row r="162" spans="1:17" hidden="1" x14ac:dyDescent="0.6">
      <c r="A162" s="4" t="s">
        <v>919</v>
      </c>
      <c r="B162" s="4" t="s">
        <v>742</v>
      </c>
      <c r="C162" s="4" t="s">
        <v>743</v>
      </c>
      <c r="D162" s="7" t="s">
        <v>307</v>
      </c>
      <c r="E162" s="7" t="s">
        <v>308</v>
      </c>
      <c r="F162" s="15" t="s">
        <v>588</v>
      </c>
      <c r="G162" s="6">
        <v>0.78</v>
      </c>
      <c r="H162" s="6">
        <v>1.71</v>
      </c>
      <c r="I162" s="6">
        <v>1.57</v>
      </c>
      <c r="J162" s="6">
        <v>0.98</v>
      </c>
      <c r="K162" s="6">
        <v>0.66</v>
      </c>
      <c r="L162" s="6">
        <v>0.82</v>
      </c>
      <c r="M162" s="6">
        <v>1.38</v>
      </c>
      <c r="N162" s="6">
        <v>0.72</v>
      </c>
      <c r="O162" s="6">
        <v>0</v>
      </c>
      <c r="P162" s="6">
        <v>0</v>
      </c>
      <c r="Q162" s="6">
        <v>0</v>
      </c>
    </row>
    <row r="163" spans="1:17" hidden="1" x14ac:dyDescent="0.6">
      <c r="A163" s="4" t="s">
        <v>919</v>
      </c>
      <c r="B163" s="4" t="s">
        <v>742</v>
      </c>
      <c r="C163" s="4" t="s">
        <v>743</v>
      </c>
      <c r="D163" s="7" t="s">
        <v>303</v>
      </c>
      <c r="E163" s="7" t="s">
        <v>304</v>
      </c>
      <c r="F163" s="15" t="s">
        <v>588</v>
      </c>
      <c r="G163" s="6">
        <v>1.1200000000000001</v>
      </c>
      <c r="H163" s="6">
        <v>2.59</v>
      </c>
      <c r="I163" s="6">
        <v>2.61</v>
      </c>
      <c r="J163" s="6">
        <v>1.19</v>
      </c>
      <c r="K163" s="6">
        <v>1.66</v>
      </c>
      <c r="L163" s="6">
        <v>0.55000000000000004</v>
      </c>
      <c r="M163" s="6">
        <v>0.57999999999999996</v>
      </c>
      <c r="N163" s="6">
        <v>1.2</v>
      </c>
      <c r="O163" s="6">
        <v>0</v>
      </c>
      <c r="P163" s="6">
        <v>0</v>
      </c>
      <c r="Q163" s="6">
        <v>0</v>
      </c>
    </row>
    <row r="164" spans="1:17" hidden="1" x14ac:dyDescent="0.6">
      <c r="A164" s="4" t="s">
        <v>919</v>
      </c>
      <c r="B164" s="4" t="s">
        <v>742</v>
      </c>
      <c r="C164" s="4" t="s">
        <v>743</v>
      </c>
      <c r="D164" s="7" t="s">
        <v>309</v>
      </c>
      <c r="E164" s="7" t="s">
        <v>923</v>
      </c>
      <c r="F164" s="15" t="s">
        <v>588</v>
      </c>
      <c r="G164" s="6">
        <v>0.94</v>
      </c>
      <c r="H164" s="6">
        <v>0.92</v>
      </c>
      <c r="I164" s="6">
        <v>0.79</v>
      </c>
      <c r="J164" s="6">
        <v>0.94</v>
      </c>
      <c r="K164" s="6">
        <v>0.7</v>
      </c>
      <c r="L164" s="6">
        <v>1.36</v>
      </c>
      <c r="M164" s="6">
        <v>0.97</v>
      </c>
      <c r="N164" s="6">
        <v>2.21</v>
      </c>
      <c r="O164" s="6">
        <v>0</v>
      </c>
      <c r="P164" s="6">
        <v>0</v>
      </c>
      <c r="Q164" s="6">
        <v>0</v>
      </c>
    </row>
    <row r="165" spans="1:17" hidden="1" x14ac:dyDescent="0.6">
      <c r="A165" s="4" t="s">
        <v>919</v>
      </c>
      <c r="B165" s="4" t="s">
        <v>742</v>
      </c>
      <c r="C165" s="4" t="s">
        <v>743</v>
      </c>
      <c r="D165" s="7" t="s">
        <v>378</v>
      </c>
      <c r="E165" s="7" t="s">
        <v>924</v>
      </c>
      <c r="F165" s="15" t="s">
        <v>589</v>
      </c>
      <c r="G165" s="6">
        <v>1.29</v>
      </c>
      <c r="H165" s="6">
        <v>0.63</v>
      </c>
      <c r="I165" s="6">
        <v>2.88</v>
      </c>
      <c r="J165" s="6">
        <v>1.91</v>
      </c>
      <c r="K165" s="6">
        <v>-0.05</v>
      </c>
      <c r="L165" s="6">
        <v>0.99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</row>
    <row r="166" spans="1:17" hidden="1" x14ac:dyDescent="0.6">
      <c r="A166" s="4" t="s">
        <v>919</v>
      </c>
      <c r="B166" s="4" t="s">
        <v>786</v>
      </c>
      <c r="C166" s="4" t="s">
        <v>787</v>
      </c>
      <c r="D166" s="7" t="s">
        <v>380</v>
      </c>
      <c r="E166" s="7" t="s">
        <v>925</v>
      </c>
      <c r="F166" s="15" t="s">
        <v>589</v>
      </c>
      <c r="G166" s="6">
        <v>0.47</v>
      </c>
      <c r="H166" s="6">
        <v>0.86</v>
      </c>
      <c r="I166" s="6">
        <v>0.88</v>
      </c>
      <c r="J166" s="6">
        <v>1.34</v>
      </c>
      <c r="K166" s="6">
        <v>0.74</v>
      </c>
      <c r="L166" s="6">
        <v>1.41</v>
      </c>
      <c r="M166" s="6">
        <v>0</v>
      </c>
      <c r="N166" s="6">
        <v>2.85</v>
      </c>
      <c r="O166" s="6">
        <v>0</v>
      </c>
      <c r="P166" s="6">
        <v>0</v>
      </c>
      <c r="Q166" s="6">
        <v>0</v>
      </c>
    </row>
    <row r="167" spans="1:17" hidden="1" x14ac:dyDescent="0.6">
      <c r="A167" s="4" t="s">
        <v>919</v>
      </c>
      <c r="B167" s="4" t="s">
        <v>812</v>
      </c>
      <c r="C167" s="4" t="s">
        <v>813</v>
      </c>
      <c r="D167" s="7" t="s">
        <v>440</v>
      </c>
      <c r="E167" s="7" t="s">
        <v>441</v>
      </c>
      <c r="F167" s="15" t="s">
        <v>588</v>
      </c>
      <c r="G167" s="6">
        <v>0</v>
      </c>
      <c r="H167" s="6">
        <v>0.79</v>
      </c>
      <c r="I167" s="6">
        <v>0.64</v>
      </c>
      <c r="J167" s="6">
        <v>0.97</v>
      </c>
      <c r="K167" s="6">
        <v>0.55000000000000004</v>
      </c>
      <c r="L167" s="6">
        <v>0</v>
      </c>
      <c r="M167" s="6">
        <v>0</v>
      </c>
      <c r="N167" s="6">
        <v>1</v>
      </c>
      <c r="O167" s="6">
        <v>0</v>
      </c>
      <c r="P167" s="6">
        <v>0</v>
      </c>
      <c r="Q167" s="6">
        <v>0</v>
      </c>
    </row>
    <row r="168" spans="1:17" hidden="1" x14ac:dyDescent="0.6">
      <c r="A168" s="4" t="s">
        <v>919</v>
      </c>
      <c r="B168" s="4" t="s">
        <v>812</v>
      </c>
      <c r="C168" s="4" t="s">
        <v>813</v>
      </c>
      <c r="D168" s="7" t="s">
        <v>442</v>
      </c>
      <c r="E168" s="7" t="s">
        <v>443</v>
      </c>
      <c r="F168" s="15" t="s">
        <v>588</v>
      </c>
      <c r="G168" s="6">
        <v>0.97</v>
      </c>
      <c r="H168" s="6">
        <v>1.5</v>
      </c>
      <c r="I168" s="6">
        <v>1.77</v>
      </c>
      <c r="J168" s="6">
        <v>0.69</v>
      </c>
      <c r="K168" s="6">
        <v>0.73</v>
      </c>
      <c r="L168" s="6">
        <v>0.74</v>
      </c>
      <c r="M168" s="6">
        <v>1.38</v>
      </c>
      <c r="N168" s="6">
        <v>0.73</v>
      </c>
      <c r="O168" s="6">
        <v>0</v>
      </c>
      <c r="P168" s="6">
        <v>0</v>
      </c>
      <c r="Q168" s="6">
        <v>0</v>
      </c>
    </row>
    <row r="169" spans="1:17" hidden="1" x14ac:dyDescent="0.6">
      <c r="A169" s="4" t="s">
        <v>919</v>
      </c>
      <c r="B169" s="4" t="s">
        <v>812</v>
      </c>
      <c r="C169" s="4" t="s">
        <v>813</v>
      </c>
      <c r="D169" s="7" t="s">
        <v>444</v>
      </c>
      <c r="E169" s="7" t="s">
        <v>445</v>
      </c>
      <c r="F169" s="15" t="s">
        <v>588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</row>
    <row r="170" spans="1:17" hidden="1" x14ac:dyDescent="0.6">
      <c r="A170" s="4" t="s">
        <v>919</v>
      </c>
      <c r="B170" s="4" t="s">
        <v>812</v>
      </c>
      <c r="C170" s="4" t="s">
        <v>813</v>
      </c>
      <c r="D170" s="7" t="s">
        <v>448</v>
      </c>
      <c r="E170" s="7" t="s">
        <v>449</v>
      </c>
      <c r="F170" s="15" t="s">
        <v>588</v>
      </c>
      <c r="G170" s="6">
        <v>0.53</v>
      </c>
      <c r="H170" s="6">
        <v>0</v>
      </c>
      <c r="I170" s="6">
        <v>1.05</v>
      </c>
      <c r="J170" s="6">
        <v>0.78</v>
      </c>
      <c r="K170" s="6">
        <v>0.63</v>
      </c>
      <c r="L170" s="6">
        <v>0.68</v>
      </c>
      <c r="M170" s="6">
        <v>1.06</v>
      </c>
      <c r="N170" s="6">
        <v>0.63</v>
      </c>
      <c r="O170" s="6">
        <v>0</v>
      </c>
      <c r="P170" s="6">
        <v>0</v>
      </c>
      <c r="Q170" s="6">
        <v>0</v>
      </c>
    </row>
    <row r="171" spans="1:17" hidden="1" x14ac:dyDescent="0.6">
      <c r="A171" s="4" t="s">
        <v>919</v>
      </c>
      <c r="B171" s="4" t="s">
        <v>812</v>
      </c>
      <c r="C171" s="4" t="s">
        <v>813</v>
      </c>
      <c r="D171" s="7" t="s">
        <v>446</v>
      </c>
      <c r="E171" s="7" t="s">
        <v>447</v>
      </c>
      <c r="F171" s="15" t="s">
        <v>588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</row>
    <row r="172" spans="1:17" hidden="1" x14ac:dyDescent="0.6">
      <c r="A172" s="4" t="s">
        <v>919</v>
      </c>
      <c r="B172" s="4" t="s">
        <v>812</v>
      </c>
      <c r="C172" s="4" t="s">
        <v>813</v>
      </c>
      <c r="D172" s="7" t="s">
        <v>926</v>
      </c>
      <c r="E172" s="7" t="s">
        <v>927</v>
      </c>
      <c r="F172" s="15" t="s">
        <v>588</v>
      </c>
      <c r="G172" s="6">
        <v>0</v>
      </c>
      <c r="H172" s="6">
        <v>0</v>
      </c>
      <c r="I172" s="6">
        <v>0</v>
      </c>
      <c r="J172" s="6">
        <v>1.59</v>
      </c>
      <c r="K172" s="6">
        <v>0.56000000000000005</v>
      </c>
      <c r="L172" s="6">
        <v>0.79</v>
      </c>
      <c r="M172" s="6">
        <v>0</v>
      </c>
      <c r="N172" s="6">
        <v>0.8</v>
      </c>
      <c r="O172" s="6">
        <v>0</v>
      </c>
      <c r="P172" s="6">
        <v>0</v>
      </c>
      <c r="Q172" s="6">
        <v>0</v>
      </c>
    </row>
    <row r="173" spans="1:17" hidden="1" x14ac:dyDescent="0.6">
      <c r="A173" s="4" t="s">
        <v>919</v>
      </c>
      <c r="B173" s="4" t="s">
        <v>744</v>
      </c>
      <c r="C173" s="4" t="s">
        <v>745</v>
      </c>
      <c r="D173" s="7" t="s">
        <v>313</v>
      </c>
      <c r="E173" s="7" t="s">
        <v>928</v>
      </c>
      <c r="F173" s="15" t="s">
        <v>589</v>
      </c>
      <c r="G173" s="6">
        <v>1.28</v>
      </c>
      <c r="H173" s="6">
        <v>1.38</v>
      </c>
      <c r="I173" s="6">
        <v>1.1299999999999999</v>
      </c>
      <c r="J173" s="6">
        <v>1.21</v>
      </c>
      <c r="K173" s="6">
        <v>1.22</v>
      </c>
      <c r="L173" s="6">
        <v>1.4</v>
      </c>
      <c r="M173" s="6">
        <v>1.24</v>
      </c>
      <c r="N173" s="6">
        <v>1</v>
      </c>
      <c r="O173" s="6">
        <v>0</v>
      </c>
      <c r="P173" s="6">
        <v>0</v>
      </c>
      <c r="Q173" s="6">
        <v>0</v>
      </c>
    </row>
    <row r="174" spans="1:17" hidden="1" x14ac:dyDescent="0.6">
      <c r="A174" s="4" t="s">
        <v>919</v>
      </c>
      <c r="B174" s="4" t="s">
        <v>744</v>
      </c>
      <c r="C174" s="4" t="s">
        <v>745</v>
      </c>
      <c r="D174" s="7" t="s">
        <v>315</v>
      </c>
      <c r="E174" s="7" t="s">
        <v>929</v>
      </c>
      <c r="F174" s="15" t="s">
        <v>589</v>
      </c>
      <c r="G174" s="6">
        <v>1.1399999999999999</v>
      </c>
      <c r="H174" s="6">
        <v>1.5</v>
      </c>
      <c r="I174" s="6">
        <v>0.86</v>
      </c>
      <c r="J174" s="6">
        <v>1.29</v>
      </c>
      <c r="K174" s="6">
        <v>1.28</v>
      </c>
      <c r="L174" s="6">
        <v>1.4</v>
      </c>
      <c r="M174" s="6">
        <v>1.24</v>
      </c>
      <c r="N174" s="6">
        <v>1.3</v>
      </c>
      <c r="O174" s="6">
        <v>0</v>
      </c>
      <c r="P174" s="6">
        <v>0</v>
      </c>
      <c r="Q174" s="6">
        <v>0</v>
      </c>
    </row>
    <row r="175" spans="1:17" hidden="1" x14ac:dyDescent="0.6">
      <c r="A175" s="4" t="s">
        <v>919</v>
      </c>
      <c r="B175" s="4" t="s">
        <v>744</v>
      </c>
      <c r="C175" s="4" t="s">
        <v>745</v>
      </c>
      <c r="D175" s="7" t="s">
        <v>317</v>
      </c>
      <c r="E175" s="7" t="s">
        <v>930</v>
      </c>
      <c r="F175" s="15" t="s">
        <v>589</v>
      </c>
      <c r="G175" s="6">
        <v>1.29</v>
      </c>
      <c r="H175" s="6">
        <v>1.33</v>
      </c>
      <c r="I175" s="6">
        <v>1</v>
      </c>
      <c r="J175" s="6">
        <v>1.33</v>
      </c>
      <c r="K175" s="6">
        <v>1.1200000000000001</v>
      </c>
      <c r="L175" s="6">
        <v>1.1599999999999999</v>
      </c>
      <c r="M175" s="6">
        <v>1.31</v>
      </c>
      <c r="N175" s="6">
        <v>1.25</v>
      </c>
      <c r="O175" s="6">
        <v>0</v>
      </c>
      <c r="P175" s="6">
        <v>0</v>
      </c>
      <c r="Q175" s="6">
        <v>0</v>
      </c>
    </row>
    <row r="176" spans="1:17" hidden="1" x14ac:dyDescent="0.6">
      <c r="A176" s="4" t="s">
        <v>919</v>
      </c>
      <c r="B176" s="4" t="s">
        <v>744</v>
      </c>
      <c r="C176" s="4" t="s">
        <v>745</v>
      </c>
      <c r="D176" s="7" t="s">
        <v>319</v>
      </c>
      <c r="E176" s="7" t="s">
        <v>931</v>
      </c>
      <c r="F176" s="15" t="s">
        <v>589</v>
      </c>
      <c r="G176" s="6">
        <v>1.22</v>
      </c>
      <c r="H176" s="6">
        <v>0.87</v>
      </c>
      <c r="I176" s="6">
        <v>1.3</v>
      </c>
      <c r="J176" s="6">
        <v>1.08</v>
      </c>
      <c r="K176" s="6">
        <v>1.18</v>
      </c>
      <c r="L176" s="6">
        <v>1.23</v>
      </c>
      <c r="M176" s="6">
        <v>0.98</v>
      </c>
      <c r="N176" s="6">
        <v>1.25</v>
      </c>
      <c r="O176" s="6">
        <v>0</v>
      </c>
      <c r="P176" s="6">
        <v>0</v>
      </c>
      <c r="Q176" s="6">
        <v>0</v>
      </c>
    </row>
    <row r="177" spans="1:17" hidden="1" x14ac:dyDescent="0.6">
      <c r="A177" s="4" t="s">
        <v>919</v>
      </c>
      <c r="B177" s="4" t="s">
        <v>744</v>
      </c>
      <c r="C177" s="4" t="s">
        <v>745</v>
      </c>
      <c r="D177" s="7" t="s">
        <v>376</v>
      </c>
      <c r="E177" s="7" t="s">
        <v>932</v>
      </c>
      <c r="F177" s="15" t="s">
        <v>589</v>
      </c>
      <c r="G177" s="6">
        <v>1.23</v>
      </c>
      <c r="H177" s="6">
        <v>0.72</v>
      </c>
      <c r="I177" s="6">
        <v>0.93</v>
      </c>
      <c r="J177" s="6">
        <v>1.19</v>
      </c>
      <c r="K177" s="6">
        <v>1.22</v>
      </c>
      <c r="L177" s="6">
        <v>1.1200000000000001</v>
      </c>
      <c r="M177" s="6">
        <v>1.1599999999999999</v>
      </c>
      <c r="N177" s="6">
        <v>1.22</v>
      </c>
      <c r="O177" s="6">
        <v>0</v>
      </c>
      <c r="P177" s="6">
        <v>0</v>
      </c>
      <c r="Q177" s="6">
        <v>0</v>
      </c>
    </row>
    <row r="178" spans="1:17" hidden="1" x14ac:dyDescent="0.6">
      <c r="A178" s="4" t="s">
        <v>919</v>
      </c>
      <c r="B178" s="4" t="s">
        <v>744</v>
      </c>
      <c r="C178" s="4" t="s">
        <v>745</v>
      </c>
      <c r="D178" s="4" t="s">
        <v>321</v>
      </c>
      <c r="E178" s="4" t="s">
        <v>933</v>
      </c>
      <c r="F178" s="15" t="s">
        <v>589</v>
      </c>
      <c r="G178" s="6">
        <v>1.0900000000000001</v>
      </c>
      <c r="H178" s="6">
        <v>0.61</v>
      </c>
      <c r="I178" s="6">
        <v>1.22</v>
      </c>
      <c r="J178" s="6">
        <v>1.35</v>
      </c>
      <c r="K178" s="6">
        <v>1.1299999999999999</v>
      </c>
      <c r="L178" s="6">
        <v>0.9</v>
      </c>
      <c r="M178" s="6">
        <v>1.0900000000000001</v>
      </c>
      <c r="N178" s="6">
        <v>1.41</v>
      </c>
      <c r="O178" s="6">
        <v>0</v>
      </c>
      <c r="P178" s="6">
        <v>0</v>
      </c>
      <c r="Q178" s="6">
        <v>0</v>
      </c>
    </row>
    <row r="179" spans="1:17" hidden="1" x14ac:dyDescent="0.6">
      <c r="A179" s="4" t="s">
        <v>919</v>
      </c>
      <c r="B179" s="4" t="s">
        <v>744</v>
      </c>
      <c r="C179" s="4" t="s">
        <v>745</v>
      </c>
      <c r="D179" s="7" t="s">
        <v>311</v>
      </c>
      <c r="E179" s="7" t="s">
        <v>934</v>
      </c>
      <c r="F179" s="15" t="s">
        <v>589</v>
      </c>
      <c r="G179" s="6">
        <v>1</v>
      </c>
      <c r="H179" s="6">
        <v>1.02</v>
      </c>
      <c r="I179" s="6">
        <v>1.18</v>
      </c>
      <c r="J179" s="6">
        <v>1.34</v>
      </c>
      <c r="K179" s="6">
        <v>1.03</v>
      </c>
      <c r="L179" s="6">
        <v>1.17</v>
      </c>
      <c r="M179" s="6">
        <v>0.95</v>
      </c>
      <c r="N179" s="6">
        <v>1.18</v>
      </c>
      <c r="O179" s="6">
        <v>0</v>
      </c>
      <c r="P179" s="6">
        <v>0</v>
      </c>
      <c r="Q179" s="6">
        <v>0</v>
      </c>
    </row>
    <row r="180" spans="1:17" hidden="1" x14ac:dyDescent="0.6">
      <c r="A180" s="4" t="s">
        <v>919</v>
      </c>
      <c r="B180" s="4" t="s">
        <v>790</v>
      </c>
      <c r="C180" s="4" t="s">
        <v>791</v>
      </c>
      <c r="D180" s="7" t="s">
        <v>390</v>
      </c>
      <c r="E180" s="7" t="s">
        <v>935</v>
      </c>
      <c r="F180" s="15" t="s">
        <v>588</v>
      </c>
      <c r="G180" s="6">
        <v>2.68</v>
      </c>
      <c r="H180" s="6">
        <v>1.36</v>
      </c>
      <c r="I180" s="6">
        <v>3.03</v>
      </c>
      <c r="J180" s="6">
        <v>3.09</v>
      </c>
      <c r="K180" s="6">
        <v>1.21</v>
      </c>
      <c r="L180" s="6">
        <v>1.26</v>
      </c>
      <c r="M180" s="6">
        <v>1.46</v>
      </c>
      <c r="N180" s="6">
        <v>0.95</v>
      </c>
      <c r="O180" s="6">
        <v>0</v>
      </c>
      <c r="P180" s="6">
        <v>0</v>
      </c>
      <c r="Q180" s="6">
        <v>0</v>
      </c>
    </row>
    <row r="181" spans="1:17" hidden="1" x14ac:dyDescent="0.6">
      <c r="A181" s="4" t="s">
        <v>919</v>
      </c>
      <c r="B181" s="4" t="s">
        <v>790</v>
      </c>
      <c r="C181" s="4" t="s">
        <v>791</v>
      </c>
      <c r="D181" s="7" t="s">
        <v>392</v>
      </c>
      <c r="E181" s="7" t="s">
        <v>936</v>
      </c>
      <c r="F181" s="15" t="s">
        <v>588</v>
      </c>
      <c r="G181" s="6">
        <v>2.2000000000000002</v>
      </c>
      <c r="H181" s="6">
        <v>1.97</v>
      </c>
      <c r="I181" s="6">
        <v>0.9</v>
      </c>
      <c r="J181" s="6">
        <v>1.3</v>
      </c>
      <c r="K181" s="6">
        <v>3.39</v>
      </c>
      <c r="L181" s="6">
        <v>1.07</v>
      </c>
      <c r="M181" s="6">
        <v>2.2000000000000002</v>
      </c>
      <c r="N181" s="6">
        <v>0.72</v>
      </c>
      <c r="O181" s="6">
        <v>0</v>
      </c>
      <c r="P181" s="6">
        <v>0</v>
      </c>
      <c r="Q181" s="6">
        <v>0</v>
      </c>
    </row>
    <row r="182" spans="1:17" hidden="1" x14ac:dyDescent="0.6">
      <c r="A182" s="4" t="s">
        <v>919</v>
      </c>
      <c r="B182" s="4" t="s">
        <v>814</v>
      </c>
      <c r="C182" s="4" t="s">
        <v>815</v>
      </c>
      <c r="D182" s="7" t="s">
        <v>450</v>
      </c>
      <c r="E182" s="7" t="s">
        <v>451</v>
      </c>
      <c r="F182" s="15" t="s">
        <v>588</v>
      </c>
      <c r="G182" s="6">
        <v>0.56999999999999995</v>
      </c>
      <c r="H182" s="6">
        <v>0.6</v>
      </c>
      <c r="I182" s="6">
        <v>0.71</v>
      </c>
      <c r="J182" s="6">
        <v>0.71</v>
      </c>
      <c r="K182" s="6">
        <v>0.63</v>
      </c>
      <c r="L182" s="6">
        <v>1.1100000000000001</v>
      </c>
      <c r="M182" s="6">
        <v>2.25</v>
      </c>
      <c r="N182" s="6">
        <v>1.28</v>
      </c>
      <c r="O182" s="6">
        <v>0</v>
      </c>
      <c r="P182" s="6">
        <v>0</v>
      </c>
      <c r="Q182" s="6">
        <v>0</v>
      </c>
    </row>
    <row r="183" spans="1:17" hidden="1" x14ac:dyDescent="0.6">
      <c r="A183" s="4" t="s">
        <v>919</v>
      </c>
      <c r="B183" s="4" t="s">
        <v>814</v>
      </c>
      <c r="C183" s="4" t="s">
        <v>815</v>
      </c>
      <c r="D183" s="7" t="s">
        <v>452</v>
      </c>
      <c r="E183" s="7" t="s">
        <v>453</v>
      </c>
      <c r="F183" s="15" t="s">
        <v>588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</row>
    <row r="184" spans="1:17" hidden="1" x14ac:dyDescent="0.6">
      <c r="A184" s="4" t="s">
        <v>919</v>
      </c>
      <c r="B184" s="4" t="s">
        <v>810</v>
      </c>
      <c r="C184" s="4" t="s">
        <v>811</v>
      </c>
      <c r="D184" s="7" t="s">
        <v>428</v>
      </c>
      <c r="E184" s="7" t="s">
        <v>429</v>
      </c>
      <c r="F184" s="15" t="s">
        <v>588</v>
      </c>
      <c r="G184" s="6">
        <v>1.36</v>
      </c>
      <c r="H184" s="6">
        <v>1.73</v>
      </c>
      <c r="I184" s="6">
        <v>0.67</v>
      </c>
      <c r="J184" s="6">
        <v>0.9</v>
      </c>
      <c r="K184" s="6">
        <v>1.06</v>
      </c>
      <c r="L184" s="6">
        <v>0.76</v>
      </c>
      <c r="M184" s="6">
        <v>1.25</v>
      </c>
      <c r="N184" s="6">
        <v>1.51</v>
      </c>
      <c r="O184" s="6">
        <v>0</v>
      </c>
      <c r="P184" s="6">
        <v>0</v>
      </c>
      <c r="Q184" s="6">
        <v>0</v>
      </c>
    </row>
    <row r="185" spans="1:17" hidden="1" x14ac:dyDescent="0.6">
      <c r="A185" s="4" t="s">
        <v>919</v>
      </c>
      <c r="B185" s="4" t="s">
        <v>810</v>
      </c>
      <c r="C185" s="4" t="s">
        <v>811</v>
      </c>
      <c r="D185" s="7" t="s">
        <v>430</v>
      </c>
      <c r="E185" s="7" t="s">
        <v>431</v>
      </c>
      <c r="F185" s="15" t="s">
        <v>588</v>
      </c>
      <c r="G185" s="6">
        <v>2.0699999999999998</v>
      </c>
      <c r="H185" s="6">
        <v>1.3</v>
      </c>
      <c r="I185" s="6">
        <v>1.06</v>
      </c>
      <c r="J185" s="6">
        <v>1.4</v>
      </c>
      <c r="K185" s="6">
        <v>0.78</v>
      </c>
      <c r="L185" s="6">
        <v>1.34</v>
      </c>
      <c r="M185" s="6">
        <v>0.78</v>
      </c>
      <c r="N185" s="6">
        <v>0.79</v>
      </c>
      <c r="O185" s="6">
        <v>0</v>
      </c>
      <c r="P185" s="6">
        <v>0</v>
      </c>
      <c r="Q185" s="6">
        <v>0</v>
      </c>
    </row>
    <row r="186" spans="1:17" hidden="1" x14ac:dyDescent="0.6">
      <c r="A186" s="4" t="s">
        <v>919</v>
      </c>
      <c r="B186" s="4" t="s">
        <v>810</v>
      </c>
      <c r="C186" s="4" t="s">
        <v>811</v>
      </c>
      <c r="D186" s="7" t="s">
        <v>432</v>
      </c>
      <c r="E186" s="7" t="s">
        <v>433</v>
      </c>
      <c r="F186" s="15" t="s">
        <v>588</v>
      </c>
      <c r="G186" s="6">
        <v>0.9</v>
      </c>
      <c r="H186" s="6">
        <v>0.79</v>
      </c>
      <c r="I186" s="6">
        <v>1.43</v>
      </c>
      <c r="J186" s="6">
        <v>0.68</v>
      </c>
      <c r="K186" s="6">
        <v>0.55000000000000004</v>
      </c>
      <c r="L186" s="6">
        <v>0.75</v>
      </c>
      <c r="M186" s="6">
        <v>1.1399999999999999</v>
      </c>
      <c r="N186" s="6">
        <v>0.78</v>
      </c>
      <c r="O186" s="6">
        <v>0</v>
      </c>
      <c r="P186" s="6">
        <v>0</v>
      </c>
      <c r="Q186" s="6">
        <v>0</v>
      </c>
    </row>
    <row r="187" spans="1:17" hidden="1" x14ac:dyDescent="0.6">
      <c r="A187" s="4" t="s">
        <v>919</v>
      </c>
      <c r="B187" s="4" t="s">
        <v>810</v>
      </c>
      <c r="C187" s="4" t="s">
        <v>811</v>
      </c>
      <c r="D187" s="7" t="s">
        <v>434</v>
      </c>
      <c r="E187" s="7" t="s">
        <v>937</v>
      </c>
      <c r="F187" s="15" t="s">
        <v>588</v>
      </c>
      <c r="G187" s="6">
        <v>0.57999999999999996</v>
      </c>
      <c r="H187" s="6">
        <v>0.65</v>
      </c>
      <c r="I187" s="6">
        <v>0.85</v>
      </c>
      <c r="J187" s="6">
        <v>0.64</v>
      </c>
      <c r="K187" s="6">
        <v>0.59</v>
      </c>
      <c r="L187" s="6">
        <v>0.65</v>
      </c>
      <c r="M187" s="6">
        <v>0.64</v>
      </c>
      <c r="N187" s="6">
        <v>0.95</v>
      </c>
      <c r="O187" s="6">
        <v>0</v>
      </c>
      <c r="P187" s="6">
        <v>0</v>
      </c>
      <c r="Q187" s="6">
        <v>0</v>
      </c>
    </row>
    <row r="188" spans="1:17" hidden="1" x14ac:dyDescent="0.6">
      <c r="A188" s="4" t="s">
        <v>919</v>
      </c>
      <c r="B188" s="4" t="s">
        <v>810</v>
      </c>
      <c r="C188" s="4" t="s">
        <v>811</v>
      </c>
      <c r="D188" s="7" t="s">
        <v>436</v>
      </c>
      <c r="E188" s="7" t="s">
        <v>437</v>
      </c>
      <c r="F188" s="15" t="s">
        <v>588</v>
      </c>
      <c r="G188" s="6">
        <v>0.77</v>
      </c>
      <c r="H188" s="6">
        <v>0.73</v>
      </c>
      <c r="I188" s="6">
        <v>0.76</v>
      </c>
      <c r="J188" s="6">
        <v>0.62</v>
      </c>
      <c r="K188" s="6">
        <v>1.7</v>
      </c>
      <c r="L188" s="6">
        <v>0.91</v>
      </c>
      <c r="M188" s="6">
        <v>1.1000000000000001</v>
      </c>
      <c r="N188" s="6">
        <v>0.62</v>
      </c>
      <c r="O188" s="6">
        <v>0</v>
      </c>
      <c r="P188" s="6">
        <v>0</v>
      </c>
      <c r="Q188" s="6">
        <v>0</v>
      </c>
    </row>
    <row r="189" spans="1:17" hidden="1" x14ac:dyDescent="0.6">
      <c r="A189" s="4" t="s">
        <v>919</v>
      </c>
      <c r="B189" s="4" t="s">
        <v>810</v>
      </c>
      <c r="C189" s="4" t="s">
        <v>811</v>
      </c>
      <c r="D189" s="7" t="s">
        <v>438</v>
      </c>
      <c r="E189" s="7" t="s">
        <v>938</v>
      </c>
      <c r="F189" s="15" t="s">
        <v>588</v>
      </c>
      <c r="G189" s="6">
        <v>0.95</v>
      </c>
      <c r="H189" s="6">
        <v>0</v>
      </c>
      <c r="I189" s="6">
        <v>2</v>
      </c>
      <c r="J189" s="6">
        <v>0.81</v>
      </c>
      <c r="K189" s="6">
        <v>0.92</v>
      </c>
      <c r="L189" s="6">
        <v>0.65</v>
      </c>
      <c r="M189" s="6">
        <v>0.73</v>
      </c>
      <c r="N189" s="6">
        <v>0.77</v>
      </c>
      <c r="O189" s="6">
        <v>0</v>
      </c>
      <c r="P189" s="6">
        <v>0</v>
      </c>
      <c r="Q189" s="6">
        <v>0</v>
      </c>
    </row>
    <row r="190" spans="1:17" hidden="1" x14ac:dyDescent="0.6">
      <c r="A190" s="4" t="s">
        <v>919</v>
      </c>
      <c r="B190" s="4" t="s">
        <v>796</v>
      </c>
      <c r="C190" s="4" t="s">
        <v>797</v>
      </c>
      <c r="D190" s="7" t="s">
        <v>402</v>
      </c>
      <c r="E190" s="7" t="s">
        <v>403</v>
      </c>
      <c r="F190" s="15" t="s">
        <v>588</v>
      </c>
      <c r="G190" s="6">
        <v>1.18</v>
      </c>
      <c r="H190" s="6">
        <v>0.59</v>
      </c>
      <c r="I190" s="6">
        <v>0.82</v>
      </c>
      <c r="J190" s="6">
        <v>0.63</v>
      </c>
      <c r="K190" s="6">
        <v>0.57999999999999996</v>
      </c>
      <c r="L190" s="6">
        <v>0.51</v>
      </c>
      <c r="M190" s="6">
        <v>1</v>
      </c>
      <c r="N190" s="6">
        <v>0.74</v>
      </c>
      <c r="O190" s="6">
        <v>0</v>
      </c>
      <c r="P190" s="6">
        <v>0</v>
      </c>
      <c r="Q190" s="6">
        <v>0</v>
      </c>
    </row>
    <row r="191" spans="1:17" hidden="1" x14ac:dyDescent="0.6">
      <c r="A191" s="4" t="s">
        <v>919</v>
      </c>
      <c r="B191" s="4" t="s">
        <v>804</v>
      </c>
      <c r="C191" s="4" t="s">
        <v>805</v>
      </c>
      <c r="D191" s="7" t="s">
        <v>412</v>
      </c>
      <c r="E191" s="7" t="s">
        <v>413</v>
      </c>
      <c r="F191" s="15" t="s">
        <v>588</v>
      </c>
      <c r="G191" s="6">
        <v>0.63</v>
      </c>
      <c r="H191" s="6">
        <v>1.97</v>
      </c>
      <c r="I191" s="6">
        <v>0.92</v>
      </c>
      <c r="J191" s="6">
        <v>0.88</v>
      </c>
      <c r="K191" s="6">
        <v>2.09</v>
      </c>
      <c r="L191" s="6">
        <v>1.02</v>
      </c>
      <c r="M191" s="6">
        <v>0.83</v>
      </c>
      <c r="N191" s="6">
        <v>1.34</v>
      </c>
      <c r="O191" s="6">
        <v>0</v>
      </c>
      <c r="P191" s="6">
        <v>0</v>
      </c>
      <c r="Q191" s="6">
        <v>0</v>
      </c>
    </row>
    <row r="192" spans="1:17" hidden="1" x14ac:dyDescent="0.6">
      <c r="A192" s="4" t="s">
        <v>919</v>
      </c>
      <c r="B192" s="4" t="s">
        <v>804</v>
      </c>
      <c r="C192" s="4" t="s">
        <v>805</v>
      </c>
      <c r="D192" s="7" t="s">
        <v>414</v>
      </c>
      <c r="E192" s="7" t="s">
        <v>415</v>
      </c>
      <c r="F192" s="15" t="s">
        <v>588</v>
      </c>
      <c r="G192" s="6">
        <v>0.8</v>
      </c>
      <c r="H192" s="6">
        <v>0.91</v>
      </c>
      <c r="I192" s="6">
        <v>1.17</v>
      </c>
      <c r="J192" s="6">
        <v>1.01</v>
      </c>
      <c r="K192" s="6">
        <v>0.61</v>
      </c>
      <c r="L192" s="6">
        <v>1.03</v>
      </c>
      <c r="M192" s="6">
        <v>0.94</v>
      </c>
      <c r="N192" s="6">
        <v>0.96</v>
      </c>
      <c r="O192" s="6">
        <v>0</v>
      </c>
      <c r="P192" s="6">
        <v>0</v>
      </c>
      <c r="Q192" s="6">
        <v>0</v>
      </c>
    </row>
    <row r="193" spans="1:17" hidden="1" x14ac:dyDescent="0.6">
      <c r="A193" s="4" t="s">
        <v>919</v>
      </c>
      <c r="B193" s="4" t="s">
        <v>804</v>
      </c>
      <c r="C193" s="4" t="s">
        <v>805</v>
      </c>
      <c r="D193" s="7" t="s">
        <v>416</v>
      </c>
      <c r="E193" s="7" t="s">
        <v>417</v>
      </c>
      <c r="F193" s="15" t="s">
        <v>588</v>
      </c>
      <c r="G193" s="6">
        <v>0.93</v>
      </c>
      <c r="H193" s="6">
        <v>0.91</v>
      </c>
      <c r="I193" s="6">
        <v>1.18</v>
      </c>
      <c r="J193" s="6">
        <v>3.31</v>
      </c>
      <c r="K193" s="6">
        <v>0.91</v>
      </c>
      <c r="L193" s="6">
        <v>1.1499999999999999</v>
      </c>
      <c r="M193" s="6">
        <v>1.26</v>
      </c>
      <c r="N193" s="6">
        <v>0.73</v>
      </c>
      <c r="O193" s="6">
        <v>0</v>
      </c>
      <c r="P193" s="6">
        <v>0</v>
      </c>
      <c r="Q193" s="6">
        <v>0</v>
      </c>
    </row>
    <row r="194" spans="1:17" hidden="1" x14ac:dyDescent="0.6">
      <c r="A194" s="4" t="s">
        <v>919</v>
      </c>
      <c r="B194" s="4" t="s">
        <v>804</v>
      </c>
      <c r="C194" s="4" t="s">
        <v>805</v>
      </c>
      <c r="D194" s="7" t="s">
        <v>418</v>
      </c>
      <c r="E194" s="7" t="s">
        <v>939</v>
      </c>
      <c r="F194" s="15" t="s">
        <v>588</v>
      </c>
      <c r="G194" s="6">
        <v>0.79</v>
      </c>
      <c r="H194" s="6">
        <v>1.08</v>
      </c>
      <c r="I194" s="6">
        <v>1.3</v>
      </c>
      <c r="J194" s="6">
        <v>1.05</v>
      </c>
      <c r="K194" s="6">
        <v>1.3</v>
      </c>
      <c r="L194" s="6">
        <v>1.22</v>
      </c>
      <c r="M194" s="6">
        <v>1.88</v>
      </c>
      <c r="N194" s="6">
        <v>1.56</v>
      </c>
      <c r="O194" s="6">
        <v>0</v>
      </c>
      <c r="P194" s="6">
        <v>0</v>
      </c>
      <c r="Q194" s="6">
        <v>0</v>
      </c>
    </row>
    <row r="195" spans="1:17" hidden="1" x14ac:dyDescent="0.6">
      <c r="A195" s="4" t="s">
        <v>919</v>
      </c>
      <c r="B195" s="4" t="s">
        <v>800</v>
      </c>
      <c r="C195" s="4" t="s">
        <v>801</v>
      </c>
      <c r="D195" s="7" t="s">
        <v>406</v>
      </c>
      <c r="E195" s="7" t="s">
        <v>407</v>
      </c>
      <c r="F195" s="15" t="s">
        <v>588</v>
      </c>
      <c r="G195" s="6">
        <v>0</v>
      </c>
      <c r="H195" s="6">
        <v>0</v>
      </c>
      <c r="I195" s="6">
        <v>1.1000000000000001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</row>
    <row r="196" spans="1:17" hidden="1" x14ac:dyDescent="0.6">
      <c r="A196" s="4" t="s">
        <v>919</v>
      </c>
      <c r="B196" s="4" t="s">
        <v>800</v>
      </c>
      <c r="C196" s="4" t="s">
        <v>801</v>
      </c>
      <c r="D196" s="7" t="s">
        <v>408</v>
      </c>
      <c r="E196" s="7" t="s">
        <v>409</v>
      </c>
      <c r="F196" s="15" t="s">
        <v>588</v>
      </c>
      <c r="G196" s="6">
        <v>0</v>
      </c>
      <c r="H196" s="6">
        <v>0</v>
      </c>
      <c r="I196" s="6">
        <v>0</v>
      </c>
      <c r="J196" s="6">
        <v>2.91</v>
      </c>
      <c r="K196" s="6">
        <v>1.57</v>
      </c>
      <c r="L196" s="6">
        <v>0.8</v>
      </c>
      <c r="M196" s="6">
        <v>0.57999999999999996</v>
      </c>
      <c r="N196" s="6">
        <v>0.82</v>
      </c>
      <c r="O196" s="6">
        <v>0</v>
      </c>
      <c r="P196" s="6">
        <v>0</v>
      </c>
      <c r="Q196" s="6">
        <v>0</v>
      </c>
    </row>
    <row r="197" spans="1:17" hidden="1" x14ac:dyDescent="0.6">
      <c r="A197" s="4" t="s">
        <v>919</v>
      </c>
      <c r="B197" s="4" t="s">
        <v>806</v>
      </c>
      <c r="C197" s="4" t="s">
        <v>807</v>
      </c>
      <c r="D197" s="7" t="s">
        <v>420</v>
      </c>
      <c r="E197" s="7" t="s">
        <v>421</v>
      </c>
      <c r="F197" s="15" t="s">
        <v>588</v>
      </c>
      <c r="G197" s="6">
        <v>1</v>
      </c>
      <c r="H197" s="6">
        <v>0.83</v>
      </c>
      <c r="I197" s="6">
        <v>0.8</v>
      </c>
      <c r="J197" s="6">
        <v>0.61</v>
      </c>
      <c r="K197" s="6">
        <v>1.34</v>
      </c>
      <c r="L197" s="6">
        <v>0.68</v>
      </c>
      <c r="M197" s="6">
        <v>0.61</v>
      </c>
      <c r="N197" s="6">
        <v>0.88</v>
      </c>
      <c r="O197" s="6">
        <v>0</v>
      </c>
      <c r="P197" s="6">
        <v>0</v>
      </c>
      <c r="Q197" s="6">
        <v>0</v>
      </c>
    </row>
    <row r="198" spans="1:17" hidden="1" x14ac:dyDescent="0.6">
      <c r="A198" s="4" t="s">
        <v>919</v>
      </c>
      <c r="B198" s="4" t="s">
        <v>806</v>
      </c>
      <c r="C198" s="4" t="s">
        <v>807</v>
      </c>
      <c r="D198" s="7" t="s">
        <v>422</v>
      </c>
      <c r="E198" s="7" t="s">
        <v>423</v>
      </c>
      <c r="F198" s="15" t="s">
        <v>588</v>
      </c>
      <c r="G198" s="6">
        <v>1.1599999999999999</v>
      </c>
      <c r="H198" s="6">
        <v>1.03</v>
      </c>
      <c r="I198" s="6">
        <v>1.1000000000000001</v>
      </c>
      <c r="J198" s="6">
        <v>0.61</v>
      </c>
      <c r="K198" s="6">
        <v>0.64</v>
      </c>
      <c r="L198" s="6">
        <v>0.68</v>
      </c>
      <c r="M198" s="6">
        <v>1.71</v>
      </c>
      <c r="N198" s="6">
        <v>0.89</v>
      </c>
      <c r="O198" s="6">
        <v>0</v>
      </c>
      <c r="P198" s="6">
        <v>0</v>
      </c>
      <c r="Q198" s="6">
        <v>0</v>
      </c>
    </row>
    <row r="199" spans="1:17" hidden="1" x14ac:dyDescent="0.6">
      <c r="A199" s="4" t="s">
        <v>919</v>
      </c>
      <c r="B199" s="4" t="s">
        <v>806</v>
      </c>
      <c r="C199" s="4" t="s">
        <v>807</v>
      </c>
      <c r="D199" s="7" t="s">
        <v>424</v>
      </c>
      <c r="E199" s="7" t="s">
        <v>940</v>
      </c>
      <c r="F199" s="15" t="s">
        <v>588</v>
      </c>
      <c r="G199" s="6">
        <v>1.04</v>
      </c>
      <c r="H199" s="6">
        <v>0.64</v>
      </c>
      <c r="I199" s="6">
        <v>0.52</v>
      </c>
      <c r="J199" s="6">
        <v>0.69</v>
      </c>
      <c r="K199" s="6">
        <v>1.03</v>
      </c>
      <c r="L199" s="6">
        <v>0.65</v>
      </c>
      <c r="M199" s="6">
        <v>0.69</v>
      </c>
      <c r="N199" s="6">
        <v>1.84</v>
      </c>
      <c r="O199" s="6">
        <v>0</v>
      </c>
      <c r="P199" s="6">
        <v>0</v>
      </c>
      <c r="Q199" s="6">
        <v>0</v>
      </c>
    </row>
    <row r="200" spans="1:17" hidden="1" x14ac:dyDescent="0.6">
      <c r="A200" s="4" t="s">
        <v>919</v>
      </c>
      <c r="B200" s="4" t="s">
        <v>752</v>
      </c>
      <c r="C200" s="4" t="s">
        <v>753</v>
      </c>
      <c r="D200" s="7" t="s">
        <v>330</v>
      </c>
      <c r="E200" s="7" t="s">
        <v>331</v>
      </c>
      <c r="F200" s="15" t="s">
        <v>588</v>
      </c>
      <c r="G200" s="6">
        <v>2.2000000000000002</v>
      </c>
      <c r="H200" s="6">
        <v>0.6</v>
      </c>
      <c r="I200" s="6">
        <v>2.27</v>
      </c>
      <c r="J200" s="6">
        <v>0.61</v>
      </c>
      <c r="K200" s="6">
        <v>1.1200000000000001</v>
      </c>
      <c r="L200" s="6">
        <v>1.17</v>
      </c>
      <c r="M200" s="6">
        <v>1.1100000000000001</v>
      </c>
      <c r="N200" s="6">
        <v>0.86</v>
      </c>
      <c r="O200" s="6">
        <v>0</v>
      </c>
      <c r="P200" s="6">
        <v>0</v>
      </c>
      <c r="Q200" s="6">
        <v>0</v>
      </c>
    </row>
    <row r="201" spans="1:17" hidden="1" x14ac:dyDescent="0.6">
      <c r="A201" s="4" t="s">
        <v>919</v>
      </c>
      <c r="B201" s="4" t="s">
        <v>828</v>
      </c>
      <c r="C201" s="4" t="s">
        <v>829</v>
      </c>
      <c r="D201" s="7" t="s">
        <v>474</v>
      </c>
      <c r="E201" s="7" t="s">
        <v>475</v>
      </c>
      <c r="F201" s="15" t="s">
        <v>588</v>
      </c>
      <c r="G201" s="6">
        <v>0.92</v>
      </c>
      <c r="H201" s="6">
        <v>0.84</v>
      </c>
      <c r="I201" s="6">
        <v>0.83</v>
      </c>
      <c r="J201" s="6">
        <v>0.86</v>
      </c>
      <c r="K201" s="6">
        <v>0.77</v>
      </c>
      <c r="L201" s="6">
        <v>0.56000000000000005</v>
      </c>
      <c r="M201" s="6">
        <v>0.87</v>
      </c>
      <c r="N201" s="6">
        <v>1.54</v>
      </c>
      <c r="O201" s="6">
        <v>0</v>
      </c>
      <c r="P201" s="6">
        <v>0</v>
      </c>
      <c r="Q201" s="6">
        <v>0</v>
      </c>
    </row>
    <row r="202" spans="1:17" hidden="1" x14ac:dyDescent="0.6">
      <c r="A202" s="4" t="s">
        <v>919</v>
      </c>
      <c r="B202" s="4" t="s">
        <v>828</v>
      </c>
      <c r="C202" s="4" t="s">
        <v>829</v>
      </c>
      <c r="D202" s="7" t="s">
        <v>476</v>
      </c>
      <c r="E202" s="7" t="s">
        <v>477</v>
      </c>
      <c r="F202" s="15" t="s">
        <v>588</v>
      </c>
      <c r="G202" s="6">
        <v>0.62</v>
      </c>
      <c r="H202" s="6">
        <v>0.83</v>
      </c>
      <c r="I202" s="6">
        <v>1.24</v>
      </c>
      <c r="J202" s="6">
        <v>0.66</v>
      </c>
      <c r="K202" s="6">
        <v>3.28</v>
      </c>
      <c r="L202" s="6">
        <v>1.1299999999999999</v>
      </c>
      <c r="M202" s="6">
        <v>1.28</v>
      </c>
      <c r="N202" s="6">
        <v>1.36</v>
      </c>
      <c r="O202" s="6">
        <v>0</v>
      </c>
      <c r="P202" s="6">
        <v>0</v>
      </c>
      <c r="Q202" s="6">
        <v>0</v>
      </c>
    </row>
    <row r="203" spans="1:17" hidden="1" x14ac:dyDescent="0.6">
      <c r="A203" s="4" t="s">
        <v>919</v>
      </c>
      <c r="B203" s="4" t="s">
        <v>828</v>
      </c>
      <c r="C203" s="4" t="s">
        <v>829</v>
      </c>
      <c r="D203" s="7" t="s">
        <v>478</v>
      </c>
      <c r="E203" s="7" t="s">
        <v>479</v>
      </c>
      <c r="F203" s="15" t="s">
        <v>588</v>
      </c>
      <c r="G203" s="6">
        <v>0.61</v>
      </c>
      <c r="H203" s="6">
        <v>2.4500000000000002</v>
      </c>
      <c r="I203" s="6">
        <v>0.61</v>
      </c>
      <c r="J203" s="6">
        <v>0.57999999999999996</v>
      </c>
      <c r="K203" s="6">
        <v>0.82</v>
      </c>
      <c r="L203" s="6">
        <v>0.57999999999999996</v>
      </c>
      <c r="M203" s="6">
        <v>1</v>
      </c>
      <c r="N203" s="6">
        <v>0.38</v>
      </c>
      <c r="O203" s="6">
        <v>0</v>
      </c>
      <c r="P203" s="6">
        <v>0</v>
      </c>
      <c r="Q203" s="6">
        <v>0</v>
      </c>
    </row>
    <row r="204" spans="1:17" hidden="1" x14ac:dyDescent="0.6">
      <c r="A204" s="4" t="s">
        <v>919</v>
      </c>
      <c r="B204" s="4" t="s">
        <v>828</v>
      </c>
      <c r="C204" s="4" t="s">
        <v>829</v>
      </c>
      <c r="D204" s="7" t="s">
        <v>480</v>
      </c>
      <c r="E204" s="7" t="s">
        <v>941</v>
      </c>
      <c r="F204" s="15" t="s">
        <v>588</v>
      </c>
      <c r="G204" s="6">
        <v>1.25</v>
      </c>
      <c r="H204" s="6">
        <v>0.59</v>
      </c>
      <c r="I204" s="6">
        <v>1.77</v>
      </c>
      <c r="J204" s="6">
        <v>0.56000000000000005</v>
      </c>
      <c r="K204" s="6">
        <v>0.75</v>
      </c>
      <c r="L204" s="6">
        <v>0.66</v>
      </c>
      <c r="M204" s="6">
        <v>1.2</v>
      </c>
      <c r="N204" s="6">
        <v>2.46</v>
      </c>
      <c r="O204" s="6">
        <v>0</v>
      </c>
      <c r="P204" s="6">
        <v>0</v>
      </c>
      <c r="Q204" s="6">
        <v>0</v>
      </c>
    </row>
    <row r="205" spans="1:17" hidden="1" x14ac:dyDescent="0.6">
      <c r="A205" s="4" t="s">
        <v>919</v>
      </c>
      <c r="B205" s="4" t="s">
        <v>748</v>
      </c>
      <c r="C205" s="4" t="s">
        <v>749</v>
      </c>
      <c r="D205" s="7" t="s">
        <v>324</v>
      </c>
      <c r="E205" s="7" t="s">
        <v>942</v>
      </c>
      <c r="F205" s="15" t="s">
        <v>588</v>
      </c>
      <c r="G205" s="6">
        <v>0.85</v>
      </c>
      <c r="H205" s="6">
        <v>0</v>
      </c>
      <c r="I205" s="6">
        <v>1.1100000000000001</v>
      </c>
      <c r="J205" s="6">
        <v>0</v>
      </c>
      <c r="K205" s="6">
        <v>0</v>
      </c>
      <c r="L205" s="6">
        <v>0.85</v>
      </c>
      <c r="M205" s="6">
        <v>0.92</v>
      </c>
      <c r="N205" s="6">
        <v>0</v>
      </c>
      <c r="O205" s="6">
        <v>0</v>
      </c>
      <c r="P205" s="6">
        <v>0</v>
      </c>
      <c r="Q205" s="6">
        <v>0</v>
      </c>
    </row>
    <row r="206" spans="1:17" hidden="1" x14ac:dyDescent="0.6">
      <c r="A206" s="4" t="s">
        <v>919</v>
      </c>
      <c r="B206" s="4" t="s">
        <v>748</v>
      </c>
      <c r="C206" s="4" t="s">
        <v>749</v>
      </c>
      <c r="D206" s="7" t="s">
        <v>382</v>
      </c>
      <c r="E206" s="7" t="s">
        <v>943</v>
      </c>
      <c r="F206" s="15" t="s">
        <v>589</v>
      </c>
      <c r="G206" s="6">
        <v>1.24</v>
      </c>
      <c r="H206" s="6">
        <v>0.97</v>
      </c>
      <c r="I206" s="6">
        <v>1.05</v>
      </c>
      <c r="J206" s="6">
        <v>0.81</v>
      </c>
      <c r="K206" s="6">
        <v>0.8</v>
      </c>
      <c r="L206" s="6">
        <v>0.83</v>
      </c>
      <c r="M206" s="6">
        <v>1.02</v>
      </c>
      <c r="N206" s="6">
        <v>1.18</v>
      </c>
      <c r="O206" s="6">
        <v>0</v>
      </c>
      <c r="P206" s="6">
        <v>0</v>
      </c>
      <c r="Q206" s="6">
        <v>0</v>
      </c>
    </row>
    <row r="207" spans="1:17" hidden="1" x14ac:dyDescent="0.6">
      <c r="A207" s="4" t="s">
        <v>919</v>
      </c>
      <c r="B207" s="4" t="s">
        <v>748</v>
      </c>
      <c r="C207" s="4" t="s">
        <v>749</v>
      </c>
      <c r="D207" s="7" t="s">
        <v>326</v>
      </c>
      <c r="E207" s="7" t="s">
        <v>944</v>
      </c>
      <c r="F207" s="15" t="s">
        <v>588</v>
      </c>
      <c r="G207" s="6">
        <v>1.2</v>
      </c>
      <c r="H207" s="6">
        <v>1.0900000000000001</v>
      </c>
      <c r="I207" s="6">
        <v>0.67</v>
      </c>
      <c r="J207" s="6">
        <v>1.44</v>
      </c>
      <c r="K207" s="6">
        <v>0.99</v>
      </c>
      <c r="L207" s="6">
        <v>0.97</v>
      </c>
      <c r="M207" s="6">
        <v>1</v>
      </c>
      <c r="N207" s="6">
        <v>1.1299999999999999</v>
      </c>
      <c r="O207" s="6">
        <v>0</v>
      </c>
      <c r="P207" s="6">
        <v>0</v>
      </c>
      <c r="Q207" s="6">
        <v>0</v>
      </c>
    </row>
    <row r="208" spans="1:17" hidden="1" x14ac:dyDescent="0.6">
      <c r="A208" s="4" t="s">
        <v>919</v>
      </c>
      <c r="B208" s="4" t="s">
        <v>760</v>
      </c>
      <c r="C208" s="4" t="s">
        <v>761</v>
      </c>
      <c r="D208" s="7" t="s">
        <v>344</v>
      </c>
      <c r="E208" s="7" t="s">
        <v>345</v>
      </c>
      <c r="F208" s="15" t="s">
        <v>588</v>
      </c>
      <c r="G208" s="6">
        <v>1.59</v>
      </c>
      <c r="H208" s="6">
        <v>0.64</v>
      </c>
      <c r="I208" s="6">
        <v>0.67</v>
      </c>
      <c r="J208" s="6">
        <v>1.62</v>
      </c>
      <c r="K208" s="6">
        <v>1.22</v>
      </c>
      <c r="L208" s="6">
        <v>0.82</v>
      </c>
      <c r="M208" s="6">
        <v>0.9</v>
      </c>
      <c r="N208" s="6">
        <v>1</v>
      </c>
      <c r="O208" s="6">
        <v>0</v>
      </c>
      <c r="P208" s="6">
        <v>0</v>
      </c>
      <c r="Q208" s="6">
        <v>0</v>
      </c>
    </row>
    <row r="209" spans="1:17" hidden="1" x14ac:dyDescent="0.6">
      <c r="A209" s="4" t="s">
        <v>919</v>
      </c>
      <c r="B209" s="4" t="s">
        <v>754</v>
      </c>
      <c r="C209" s="4" t="s">
        <v>755</v>
      </c>
      <c r="D209" s="7" t="s">
        <v>334</v>
      </c>
      <c r="E209" s="7" t="s">
        <v>335</v>
      </c>
      <c r="F209" s="15" t="s">
        <v>588</v>
      </c>
      <c r="G209" s="6">
        <v>1.01</v>
      </c>
      <c r="H209" s="6">
        <v>0.96</v>
      </c>
      <c r="I209" s="6">
        <v>0.99</v>
      </c>
      <c r="J209" s="6">
        <v>0.8</v>
      </c>
      <c r="K209" s="6">
        <v>0.93</v>
      </c>
      <c r="L209" s="6">
        <v>1.1499999999999999</v>
      </c>
      <c r="M209" s="6">
        <v>0.94</v>
      </c>
      <c r="N209" s="6">
        <v>1.22</v>
      </c>
      <c r="O209" s="6">
        <v>0</v>
      </c>
      <c r="P209" s="6">
        <v>0</v>
      </c>
      <c r="Q209" s="6">
        <v>0</v>
      </c>
    </row>
    <row r="210" spans="1:17" hidden="1" x14ac:dyDescent="0.6">
      <c r="A210" s="4" t="s">
        <v>919</v>
      </c>
      <c r="B210" s="4" t="s">
        <v>754</v>
      </c>
      <c r="C210" s="4" t="s">
        <v>755</v>
      </c>
      <c r="D210" s="7" t="s">
        <v>336</v>
      </c>
      <c r="E210" s="7" t="s">
        <v>337</v>
      </c>
      <c r="F210" s="15" t="s">
        <v>588</v>
      </c>
      <c r="G210" s="6">
        <v>1.1200000000000001</v>
      </c>
      <c r="H210" s="6">
        <v>0.95</v>
      </c>
      <c r="I210" s="6">
        <v>1.1100000000000001</v>
      </c>
      <c r="J210" s="6">
        <v>0.87</v>
      </c>
      <c r="K210" s="6">
        <v>0.93</v>
      </c>
      <c r="L210" s="6">
        <v>0.9</v>
      </c>
      <c r="M210" s="6">
        <v>1.02</v>
      </c>
      <c r="N210" s="6">
        <v>1.57</v>
      </c>
      <c r="O210" s="6">
        <v>0</v>
      </c>
      <c r="P210" s="6">
        <v>0</v>
      </c>
      <c r="Q210" s="6">
        <v>0</v>
      </c>
    </row>
    <row r="211" spans="1:17" hidden="1" x14ac:dyDescent="0.6">
      <c r="A211" s="4" t="s">
        <v>919</v>
      </c>
      <c r="B211" s="4" t="s">
        <v>754</v>
      </c>
      <c r="C211" s="4" t="s">
        <v>755</v>
      </c>
      <c r="D211" s="7" t="s">
        <v>338</v>
      </c>
      <c r="E211" s="7" t="s">
        <v>339</v>
      </c>
      <c r="F211" s="15" t="s">
        <v>588</v>
      </c>
      <c r="G211" s="6">
        <v>1.87</v>
      </c>
      <c r="H211" s="6">
        <v>0.85</v>
      </c>
      <c r="I211" s="6">
        <v>0.59</v>
      </c>
      <c r="J211" s="6">
        <v>0.41</v>
      </c>
      <c r="K211" s="6">
        <v>1.43</v>
      </c>
      <c r="L211" s="6">
        <v>1.05</v>
      </c>
      <c r="M211" s="6">
        <v>0.89</v>
      </c>
      <c r="N211" s="6">
        <v>1.21</v>
      </c>
      <c r="O211" s="6">
        <v>0</v>
      </c>
      <c r="P211" s="6">
        <v>0</v>
      </c>
      <c r="Q211" s="6">
        <v>0</v>
      </c>
    </row>
    <row r="212" spans="1:17" hidden="1" x14ac:dyDescent="0.6">
      <c r="A212" s="4" t="s">
        <v>919</v>
      </c>
      <c r="B212" s="4" t="s">
        <v>754</v>
      </c>
      <c r="C212" s="4" t="s">
        <v>755</v>
      </c>
      <c r="D212" s="7" t="s">
        <v>332</v>
      </c>
      <c r="E212" s="7" t="s">
        <v>945</v>
      </c>
      <c r="F212" s="15" t="s">
        <v>589</v>
      </c>
      <c r="G212" s="6">
        <v>1.53</v>
      </c>
      <c r="H212" s="6">
        <v>1.1100000000000001</v>
      </c>
      <c r="I212" s="6">
        <v>1.18</v>
      </c>
      <c r="J212" s="6">
        <v>0.91</v>
      </c>
      <c r="K212" s="6">
        <v>0.68</v>
      </c>
      <c r="L212" s="6">
        <v>0.8</v>
      </c>
      <c r="M212" s="6">
        <v>1.08</v>
      </c>
      <c r="N212" s="6">
        <v>0.75</v>
      </c>
      <c r="O212" s="6">
        <v>0</v>
      </c>
      <c r="P212" s="6">
        <v>0</v>
      </c>
      <c r="Q212" s="6">
        <v>0</v>
      </c>
    </row>
    <row r="213" spans="1:17" hidden="1" x14ac:dyDescent="0.6">
      <c r="A213" s="4" t="s">
        <v>919</v>
      </c>
      <c r="B213" s="4" t="s">
        <v>756</v>
      </c>
      <c r="C213" s="4" t="s">
        <v>757</v>
      </c>
      <c r="D213" s="7" t="s">
        <v>340</v>
      </c>
      <c r="E213" s="7" t="s">
        <v>341</v>
      </c>
      <c r="F213" s="15" t="s">
        <v>588</v>
      </c>
      <c r="G213" s="6">
        <v>1.02</v>
      </c>
      <c r="H213" s="6">
        <v>0.91</v>
      </c>
      <c r="I213" s="6">
        <v>0.66</v>
      </c>
      <c r="J213" s="6">
        <v>0.74</v>
      </c>
      <c r="K213" s="6">
        <v>0.81</v>
      </c>
      <c r="L213" s="6">
        <v>0.83</v>
      </c>
      <c r="M213" s="6">
        <v>0.94</v>
      </c>
      <c r="N213" s="6">
        <v>1.1299999999999999</v>
      </c>
      <c r="O213" s="6">
        <v>0</v>
      </c>
      <c r="P213" s="6">
        <v>0</v>
      </c>
      <c r="Q213" s="6">
        <v>0</v>
      </c>
    </row>
    <row r="214" spans="1:17" hidden="1" x14ac:dyDescent="0.6">
      <c r="A214" s="4" t="s">
        <v>919</v>
      </c>
      <c r="B214" s="4" t="s">
        <v>816</v>
      </c>
      <c r="C214" s="4" t="s">
        <v>817</v>
      </c>
      <c r="D214" s="7" t="s">
        <v>454</v>
      </c>
      <c r="E214" s="7" t="s">
        <v>455</v>
      </c>
      <c r="F214" s="15" t="s">
        <v>588</v>
      </c>
      <c r="G214" s="6">
        <v>0.75</v>
      </c>
      <c r="H214" s="6">
        <v>0.88</v>
      </c>
      <c r="I214" s="6">
        <v>0.88</v>
      </c>
      <c r="J214" s="6">
        <v>0.92</v>
      </c>
      <c r="K214" s="6">
        <v>0.78</v>
      </c>
      <c r="L214" s="6">
        <v>1.7</v>
      </c>
      <c r="M214" s="6">
        <v>1.17</v>
      </c>
      <c r="N214" s="6">
        <v>0.65</v>
      </c>
      <c r="O214" s="6">
        <v>0</v>
      </c>
      <c r="P214" s="6">
        <v>0</v>
      </c>
      <c r="Q214" s="6">
        <v>0</v>
      </c>
    </row>
    <row r="215" spans="1:17" hidden="1" x14ac:dyDescent="0.6">
      <c r="A215" s="4" t="s">
        <v>919</v>
      </c>
      <c r="B215" s="4" t="s">
        <v>768</v>
      </c>
      <c r="C215" s="4" t="s">
        <v>946</v>
      </c>
      <c r="D215" s="7" t="s">
        <v>396</v>
      </c>
      <c r="E215" s="7" t="s">
        <v>397</v>
      </c>
      <c r="F215" s="15" t="s">
        <v>588</v>
      </c>
      <c r="G215" s="6">
        <v>1.27</v>
      </c>
      <c r="H215" s="6">
        <v>1.5</v>
      </c>
      <c r="I215" s="6">
        <v>2.85</v>
      </c>
      <c r="J215" s="6">
        <v>0.68</v>
      </c>
      <c r="K215" s="6">
        <v>0.37</v>
      </c>
      <c r="L215" s="6">
        <v>1.1399999999999999</v>
      </c>
      <c r="M215" s="6">
        <v>0.59</v>
      </c>
      <c r="N215" s="6">
        <v>0.92</v>
      </c>
      <c r="O215" s="6">
        <v>0</v>
      </c>
      <c r="P215" s="6">
        <v>0</v>
      </c>
      <c r="Q215" s="6">
        <v>0</v>
      </c>
    </row>
    <row r="216" spans="1:17" hidden="1" x14ac:dyDescent="0.6">
      <c r="A216" s="4" t="s">
        <v>919</v>
      </c>
      <c r="B216" s="4" t="s">
        <v>768</v>
      </c>
      <c r="C216" s="4" t="s">
        <v>769</v>
      </c>
      <c r="D216" s="7" t="s">
        <v>352</v>
      </c>
      <c r="E216" s="7" t="s">
        <v>947</v>
      </c>
      <c r="F216" s="15" t="s">
        <v>589</v>
      </c>
      <c r="G216" s="6">
        <v>0.98</v>
      </c>
      <c r="H216" s="6">
        <v>1.1399999999999999</v>
      </c>
      <c r="I216" s="6">
        <v>0.75</v>
      </c>
      <c r="J216" s="6">
        <v>1.1100000000000001</v>
      </c>
      <c r="K216" s="6">
        <v>0.62</v>
      </c>
      <c r="L216" s="6">
        <v>0.74</v>
      </c>
      <c r="M216" s="6">
        <v>0.68</v>
      </c>
      <c r="N216" s="6">
        <v>1.0900000000000001</v>
      </c>
      <c r="O216" s="6">
        <v>0</v>
      </c>
      <c r="P216" s="6">
        <v>0</v>
      </c>
      <c r="Q216" s="6">
        <v>0</v>
      </c>
    </row>
    <row r="217" spans="1:17" hidden="1" x14ac:dyDescent="0.6">
      <c r="A217" s="4" t="s">
        <v>919</v>
      </c>
      <c r="B217" s="4" t="s">
        <v>794</v>
      </c>
      <c r="C217" s="4" t="s">
        <v>795</v>
      </c>
      <c r="D217" s="7" t="s">
        <v>398</v>
      </c>
      <c r="E217" s="7" t="s">
        <v>399</v>
      </c>
      <c r="F217" s="15" t="s">
        <v>588</v>
      </c>
      <c r="G217" s="6">
        <v>0.57999999999999996</v>
      </c>
      <c r="H217" s="6">
        <v>0.69</v>
      </c>
      <c r="I217" s="6">
        <v>0.66</v>
      </c>
      <c r="J217" s="6">
        <v>0.63</v>
      </c>
      <c r="K217" s="6">
        <v>0.56999999999999995</v>
      </c>
      <c r="L217" s="6">
        <v>0.57999999999999996</v>
      </c>
      <c r="M217" s="6">
        <v>1.21</v>
      </c>
      <c r="N217" s="6">
        <v>1.22</v>
      </c>
      <c r="O217" s="6">
        <v>0</v>
      </c>
      <c r="P217" s="6">
        <v>0</v>
      </c>
      <c r="Q217" s="6">
        <v>0</v>
      </c>
    </row>
    <row r="218" spans="1:17" hidden="1" x14ac:dyDescent="0.6">
      <c r="A218" s="4" t="s">
        <v>919</v>
      </c>
      <c r="B218" s="4" t="s">
        <v>794</v>
      </c>
      <c r="C218" s="4" t="s">
        <v>795</v>
      </c>
      <c r="D218" s="7" t="s">
        <v>400</v>
      </c>
      <c r="E218" s="7" t="s">
        <v>401</v>
      </c>
      <c r="F218" s="15" t="s">
        <v>588</v>
      </c>
      <c r="G218" s="6">
        <v>2.19</v>
      </c>
      <c r="H218" s="6">
        <v>0.65</v>
      </c>
      <c r="I218" s="6">
        <v>2.5299999999999998</v>
      </c>
      <c r="J218" s="6">
        <v>2.4900000000000002</v>
      </c>
      <c r="K218" s="6">
        <v>1.41</v>
      </c>
      <c r="L218" s="6">
        <v>1.97</v>
      </c>
      <c r="M218" s="6">
        <v>1.46</v>
      </c>
      <c r="N218" s="6">
        <v>2.5</v>
      </c>
      <c r="O218" s="6">
        <v>0</v>
      </c>
      <c r="P218" s="6">
        <v>0</v>
      </c>
      <c r="Q218" s="6">
        <v>0</v>
      </c>
    </row>
    <row r="219" spans="1:17" hidden="1" x14ac:dyDescent="0.6">
      <c r="A219" s="4" t="s">
        <v>919</v>
      </c>
      <c r="B219" s="4" t="s">
        <v>824</v>
      </c>
      <c r="C219" s="4" t="s">
        <v>825</v>
      </c>
      <c r="D219" s="7" t="s">
        <v>470</v>
      </c>
      <c r="E219" s="7" t="s">
        <v>471</v>
      </c>
      <c r="F219" s="15" t="s">
        <v>588</v>
      </c>
      <c r="G219" s="6">
        <v>0.87</v>
      </c>
      <c r="H219" s="6">
        <v>1.07</v>
      </c>
      <c r="I219" s="6">
        <v>1.63</v>
      </c>
      <c r="J219" s="6">
        <v>1.0900000000000001</v>
      </c>
      <c r="K219" s="6">
        <v>0.8</v>
      </c>
      <c r="L219" s="6">
        <v>0.6</v>
      </c>
      <c r="M219" s="6">
        <v>2.04</v>
      </c>
      <c r="N219" s="6">
        <v>1.1000000000000001</v>
      </c>
      <c r="O219" s="6">
        <v>0</v>
      </c>
      <c r="P219" s="6">
        <v>0</v>
      </c>
      <c r="Q219" s="6">
        <v>0</v>
      </c>
    </row>
    <row r="220" spans="1:17" hidden="1" x14ac:dyDescent="0.6">
      <c r="A220" s="4" t="s">
        <v>919</v>
      </c>
      <c r="B220" s="4" t="s">
        <v>778</v>
      </c>
      <c r="C220" s="4" t="s">
        <v>779</v>
      </c>
      <c r="D220" s="7" t="s">
        <v>366</v>
      </c>
      <c r="E220" s="7" t="s">
        <v>367</v>
      </c>
      <c r="F220" s="15" t="s">
        <v>588</v>
      </c>
      <c r="G220" s="6">
        <v>1.22</v>
      </c>
      <c r="H220" s="6">
        <v>0.63</v>
      </c>
      <c r="I220" s="6">
        <v>1.58</v>
      </c>
      <c r="J220" s="6">
        <v>0.8</v>
      </c>
      <c r="K220" s="6">
        <v>0.67</v>
      </c>
      <c r="L220" s="6">
        <v>1.1100000000000001</v>
      </c>
      <c r="M220" s="6">
        <v>0.71</v>
      </c>
      <c r="N220" s="6">
        <v>1.58</v>
      </c>
      <c r="O220" s="6">
        <v>0</v>
      </c>
      <c r="P220" s="6">
        <v>0</v>
      </c>
      <c r="Q220" s="6">
        <v>0</v>
      </c>
    </row>
    <row r="221" spans="1:17" hidden="1" x14ac:dyDescent="0.6">
      <c r="A221" s="4" t="s">
        <v>919</v>
      </c>
      <c r="B221" s="4" t="s">
        <v>770</v>
      </c>
      <c r="C221" s="4" t="s">
        <v>771</v>
      </c>
      <c r="D221" s="7" t="s">
        <v>354</v>
      </c>
      <c r="E221" s="7" t="s">
        <v>355</v>
      </c>
      <c r="F221" s="15" t="s">
        <v>588</v>
      </c>
      <c r="G221" s="6">
        <v>1.44</v>
      </c>
      <c r="H221" s="6">
        <v>0.86</v>
      </c>
      <c r="I221" s="6">
        <v>1.64</v>
      </c>
      <c r="J221" s="6">
        <v>1.76</v>
      </c>
      <c r="K221" s="6">
        <v>1.63</v>
      </c>
      <c r="L221" s="6">
        <v>0.65</v>
      </c>
      <c r="M221" s="6">
        <v>0.93</v>
      </c>
      <c r="N221" s="6">
        <v>0.63</v>
      </c>
      <c r="O221" s="6">
        <v>0</v>
      </c>
      <c r="P221" s="6">
        <v>0</v>
      </c>
      <c r="Q221" s="6">
        <v>0</v>
      </c>
    </row>
    <row r="222" spans="1:17" hidden="1" x14ac:dyDescent="0.6">
      <c r="A222" s="4" t="s">
        <v>919</v>
      </c>
      <c r="B222" s="4" t="s">
        <v>776</v>
      </c>
      <c r="C222" s="4" t="s">
        <v>777</v>
      </c>
      <c r="D222" s="7" t="s">
        <v>364</v>
      </c>
      <c r="E222" s="7" t="s">
        <v>365</v>
      </c>
      <c r="F222" s="15" t="s">
        <v>588</v>
      </c>
      <c r="G222" s="6">
        <v>0.86</v>
      </c>
      <c r="H222" s="6">
        <v>0.63</v>
      </c>
      <c r="I222" s="6">
        <v>0.75</v>
      </c>
      <c r="J222" s="6">
        <v>0.62</v>
      </c>
      <c r="K222" s="6">
        <v>0.91</v>
      </c>
      <c r="L222" s="6">
        <v>0.68</v>
      </c>
      <c r="M222" s="6">
        <v>1.37</v>
      </c>
      <c r="N222" s="6">
        <v>0.62</v>
      </c>
      <c r="O222" s="6">
        <v>0</v>
      </c>
      <c r="P222" s="6">
        <v>0</v>
      </c>
      <c r="Q222" s="6">
        <v>0</v>
      </c>
    </row>
    <row r="223" spans="1:17" hidden="1" x14ac:dyDescent="0.6">
      <c r="A223" s="4" t="s">
        <v>919</v>
      </c>
      <c r="B223" s="4" t="s">
        <v>808</v>
      </c>
      <c r="C223" s="4" t="s">
        <v>809</v>
      </c>
      <c r="D223" s="7" t="s">
        <v>426</v>
      </c>
      <c r="E223" s="7" t="s">
        <v>948</v>
      </c>
      <c r="F223" s="15" t="s">
        <v>589</v>
      </c>
      <c r="G223" s="6">
        <v>1.31</v>
      </c>
      <c r="H223" s="6">
        <v>1.54</v>
      </c>
      <c r="I223" s="6">
        <v>1.46</v>
      </c>
      <c r="J223" s="6">
        <v>1.1299999999999999</v>
      </c>
      <c r="K223" s="6">
        <v>0.59</v>
      </c>
      <c r="L223" s="6">
        <v>1.1599999999999999</v>
      </c>
      <c r="M223" s="6">
        <v>0.78</v>
      </c>
      <c r="N223" s="6">
        <v>0</v>
      </c>
      <c r="O223" s="6">
        <v>0</v>
      </c>
      <c r="P223" s="6">
        <v>0</v>
      </c>
      <c r="Q223" s="6">
        <v>0</v>
      </c>
    </row>
    <row r="224" spans="1:17" hidden="1" x14ac:dyDescent="0.6">
      <c r="A224" s="4" t="s">
        <v>919</v>
      </c>
      <c r="B224" s="4" t="s">
        <v>774</v>
      </c>
      <c r="C224" s="4" t="s">
        <v>775</v>
      </c>
      <c r="D224" s="7" t="s">
        <v>362</v>
      </c>
      <c r="E224" s="7" t="s">
        <v>363</v>
      </c>
      <c r="F224" s="15" t="s">
        <v>588</v>
      </c>
      <c r="G224" s="6">
        <v>3.1</v>
      </c>
      <c r="H224" s="6">
        <v>1.34</v>
      </c>
      <c r="I224" s="6">
        <v>1.01</v>
      </c>
      <c r="J224" s="6">
        <v>1.71</v>
      </c>
      <c r="K224" s="6">
        <v>1.62</v>
      </c>
      <c r="L224" s="6">
        <v>1.31</v>
      </c>
      <c r="M224" s="6">
        <v>0.72</v>
      </c>
      <c r="N224" s="6">
        <v>0.71</v>
      </c>
      <c r="O224" s="6">
        <v>0</v>
      </c>
      <c r="P224" s="6">
        <v>0</v>
      </c>
      <c r="Q224" s="6">
        <v>0</v>
      </c>
    </row>
    <row r="225" spans="1:17" hidden="1" x14ac:dyDescent="0.6">
      <c r="A225" s="4" t="s">
        <v>919</v>
      </c>
      <c r="B225" s="4" t="s">
        <v>798</v>
      </c>
      <c r="C225" s="4" t="s">
        <v>799</v>
      </c>
      <c r="D225" s="7" t="s">
        <v>404</v>
      </c>
      <c r="E225" s="7" t="s">
        <v>405</v>
      </c>
      <c r="F225" s="15" t="s">
        <v>588</v>
      </c>
      <c r="G225" s="6">
        <v>1.84</v>
      </c>
      <c r="H225" s="6">
        <v>0.93</v>
      </c>
      <c r="I225" s="6">
        <v>1.08</v>
      </c>
      <c r="J225" s="6">
        <v>0.73</v>
      </c>
      <c r="K225" s="6">
        <v>0.62</v>
      </c>
      <c r="L225" s="6">
        <v>1.21</v>
      </c>
      <c r="M225" s="6">
        <v>0.68</v>
      </c>
      <c r="N225" s="6">
        <v>1.59</v>
      </c>
      <c r="O225" s="6">
        <v>0</v>
      </c>
      <c r="P225" s="6">
        <v>0</v>
      </c>
      <c r="Q225" s="6">
        <v>0</v>
      </c>
    </row>
    <row r="226" spans="1:17" hidden="1" x14ac:dyDescent="0.6">
      <c r="A226" s="4" t="s">
        <v>919</v>
      </c>
      <c r="B226" s="4" t="s">
        <v>762</v>
      </c>
      <c r="C226" s="4" t="s">
        <v>763</v>
      </c>
      <c r="D226" s="7" t="s">
        <v>346</v>
      </c>
      <c r="E226" s="7" t="s">
        <v>347</v>
      </c>
      <c r="F226" s="15" t="s">
        <v>588</v>
      </c>
      <c r="G226" s="6">
        <v>1.62</v>
      </c>
      <c r="H226" s="6">
        <v>2.84</v>
      </c>
      <c r="I226" s="6">
        <v>1.97</v>
      </c>
      <c r="J226" s="6">
        <v>1.72</v>
      </c>
      <c r="K226" s="6">
        <v>1.22</v>
      </c>
      <c r="L226" s="6">
        <v>1.5</v>
      </c>
      <c r="M226" s="6">
        <v>1.33</v>
      </c>
      <c r="N226" s="6">
        <v>0</v>
      </c>
      <c r="O226" s="6">
        <v>0</v>
      </c>
      <c r="P226" s="6">
        <v>0</v>
      </c>
      <c r="Q226" s="6">
        <v>0</v>
      </c>
    </row>
    <row r="227" spans="1:17" hidden="1" x14ac:dyDescent="0.6">
      <c r="A227" s="4" t="s">
        <v>919</v>
      </c>
      <c r="B227" s="4" t="s">
        <v>764</v>
      </c>
      <c r="C227" s="4" t="s">
        <v>765</v>
      </c>
      <c r="D227" s="7" t="s">
        <v>348</v>
      </c>
      <c r="E227" s="7" t="s">
        <v>949</v>
      </c>
      <c r="F227" s="15" t="s">
        <v>589</v>
      </c>
      <c r="G227" s="6">
        <v>1.1399999999999999</v>
      </c>
      <c r="H227" s="6">
        <v>1.23</v>
      </c>
      <c r="I227" s="6">
        <v>0.94</v>
      </c>
      <c r="J227" s="6">
        <v>0.92</v>
      </c>
      <c r="K227" s="6">
        <v>1.28</v>
      </c>
      <c r="L227" s="6">
        <v>1.54</v>
      </c>
      <c r="M227" s="6">
        <v>0.91</v>
      </c>
      <c r="N227" s="6">
        <v>2.57</v>
      </c>
      <c r="O227" s="6">
        <v>0</v>
      </c>
      <c r="P227" s="6">
        <v>0</v>
      </c>
      <c r="Q227" s="6">
        <v>0</v>
      </c>
    </row>
    <row r="228" spans="1:17" hidden="1" x14ac:dyDescent="0.6">
      <c r="A228" s="4" t="s">
        <v>919</v>
      </c>
      <c r="B228" s="4" t="s">
        <v>792</v>
      </c>
      <c r="C228" s="4" t="s">
        <v>793</v>
      </c>
      <c r="D228" s="7" t="s">
        <v>394</v>
      </c>
      <c r="E228" s="7" t="s">
        <v>950</v>
      </c>
      <c r="F228" s="15" t="s">
        <v>588</v>
      </c>
      <c r="G228" s="6">
        <v>1.01</v>
      </c>
      <c r="H228" s="6">
        <v>0.95</v>
      </c>
      <c r="I228" s="6">
        <v>1.43</v>
      </c>
      <c r="J228" s="6">
        <v>2.72</v>
      </c>
      <c r="K228" s="6">
        <v>1</v>
      </c>
      <c r="L228" s="6">
        <v>0.85</v>
      </c>
      <c r="M228" s="6">
        <v>1.2</v>
      </c>
      <c r="N228" s="6">
        <v>0.57999999999999996</v>
      </c>
      <c r="O228" s="6">
        <v>0</v>
      </c>
      <c r="P228" s="6">
        <v>0</v>
      </c>
      <c r="Q228" s="6">
        <v>0</v>
      </c>
    </row>
    <row r="229" spans="1:17" hidden="1" x14ac:dyDescent="0.6">
      <c r="A229" s="4" t="s">
        <v>919</v>
      </c>
      <c r="B229" s="4" t="s">
        <v>832</v>
      </c>
      <c r="C229" s="4" t="s">
        <v>833</v>
      </c>
      <c r="D229" s="7" t="s">
        <v>484</v>
      </c>
      <c r="E229" s="7" t="s">
        <v>485</v>
      </c>
      <c r="F229" s="15" t="s">
        <v>588</v>
      </c>
      <c r="G229" s="6">
        <v>2.31</v>
      </c>
      <c r="H229" s="6">
        <v>1.17</v>
      </c>
      <c r="I229" s="6">
        <v>0.84</v>
      </c>
      <c r="J229" s="6">
        <v>0.59</v>
      </c>
      <c r="K229" s="6">
        <v>1.22</v>
      </c>
      <c r="L229" s="6">
        <v>0.36</v>
      </c>
      <c r="M229" s="6">
        <v>0.51</v>
      </c>
      <c r="N229" s="6">
        <v>1.56</v>
      </c>
      <c r="O229" s="6">
        <v>0</v>
      </c>
      <c r="P229" s="6">
        <v>0</v>
      </c>
      <c r="Q229" s="6">
        <v>0</v>
      </c>
    </row>
    <row r="230" spans="1:17" hidden="1" x14ac:dyDescent="0.6">
      <c r="A230" s="4" t="s">
        <v>919</v>
      </c>
      <c r="B230" s="4" t="s">
        <v>830</v>
      </c>
      <c r="C230" s="4" t="s">
        <v>831</v>
      </c>
      <c r="D230" s="7" t="s">
        <v>482</v>
      </c>
      <c r="E230" s="7" t="s">
        <v>483</v>
      </c>
      <c r="F230" s="15" t="s">
        <v>588</v>
      </c>
      <c r="G230" s="6">
        <v>1.23</v>
      </c>
      <c r="H230" s="6">
        <v>0.81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</row>
    <row r="231" spans="1:17" hidden="1" x14ac:dyDescent="0.6">
      <c r="A231" s="4" t="s">
        <v>919</v>
      </c>
      <c r="B231" s="4" t="s">
        <v>784</v>
      </c>
      <c r="C231" s="4" t="s">
        <v>785</v>
      </c>
      <c r="D231" s="7" t="s">
        <v>492</v>
      </c>
      <c r="E231" s="7" t="s">
        <v>493</v>
      </c>
      <c r="F231" s="15" t="s">
        <v>588</v>
      </c>
      <c r="G231" s="6">
        <v>0.6</v>
      </c>
      <c r="H231" s="6">
        <v>1.02</v>
      </c>
      <c r="I231" s="6">
        <v>1.27</v>
      </c>
      <c r="J231" s="6">
        <v>0.65</v>
      </c>
      <c r="K231" s="6">
        <v>0.61</v>
      </c>
      <c r="L231" s="6">
        <v>1.32</v>
      </c>
      <c r="M231" s="6">
        <v>1.34</v>
      </c>
      <c r="N231" s="6">
        <v>0.87</v>
      </c>
      <c r="O231" s="6">
        <v>0</v>
      </c>
      <c r="P231" s="6">
        <v>0</v>
      </c>
      <c r="Q231" s="6">
        <v>0</v>
      </c>
    </row>
    <row r="232" spans="1:17" hidden="1" x14ac:dyDescent="0.6">
      <c r="A232" s="4" t="s">
        <v>919</v>
      </c>
      <c r="B232" s="4" t="s">
        <v>784</v>
      </c>
      <c r="C232" s="4" t="s">
        <v>785</v>
      </c>
      <c r="D232" s="7" t="s">
        <v>374</v>
      </c>
      <c r="E232" s="7" t="s">
        <v>375</v>
      </c>
      <c r="F232" s="15" t="s">
        <v>588</v>
      </c>
      <c r="G232" s="6">
        <v>0.6</v>
      </c>
      <c r="H232" s="6">
        <v>1.1599999999999999</v>
      </c>
      <c r="I232" s="6">
        <v>0.79</v>
      </c>
      <c r="J232" s="6">
        <v>1.04</v>
      </c>
      <c r="K232" s="6">
        <v>0.59</v>
      </c>
      <c r="L232" s="6">
        <v>2.73</v>
      </c>
      <c r="M232" s="6">
        <v>0.46</v>
      </c>
      <c r="N232" s="6">
        <v>0.89</v>
      </c>
      <c r="O232" s="6">
        <v>0</v>
      </c>
      <c r="P232" s="6">
        <v>0</v>
      </c>
      <c r="Q232" s="6">
        <v>0</v>
      </c>
    </row>
    <row r="233" spans="1:17" hidden="1" x14ac:dyDescent="0.6">
      <c r="A233" s="4" t="s">
        <v>919</v>
      </c>
      <c r="B233" s="4" t="s">
        <v>784</v>
      </c>
      <c r="C233" s="4" t="s">
        <v>785</v>
      </c>
      <c r="D233" s="7" t="s">
        <v>494</v>
      </c>
      <c r="E233" s="7" t="s">
        <v>951</v>
      </c>
      <c r="F233" s="15" t="s">
        <v>588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</row>
    <row r="234" spans="1:17" hidden="1" x14ac:dyDescent="0.6">
      <c r="A234" s="4" t="s">
        <v>919</v>
      </c>
      <c r="B234" s="4" t="s">
        <v>784</v>
      </c>
      <c r="C234" s="4" t="s">
        <v>785</v>
      </c>
      <c r="D234" s="7" t="s">
        <v>496</v>
      </c>
      <c r="E234" s="7" t="s">
        <v>497</v>
      </c>
      <c r="F234" s="15" t="s">
        <v>588</v>
      </c>
      <c r="G234" s="6">
        <v>2.0299999999999998</v>
      </c>
      <c r="H234" s="6">
        <v>3.46</v>
      </c>
      <c r="I234" s="6">
        <v>2.16</v>
      </c>
      <c r="J234" s="6">
        <v>0.93</v>
      </c>
      <c r="K234" s="6">
        <v>0.93</v>
      </c>
      <c r="L234" s="6">
        <v>0.87</v>
      </c>
      <c r="M234" s="6">
        <v>0.79</v>
      </c>
      <c r="N234" s="6">
        <v>0.65</v>
      </c>
      <c r="O234" s="6">
        <v>0</v>
      </c>
      <c r="P234" s="6">
        <v>0</v>
      </c>
      <c r="Q234" s="6">
        <v>0</v>
      </c>
    </row>
    <row r="235" spans="1:17" hidden="1" x14ac:dyDescent="0.6">
      <c r="A235" s="4" t="s">
        <v>919</v>
      </c>
      <c r="B235" s="4" t="s">
        <v>750</v>
      </c>
      <c r="C235" s="4" t="s">
        <v>751</v>
      </c>
      <c r="D235" s="7" t="s">
        <v>328</v>
      </c>
      <c r="E235" s="7" t="s">
        <v>329</v>
      </c>
      <c r="F235" s="15" t="s">
        <v>588</v>
      </c>
      <c r="G235" s="6">
        <v>1.42</v>
      </c>
      <c r="H235" s="6">
        <v>1.18</v>
      </c>
      <c r="I235" s="6">
        <v>1.5</v>
      </c>
      <c r="J235" s="6">
        <v>1.2</v>
      </c>
      <c r="K235" s="6">
        <v>0.76</v>
      </c>
      <c r="L235" s="6">
        <v>1.45</v>
      </c>
      <c r="M235" s="6">
        <v>0.82</v>
      </c>
      <c r="N235" s="6">
        <v>0.99</v>
      </c>
      <c r="O235" s="6">
        <v>0</v>
      </c>
      <c r="P235" s="6">
        <v>0</v>
      </c>
      <c r="Q235" s="6">
        <v>0</v>
      </c>
    </row>
    <row r="236" spans="1:17" hidden="1" x14ac:dyDescent="0.6">
      <c r="A236" s="4" t="s">
        <v>919</v>
      </c>
      <c r="B236" s="4" t="s">
        <v>820</v>
      </c>
      <c r="C236" s="4" t="s">
        <v>821</v>
      </c>
      <c r="D236" s="7" t="s">
        <v>458</v>
      </c>
      <c r="E236" s="7" t="s">
        <v>952</v>
      </c>
      <c r="F236" s="15" t="s">
        <v>588</v>
      </c>
      <c r="G236" s="6">
        <v>2.0699999999999998</v>
      </c>
      <c r="H236" s="6">
        <v>2.2200000000000002</v>
      </c>
      <c r="I236" s="6">
        <v>0.67</v>
      </c>
      <c r="J236" s="6">
        <v>1.37</v>
      </c>
      <c r="K236" s="6">
        <v>0.91</v>
      </c>
      <c r="L236" s="6">
        <v>0.68</v>
      </c>
      <c r="M236" s="6">
        <v>2.95</v>
      </c>
      <c r="N236" s="6">
        <v>0</v>
      </c>
      <c r="O236" s="6">
        <v>0</v>
      </c>
      <c r="P236" s="6">
        <v>0</v>
      </c>
      <c r="Q236" s="6">
        <v>0</v>
      </c>
    </row>
    <row r="237" spans="1:17" hidden="1" x14ac:dyDescent="0.6">
      <c r="A237" s="4" t="s">
        <v>919</v>
      </c>
      <c r="B237" s="4" t="s">
        <v>802</v>
      </c>
      <c r="C237" s="4" t="s">
        <v>803</v>
      </c>
      <c r="D237" s="7" t="s">
        <v>410</v>
      </c>
      <c r="E237" s="7" t="s">
        <v>411</v>
      </c>
      <c r="F237" s="15" t="s">
        <v>588</v>
      </c>
      <c r="G237" s="6">
        <v>0</v>
      </c>
      <c r="H237" s="6">
        <v>1.06</v>
      </c>
      <c r="I237" s="6">
        <v>0.68</v>
      </c>
      <c r="J237" s="6">
        <v>1.95</v>
      </c>
      <c r="K237" s="6">
        <v>0.59</v>
      </c>
      <c r="L237" s="6">
        <v>0.73</v>
      </c>
      <c r="M237" s="6">
        <v>0.98</v>
      </c>
      <c r="N237" s="6">
        <v>0.62</v>
      </c>
      <c r="O237" s="6">
        <v>0</v>
      </c>
      <c r="P237" s="6">
        <v>0</v>
      </c>
      <c r="Q237" s="6">
        <v>0</v>
      </c>
    </row>
    <row r="238" spans="1:17" hidden="1" x14ac:dyDescent="0.6">
      <c r="A238" s="4" t="s">
        <v>919</v>
      </c>
      <c r="B238" s="4" t="s">
        <v>826</v>
      </c>
      <c r="C238" s="4" t="s">
        <v>827</v>
      </c>
      <c r="D238" s="7" t="s">
        <v>472</v>
      </c>
      <c r="E238" s="7" t="s">
        <v>953</v>
      </c>
      <c r="F238" s="15" t="s">
        <v>588</v>
      </c>
      <c r="G238" s="6">
        <v>2.74</v>
      </c>
      <c r="H238" s="6">
        <v>2.66</v>
      </c>
      <c r="I238" s="6">
        <v>1.43</v>
      </c>
      <c r="J238" s="6">
        <v>1.07</v>
      </c>
      <c r="K238" s="6">
        <v>1.38</v>
      </c>
      <c r="L238" s="6">
        <v>1.03</v>
      </c>
      <c r="M238" s="6">
        <v>0.52</v>
      </c>
      <c r="N238" s="6">
        <v>0.71</v>
      </c>
      <c r="O238" s="6">
        <v>0</v>
      </c>
      <c r="P238" s="6">
        <v>0</v>
      </c>
      <c r="Q238" s="6">
        <v>0</v>
      </c>
    </row>
    <row r="239" spans="1:17" hidden="1" x14ac:dyDescent="0.6">
      <c r="A239" s="4" t="s">
        <v>919</v>
      </c>
      <c r="B239" s="4" t="s">
        <v>818</v>
      </c>
      <c r="C239" s="4" t="s">
        <v>819</v>
      </c>
      <c r="D239" s="7" t="s">
        <v>456</v>
      </c>
      <c r="E239" s="7" t="s">
        <v>954</v>
      </c>
      <c r="F239" s="15" t="s">
        <v>588</v>
      </c>
      <c r="G239" s="6">
        <v>0.51</v>
      </c>
      <c r="H239" s="6">
        <v>1.39</v>
      </c>
      <c r="I239" s="6">
        <v>0.79</v>
      </c>
      <c r="J239" s="6">
        <v>0.81</v>
      </c>
      <c r="K239" s="6">
        <v>0.79</v>
      </c>
      <c r="L239" s="6">
        <v>0.76</v>
      </c>
      <c r="M239" s="6">
        <v>0.98</v>
      </c>
      <c r="N239" s="6">
        <v>0.43</v>
      </c>
      <c r="O239" s="6">
        <v>0</v>
      </c>
      <c r="P239" s="6">
        <v>0</v>
      </c>
      <c r="Q239" s="6">
        <v>0</v>
      </c>
    </row>
    <row r="240" spans="1:17" hidden="1" x14ac:dyDescent="0.6">
      <c r="A240" s="4" t="s">
        <v>919</v>
      </c>
      <c r="B240" s="4" t="s">
        <v>772</v>
      </c>
      <c r="C240" s="4" t="s">
        <v>773</v>
      </c>
      <c r="D240" s="12" t="s">
        <v>356</v>
      </c>
      <c r="E240" s="12" t="s">
        <v>957</v>
      </c>
      <c r="F240" s="17" t="s">
        <v>588</v>
      </c>
      <c r="G240" s="6">
        <v>1.31</v>
      </c>
      <c r="H240" s="6">
        <v>1.26</v>
      </c>
      <c r="I240" s="6">
        <v>1.66</v>
      </c>
      <c r="J240" s="6">
        <v>2.97</v>
      </c>
      <c r="K240" s="6">
        <v>2.65</v>
      </c>
      <c r="L240" s="6">
        <v>2</v>
      </c>
      <c r="M240" s="6">
        <v>2.96</v>
      </c>
      <c r="N240" s="6">
        <v>1.95</v>
      </c>
      <c r="O240" s="6">
        <v>0</v>
      </c>
      <c r="P240" s="6">
        <v>0</v>
      </c>
      <c r="Q240" s="6">
        <v>0</v>
      </c>
    </row>
    <row r="241" spans="1:17" hidden="1" x14ac:dyDescent="0.6">
      <c r="A241" s="4" t="s">
        <v>919</v>
      </c>
      <c r="B241" s="4" t="s">
        <v>772</v>
      </c>
      <c r="C241" s="4" t="s">
        <v>773</v>
      </c>
      <c r="D241" s="12" t="s">
        <v>358</v>
      </c>
      <c r="E241" s="12" t="s">
        <v>359</v>
      </c>
      <c r="F241" s="17" t="s">
        <v>588</v>
      </c>
      <c r="G241" s="6">
        <v>1.01</v>
      </c>
      <c r="H241" s="6">
        <v>1.1100000000000001</v>
      </c>
      <c r="I241" s="6">
        <v>0.68</v>
      </c>
      <c r="J241" s="6">
        <v>1.45</v>
      </c>
      <c r="K241" s="6">
        <v>3.55</v>
      </c>
      <c r="L241" s="6">
        <v>0.47</v>
      </c>
      <c r="M241" s="6">
        <v>1.32</v>
      </c>
      <c r="N241" s="6">
        <v>1.77</v>
      </c>
      <c r="O241" s="6">
        <v>0</v>
      </c>
      <c r="P241" s="6">
        <v>0</v>
      </c>
      <c r="Q241" s="6">
        <v>0</v>
      </c>
    </row>
    <row r="242" spans="1:17" hidden="1" x14ac:dyDescent="0.6">
      <c r="A242" s="4" t="s">
        <v>919</v>
      </c>
      <c r="B242" s="4" t="s">
        <v>772</v>
      </c>
      <c r="C242" s="4" t="s">
        <v>773</v>
      </c>
      <c r="D242" s="12" t="s">
        <v>360</v>
      </c>
      <c r="E242" s="12" t="s">
        <v>958</v>
      </c>
      <c r="F242" s="17" t="s">
        <v>588</v>
      </c>
      <c r="G242" s="6">
        <v>0.72</v>
      </c>
      <c r="H242" s="6">
        <v>1.17</v>
      </c>
      <c r="I242" s="6">
        <v>1.24</v>
      </c>
      <c r="J242" s="6">
        <v>0.89</v>
      </c>
      <c r="K242" s="6">
        <v>1.18</v>
      </c>
      <c r="L242" s="6">
        <v>2.13</v>
      </c>
      <c r="M242" s="6">
        <v>1.08</v>
      </c>
      <c r="N242" s="6">
        <v>0.71</v>
      </c>
      <c r="O242" s="6">
        <v>0</v>
      </c>
      <c r="P242" s="6">
        <v>0</v>
      </c>
      <c r="Q242" s="6">
        <v>0</v>
      </c>
    </row>
    <row r="243" spans="1:17" hidden="1" x14ac:dyDescent="0.6">
      <c r="A243" s="4" t="s">
        <v>919</v>
      </c>
      <c r="B243" s="4" t="s">
        <v>788</v>
      </c>
      <c r="C243" s="4" t="s">
        <v>789</v>
      </c>
      <c r="D243" s="7" t="s">
        <v>386</v>
      </c>
      <c r="E243" s="7" t="s">
        <v>959</v>
      </c>
      <c r="F243" s="15" t="s">
        <v>589</v>
      </c>
      <c r="G243" s="6">
        <v>1.53</v>
      </c>
      <c r="H243" s="6">
        <v>1.45</v>
      </c>
      <c r="I243" s="6">
        <v>0.56999999999999995</v>
      </c>
      <c r="J243" s="6">
        <v>0.69</v>
      </c>
      <c r="K243" s="6">
        <v>1.04</v>
      </c>
      <c r="L243" s="6">
        <v>0.56999999999999995</v>
      </c>
      <c r="M243" s="6">
        <v>0.85</v>
      </c>
      <c r="N243" s="6">
        <v>1.32</v>
      </c>
      <c r="O243" s="6">
        <v>0</v>
      </c>
      <c r="P243" s="6">
        <v>0</v>
      </c>
      <c r="Q243" s="6">
        <v>0</v>
      </c>
    </row>
    <row r="244" spans="1:17" hidden="1" x14ac:dyDescent="0.6">
      <c r="A244" s="4" t="s">
        <v>919</v>
      </c>
      <c r="B244" s="4" t="s">
        <v>788</v>
      </c>
      <c r="C244" s="4" t="s">
        <v>789</v>
      </c>
      <c r="D244" s="7" t="s">
        <v>388</v>
      </c>
      <c r="E244" s="7" t="s">
        <v>960</v>
      </c>
      <c r="F244" s="15" t="s">
        <v>589</v>
      </c>
      <c r="G244" s="6">
        <v>1.28</v>
      </c>
      <c r="H244" s="6">
        <v>1.22</v>
      </c>
      <c r="I244" s="6">
        <v>1.05</v>
      </c>
      <c r="J244" s="6">
        <v>1.36</v>
      </c>
      <c r="K244" s="6">
        <v>0.59</v>
      </c>
      <c r="L244" s="6">
        <v>0.62</v>
      </c>
      <c r="M244" s="6">
        <v>1.1499999999999999</v>
      </c>
      <c r="N244" s="6">
        <v>0.72</v>
      </c>
      <c r="O244" s="6">
        <v>0</v>
      </c>
      <c r="P244" s="6">
        <v>0</v>
      </c>
      <c r="Q244" s="6">
        <v>0</v>
      </c>
    </row>
    <row r="245" spans="1:17" hidden="1" x14ac:dyDescent="0.6">
      <c r="A245" s="4" t="s">
        <v>919</v>
      </c>
      <c r="B245" s="4" t="s">
        <v>788</v>
      </c>
      <c r="C245" s="4" t="s">
        <v>789</v>
      </c>
      <c r="D245" s="7" t="s">
        <v>460</v>
      </c>
      <c r="E245" s="7" t="s">
        <v>961</v>
      </c>
      <c r="F245" s="15" t="s">
        <v>588</v>
      </c>
      <c r="G245" s="6">
        <v>0.68</v>
      </c>
      <c r="H245" s="6">
        <v>2.4500000000000002</v>
      </c>
      <c r="I245" s="6">
        <v>1.32</v>
      </c>
      <c r="J245" s="6">
        <v>0.75</v>
      </c>
      <c r="K245" s="6">
        <v>2.38</v>
      </c>
      <c r="L245" s="6">
        <v>1.02</v>
      </c>
      <c r="M245" s="6">
        <v>0.61</v>
      </c>
      <c r="N245" s="6">
        <v>0.54</v>
      </c>
      <c r="O245" s="6">
        <v>0</v>
      </c>
      <c r="P245" s="6">
        <v>0</v>
      </c>
      <c r="Q245" s="6">
        <v>0</v>
      </c>
    </row>
    <row r="246" spans="1:17" hidden="1" x14ac:dyDescent="0.6">
      <c r="A246" s="4" t="s">
        <v>919</v>
      </c>
      <c r="B246" s="4" t="s">
        <v>788</v>
      </c>
      <c r="C246" s="4" t="s">
        <v>789</v>
      </c>
      <c r="D246" s="12" t="s">
        <v>462</v>
      </c>
      <c r="E246" s="12" t="s">
        <v>962</v>
      </c>
      <c r="F246" s="17" t="s">
        <v>588</v>
      </c>
      <c r="G246" s="6">
        <v>1.48</v>
      </c>
      <c r="H246" s="6">
        <v>0.89</v>
      </c>
      <c r="I246" s="6">
        <v>1.23</v>
      </c>
      <c r="J246" s="6">
        <v>1.48</v>
      </c>
      <c r="K246" s="6">
        <v>3.11</v>
      </c>
      <c r="L246" s="6">
        <v>0</v>
      </c>
      <c r="M246" s="6">
        <v>0.96</v>
      </c>
      <c r="N246" s="6">
        <v>0</v>
      </c>
      <c r="O246" s="6">
        <v>0</v>
      </c>
      <c r="P246" s="6">
        <v>0</v>
      </c>
      <c r="Q246" s="6">
        <v>0</v>
      </c>
    </row>
    <row r="247" spans="1:17" hidden="1" x14ac:dyDescent="0.6">
      <c r="A247" s="4" t="s">
        <v>919</v>
      </c>
      <c r="B247" s="4" t="s">
        <v>788</v>
      </c>
      <c r="C247" s="4" t="s">
        <v>789</v>
      </c>
      <c r="D247" s="12" t="s">
        <v>384</v>
      </c>
      <c r="E247" s="12" t="s">
        <v>963</v>
      </c>
      <c r="F247" s="17" t="s">
        <v>589</v>
      </c>
      <c r="G247" s="6">
        <v>1.97</v>
      </c>
      <c r="H247" s="6">
        <v>1.58</v>
      </c>
      <c r="I247" s="6">
        <v>1.06</v>
      </c>
      <c r="J247" s="6">
        <v>1.82</v>
      </c>
      <c r="K247" s="6">
        <v>0.97</v>
      </c>
      <c r="L247" s="6">
        <v>2.41</v>
      </c>
      <c r="M247" s="6">
        <v>0.51</v>
      </c>
      <c r="N247" s="6">
        <v>1.31</v>
      </c>
      <c r="O247" s="6">
        <v>0</v>
      </c>
      <c r="P247" s="6">
        <v>0</v>
      </c>
      <c r="Q247" s="6">
        <v>0</v>
      </c>
    </row>
    <row r="248" spans="1:17" hidden="1" x14ac:dyDescent="0.6">
      <c r="A248" s="4" t="s">
        <v>919</v>
      </c>
      <c r="B248" s="4" t="s">
        <v>822</v>
      </c>
      <c r="C248" s="4" t="s">
        <v>823</v>
      </c>
      <c r="D248" s="12" t="s">
        <v>464</v>
      </c>
      <c r="E248" s="12" t="s">
        <v>465</v>
      </c>
      <c r="F248" s="17" t="s">
        <v>588</v>
      </c>
      <c r="G248" s="6">
        <v>1.23</v>
      </c>
      <c r="H248" s="6">
        <v>3.01</v>
      </c>
      <c r="I248" s="6">
        <v>0.86</v>
      </c>
      <c r="J248" s="6">
        <v>1.87</v>
      </c>
      <c r="K248" s="6">
        <v>0.63</v>
      </c>
      <c r="L248" s="6">
        <v>0.71</v>
      </c>
      <c r="M248" s="6">
        <v>1.07</v>
      </c>
      <c r="N248" s="6">
        <v>1.34</v>
      </c>
      <c r="O248" s="6">
        <v>0</v>
      </c>
      <c r="P248" s="6">
        <v>0</v>
      </c>
      <c r="Q248" s="6">
        <v>0</v>
      </c>
    </row>
    <row r="249" spans="1:17" hidden="1" x14ac:dyDescent="0.6">
      <c r="A249" s="4" t="s">
        <v>919</v>
      </c>
      <c r="B249" s="4" t="s">
        <v>822</v>
      </c>
      <c r="C249" s="4" t="s">
        <v>823</v>
      </c>
      <c r="D249" s="12" t="s">
        <v>466</v>
      </c>
      <c r="E249" s="12" t="s">
        <v>467</v>
      </c>
      <c r="F249" s="17" t="s">
        <v>588</v>
      </c>
      <c r="G249" s="6">
        <v>0.9</v>
      </c>
      <c r="H249" s="6">
        <v>0.63</v>
      </c>
      <c r="I249" s="6">
        <v>1.19</v>
      </c>
      <c r="J249" s="6">
        <v>1.84</v>
      </c>
      <c r="K249" s="6">
        <v>0.9</v>
      </c>
      <c r="L249" s="6">
        <v>0.95</v>
      </c>
      <c r="M249" s="6">
        <v>1.44</v>
      </c>
      <c r="N249" s="6">
        <v>1.43</v>
      </c>
      <c r="O249" s="6">
        <v>0</v>
      </c>
      <c r="P249" s="6">
        <v>0</v>
      </c>
      <c r="Q249" s="6">
        <v>0</v>
      </c>
    </row>
    <row r="250" spans="1:17" hidden="1" x14ac:dyDescent="0.6">
      <c r="A250" s="4" t="s">
        <v>919</v>
      </c>
      <c r="B250" s="4" t="s">
        <v>822</v>
      </c>
      <c r="C250" s="4" t="s">
        <v>823</v>
      </c>
      <c r="D250" s="12" t="s">
        <v>468</v>
      </c>
      <c r="E250" s="12" t="s">
        <v>469</v>
      </c>
      <c r="F250" s="17" t="s">
        <v>588</v>
      </c>
      <c r="G250" s="6">
        <v>1.77</v>
      </c>
      <c r="H250" s="6">
        <v>1.69</v>
      </c>
      <c r="I250" s="6">
        <v>1.01</v>
      </c>
      <c r="J250" s="6">
        <v>1.28</v>
      </c>
      <c r="K250" s="6">
        <v>1.87</v>
      </c>
      <c r="L250" s="6">
        <v>1.37</v>
      </c>
      <c r="M250" s="6">
        <v>0.47</v>
      </c>
      <c r="N250" s="6">
        <v>0.67</v>
      </c>
      <c r="O250" s="6">
        <v>0</v>
      </c>
      <c r="P250" s="6">
        <v>0</v>
      </c>
      <c r="Q250" s="6">
        <v>0</v>
      </c>
    </row>
    <row r="251" spans="1:17" hidden="1" x14ac:dyDescent="0.6">
      <c r="A251" s="4" t="s">
        <v>919</v>
      </c>
      <c r="B251" s="4" t="s">
        <v>882</v>
      </c>
      <c r="C251" s="4" t="s">
        <v>883</v>
      </c>
      <c r="D251" s="12" t="s">
        <v>884</v>
      </c>
      <c r="E251" s="12" t="s">
        <v>885</v>
      </c>
      <c r="F251" s="17" t="s">
        <v>588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1.42</v>
      </c>
      <c r="M251" s="6">
        <v>0.81</v>
      </c>
      <c r="N251" s="6">
        <v>0.93</v>
      </c>
      <c r="O251" s="6">
        <v>0</v>
      </c>
      <c r="P251" s="6">
        <v>0</v>
      </c>
      <c r="Q251" s="6">
        <v>0</v>
      </c>
    </row>
    <row r="252" spans="1:17" hidden="1" x14ac:dyDescent="0.6">
      <c r="A252" s="4" t="s">
        <v>48</v>
      </c>
      <c r="B252" s="4" t="s">
        <v>872</v>
      </c>
      <c r="C252" s="4" t="s">
        <v>873</v>
      </c>
      <c r="D252" s="12" t="s">
        <v>578</v>
      </c>
      <c r="E252" s="12" t="s">
        <v>579</v>
      </c>
      <c r="F252" s="17" t="s">
        <v>588</v>
      </c>
      <c r="G252" s="6">
        <v>0.96</v>
      </c>
      <c r="H252" s="6">
        <v>0.92</v>
      </c>
      <c r="I252" s="6">
        <v>1.08</v>
      </c>
      <c r="J252" s="6">
        <v>0.98</v>
      </c>
      <c r="K252" s="6">
        <v>0.89</v>
      </c>
      <c r="L252" s="6">
        <v>1.58</v>
      </c>
      <c r="M252" s="6">
        <v>1.64</v>
      </c>
      <c r="N252" s="6">
        <v>1.85</v>
      </c>
      <c r="O252" s="6">
        <v>0</v>
      </c>
      <c r="P252" s="6">
        <v>0</v>
      </c>
      <c r="Q252" s="6">
        <v>0</v>
      </c>
    </row>
    <row r="253" spans="1:17" hidden="1" x14ac:dyDescent="0.6">
      <c r="A253" s="4" t="s">
        <v>48</v>
      </c>
      <c r="B253" s="4" t="s">
        <v>872</v>
      </c>
      <c r="C253" s="4" t="s">
        <v>873</v>
      </c>
      <c r="D253" s="12" t="s">
        <v>576</v>
      </c>
      <c r="E253" s="12" t="s">
        <v>577</v>
      </c>
      <c r="F253" s="17" t="s">
        <v>588</v>
      </c>
      <c r="G253" s="6">
        <v>0.94</v>
      </c>
      <c r="H253" s="6">
        <v>1.05</v>
      </c>
      <c r="I253" s="6">
        <v>0.92</v>
      </c>
      <c r="J253" s="6">
        <v>0.89</v>
      </c>
      <c r="K253" s="6">
        <v>0.85</v>
      </c>
      <c r="L253" s="6">
        <v>0.96</v>
      </c>
      <c r="M253" s="6">
        <v>1.08</v>
      </c>
      <c r="N253" s="6">
        <v>1.03</v>
      </c>
      <c r="O253" s="6">
        <v>0</v>
      </c>
      <c r="P253" s="6">
        <v>0</v>
      </c>
      <c r="Q253" s="6">
        <v>0</v>
      </c>
    </row>
    <row r="254" spans="1:17" hidden="1" x14ac:dyDescent="0.6">
      <c r="A254" s="4" t="s">
        <v>48</v>
      </c>
      <c r="B254" s="4" t="s">
        <v>846</v>
      </c>
      <c r="C254" s="4" t="s">
        <v>847</v>
      </c>
      <c r="D254" s="12">
        <v>3164</v>
      </c>
      <c r="E254" s="12" t="s">
        <v>964</v>
      </c>
      <c r="F254" s="17" t="s">
        <v>589</v>
      </c>
      <c r="G254" s="6">
        <v>1.68</v>
      </c>
      <c r="H254" s="6">
        <v>0.87</v>
      </c>
      <c r="I254" s="6">
        <v>0.68</v>
      </c>
      <c r="J254" s="6">
        <v>0.59</v>
      </c>
      <c r="K254" s="6">
        <v>0.75</v>
      </c>
      <c r="L254" s="6">
        <v>0.64</v>
      </c>
      <c r="M254" s="6">
        <v>0.76</v>
      </c>
      <c r="N254" s="6">
        <v>0.4</v>
      </c>
      <c r="O254" s="6">
        <v>0</v>
      </c>
      <c r="P254" s="6">
        <v>0</v>
      </c>
      <c r="Q254" s="6">
        <v>0</v>
      </c>
    </row>
    <row r="255" spans="1:17" hidden="1" x14ac:dyDescent="0.6">
      <c r="A255" s="4" t="s">
        <v>48</v>
      </c>
      <c r="B255" s="4" t="s">
        <v>846</v>
      </c>
      <c r="C255" s="4" t="s">
        <v>847</v>
      </c>
      <c r="D255" s="12" t="s">
        <v>582</v>
      </c>
      <c r="E255" s="12" t="s">
        <v>583</v>
      </c>
      <c r="F255" s="17" t="s">
        <v>588</v>
      </c>
      <c r="G255" s="6">
        <v>1.24</v>
      </c>
      <c r="H255" s="6">
        <v>0.89</v>
      </c>
      <c r="I255" s="6">
        <v>0.64</v>
      </c>
      <c r="J255" s="6">
        <v>0.92</v>
      </c>
      <c r="K255" s="6">
        <v>1.33</v>
      </c>
      <c r="L255" s="6">
        <v>0.81</v>
      </c>
      <c r="M255" s="6">
        <v>0.64</v>
      </c>
      <c r="N255" s="6">
        <v>0.46</v>
      </c>
      <c r="O255" s="6">
        <v>0</v>
      </c>
      <c r="P255" s="6">
        <v>0</v>
      </c>
      <c r="Q255" s="6">
        <v>0</v>
      </c>
    </row>
    <row r="256" spans="1:17" hidden="1" x14ac:dyDescent="0.6">
      <c r="A256" s="4" t="s">
        <v>48</v>
      </c>
      <c r="B256" s="4" t="s">
        <v>874</v>
      </c>
      <c r="C256" s="4" t="s">
        <v>875</v>
      </c>
      <c r="D256" s="12" t="s">
        <v>580</v>
      </c>
      <c r="E256" s="12" t="s">
        <v>581</v>
      </c>
      <c r="F256" s="17" t="s">
        <v>588</v>
      </c>
      <c r="G256" s="6">
        <v>0.77</v>
      </c>
      <c r="H256" s="6">
        <v>0.59</v>
      </c>
      <c r="I256" s="6">
        <v>0.73</v>
      </c>
      <c r="J256" s="6">
        <v>0.56000000000000005</v>
      </c>
      <c r="K256" s="6">
        <v>0.79</v>
      </c>
      <c r="L256" s="6">
        <v>1.36</v>
      </c>
      <c r="M256" s="6">
        <v>0.76</v>
      </c>
      <c r="N256" s="6">
        <v>0.47</v>
      </c>
      <c r="O256" s="6">
        <v>0</v>
      </c>
      <c r="P256" s="6">
        <v>0</v>
      </c>
      <c r="Q256" s="6">
        <v>0</v>
      </c>
    </row>
    <row r="257" spans="1:17" hidden="1" x14ac:dyDescent="0.6">
      <c r="A257" s="4" t="s">
        <v>48</v>
      </c>
      <c r="B257" s="4" t="s">
        <v>848</v>
      </c>
      <c r="C257" s="4" t="s">
        <v>849</v>
      </c>
      <c r="D257" s="12" t="s">
        <v>538</v>
      </c>
      <c r="E257" s="12" t="s">
        <v>965</v>
      </c>
      <c r="F257" s="17" t="s">
        <v>589</v>
      </c>
      <c r="G257" s="6">
        <v>1.2</v>
      </c>
      <c r="H257" s="6">
        <v>0.86</v>
      </c>
      <c r="I257" s="6">
        <v>0.98</v>
      </c>
      <c r="J257" s="6">
        <v>1.04</v>
      </c>
      <c r="K257" s="6">
        <v>0.71</v>
      </c>
      <c r="L257" s="6">
        <v>1.02</v>
      </c>
      <c r="M257" s="6">
        <v>1.06</v>
      </c>
      <c r="N257" s="6">
        <v>1.59</v>
      </c>
      <c r="O257" s="6">
        <v>0</v>
      </c>
      <c r="P257" s="6">
        <v>0</v>
      </c>
      <c r="Q257" s="6">
        <v>0</v>
      </c>
    </row>
    <row r="258" spans="1:17" hidden="1" x14ac:dyDescent="0.6">
      <c r="A258" s="4" t="s">
        <v>48</v>
      </c>
      <c r="B258" s="4" t="s">
        <v>848</v>
      </c>
      <c r="C258" s="4" t="s">
        <v>849</v>
      </c>
      <c r="D258" s="12" t="s">
        <v>540</v>
      </c>
      <c r="E258" s="12" t="s">
        <v>966</v>
      </c>
      <c r="F258" s="17" t="s">
        <v>589</v>
      </c>
      <c r="G258" s="6">
        <v>0</v>
      </c>
      <c r="H258" s="6">
        <v>0.64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</row>
    <row r="259" spans="1:17" hidden="1" x14ac:dyDescent="0.6">
      <c r="A259" s="4" t="s">
        <v>48</v>
      </c>
      <c r="B259" s="4" t="s">
        <v>876</v>
      </c>
      <c r="C259" s="4" t="s">
        <v>877</v>
      </c>
      <c r="D259" s="12" t="s">
        <v>584</v>
      </c>
      <c r="E259" s="12" t="s">
        <v>967</v>
      </c>
      <c r="F259" s="17" t="s">
        <v>588</v>
      </c>
      <c r="G259" s="6">
        <v>0</v>
      </c>
      <c r="H259" s="6">
        <v>1.2</v>
      </c>
      <c r="I259" s="6">
        <v>0</v>
      </c>
      <c r="J259" s="6">
        <v>0</v>
      </c>
      <c r="K259" s="6">
        <v>0</v>
      </c>
      <c r="L259" s="6">
        <v>1.29</v>
      </c>
      <c r="M259" s="6">
        <v>1.1200000000000001</v>
      </c>
      <c r="N259" s="6">
        <v>1.1499999999999999</v>
      </c>
      <c r="O259" s="6">
        <v>0</v>
      </c>
      <c r="P259" s="6">
        <v>0</v>
      </c>
      <c r="Q259" s="6">
        <v>0</v>
      </c>
    </row>
    <row r="260" spans="1:17" hidden="1" x14ac:dyDescent="0.6">
      <c r="A260" s="4" t="s">
        <v>48</v>
      </c>
      <c r="B260" s="4" t="s">
        <v>850</v>
      </c>
      <c r="C260" s="4" t="s">
        <v>851</v>
      </c>
      <c r="D260" s="12" t="s">
        <v>542</v>
      </c>
      <c r="E260" s="12" t="s">
        <v>968</v>
      </c>
      <c r="F260" s="17" t="s">
        <v>589</v>
      </c>
      <c r="G260" s="6">
        <v>1.04</v>
      </c>
      <c r="H260" s="6">
        <v>2.02</v>
      </c>
      <c r="I260" s="6">
        <v>1.34</v>
      </c>
      <c r="J260" s="6">
        <v>1.62</v>
      </c>
      <c r="K260" s="6">
        <v>1.47</v>
      </c>
      <c r="L260" s="6">
        <v>0.84</v>
      </c>
      <c r="M260" s="6">
        <v>1.43</v>
      </c>
      <c r="N260" s="6">
        <v>0.99</v>
      </c>
      <c r="O260" s="6">
        <v>0</v>
      </c>
      <c r="P260" s="6">
        <v>0</v>
      </c>
      <c r="Q260" s="6">
        <v>0</v>
      </c>
    </row>
    <row r="261" spans="1:17" hidden="1" x14ac:dyDescent="0.6">
      <c r="A261" s="4" t="s">
        <v>48</v>
      </c>
      <c r="B261" s="4" t="s">
        <v>864</v>
      </c>
      <c r="C261" s="4" t="s">
        <v>865</v>
      </c>
      <c r="D261" s="12" t="s">
        <v>562</v>
      </c>
      <c r="E261" s="12" t="s">
        <v>563</v>
      </c>
      <c r="F261" s="17" t="s">
        <v>588</v>
      </c>
      <c r="G261" s="6">
        <v>0.85</v>
      </c>
      <c r="H261" s="6">
        <v>0.79</v>
      </c>
      <c r="I261" s="6">
        <v>0.56999999999999995</v>
      </c>
      <c r="J261" s="6">
        <v>0</v>
      </c>
      <c r="K261" s="6">
        <v>1.04</v>
      </c>
      <c r="L261" s="6">
        <v>1.08</v>
      </c>
      <c r="M261" s="6">
        <v>0.82</v>
      </c>
      <c r="N261" s="6">
        <v>0.81</v>
      </c>
      <c r="O261" s="6">
        <v>0</v>
      </c>
      <c r="P261" s="6">
        <v>0</v>
      </c>
      <c r="Q261" s="6">
        <v>0</v>
      </c>
    </row>
    <row r="262" spans="1:17" hidden="1" x14ac:dyDescent="0.6">
      <c r="A262" s="4" t="s">
        <v>48</v>
      </c>
      <c r="B262" s="4" t="s">
        <v>864</v>
      </c>
      <c r="C262" s="4" t="s">
        <v>865</v>
      </c>
      <c r="D262" s="12" t="s">
        <v>560</v>
      </c>
      <c r="E262" s="12" t="s">
        <v>561</v>
      </c>
      <c r="F262" s="17" t="s">
        <v>588</v>
      </c>
      <c r="G262" s="6">
        <v>0.97</v>
      </c>
      <c r="H262" s="6">
        <v>1.1399999999999999</v>
      </c>
      <c r="I262" s="6">
        <v>1.69</v>
      </c>
      <c r="J262" s="6">
        <v>0.06</v>
      </c>
      <c r="K262" s="6">
        <v>1.03</v>
      </c>
      <c r="L262" s="6">
        <v>0.83</v>
      </c>
      <c r="M262" s="6">
        <v>0.76</v>
      </c>
      <c r="N262" s="6">
        <v>0.65</v>
      </c>
      <c r="O262" s="6">
        <v>0</v>
      </c>
      <c r="P262" s="6">
        <v>0</v>
      </c>
      <c r="Q262" s="6">
        <v>0</v>
      </c>
    </row>
    <row r="263" spans="1:17" hidden="1" x14ac:dyDescent="0.6">
      <c r="A263" s="4" t="s">
        <v>48</v>
      </c>
      <c r="B263" s="4" t="s">
        <v>864</v>
      </c>
      <c r="C263" s="4" t="s">
        <v>865</v>
      </c>
      <c r="D263" s="12" t="s">
        <v>564</v>
      </c>
      <c r="E263" s="12" t="s">
        <v>565</v>
      </c>
      <c r="F263" s="17" t="s">
        <v>588</v>
      </c>
      <c r="G263" s="6">
        <v>1.05</v>
      </c>
      <c r="H263" s="6">
        <v>0.99</v>
      </c>
      <c r="I263" s="6">
        <v>1.03</v>
      </c>
      <c r="J263" s="6">
        <v>0.71</v>
      </c>
      <c r="K263" s="6">
        <v>0.64</v>
      </c>
      <c r="L263" s="6">
        <v>1.1100000000000001</v>
      </c>
      <c r="M263" s="6">
        <v>1.06</v>
      </c>
      <c r="N263" s="6">
        <v>0.97</v>
      </c>
      <c r="O263" s="6">
        <v>0</v>
      </c>
      <c r="P263" s="6">
        <v>0</v>
      </c>
      <c r="Q263" s="6">
        <v>0</v>
      </c>
    </row>
    <row r="264" spans="1:17" hidden="1" x14ac:dyDescent="0.6">
      <c r="A264" s="4" t="s">
        <v>48</v>
      </c>
      <c r="B264" s="4" t="s">
        <v>864</v>
      </c>
      <c r="C264" s="4" t="s">
        <v>865</v>
      </c>
      <c r="D264" s="12" t="s">
        <v>566</v>
      </c>
      <c r="E264" s="12" t="s">
        <v>567</v>
      </c>
      <c r="F264" s="17" t="s">
        <v>588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</row>
    <row r="265" spans="1:17" hidden="1" x14ac:dyDescent="0.6">
      <c r="A265" s="4" t="s">
        <v>48</v>
      </c>
      <c r="B265" s="4" t="s">
        <v>864</v>
      </c>
      <c r="C265" s="4" t="s">
        <v>865</v>
      </c>
      <c r="D265" s="12" t="s">
        <v>568</v>
      </c>
      <c r="E265" s="12" t="s">
        <v>569</v>
      </c>
      <c r="F265" s="17" t="s">
        <v>588</v>
      </c>
      <c r="G265" s="6">
        <v>0.77</v>
      </c>
      <c r="H265" s="6">
        <v>1.17</v>
      </c>
      <c r="I265" s="6">
        <v>0.9</v>
      </c>
      <c r="J265" s="6">
        <v>0.97</v>
      </c>
      <c r="K265" s="6">
        <v>1.1599999999999999</v>
      </c>
      <c r="L265" s="6">
        <v>0.84</v>
      </c>
      <c r="M265" s="6">
        <v>0.73</v>
      </c>
      <c r="N265" s="6">
        <v>0.77</v>
      </c>
      <c r="O265" s="6">
        <v>0</v>
      </c>
      <c r="P265" s="6">
        <v>0</v>
      </c>
      <c r="Q265" s="6">
        <v>0</v>
      </c>
    </row>
    <row r="266" spans="1:17" hidden="1" x14ac:dyDescent="0.6">
      <c r="A266" s="4" t="s">
        <v>48</v>
      </c>
      <c r="B266" s="4" t="s">
        <v>844</v>
      </c>
      <c r="C266" s="4" t="s">
        <v>845</v>
      </c>
      <c r="D266" s="12" t="s">
        <v>532</v>
      </c>
      <c r="E266" s="12" t="s">
        <v>533</v>
      </c>
      <c r="F266" s="17" t="s">
        <v>588</v>
      </c>
      <c r="G266" s="6">
        <v>0.88</v>
      </c>
      <c r="H266" s="6">
        <v>0.72</v>
      </c>
      <c r="I266" s="6">
        <v>0.82</v>
      </c>
      <c r="J266" s="6">
        <v>1.03</v>
      </c>
      <c r="K266" s="6">
        <v>0.87</v>
      </c>
      <c r="L266" s="6">
        <v>0.96</v>
      </c>
      <c r="M266" s="6">
        <v>0.51</v>
      </c>
      <c r="N266" s="6">
        <v>1.02</v>
      </c>
      <c r="O266" s="6">
        <v>0</v>
      </c>
      <c r="P266" s="6">
        <v>0</v>
      </c>
      <c r="Q266" s="6">
        <v>0</v>
      </c>
    </row>
    <row r="267" spans="1:17" hidden="1" x14ac:dyDescent="0.6">
      <c r="A267" s="4" t="s">
        <v>48</v>
      </c>
      <c r="B267" s="4" t="s">
        <v>844</v>
      </c>
      <c r="C267" s="4" t="s">
        <v>845</v>
      </c>
      <c r="D267" s="12" t="s">
        <v>534</v>
      </c>
      <c r="E267" s="12" t="s">
        <v>535</v>
      </c>
      <c r="F267" s="17" t="s">
        <v>588</v>
      </c>
      <c r="G267" s="6">
        <v>0</v>
      </c>
      <c r="H267" s="6">
        <v>0</v>
      </c>
      <c r="I267" s="6">
        <v>1.02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</row>
    <row r="268" spans="1:17" hidden="1" x14ac:dyDescent="0.6">
      <c r="A268" s="4" t="s">
        <v>48</v>
      </c>
      <c r="B268" s="4" t="s">
        <v>840</v>
      </c>
      <c r="C268" s="4" t="s">
        <v>841</v>
      </c>
      <c r="D268" s="12" t="s">
        <v>516</v>
      </c>
      <c r="E268" s="12" t="s">
        <v>517</v>
      </c>
      <c r="F268" s="17" t="s">
        <v>588</v>
      </c>
      <c r="G268" s="6">
        <v>0.7</v>
      </c>
      <c r="H268" s="6">
        <v>0.96</v>
      </c>
      <c r="I268" s="6">
        <v>0.43</v>
      </c>
      <c r="J268" s="6">
        <v>1.2</v>
      </c>
      <c r="K268" s="6">
        <v>0.54</v>
      </c>
      <c r="L268" s="6">
        <v>0.46</v>
      </c>
      <c r="M268" s="6">
        <v>0</v>
      </c>
      <c r="N268" s="6">
        <v>0.56999999999999995</v>
      </c>
      <c r="O268" s="6">
        <v>0</v>
      </c>
      <c r="P268" s="6">
        <v>0</v>
      </c>
      <c r="Q268" s="6">
        <v>0</v>
      </c>
    </row>
    <row r="269" spans="1:17" hidden="1" x14ac:dyDescent="0.6">
      <c r="A269" s="4" t="s">
        <v>48</v>
      </c>
      <c r="B269" s="4" t="s">
        <v>840</v>
      </c>
      <c r="C269" s="4" t="s">
        <v>841</v>
      </c>
      <c r="D269" s="12" t="s">
        <v>518</v>
      </c>
      <c r="E269" s="12" t="s">
        <v>519</v>
      </c>
      <c r="F269" s="17" t="s">
        <v>588</v>
      </c>
      <c r="G269" s="6">
        <v>0</v>
      </c>
      <c r="H269" s="6">
        <v>0.93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</row>
    <row r="270" spans="1:17" hidden="1" x14ac:dyDescent="0.6">
      <c r="A270" s="4" t="s">
        <v>48</v>
      </c>
      <c r="B270" s="4" t="s">
        <v>840</v>
      </c>
      <c r="C270" s="4" t="s">
        <v>841</v>
      </c>
      <c r="D270" s="12" t="s">
        <v>520</v>
      </c>
      <c r="E270" s="12" t="s">
        <v>521</v>
      </c>
      <c r="F270" s="17" t="s">
        <v>588</v>
      </c>
      <c r="G270" s="6">
        <v>0</v>
      </c>
      <c r="H270" s="6">
        <v>0</v>
      </c>
      <c r="I270" s="6">
        <v>0</v>
      </c>
      <c r="J270" s="6">
        <v>0.54</v>
      </c>
      <c r="K270" s="6">
        <v>0.57999999999999996</v>
      </c>
      <c r="L270" s="6">
        <v>1.45</v>
      </c>
      <c r="M270" s="6">
        <v>0.8</v>
      </c>
      <c r="N270" s="6">
        <v>0.38</v>
      </c>
      <c r="O270" s="6">
        <v>0</v>
      </c>
      <c r="P270" s="6">
        <v>0</v>
      </c>
      <c r="Q270" s="6">
        <v>0</v>
      </c>
    </row>
    <row r="271" spans="1:17" hidden="1" x14ac:dyDescent="0.6">
      <c r="A271" s="4" t="s">
        <v>48</v>
      </c>
      <c r="B271" s="4" t="s">
        <v>840</v>
      </c>
      <c r="C271" s="4" t="s">
        <v>841</v>
      </c>
      <c r="D271" s="12" t="s">
        <v>522</v>
      </c>
      <c r="E271" s="12" t="s">
        <v>523</v>
      </c>
      <c r="F271" s="17" t="s">
        <v>588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</row>
    <row r="272" spans="1:17" hidden="1" x14ac:dyDescent="0.6">
      <c r="A272" s="4" t="s">
        <v>48</v>
      </c>
      <c r="B272" s="4" t="s">
        <v>840</v>
      </c>
      <c r="C272" s="4" t="s">
        <v>841</v>
      </c>
      <c r="D272" s="12" t="s">
        <v>524</v>
      </c>
      <c r="E272" s="12" t="s">
        <v>525</v>
      </c>
      <c r="F272" s="17" t="s">
        <v>588</v>
      </c>
      <c r="G272" s="6">
        <v>0.83</v>
      </c>
      <c r="H272" s="6">
        <v>0.74</v>
      </c>
      <c r="I272" s="6">
        <v>0.36</v>
      </c>
      <c r="J272" s="6">
        <v>0.57999999999999996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</row>
    <row r="273" spans="1:17" hidden="1" x14ac:dyDescent="0.6">
      <c r="A273" s="4" t="s">
        <v>48</v>
      </c>
      <c r="B273" s="4" t="s">
        <v>840</v>
      </c>
      <c r="C273" s="4" t="s">
        <v>841</v>
      </c>
      <c r="D273" s="12" t="s">
        <v>526</v>
      </c>
      <c r="E273" s="12" t="s">
        <v>527</v>
      </c>
      <c r="F273" s="17" t="s">
        <v>588</v>
      </c>
      <c r="G273" s="6">
        <v>0</v>
      </c>
      <c r="H273" s="6">
        <v>0</v>
      </c>
      <c r="I273" s="6">
        <v>0</v>
      </c>
      <c r="J273" s="6">
        <v>0</v>
      </c>
      <c r="K273" s="6">
        <v>0.61</v>
      </c>
      <c r="L273" s="6">
        <v>0.98</v>
      </c>
      <c r="M273" s="6">
        <v>0.48</v>
      </c>
      <c r="N273" s="6">
        <v>0</v>
      </c>
      <c r="O273" s="6">
        <v>0</v>
      </c>
      <c r="P273" s="6">
        <v>0</v>
      </c>
      <c r="Q273" s="6">
        <v>0</v>
      </c>
    </row>
    <row r="274" spans="1:17" hidden="1" x14ac:dyDescent="0.6">
      <c r="A274" s="4" t="s">
        <v>48</v>
      </c>
      <c r="B274" s="4" t="s">
        <v>840</v>
      </c>
      <c r="C274" s="4" t="s">
        <v>841</v>
      </c>
      <c r="D274" s="12" t="s">
        <v>528</v>
      </c>
      <c r="E274" s="12" t="s">
        <v>529</v>
      </c>
      <c r="F274" s="17" t="s">
        <v>588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</row>
    <row r="275" spans="1:17" hidden="1" x14ac:dyDescent="0.6">
      <c r="A275" s="4" t="s">
        <v>48</v>
      </c>
      <c r="B275" s="4" t="s">
        <v>842</v>
      </c>
      <c r="C275" s="4" t="s">
        <v>843</v>
      </c>
      <c r="D275" s="12" t="s">
        <v>530</v>
      </c>
      <c r="E275" s="12" t="s">
        <v>531</v>
      </c>
      <c r="F275" s="17" t="s">
        <v>588</v>
      </c>
      <c r="G275" s="6">
        <v>0</v>
      </c>
      <c r="H275" s="6">
        <v>0.69</v>
      </c>
      <c r="I275" s="6">
        <v>0.7</v>
      </c>
      <c r="J275" s="6">
        <v>0.44</v>
      </c>
      <c r="K275" s="6">
        <v>0.57999999999999996</v>
      </c>
      <c r="L275" s="6">
        <v>0.56999999999999995</v>
      </c>
      <c r="M275" s="6">
        <v>0.56000000000000005</v>
      </c>
      <c r="N275" s="6">
        <v>0.73</v>
      </c>
      <c r="O275" s="6">
        <v>0</v>
      </c>
      <c r="P275" s="6">
        <v>0</v>
      </c>
      <c r="Q275" s="6">
        <v>0</v>
      </c>
    </row>
    <row r="276" spans="1:17" hidden="1" x14ac:dyDescent="0.6">
      <c r="A276" s="4" t="s">
        <v>48</v>
      </c>
      <c r="B276" s="4" t="s">
        <v>866</v>
      </c>
      <c r="C276" s="4" t="s">
        <v>867</v>
      </c>
      <c r="D276" s="12" t="s">
        <v>10</v>
      </c>
      <c r="E276" s="12" t="s">
        <v>11</v>
      </c>
      <c r="F276" s="17" t="s">
        <v>588</v>
      </c>
      <c r="G276" s="6">
        <v>0.95</v>
      </c>
      <c r="H276" s="6">
        <v>0.89</v>
      </c>
      <c r="I276" s="6">
        <v>1</v>
      </c>
      <c r="J276" s="6">
        <v>0.75</v>
      </c>
      <c r="K276" s="6">
        <v>0.67</v>
      </c>
      <c r="L276" s="6">
        <v>0.56000000000000005</v>
      </c>
      <c r="M276" s="6">
        <v>0.59</v>
      </c>
      <c r="N276" s="6">
        <v>0.55000000000000004</v>
      </c>
      <c r="O276" s="6">
        <v>0</v>
      </c>
      <c r="P276" s="6">
        <v>0</v>
      </c>
      <c r="Q276" s="6">
        <v>0</v>
      </c>
    </row>
    <row r="277" spans="1:17" hidden="1" x14ac:dyDescent="0.6">
      <c r="A277" s="4" t="s">
        <v>48</v>
      </c>
      <c r="B277" s="4" t="s">
        <v>866</v>
      </c>
      <c r="C277" s="4" t="s">
        <v>867</v>
      </c>
      <c r="D277" s="12" t="s">
        <v>570</v>
      </c>
      <c r="E277" s="12" t="s">
        <v>571</v>
      </c>
      <c r="F277" s="17" t="s">
        <v>588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</row>
    <row r="278" spans="1:17" hidden="1" x14ac:dyDescent="0.6">
      <c r="A278" s="4" t="s">
        <v>48</v>
      </c>
      <c r="B278" s="4" t="s">
        <v>866</v>
      </c>
      <c r="C278" s="4" t="s">
        <v>867</v>
      </c>
      <c r="D278" s="12" t="s">
        <v>12</v>
      </c>
      <c r="E278" s="12" t="s">
        <v>13</v>
      </c>
      <c r="F278" s="17" t="s">
        <v>588</v>
      </c>
      <c r="G278" s="6">
        <v>1.2</v>
      </c>
      <c r="H278" s="6">
        <v>0.93</v>
      </c>
      <c r="I278" s="6">
        <v>0.84</v>
      </c>
      <c r="J278" s="6">
        <v>0.57999999999999996</v>
      </c>
      <c r="K278" s="6">
        <v>0.57999999999999996</v>
      </c>
      <c r="L278" s="6">
        <v>0.56000000000000005</v>
      </c>
      <c r="M278" s="6">
        <v>0</v>
      </c>
      <c r="N278" s="6">
        <v>0.66</v>
      </c>
      <c r="O278" s="6">
        <v>0</v>
      </c>
      <c r="P278" s="6">
        <v>0</v>
      </c>
      <c r="Q278" s="6">
        <v>0</v>
      </c>
    </row>
    <row r="279" spans="1:17" hidden="1" x14ac:dyDescent="0.6">
      <c r="A279" s="4" t="s">
        <v>48</v>
      </c>
      <c r="B279" s="4" t="s">
        <v>866</v>
      </c>
      <c r="C279" s="4" t="s">
        <v>867</v>
      </c>
      <c r="D279" s="12" t="s">
        <v>14</v>
      </c>
      <c r="E279" s="12" t="s">
        <v>15</v>
      </c>
      <c r="F279" s="17" t="s">
        <v>588</v>
      </c>
      <c r="G279" s="6">
        <v>0.34</v>
      </c>
      <c r="H279" s="6">
        <v>0.56999999999999995</v>
      </c>
      <c r="I279" s="6">
        <v>0.9</v>
      </c>
      <c r="J279" s="6">
        <v>0.87</v>
      </c>
      <c r="K279" s="6">
        <v>0.7</v>
      </c>
      <c r="L279" s="6">
        <v>0.41</v>
      </c>
      <c r="M279" s="6">
        <v>0.55000000000000004</v>
      </c>
      <c r="N279" s="6">
        <v>0.57999999999999996</v>
      </c>
      <c r="O279" s="6">
        <v>0</v>
      </c>
      <c r="P279" s="6">
        <v>0</v>
      </c>
      <c r="Q279" s="6">
        <v>0</v>
      </c>
    </row>
    <row r="280" spans="1:17" hidden="1" x14ac:dyDescent="0.6">
      <c r="A280" s="4" t="s">
        <v>48</v>
      </c>
      <c r="B280" s="4" t="s">
        <v>858</v>
      </c>
      <c r="C280" s="4" t="s">
        <v>859</v>
      </c>
      <c r="D280" s="12" t="s">
        <v>8</v>
      </c>
      <c r="E280" s="12" t="s">
        <v>9</v>
      </c>
      <c r="F280" s="17" t="s">
        <v>588</v>
      </c>
      <c r="G280" s="6">
        <v>1.7</v>
      </c>
      <c r="H280" s="6">
        <v>0.65</v>
      </c>
      <c r="I280" s="6">
        <v>0.83</v>
      </c>
      <c r="J280" s="6">
        <v>0.82</v>
      </c>
      <c r="K280" s="6">
        <v>1.1399999999999999</v>
      </c>
      <c r="L280" s="6">
        <v>1.44</v>
      </c>
      <c r="M280" s="6">
        <v>0.79</v>
      </c>
      <c r="N280" s="6">
        <v>0.71</v>
      </c>
      <c r="O280" s="6">
        <v>0</v>
      </c>
      <c r="P280" s="6">
        <v>0</v>
      </c>
      <c r="Q280" s="6">
        <v>0</v>
      </c>
    </row>
    <row r="281" spans="1:17" hidden="1" x14ac:dyDescent="0.6">
      <c r="A281" s="4" t="s">
        <v>48</v>
      </c>
      <c r="B281" s="4" t="s">
        <v>858</v>
      </c>
      <c r="C281" s="4" t="s">
        <v>859</v>
      </c>
      <c r="D281" s="12" t="s">
        <v>554</v>
      </c>
      <c r="E281" s="12" t="s">
        <v>555</v>
      </c>
      <c r="F281" s="17" t="s">
        <v>588</v>
      </c>
      <c r="G281" s="6">
        <v>0</v>
      </c>
      <c r="H281" s="6">
        <v>0</v>
      </c>
      <c r="I281" s="6">
        <v>0.92</v>
      </c>
      <c r="J281" s="6">
        <v>1.04</v>
      </c>
      <c r="K281" s="6">
        <v>1.1000000000000001</v>
      </c>
      <c r="L281" s="6">
        <v>1.37</v>
      </c>
      <c r="M281" s="6">
        <v>0.74</v>
      </c>
      <c r="N281" s="6">
        <v>0.67</v>
      </c>
      <c r="O281" s="6">
        <v>0</v>
      </c>
      <c r="P281" s="6">
        <v>0</v>
      </c>
      <c r="Q281" s="6">
        <v>0</v>
      </c>
    </row>
    <row r="282" spans="1:17" hidden="1" x14ac:dyDescent="0.6">
      <c r="A282" s="4" t="s">
        <v>48</v>
      </c>
      <c r="B282" s="4" t="s">
        <v>856</v>
      </c>
      <c r="C282" s="4" t="s">
        <v>857</v>
      </c>
      <c r="D282" s="12" t="s">
        <v>550</v>
      </c>
      <c r="E282" s="12" t="s">
        <v>551</v>
      </c>
      <c r="F282" s="17" t="s">
        <v>588</v>
      </c>
      <c r="G282" s="6">
        <v>1.01</v>
      </c>
      <c r="H282" s="6">
        <v>0.96</v>
      </c>
      <c r="I282" s="6">
        <v>0.63</v>
      </c>
      <c r="J282" s="6">
        <v>0.75</v>
      </c>
      <c r="K282" s="6">
        <v>0.83</v>
      </c>
      <c r="L282" s="6">
        <v>0.57999999999999996</v>
      </c>
      <c r="M282" s="6">
        <v>0.35</v>
      </c>
      <c r="N282" s="6">
        <v>0.77</v>
      </c>
      <c r="O282" s="6">
        <v>0</v>
      </c>
      <c r="P282" s="6">
        <v>0</v>
      </c>
      <c r="Q282" s="6">
        <v>0</v>
      </c>
    </row>
    <row r="283" spans="1:17" hidden="1" x14ac:dyDescent="0.6">
      <c r="A283" s="4" t="s">
        <v>48</v>
      </c>
      <c r="B283" s="4" t="s">
        <v>856</v>
      </c>
      <c r="C283" s="4" t="s">
        <v>857</v>
      </c>
      <c r="D283" s="12" t="s">
        <v>552</v>
      </c>
      <c r="E283" s="12" t="s">
        <v>553</v>
      </c>
      <c r="F283" s="17" t="s">
        <v>588</v>
      </c>
      <c r="G283" s="6">
        <v>1.01</v>
      </c>
      <c r="H283" s="6">
        <v>1.22</v>
      </c>
      <c r="I283" s="6">
        <v>1.31</v>
      </c>
      <c r="J283" s="6">
        <v>1.28</v>
      </c>
      <c r="K283" s="6">
        <v>0.94</v>
      </c>
      <c r="L283" s="6">
        <v>1.04</v>
      </c>
      <c r="M283" s="6">
        <v>1.34</v>
      </c>
      <c r="N283" s="6">
        <v>1.07</v>
      </c>
      <c r="O283" s="6">
        <v>0</v>
      </c>
      <c r="P283" s="6">
        <v>0</v>
      </c>
      <c r="Q283" s="6">
        <v>0</v>
      </c>
    </row>
    <row r="284" spans="1:17" hidden="1" x14ac:dyDescent="0.6">
      <c r="A284" s="4" t="s">
        <v>48</v>
      </c>
      <c r="B284" s="4" t="s">
        <v>870</v>
      </c>
      <c r="C284" s="4" t="s">
        <v>871</v>
      </c>
      <c r="D284" s="12" t="s">
        <v>574</v>
      </c>
      <c r="E284" s="12" t="s">
        <v>575</v>
      </c>
      <c r="F284" s="17" t="s">
        <v>588</v>
      </c>
      <c r="G284" s="6">
        <v>1.1299999999999999</v>
      </c>
      <c r="H284" s="6">
        <v>1.01</v>
      </c>
      <c r="I284" s="6">
        <v>1.38</v>
      </c>
      <c r="J284" s="6">
        <v>0</v>
      </c>
      <c r="K284" s="6">
        <v>0.65</v>
      </c>
      <c r="L284" s="6">
        <v>0.59</v>
      </c>
      <c r="M284" s="6">
        <v>0.63</v>
      </c>
      <c r="N284" s="6">
        <v>0</v>
      </c>
      <c r="O284" s="6">
        <v>0</v>
      </c>
      <c r="P284" s="6">
        <v>0</v>
      </c>
      <c r="Q284" s="6">
        <v>0</v>
      </c>
    </row>
    <row r="285" spans="1:17" hidden="1" x14ac:dyDescent="0.6">
      <c r="A285" s="4" t="s">
        <v>48</v>
      </c>
      <c r="B285" s="4" t="s">
        <v>852</v>
      </c>
      <c r="C285" s="4" t="s">
        <v>853</v>
      </c>
      <c r="D285" s="12" t="s">
        <v>544</v>
      </c>
      <c r="E285" s="12" t="s">
        <v>969</v>
      </c>
      <c r="F285" s="17" t="s">
        <v>589</v>
      </c>
      <c r="G285" s="6">
        <v>0.97</v>
      </c>
      <c r="H285" s="6">
        <v>0.76</v>
      </c>
      <c r="I285" s="6">
        <v>0.87</v>
      </c>
      <c r="J285" s="6">
        <v>1.1499999999999999</v>
      </c>
      <c r="K285" s="6">
        <v>1.44</v>
      </c>
      <c r="L285" s="6">
        <v>1.1200000000000001</v>
      </c>
      <c r="M285" s="6">
        <v>1.06</v>
      </c>
      <c r="N285" s="6">
        <v>1.1599999999999999</v>
      </c>
      <c r="O285" s="6">
        <v>0</v>
      </c>
      <c r="P285" s="6">
        <v>0</v>
      </c>
      <c r="Q285" s="6">
        <v>0</v>
      </c>
    </row>
    <row r="286" spans="1:17" hidden="1" x14ac:dyDescent="0.6">
      <c r="A286" s="4" t="s">
        <v>48</v>
      </c>
      <c r="B286" s="4" t="s">
        <v>860</v>
      </c>
      <c r="C286" s="4" t="s">
        <v>861</v>
      </c>
      <c r="D286" s="12" t="s">
        <v>556</v>
      </c>
      <c r="E286" s="12" t="s">
        <v>557</v>
      </c>
      <c r="F286" s="17" t="s">
        <v>588</v>
      </c>
      <c r="G286" s="6">
        <v>0.5</v>
      </c>
      <c r="H286" s="6">
        <v>0.95</v>
      </c>
      <c r="I286" s="6">
        <v>0.82</v>
      </c>
      <c r="J286" s="6">
        <v>1.36</v>
      </c>
      <c r="K286" s="6">
        <v>0.72</v>
      </c>
      <c r="L286" s="6">
        <v>1.68</v>
      </c>
      <c r="M286" s="6">
        <v>0</v>
      </c>
      <c r="N286" s="6">
        <v>1.1599999999999999</v>
      </c>
      <c r="O286" s="6">
        <v>0</v>
      </c>
      <c r="P286" s="6">
        <v>0</v>
      </c>
      <c r="Q286" s="6">
        <v>0</v>
      </c>
    </row>
    <row r="287" spans="1:17" hidden="1" x14ac:dyDescent="0.6">
      <c r="A287" s="4" t="s">
        <v>48</v>
      </c>
      <c r="B287" s="4" t="s">
        <v>854</v>
      </c>
      <c r="C287" s="4" t="s">
        <v>855</v>
      </c>
      <c r="D287" s="12" t="s">
        <v>546</v>
      </c>
      <c r="E287" s="12" t="s">
        <v>547</v>
      </c>
      <c r="F287" s="17" t="s">
        <v>588</v>
      </c>
      <c r="G287" s="6">
        <v>2.17</v>
      </c>
      <c r="H287" s="6">
        <v>2.42</v>
      </c>
      <c r="I287" s="6">
        <v>1.39</v>
      </c>
      <c r="J287" s="6">
        <v>0.67</v>
      </c>
      <c r="K287" s="6">
        <v>0.81</v>
      </c>
      <c r="L287" s="6">
        <v>0.66</v>
      </c>
      <c r="M287" s="6">
        <v>0.44</v>
      </c>
      <c r="N287" s="6">
        <v>1.24</v>
      </c>
      <c r="O287" s="6">
        <v>0</v>
      </c>
      <c r="P287" s="6">
        <v>0</v>
      </c>
      <c r="Q287" s="6">
        <v>0</v>
      </c>
    </row>
    <row r="288" spans="1:17" hidden="1" x14ac:dyDescent="0.6">
      <c r="A288" s="12" t="s">
        <v>48</v>
      </c>
      <c r="B288" s="32" t="s">
        <v>854</v>
      </c>
      <c r="C288" s="12" t="s">
        <v>855</v>
      </c>
      <c r="D288" s="32" t="s">
        <v>548</v>
      </c>
      <c r="E288" s="32" t="s">
        <v>970</v>
      </c>
      <c r="F288" s="32" t="s">
        <v>588</v>
      </c>
      <c r="G288" s="17">
        <v>0</v>
      </c>
      <c r="H288" s="17">
        <v>3.45</v>
      </c>
      <c r="I288" s="17">
        <v>2.99</v>
      </c>
      <c r="J288" s="17">
        <v>0</v>
      </c>
      <c r="K288" s="17">
        <v>0.57999999999999996</v>
      </c>
      <c r="L288" s="17">
        <v>0</v>
      </c>
      <c r="M288" s="17">
        <v>0</v>
      </c>
      <c r="N288" s="17">
        <v>0</v>
      </c>
      <c r="O288" s="33">
        <v>0</v>
      </c>
      <c r="P288" s="33">
        <v>0</v>
      </c>
      <c r="Q288" s="33">
        <v>0</v>
      </c>
    </row>
    <row r="289" spans="1:17" hidden="1" x14ac:dyDescent="0.6">
      <c r="A289" s="12" t="s">
        <v>48</v>
      </c>
      <c r="B289" s="32" t="s">
        <v>862</v>
      </c>
      <c r="C289" s="12" t="s">
        <v>863</v>
      </c>
      <c r="D289" s="32" t="s">
        <v>558</v>
      </c>
      <c r="E289" s="32" t="s">
        <v>559</v>
      </c>
      <c r="F289" s="32" t="s">
        <v>588</v>
      </c>
      <c r="G289" s="17">
        <v>1.18</v>
      </c>
      <c r="H289" s="17">
        <v>0.71</v>
      </c>
      <c r="I289" s="17">
        <v>0.79</v>
      </c>
      <c r="J289" s="17">
        <v>0.76</v>
      </c>
      <c r="K289" s="17">
        <v>0.67</v>
      </c>
      <c r="L289" s="17">
        <v>0.32</v>
      </c>
      <c r="M289" s="17">
        <v>0.66</v>
      </c>
      <c r="N289" s="17">
        <v>0.99</v>
      </c>
      <c r="O289" s="33">
        <v>0</v>
      </c>
      <c r="P289" s="33">
        <v>0</v>
      </c>
      <c r="Q289" s="33">
        <v>0</v>
      </c>
    </row>
    <row r="290" spans="1:17" hidden="1" x14ac:dyDescent="0.6">
      <c r="A290" s="12" t="s">
        <v>48</v>
      </c>
      <c r="B290" s="32" t="s">
        <v>868</v>
      </c>
      <c r="C290" s="12" t="s">
        <v>869</v>
      </c>
      <c r="D290" s="32" t="s">
        <v>572</v>
      </c>
      <c r="E290" s="32" t="s">
        <v>573</v>
      </c>
      <c r="F290" s="32" t="s">
        <v>588</v>
      </c>
      <c r="G290" s="17">
        <v>0.89</v>
      </c>
      <c r="H290" s="17">
        <v>0.95</v>
      </c>
      <c r="I290" s="17">
        <v>0.64</v>
      </c>
      <c r="J290" s="17">
        <v>0.84</v>
      </c>
      <c r="K290" s="17">
        <v>0.46</v>
      </c>
      <c r="L290" s="17">
        <v>0.89</v>
      </c>
      <c r="M290" s="17">
        <v>0.67</v>
      </c>
      <c r="N290" s="17">
        <v>0.55000000000000004</v>
      </c>
      <c r="O290" s="33">
        <v>0</v>
      </c>
      <c r="P290" s="33">
        <v>0</v>
      </c>
      <c r="Q290" s="33">
        <v>0</v>
      </c>
    </row>
    <row r="291" spans="1:17" hidden="1" x14ac:dyDescent="0.6">
      <c r="A291" s="12" t="s">
        <v>48</v>
      </c>
      <c r="B291" s="32" t="s">
        <v>868</v>
      </c>
      <c r="C291" s="12" t="s">
        <v>869</v>
      </c>
      <c r="D291" s="32" t="s">
        <v>971</v>
      </c>
      <c r="E291" s="32" t="s">
        <v>972</v>
      </c>
      <c r="F291" s="32" t="s">
        <v>588</v>
      </c>
      <c r="G291" s="17">
        <v>0</v>
      </c>
      <c r="H291" s="17">
        <v>0</v>
      </c>
      <c r="I291" s="17">
        <v>0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33">
        <v>0</v>
      </c>
      <c r="P291" s="33">
        <v>0</v>
      </c>
      <c r="Q291" s="33">
        <v>0</v>
      </c>
    </row>
  </sheetData>
  <autoFilter ref="A1:Q291" xr:uid="{D4BEF8C4-3AAC-49A4-B2D4-DA4E2DCAF1C2}">
    <filterColumn colId="4">
      <filters>
        <filter val="ตาพระยา"/>
      </filters>
    </filterColumn>
  </autoFilter>
  <sortState ref="A2:C287">
    <sortCondition ref="C2:C287"/>
  </sortState>
  <conditionalFormatting sqref="G2:Q217 G280:Q287 G219:Q278">
    <cfRule type="cellIs" dxfId="4" priority="3" operator="lessThan">
      <formula>0.55</formula>
    </cfRule>
  </conditionalFormatting>
  <conditionalFormatting sqref="G279:Q279">
    <cfRule type="cellIs" dxfId="3" priority="2" operator="lessThan">
      <formula>0.55</formula>
    </cfRule>
  </conditionalFormatting>
  <conditionalFormatting sqref="G218:Q218">
    <cfRule type="cellIs" dxfId="2" priority="1" operator="lessThan">
      <formula>0.55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55E9-CD24-4343-AF1A-626CF4D3AE7C}">
  <dimension ref="A1:S292"/>
  <sheetViews>
    <sheetView workbookViewId="0">
      <pane xSplit="7" ySplit="1" topLeftCell="H51" activePane="bottomRight" state="frozen"/>
      <selection pane="topRight" activeCell="H1" sqref="H1"/>
      <selection pane="bottomLeft" activeCell="A2" sqref="A2"/>
      <selection pane="bottomRight" activeCell="C59" sqref="C59"/>
    </sheetView>
  </sheetViews>
  <sheetFormatPr defaultRowHeight="17" x14ac:dyDescent="0.6"/>
  <cols>
    <col min="1" max="1" width="8.6328125" style="8" bestFit="1" customWidth="1"/>
    <col min="2" max="2" width="7.7265625" style="9" bestFit="1" customWidth="1"/>
    <col min="3" max="3" width="16.90625" style="9" customWidth="1"/>
    <col min="4" max="4" width="5.54296875" style="9" customWidth="1"/>
    <col min="5" max="15" width="8.7265625" style="8"/>
    <col min="16" max="16" width="11.1796875" style="29" customWidth="1"/>
    <col min="17" max="17" width="10.1796875" style="8" bestFit="1" customWidth="1"/>
    <col min="18" max="16384" width="8.7265625" style="8"/>
  </cols>
  <sheetData>
    <row r="1" spans="1:19" x14ac:dyDescent="0.6">
      <c r="A1" s="1" t="s">
        <v>0</v>
      </c>
      <c r="B1" s="2" t="s">
        <v>888</v>
      </c>
      <c r="C1" s="2" t="s">
        <v>889</v>
      </c>
      <c r="D1" s="1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  <c r="L1" s="3" t="s">
        <v>41</v>
      </c>
      <c r="M1" s="3" t="s">
        <v>42</v>
      </c>
      <c r="N1" s="3" t="s">
        <v>43</v>
      </c>
      <c r="O1" s="3" t="s">
        <v>974</v>
      </c>
      <c r="P1" s="29" t="s">
        <v>878</v>
      </c>
      <c r="Q1" s="8" t="s">
        <v>879</v>
      </c>
      <c r="R1" s="8" t="s">
        <v>880</v>
      </c>
      <c r="S1" s="8" t="s">
        <v>881</v>
      </c>
    </row>
    <row r="2" spans="1:19" x14ac:dyDescent="0.6">
      <c r="A2" s="4" t="s">
        <v>44</v>
      </c>
      <c r="B2" s="5" t="s">
        <v>16</v>
      </c>
      <c r="C2" s="5" t="s">
        <v>890</v>
      </c>
      <c r="D2" s="14"/>
      <c r="E2" s="6"/>
      <c r="F2" s="6"/>
      <c r="G2" s="6">
        <v>0</v>
      </c>
      <c r="H2" s="6">
        <v>2.5</v>
      </c>
      <c r="I2" s="6">
        <v>1.25</v>
      </c>
      <c r="J2" s="6">
        <v>1.25</v>
      </c>
      <c r="K2" s="6">
        <v>1.25</v>
      </c>
      <c r="L2" s="6">
        <v>0</v>
      </c>
      <c r="M2" s="6">
        <v>0</v>
      </c>
      <c r="N2" s="6">
        <v>0</v>
      </c>
      <c r="O2" s="6">
        <v>6.25</v>
      </c>
      <c r="P2" s="30">
        <f>SUM(E2:N2)</f>
        <v>6.25</v>
      </c>
      <c r="Q2" s="29">
        <f>SUMIF(Dangerous!$A:$A,'Q-Score'!$B2,Dangerous!$N:$N)</f>
        <v>0</v>
      </c>
      <c r="R2" s="29">
        <f>SUMIF(Manual!$A:$A,'Q-Score'!$B2,Manual!$N:$N)</f>
        <v>0</v>
      </c>
      <c r="S2" s="31">
        <f>SUM(P2:R2)</f>
        <v>6.25</v>
      </c>
    </row>
    <row r="3" spans="1:19" x14ac:dyDescent="0.6">
      <c r="A3" s="4" t="s">
        <v>44</v>
      </c>
      <c r="B3" s="7" t="s">
        <v>17</v>
      </c>
      <c r="C3" s="7" t="s">
        <v>892</v>
      </c>
      <c r="D3" s="15"/>
      <c r="E3" s="6"/>
      <c r="F3" s="6"/>
      <c r="G3" s="6">
        <v>1.25</v>
      </c>
      <c r="H3" s="6">
        <v>1.25</v>
      </c>
      <c r="I3" s="6">
        <v>1.25</v>
      </c>
      <c r="J3" s="6">
        <v>1.25</v>
      </c>
      <c r="K3" s="6">
        <v>1.25</v>
      </c>
      <c r="L3" s="6">
        <v>0</v>
      </c>
      <c r="M3" s="6">
        <v>0</v>
      </c>
      <c r="N3" s="6">
        <v>0</v>
      </c>
      <c r="O3" s="6">
        <v>6.25</v>
      </c>
      <c r="P3" s="30">
        <f t="shared" ref="P3:P66" si="0">SUM(E3:N3)</f>
        <v>6.25</v>
      </c>
      <c r="Q3" s="29">
        <f>SUMIF(Dangerous!$A:$A,'Q-Score'!$B3,Dangerous!$N:$N)</f>
        <v>0</v>
      </c>
      <c r="R3" s="29">
        <f>SUMIF(Manual!$A:$A,'Q-Score'!$B3,Manual!$N:$N)</f>
        <v>0</v>
      </c>
      <c r="S3" s="31">
        <f t="shared" ref="S3:S66" si="1">SUM(P3:R3)</f>
        <v>6.25</v>
      </c>
    </row>
    <row r="4" spans="1:19" x14ac:dyDescent="0.6">
      <c r="A4" s="4" t="s">
        <v>44</v>
      </c>
      <c r="B4" s="7" t="s">
        <v>51</v>
      </c>
      <c r="C4" s="7" t="s">
        <v>893</v>
      </c>
      <c r="D4" s="15"/>
      <c r="E4" s="6"/>
      <c r="F4" s="6"/>
      <c r="G4" s="6">
        <v>0</v>
      </c>
      <c r="H4" s="6">
        <v>1.25</v>
      </c>
      <c r="I4" s="6">
        <v>1.25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2.5</v>
      </c>
      <c r="P4" s="30">
        <f t="shared" si="0"/>
        <v>2.5</v>
      </c>
      <c r="Q4" s="29">
        <f>SUMIF(Dangerous!$A:$A,'Q-Score'!$B4,Dangerous!$N:$N)</f>
        <v>0</v>
      </c>
      <c r="R4" s="29">
        <f>SUMIF(Manual!$A:$A,'Q-Score'!$B4,Manual!$N:$N)</f>
        <v>0</v>
      </c>
      <c r="S4" s="31">
        <f t="shared" si="1"/>
        <v>2.5</v>
      </c>
    </row>
    <row r="5" spans="1:19" x14ac:dyDescent="0.6">
      <c r="A5" s="4" t="s">
        <v>44</v>
      </c>
      <c r="B5" s="7" t="s">
        <v>49</v>
      </c>
      <c r="C5" s="7" t="s">
        <v>50</v>
      </c>
      <c r="D5" s="15"/>
      <c r="E5" s="6"/>
      <c r="F5" s="6"/>
      <c r="G5" s="6">
        <v>1.25</v>
      </c>
      <c r="H5" s="6">
        <v>1.25</v>
      </c>
      <c r="I5" s="6">
        <v>1.25</v>
      </c>
      <c r="J5" s="6">
        <v>1.25</v>
      </c>
      <c r="K5" s="6">
        <v>1.25</v>
      </c>
      <c r="L5" s="6">
        <v>0</v>
      </c>
      <c r="M5" s="6">
        <v>0</v>
      </c>
      <c r="N5" s="6">
        <v>0</v>
      </c>
      <c r="O5" s="6">
        <v>6.25</v>
      </c>
      <c r="P5" s="30">
        <f t="shared" si="0"/>
        <v>6.25</v>
      </c>
      <c r="Q5" s="29">
        <f>SUMIF(Dangerous!$A:$A,'Q-Score'!$B5,Dangerous!$N:$N)</f>
        <v>0</v>
      </c>
      <c r="R5" s="29">
        <f>SUMIF(Manual!$A:$A,'Q-Score'!$B5,Manual!$N:$N)</f>
        <v>0</v>
      </c>
      <c r="S5" s="31">
        <f t="shared" si="1"/>
        <v>6.25</v>
      </c>
    </row>
    <row r="6" spans="1:19" x14ac:dyDescent="0.6">
      <c r="A6" s="4" t="s">
        <v>45</v>
      </c>
      <c r="B6" s="7" t="s">
        <v>24</v>
      </c>
      <c r="C6" s="7" t="s">
        <v>25</v>
      </c>
      <c r="D6" s="15"/>
      <c r="E6" s="6"/>
      <c r="F6" s="6"/>
      <c r="G6" s="6">
        <v>1.25</v>
      </c>
      <c r="H6" s="6">
        <v>0</v>
      </c>
      <c r="I6" s="6">
        <v>2.5</v>
      </c>
      <c r="J6" s="6">
        <v>1.25</v>
      </c>
      <c r="K6" s="6">
        <v>0</v>
      </c>
      <c r="L6" s="6">
        <v>0</v>
      </c>
      <c r="M6" s="6">
        <v>0</v>
      </c>
      <c r="N6" s="6">
        <v>0</v>
      </c>
      <c r="O6" s="6">
        <v>5</v>
      </c>
      <c r="P6" s="30">
        <f t="shared" si="0"/>
        <v>5</v>
      </c>
      <c r="Q6" s="29">
        <f>SUMIF(Dangerous!$A:$A,'Q-Score'!$B6,Dangerous!$N:$N)</f>
        <v>0</v>
      </c>
      <c r="R6" s="29">
        <f>SUMIF(Manual!$A:$A,'Q-Score'!$B6,Manual!$N:$N)</f>
        <v>0</v>
      </c>
      <c r="S6" s="31">
        <f t="shared" si="1"/>
        <v>5</v>
      </c>
    </row>
    <row r="7" spans="1:19" x14ac:dyDescent="0.6">
      <c r="A7" s="4" t="s">
        <v>45</v>
      </c>
      <c r="B7" s="7" t="s">
        <v>22</v>
      </c>
      <c r="C7" s="7" t="s">
        <v>23</v>
      </c>
      <c r="D7" s="15"/>
      <c r="E7" s="6"/>
      <c r="F7" s="6"/>
      <c r="G7" s="6">
        <v>1.25</v>
      </c>
      <c r="H7" s="6">
        <v>2.5</v>
      </c>
      <c r="I7" s="6">
        <v>1.25</v>
      </c>
      <c r="J7" s="6">
        <v>0</v>
      </c>
      <c r="K7" s="6">
        <v>1.25</v>
      </c>
      <c r="L7" s="6">
        <v>0</v>
      </c>
      <c r="M7" s="6">
        <v>0</v>
      </c>
      <c r="N7" s="6">
        <v>0</v>
      </c>
      <c r="O7" s="6">
        <v>6.25</v>
      </c>
      <c r="P7" s="30">
        <f t="shared" si="0"/>
        <v>6.25</v>
      </c>
      <c r="Q7" s="29">
        <f>SUMIF(Dangerous!$A:$A,'Q-Score'!$B7,Dangerous!$N:$N)</f>
        <v>0</v>
      </c>
      <c r="R7" s="29">
        <f>SUMIF(Manual!$A:$A,'Q-Score'!$B7,Manual!$N:$N)</f>
        <v>0</v>
      </c>
      <c r="S7" s="31">
        <f t="shared" si="1"/>
        <v>6.25</v>
      </c>
    </row>
    <row r="8" spans="1:19" x14ac:dyDescent="0.6">
      <c r="A8" s="4" t="s">
        <v>45</v>
      </c>
      <c r="B8" s="7" t="s">
        <v>107</v>
      </c>
      <c r="C8" s="7" t="s">
        <v>108</v>
      </c>
      <c r="D8" s="15"/>
      <c r="E8" s="6"/>
      <c r="F8" s="6"/>
      <c r="G8" s="6">
        <v>1.25</v>
      </c>
      <c r="H8" s="6">
        <v>2.5</v>
      </c>
      <c r="I8" s="6">
        <v>1.25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5</v>
      </c>
      <c r="P8" s="30">
        <f t="shared" si="0"/>
        <v>5</v>
      </c>
      <c r="Q8" s="29">
        <f>SUMIF(Dangerous!$A:$A,'Q-Score'!$B8,Dangerous!$N:$N)</f>
        <v>0</v>
      </c>
      <c r="R8" s="29">
        <f>SUMIF(Manual!$A:$A,'Q-Score'!$B8,Manual!$N:$N)</f>
        <v>0</v>
      </c>
      <c r="S8" s="31">
        <f t="shared" si="1"/>
        <v>5</v>
      </c>
    </row>
    <row r="9" spans="1:19" x14ac:dyDescent="0.6">
      <c r="A9" s="4" t="s">
        <v>45</v>
      </c>
      <c r="B9" s="7" t="s">
        <v>109</v>
      </c>
      <c r="C9" s="7" t="s">
        <v>110</v>
      </c>
      <c r="D9" s="15"/>
      <c r="E9" s="6"/>
      <c r="F9" s="6"/>
      <c r="G9" s="6">
        <v>1.25</v>
      </c>
      <c r="H9" s="6">
        <v>1.25</v>
      </c>
      <c r="I9" s="6">
        <v>1.25</v>
      </c>
      <c r="J9" s="6">
        <v>2.5</v>
      </c>
      <c r="K9" s="6">
        <v>2.5</v>
      </c>
      <c r="L9" s="6">
        <v>0</v>
      </c>
      <c r="M9" s="6">
        <v>0</v>
      </c>
      <c r="N9" s="6">
        <v>0</v>
      </c>
      <c r="O9" s="6">
        <v>8.75</v>
      </c>
      <c r="P9" s="30">
        <f t="shared" si="0"/>
        <v>8.75</v>
      </c>
      <c r="Q9" s="29">
        <f>SUMIF(Dangerous!$A:$A,'Q-Score'!$B9,Dangerous!$N:$N)</f>
        <v>0</v>
      </c>
      <c r="R9" s="29">
        <f>SUMIF(Manual!$A:$A,'Q-Score'!$B9,Manual!$N:$N)</f>
        <v>0</v>
      </c>
      <c r="S9" s="31">
        <f t="shared" si="1"/>
        <v>8.75</v>
      </c>
    </row>
    <row r="10" spans="1:19" x14ac:dyDescent="0.6">
      <c r="A10" s="4" t="s">
        <v>45</v>
      </c>
      <c r="B10" s="7" t="s">
        <v>103</v>
      </c>
      <c r="C10" s="7" t="s">
        <v>104</v>
      </c>
      <c r="D10" s="15"/>
      <c r="E10" s="6"/>
      <c r="F10" s="6"/>
      <c r="G10" s="6">
        <v>0</v>
      </c>
      <c r="H10" s="6">
        <v>0</v>
      </c>
      <c r="I10" s="6">
        <v>0</v>
      </c>
      <c r="J10" s="6">
        <v>1.25</v>
      </c>
      <c r="K10" s="6">
        <v>0</v>
      </c>
      <c r="L10" s="6">
        <v>0</v>
      </c>
      <c r="M10" s="6">
        <v>0</v>
      </c>
      <c r="N10" s="6">
        <v>0</v>
      </c>
      <c r="O10" s="6">
        <v>1.25</v>
      </c>
      <c r="P10" s="30">
        <f t="shared" si="0"/>
        <v>1.25</v>
      </c>
      <c r="Q10" s="29">
        <f>SUMIF(Dangerous!$A:$A,'Q-Score'!$B10,Dangerous!$N:$N)</f>
        <v>0</v>
      </c>
      <c r="R10" s="29">
        <f>SUMIF(Manual!$A:$A,'Q-Score'!$B10,Manual!$N:$N)</f>
        <v>0</v>
      </c>
      <c r="S10" s="31">
        <f t="shared" si="1"/>
        <v>1.25</v>
      </c>
    </row>
    <row r="11" spans="1:19" x14ac:dyDescent="0.6">
      <c r="A11" s="4" t="s">
        <v>45</v>
      </c>
      <c r="B11" s="7" t="s">
        <v>105</v>
      </c>
      <c r="C11" s="7" t="s">
        <v>106</v>
      </c>
      <c r="D11" s="15"/>
      <c r="E11" s="6"/>
      <c r="F11" s="6"/>
      <c r="G11" s="6">
        <v>2.5</v>
      </c>
      <c r="H11" s="6">
        <v>0</v>
      </c>
      <c r="I11" s="6">
        <v>0</v>
      </c>
      <c r="J11" s="6">
        <v>2.5</v>
      </c>
      <c r="K11" s="6">
        <v>1.25</v>
      </c>
      <c r="L11" s="6">
        <v>0</v>
      </c>
      <c r="M11" s="6">
        <v>0</v>
      </c>
      <c r="N11" s="6">
        <v>0</v>
      </c>
      <c r="O11" s="6">
        <v>6.25</v>
      </c>
      <c r="P11" s="30">
        <f t="shared" si="0"/>
        <v>6.25</v>
      </c>
      <c r="Q11" s="29">
        <f>SUMIF(Dangerous!$A:$A,'Q-Score'!$B11,Dangerous!$N:$N)</f>
        <v>0</v>
      </c>
      <c r="R11" s="29">
        <f>SUMIF(Manual!$A:$A,'Q-Score'!$B11,Manual!$N:$N)</f>
        <v>0</v>
      </c>
      <c r="S11" s="31">
        <f t="shared" si="1"/>
        <v>6.25</v>
      </c>
    </row>
    <row r="12" spans="1:19" x14ac:dyDescent="0.6">
      <c r="A12" s="4" t="s">
        <v>45</v>
      </c>
      <c r="B12" s="7" t="s">
        <v>115</v>
      </c>
      <c r="C12" s="7" t="s">
        <v>116</v>
      </c>
      <c r="D12" s="15"/>
      <c r="E12" s="6"/>
      <c r="F12" s="6"/>
      <c r="G12" s="6">
        <v>1.25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1.25</v>
      </c>
      <c r="P12" s="30">
        <f t="shared" si="0"/>
        <v>1.25</v>
      </c>
      <c r="Q12" s="29">
        <f>SUMIF(Dangerous!$A:$A,'Q-Score'!$B12,Dangerous!$N:$N)</f>
        <v>0</v>
      </c>
      <c r="R12" s="29">
        <f>SUMIF(Manual!$A:$A,'Q-Score'!$B12,Manual!$N:$N)</f>
        <v>0</v>
      </c>
      <c r="S12" s="31">
        <f t="shared" si="1"/>
        <v>1.25</v>
      </c>
    </row>
    <row r="13" spans="1:19" x14ac:dyDescent="0.6">
      <c r="A13" s="4" t="s">
        <v>45</v>
      </c>
      <c r="B13" s="7" t="s">
        <v>117</v>
      </c>
      <c r="C13" s="7" t="s">
        <v>118</v>
      </c>
      <c r="D13" s="15"/>
      <c r="E13" s="6"/>
      <c r="F13" s="6"/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30">
        <f t="shared" si="0"/>
        <v>0</v>
      </c>
      <c r="Q13" s="29">
        <f>SUMIF(Dangerous!$A:$A,'Q-Score'!$B13,Dangerous!$N:$N)</f>
        <v>0</v>
      </c>
      <c r="R13" s="29">
        <f>SUMIF(Manual!$A:$A,'Q-Score'!$B13,Manual!$N:$N)</f>
        <v>0</v>
      </c>
      <c r="S13" s="31">
        <f t="shared" si="1"/>
        <v>0</v>
      </c>
    </row>
    <row r="14" spans="1:19" x14ac:dyDescent="0.6">
      <c r="A14" s="4" t="s">
        <v>45</v>
      </c>
      <c r="B14" s="7" t="s">
        <v>59</v>
      </c>
      <c r="C14" s="7" t="s">
        <v>60</v>
      </c>
      <c r="D14" s="15"/>
      <c r="E14" s="6"/>
      <c r="F14" s="6"/>
      <c r="G14" s="6">
        <v>1.25</v>
      </c>
      <c r="H14" s="6">
        <v>1.25</v>
      </c>
      <c r="I14" s="6">
        <v>1.25</v>
      </c>
      <c r="J14" s="6">
        <v>1.25</v>
      </c>
      <c r="K14" s="6">
        <v>0</v>
      </c>
      <c r="L14" s="6">
        <v>0</v>
      </c>
      <c r="M14" s="6">
        <v>0</v>
      </c>
      <c r="N14" s="6">
        <v>0</v>
      </c>
      <c r="O14" s="6">
        <v>5</v>
      </c>
      <c r="P14" s="30">
        <f t="shared" si="0"/>
        <v>5</v>
      </c>
      <c r="Q14" s="29">
        <f>SUMIF(Dangerous!$A:$A,'Q-Score'!$B14,Dangerous!$N:$N)</f>
        <v>0</v>
      </c>
      <c r="R14" s="29">
        <f>SUMIF(Manual!$A:$A,'Q-Score'!$B14,Manual!$N:$N)</f>
        <v>0</v>
      </c>
      <c r="S14" s="31">
        <f t="shared" si="1"/>
        <v>5</v>
      </c>
    </row>
    <row r="15" spans="1:19" x14ac:dyDescent="0.6">
      <c r="A15" s="4" t="s">
        <v>45</v>
      </c>
      <c r="B15" s="7" t="s">
        <v>61</v>
      </c>
      <c r="C15" s="7" t="s">
        <v>62</v>
      </c>
      <c r="D15" s="15"/>
      <c r="E15" s="6"/>
      <c r="F15" s="6"/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30">
        <f t="shared" si="0"/>
        <v>0</v>
      </c>
      <c r="Q15" s="29">
        <f>SUMIF(Dangerous!$A:$A,'Q-Score'!$B15,Dangerous!$N:$N)</f>
        <v>0</v>
      </c>
      <c r="R15" s="29">
        <f>SUMIF(Manual!$A:$A,'Q-Score'!$B15,Manual!$N:$N)</f>
        <v>0</v>
      </c>
      <c r="S15" s="31">
        <f t="shared" si="1"/>
        <v>0</v>
      </c>
    </row>
    <row r="16" spans="1:19" x14ac:dyDescent="0.6">
      <c r="A16" s="4" t="s">
        <v>45</v>
      </c>
      <c r="B16" s="7" t="s">
        <v>63</v>
      </c>
      <c r="C16" s="7" t="s">
        <v>64</v>
      </c>
      <c r="D16" s="15"/>
      <c r="E16" s="6"/>
      <c r="F16" s="6"/>
      <c r="G16" s="6">
        <v>1.25</v>
      </c>
      <c r="H16" s="6">
        <v>1.25</v>
      </c>
      <c r="I16" s="6">
        <v>1.25</v>
      </c>
      <c r="J16" s="6">
        <v>1.25</v>
      </c>
      <c r="K16" s="6">
        <v>1.25</v>
      </c>
      <c r="L16" s="6">
        <v>0</v>
      </c>
      <c r="M16" s="6">
        <v>0</v>
      </c>
      <c r="N16" s="6">
        <v>0</v>
      </c>
      <c r="O16" s="6">
        <v>6.25</v>
      </c>
      <c r="P16" s="30">
        <f t="shared" si="0"/>
        <v>6.25</v>
      </c>
      <c r="Q16" s="29">
        <f>SUMIF(Dangerous!$A:$A,'Q-Score'!$B16,Dangerous!$N:$N)</f>
        <v>0</v>
      </c>
      <c r="R16" s="29">
        <f>SUMIF(Manual!$A:$A,'Q-Score'!$B16,Manual!$N:$N)</f>
        <v>0</v>
      </c>
      <c r="S16" s="31">
        <f t="shared" si="1"/>
        <v>6.25</v>
      </c>
    </row>
    <row r="17" spans="1:19" x14ac:dyDescent="0.6">
      <c r="A17" s="4" t="s">
        <v>45</v>
      </c>
      <c r="B17" s="7" t="s">
        <v>65</v>
      </c>
      <c r="C17" s="7" t="s">
        <v>66</v>
      </c>
      <c r="D17" s="15"/>
      <c r="E17" s="6"/>
      <c r="F17" s="6"/>
      <c r="G17" s="6">
        <v>1.25</v>
      </c>
      <c r="H17" s="6">
        <v>1.25</v>
      </c>
      <c r="I17" s="6">
        <v>1.25</v>
      </c>
      <c r="J17" s="6">
        <v>1.25</v>
      </c>
      <c r="K17" s="6">
        <v>1.25</v>
      </c>
      <c r="L17" s="6">
        <v>0</v>
      </c>
      <c r="M17" s="6">
        <v>0</v>
      </c>
      <c r="N17" s="6">
        <v>0</v>
      </c>
      <c r="O17" s="6">
        <v>6.25</v>
      </c>
      <c r="P17" s="30">
        <f t="shared" si="0"/>
        <v>6.25</v>
      </c>
      <c r="Q17" s="29">
        <f>SUMIF(Dangerous!$A:$A,'Q-Score'!$B17,Dangerous!$N:$N)</f>
        <v>0</v>
      </c>
      <c r="R17" s="29">
        <f>SUMIF(Manual!$A:$A,'Q-Score'!$B17,Manual!$N:$N)</f>
        <v>0</v>
      </c>
      <c r="S17" s="31">
        <f t="shared" si="1"/>
        <v>6.25</v>
      </c>
    </row>
    <row r="18" spans="1:19" x14ac:dyDescent="0.6">
      <c r="A18" s="4" t="s">
        <v>45</v>
      </c>
      <c r="B18" s="7" t="s">
        <v>71</v>
      </c>
      <c r="C18" s="7" t="s">
        <v>72</v>
      </c>
      <c r="D18" s="15"/>
      <c r="E18" s="6"/>
      <c r="F18" s="6"/>
      <c r="G18" s="6">
        <v>1.25</v>
      </c>
      <c r="H18" s="6">
        <v>1.25</v>
      </c>
      <c r="I18" s="6">
        <v>0</v>
      </c>
      <c r="J18" s="6">
        <v>0</v>
      </c>
      <c r="K18" s="6">
        <v>1.25</v>
      </c>
      <c r="L18" s="6">
        <v>0</v>
      </c>
      <c r="M18" s="6">
        <v>0</v>
      </c>
      <c r="N18" s="6">
        <v>0</v>
      </c>
      <c r="O18" s="6">
        <v>3.75</v>
      </c>
      <c r="P18" s="30">
        <f t="shared" si="0"/>
        <v>3.75</v>
      </c>
      <c r="Q18" s="29">
        <f>SUMIF(Dangerous!$A:$A,'Q-Score'!$B18,Dangerous!$N:$N)</f>
        <v>0</v>
      </c>
      <c r="R18" s="29">
        <f>SUMIF(Manual!$A:$A,'Q-Score'!$B18,Manual!$N:$N)</f>
        <v>0</v>
      </c>
      <c r="S18" s="31">
        <f t="shared" si="1"/>
        <v>3.75</v>
      </c>
    </row>
    <row r="19" spans="1:19" x14ac:dyDescent="0.6">
      <c r="A19" s="4" t="s">
        <v>45</v>
      </c>
      <c r="B19" s="7" t="s">
        <v>73</v>
      </c>
      <c r="C19" s="7" t="s">
        <v>74</v>
      </c>
      <c r="D19" s="15"/>
      <c r="E19" s="6"/>
      <c r="F19" s="6"/>
      <c r="G19" s="6">
        <v>1.25</v>
      </c>
      <c r="H19" s="6">
        <v>2.5</v>
      </c>
      <c r="I19" s="6">
        <v>0</v>
      </c>
      <c r="J19" s="6">
        <v>0</v>
      </c>
      <c r="K19" s="6">
        <v>1.25</v>
      </c>
      <c r="L19" s="6">
        <v>0</v>
      </c>
      <c r="M19" s="6">
        <v>0</v>
      </c>
      <c r="N19" s="6">
        <v>0</v>
      </c>
      <c r="O19" s="6">
        <v>5</v>
      </c>
      <c r="P19" s="30">
        <f t="shared" si="0"/>
        <v>5</v>
      </c>
      <c r="Q19" s="29">
        <f>SUMIF(Dangerous!$A:$A,'Q-Score'!$B19,Dangerous!$N:$N)</f>
        <v>0</v>
      </c>
      <c r="R19" s="29">
        <f>SUMIF(Manual!$A:$A,'Q-Score'!$B19,Manual!$N:$N)</f>
        <v>0</v>
      </c>
      <c r="S19" s="31">
        <f t="shared" si="1"/>
        <v>5</v>
      </c>
    </row>
    <row r="20" spans="1:19" x14ac:dyDescent="0.6">
      <c r="A20" s="4" t="s">
        <v>45</v>
      </c>
      <c r="B20" s="7" t="s">
        <v>77</v>
      </c>
      <c r="C20" s="7" t="s">
        <v>78</v>
      </c>
      <c r="D20" s="15"/>
      <c r="E20" s="6"/>
      <c r="F20" s="6"/>
      <c r="G20" s="6">
        <v>1.25</v>
      </c>
      <c r="H20" s="6">
        <v>1.25</v>
      </c>
      <c r="I20" s="6">
        <v>0</v>
      </c>
      <c r="J20" s="6">
        <v>0</v>
      </c>
      <c r="K20" s="6">
        <v>1.25</v>
      </c>
      <c r="L20" s="6">
        <v>0</v>
      </c>
      <c r="M20" s="6">
        <v>0</v>
      </c>
      <c r="N20" s="6">
        <v>0</v>
      </c>
      <c r="O20" s="6">
        <v>3.75</v>
      </c>
      <c r="P20" s="30">
        <f t="shared" si="0"/>
        <v>3.75</v>
      </c>
      <c r="Q20" s="29">
        <f>SUMIF(Dangerous!$A:$A,'Q-Score'!$B20,Dangerous!$N:$N)</f>
        <v>0</v>
      </c>
      <c r="R20" s="29">
        <f>SUMIF(Manual!$A:$A,'Q-Score'!$B20,Manual!$N:$N)</f>
        <v>0</v>
      </c>
      <c r="S20" s="31">
        <f t="shared" si="1"/>
        <v>3.75</v>
      </c>
    </row>
    <row r="21" spans="1:19" x14ac:dyDescent="0.6">
      <c r="A21" s="4" t="s">
        <v>45</v>
      </c>
      <c r="B21" s="7" t="s">
        <v>75</v>
      </c>
      <c r="C21" s="7" t="s">
        <v>76</v>
      </c>
      <c r="D21" s="15"/>
      <c r="E21" s="6"/>
      <c r="F21" s="6"/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30">
        <f t="shared" si="0"/>
        <v>0</v>
      </c>
      <c r="Q21" s="29">
        <f>SUMIF(Dangerous!$A:$A,'Q-Score'!$B21,Dangerous!$N:$N)</f>
        <v>0</v>
      </c>
      <c r="R21" s="29">
        <f>SUMIF(Manual!$A:$A,'Q-Score'!$B21,Manual!$N:$N)</f>
        <v>0</v>
      </c>
      <c r="S21" s="31">
        <f t="shared" si="1"/>
        <v>0</v>
      </c>
    </row>
    <row r="22" spans="1:19" x14ac:dyDescent="0.6">
      <c r="A22" s="4" t="s">
        <v>45</v>
      </c>
      <c r="B22" s="7" t="s">
        <v>79</v>
      </c>
      <c r="C22" s="7" t="s">
        <v>80</v>
      </c>
      <c r="D22" s="15"/>
      <c r="E22" s="6"/>
      <c r="F22" s="6"/>
      <c r="G22" s="6">
        <v>2.5</v>
      </c>
      <c r="H22" s="6">
        <v>1.25</v>
      </c>
      <c r="I22" s="6">
        <v>1.25</v>
      </c>
      <c r="J22" s="6">
        <v>0</v>
      </c>
      <c r="K22" s="6">
        <v>1.25</v>
      </c>
      <c r="L22" s="6">
        <v>0</v>
      </c>
      <c r="M22" s="6">
        <v>0</v>
      </c>
      <c r="N22" s="6">
        <v>0</v>
      </c>
      <c r="O22" s="6">
        <v>6.25</v>
      </c>
      <c r="P22" s="30">
        <f t="shared" si="0"/>
        <v>6.25</v>
      </c>
      <c r="Q22" s="29">
        <f>SUMIF(Dangerous!$A:$A,'Q-Score'!$B22,Dangerous!$N:$N)</f>
        <v>0</v>
      </c>
      <c r="R22" s="29">
        <f>SUMIF(Manual!$A:$A,'Q-Score'!$B22,Manual!$N:$N)</f>
        <v>0</v>
      </c>
      <c r="S22" s="31">
        <f t="shared" si="1"/>
        <v>6.25</v>
      </c>
    </row>
    <row r="23" spans="1:19" x14ac:dyDescent="0.6">
      <c r="A23" s="4" t="s">
        <v>45</v>
      </c>
      <c r="B23" s="7" t="s">
        <v>81</v>
      </c>
      <c r="C23" s="7" t="s">
        <v>82</v>
      </c>
      <c r="D23" s="15"/>
      <c r="E23" s="6"/>
      <c r="F23" s="6"/>
      <c r="G23" s="6">
        <v>1.25</v>
      </c>
      <c r="H23" s="6">
        <v>1.25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2.5</v>
      </c>
      <c r="P23" s="30">
        <f t="shared" si="0"/>
        <v>2.5</v>
      </c>
      <c r="Q23" s="29">
        <f>SUMIF(Dangerous!$A:$A,'Q-Score'!$B23,Dangerous!$N:$N)</f>
        <v>0</v>
      </c>
      <c r="R23" s="29">
        <f>SUMIF(Manual!$A:$A,'Q-Score'!$B23,Manual!$N:$N)</f>
        <v>0</v>
      </c>
      <c r="S23" s="31">
        <f t="shared" si="1"/>
        <v>2.5</v>
      </c>
    </row>
    <row r="24" spans="1:19" x14ac:dyDescent="0.6">
      <c r="A24" s="4" t="s">
        <v>45</v>
      </c>
      <c r="B24" s="7" t="s">
        <v>83</v>
      </c>
      <c r="C24" s="7" t="s">
        <v>84</v>
      </c>
      <c r="D24" s="15"/>
      <c r="E24" s="6"/>
      <c r="F24" s="6"/>
      <c r="G24" s="6">
        <v>0</v>
      </c>
      <c r="H24" s="6">
        <v>2.5</v>
      </c>
      <c r="I24" s="6">
        <v>2.5</v>
      </c>
      <c r="J24" s="6">
        <v>0</v>
      </c>
      <c r="K24" s="6">
        <v>1.25</v>
      </c>
      <c r="L24" s="6">
        <v>0</v>
      </c>
      <c r="M24" s="6">
        <v>0</v>
      </c>
      <c r="N24" s="6">
        <v>0</v>
      </c>
      <c r="O24" s="6">
        <v>6.25</v>
      </c>
      <c r="P24" s="30">
        <f t="shared" si="0"/>
        <v>6.25</v>
      </c>
      <c r="Q24" s="29">
        <f>SUMIF(Dangerous!$A:$A,'Q-Score'!$B24,Dangerous!$N:$N)</f>
        <v>0</v>
      </c>
      <c r="R24" s="29">
        <f>SUMIF(Manual!$A:$A,'Q-Score'!$B24,Manual!$N:$N)</f>
        <v>0</v>
      </c>
      <c r="S24" s="31">
        <f t="shared" si="1"/>
        <v>6.25</v>
      </c>
    </row>
    <row r="25" spans="1:19" x14ac:dyDescent="0.6">
      <c r="A25" s="4" t="s">
        <v>45</v>
      </c>
      <c r="B25" s="7" t="s">
        <v>87</v>
      </c>
      <c r="C25" s="7" t="s">
        <v>88</v>
      </c>
      <c r="D25" s="15"/>
      <c r="E25" s="6"/>
      <c r="F25" s="6"/>
      <c r="G25" s="6">
        <v>0</v>
      </c>
      <c r="H25" s="6">
        <v>0</v>
      </c>
      <c r="I25" s="6">
        <v>0</v>
      </c>
      <c r="J25" s="6">
        <v>0</v>
      </c>
      <c r="K25" s="6">
        <v>1.25</v>
      </c>
      <c r="L25" s="6">
        <v>0</v>
      </c>
      <c r="M25" s="6">
        <v>0</v>
      </c>
      <c r="N25" s="6">
        <v>0</v>
      </c>
      <c r="O25" s="6">
        <v>1.25</v>
      </c>
      <c r="P25" s="30">
        <f t="shared" si="0"/>
        <v>1.25</v>
      </c>
      <c r="Q25" s="29">
        <f>SUMIF(Dangerous!$A:$A,'Q-Score'!$B25,Dangerous!$N:$N)</f>
        <v>0</v>
      </c>
      <c r="R25" s="29">
        <f>SUMIF(Manual!$A:$A,'Q-Score'!$B25,Manual!$N:$N)</f>
        <v>0</v>
      </c>
      <c r="S25" s="31">
        <f t="shared" si="1"/>
        <v>1.25</v>
      </c>
    </row>
    <row r="26" spans="1:19" x14ac:dyDescent="0.6">
      <c r="A26" s="4" t="s">
        <v>45</v>
      </c>
      <c r="B26" s="7" t="s">
        <v>85</v>
      </c>
      <c r="C26" s="7" t="s">
        <v>86</v>
      </c>
      <c r="D26" s="15"/>
      <c r="E26" s="6"/>
      <c r="F26" s="6"/>
      <c r="G26" s="6">
        <v>1.25</v>
      </c>
      <c r="H26" s="6">
        <v>0</v>
      </c>
      <c r="I26" s="6">
        <v>1.25</v>
      </c>
      <c r="J26" s="6">
        <v>1.25</v>
      </c>
      <c r="K26" s="6">
        <v>2.5</v>
      </c>
      <c r="L26" s="6">
        <v>0</v>
      </c>
      <c r="M26" s="6">
        <v>0</v>
      </c>
      <c r="N26" s="6">
        <v>0</v>
      </c>
      <c r="O26" s="6">
        <v>6.25</v>
      </c>
      <c r="P26" s="30">
        <f t="shared" si="0"/>
        <v>6.25</v>
      </c>
      <c r="Q26" s="29">
        <f>SUMIF(Dangerous!$A:$A,'Q-Score'!$B26,Dangerous!$N:$N)</f>
        <v>0</v>
      </c>
      <c r="R26" s="29">
        <f>SUMIF(Manual!$A:$A,'Q-Score'!$B26,Manual!$N:$N)</f>
        <v>0</v>
      </c>
      <c r="S26" s="31">
        <f t="shared" si="1"/>
        <v>6.25</v>
      </c>
    </row>
    <row r="27" spans="1:19" x14ac:dyDescent="0.6">
      <c r="A27" s="4" t="s">
        <v>45</v>
      </c>
      <c r="B27" s="7" t="s">
        <v>89</v>
      </c>
      <c r="C27" s="7" t="s">
        <v>90</v>
      </c>
      <c r="D27" s="15"/>
      <c r="E27" s="6"/>
      <c r="F27" s="6"/>
      <c r="G27" s="6">
        <v>0</v>
      </c>
      <c r="H27" s="6">
        <v>1.25</v>
      </c>
      <c r="I27" s="6">
        <v>2.5</v>
      </c>
      <c r="J27" s="6">
        <v>2.5</v>
      </c>
      <c r="K27" s="6">
        <v>1.25</v>
      </c>
      <c r="L27" s="6">
        <v>0</v>
      </c>
      <c r="M27" s="6">
        <v>0</v>
      </c>
      <c r="N27" s="6">
        <v>0</v>
      </c>
      <c r="O27" s="6">
        <v>7.5</v>
      </c>
      <c r="P27" s="30">
        <f t="shared" si="0"/>
        <v>7.5</v>
      </c>
      <c r="Q27" s="29">
        <f>SUMIF(Dangerous!$A:$A,'Q-Score'!$B27,Dangerous!$N:$N)</f>
        <v>0</v>
      </c>
      <c r="R27" s="29">
        <f>SUMIF(Manual!$A:$A,'Q-Score'!$B27,Manual!$N:$N)</f>
        <v>0</v>
      </c>
      <c r="S27" s="31">
        <f t="shared" si="1"/>
        <v>7.5</v>
      </c>
    </row>
    <row r="28" spans="1:19" x14ac:dyDescent="0.6">
      <c r="A28" s="4" t="s">
        <v>45</v>
      </c>
      <c r="B28" s="5" t="s">
        <v>91</v>
      </c>
      <c r="C28" s="5" t="s">
        <v>92</v>
      </c>
      <c r="D28" s="14"/>
      <c r="E28" s="6"/>
      <c r="F28" s="6"/>
      <c r="G28" s="6">
        <v>1.25</v>
      </c>
      <c r="H28" s="6">
        <v>2.5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3.75</v>
      </c>
      <c r="P28" s="30">
        <f t="shared" si="0"/>
        <v>3.75</v>
      </c>
      <c r="Q28" s="29">
        <f>SUMIF(Dangerous!$A:$A,'Q-Score'!$B28,Dangerous!$N:$N)</f>
        <v>0</v>
      </c>
      <c r="R28" s="29">
        <f>SUMIF(Manual!$A:$A,'Q-Score'!$B28,Manual!$N:$N)</f>
        <v>0</v>
      </c>
      <c r="S28" s="31">
        <f t="shared" si="1"/>
        <v>3.75</v>
      </c>
    </row>
    <row r="29" spans="1:19" x14ac:dyDescent="0.6">
      <c r="A29" s="4" t="s">
        <v>45</v>
      </c>
      <c r="B29" s="5" t="s">
        <v>93</v>
      </c>
      <c r="C29" s="5" t="s">
        <v>94</v>
      </c>
      <c r="D29" s="14"/>
      <c r="E29" s="6"/>
      <c r="F29" s="6"/>
      <c r="G29" s="6">
        <v>2.5</v>
      </c>
      <c r="H29" s="6">
        <v>1.25</v>
      </c>
      <c r="I29" s="6">
        <v>1.25</v>
      </c>
      <c r="J29" s="6">
        <v>1.25</v>
      </c>
      <c r="K29" s="6">
        <v>1.25</v>
      </c>
      <c r="L29" s="6">
        <v>0</v>
      </c>
      <c r="M29" s="6">
        <v>0</v>
      </c>
      <c r="N29" s="6">
        <v>0</v>
      </c>
      <c r="O29" s="6">
        <v>7.5</v>
      </c>
      <c r="P29" s="30">
        <f t="shared" si="0"/>
        <v>7.5</v>
      </c>
      <c r="Q29" s="29">
        <f>SUMIF(Dangerous!$A:$A,'Q-Score'!$B29,Dangerous!$N:$N)</f>
        <v>0</v>
      </c>
      <c r="R29" s="29">
        <f>SUMIF(Manual!$A:$A,'Q-Score'!$B29,Manual!$N:$N)</f>
        <v>0</v>
      </c>
      <c r="S29" s="31">
        <f t="shared" si="1"/>
        <v>7.5</v>
      </c>
    </row>
    <row r="30" spans="1:19" x14ac:dyDescent="0.6">
      <c r="A30" s="4" t="s">
        <v>45</v>
      </c>
      <c r="B30" s="7" t="s">
        <v>95</v>
      </c>
      <c r="C30" s="7" t="s">
        <v>96</v>
      </c>
      <c r="D30" s="15"/>
      <c r="E30" s="6"/>
      <c r="F30" s="6"/>
      <c r="G30" s="6">
        <v>1.25</v>
      </c>
      <c r="H30" s="6">
        <v>2.5</v>
      </c>
      <c r="I30" s="6">
        <v>2.5</v>
      </c>
      <c r="J30" s="6">
        <v>1.25</v>
      </c>
      <c r="K30" s="6">
        <v>1.25</v>
      </c>
      <c r="L30" s="6">
        <v>0</v>
      </c>
      <c r="M30" s="6">
        <v>0</v>
      </c>
      <c r="N30" s="6">
        <v>0</v>
      </c>
      <c r="O30" s="6">
        <v>8.75</v>
      </c>
      <c r="P30" s="30">
        <f t="shared" si="0"/>
        <v>8.75</v>
      </c>
      <c r="Q30" s="29">
        <f>SUMIF(Dangerous!$A:$A,'Q-Score'!$B30,Dangerous!$N:$N)</f>
        <v>0</v>
      </c>
      <c r="R30" s="29">
        <f>SUMIF(Manual!$A:$A,'Q-Score'!$B30,Manual!$N:$N)</f>
        <v>0</v>
      </c>
      <c r="S30" s="31">
        <f t="shared" si="1"/>
        <v>8.75</v>
      </c>
    </row>
    <row r="31" spans="1:19" x14ac:dyDescent="0.6">
      <c r="A31" s="4" t="s">
        <v>45</v>
      </c>
      <c r="B31" s="7" t="s">
        <v>101</v>
      </c>
      <c r="C31" s="7" t="s">
        <v>102</v>
      </c>
      <c r="D31" s="15"/>
      <c r="E31" s="6"/>
      <c r="F31" s="6"/>
      <c r="G31" s="6">
        <v>0</v>
      </c>
      <c r="H31" s="6">
        <v>1.25</v>
      </c>
      <c r="I31" s="6">
        <v>2.5</v>
      </c>
      <c r="J31" s="6">
        <v>1.25</v>
      </c>
      <c r="K31" s="6">
        <v>0</v>
      </c>
      <c r="L31" s="6">
        <v>0</v>
      </c>
      <c r="M31" s="6">
        <v>0</v>
      </c>
      <c r="N31" s="6">
        <v>0</v>
      </c>
      <c r="O31" s="6">
        <v>5</v>
      </c>
      <c r="P31" s="30">
        <f t="shared" si="0"/>
        <v>5</v>
      </c>
      <c r="Q31" s="29">
        <f>SUMIF(Dangerous!$A:$A,'Q-Score'!$B31,Dangerous!$N:$N)</f>
        <v>0</v>
      </c>
      <c r="R31" s="29">
        <f>SUMIF(Manual!$A:$A,'Q-Score'!$B31,Manual!$N:$N)</f>
        <v>0</v>
      </c>
      <c r="S31" s="31">
        <f t="shared" si="1"/>
        <v>5</v>
      </c>
    </row>
    <row r="32" spans="1:19" x14ac:dyDescent="0.6">
      <c r="A32" s="4" t="s">
        <v>45</v>
      </c>
      <c r="B32" s="7" t="s">
        <v>121</v>
      </c>
      <c r="C32" s="7" t="s">
        <v>122</v>
      </c>
      <c r="D32" s="15"/>
      <c r="E32" s="6"/>
      <c r="F32" s="6"/>
      <c r="G32" s="6">
        <v>1.25</v>
      </c>
      <c r="H32" s="6">
        <v>1.25</v>
      </c>
      <c r="I32" s="6">
        <v>1.25</v>
      </c>
      <c r="J32" s="6">
        <v>1.25</v>
      </c>
      <c r="K32" s="6">
        <v>1.25</v>
      </c>
      <c r="L32" s="6">
        <v>0</v>
      </c>
      <c r="M32" s="6">
        <v>0</v>
      </c>
      <c r="N32" s="6">
        <v>0</v>
      </c>
      <c r="O32" s="6">
        <v>6.25</v>
      </c>
      <c r="P32" s="30">
        <f t="shared" si="0"/>
        <v>6.25</v>
      </c>
      <c r="Q32" s="29">
        <f>SUMIF(Dangerous!$A:$A,'Q-Score'!$B32,Dangerous!$N:$N)</f>
        <v>0</v>
      </c>
      <c r="R32" s="29">
        <f>SUMIF(Manual!$A:$A,'Q-Score'!$B32,Manual!$N:$N)</f>
        <v>0</v>
      </c>
      <c r="S32" s="31">
        <f t="shared" si="1"/>
        <v>6.25</v>
      </c>
    </row>
    <row r="33" spans="1:19" x14ac:dyDescent="0.6">
      <c r="A33" s="4" t="s">
        <v>45</v>
      </c>
      <c r="B33" s="7" t="s">
        <v>69</v>
      </c>
      <c r="C33" s="7" t="s">
        <v>70</v>
      </c>
      <c r="D33" s="15"/>
      <c r="E33" s="6"/>
      <c r="F33" s="6"/>
      <c r="G33" s="6">
        <v>1.25</v>
      </c>
      <c r="H33" s="6">
        <v>1.25</v>
      </c>
      <c r="I33" s="6">
        <v>1.25</v>
      </c>
      <c r="J33" s="6">
        <v>2.5</v>
      </c>
      <c r="K33" s="6">
        <v>1.25</v>
      </c>
      <c r="L33" s="6">
        <v>0</v>
      </c>
      <c r="M33" s="6">
        <v>0</v>
      </c>
      <c r="N33" s="6">
        <v>0</v>
      </c>
      <c r="O33" s="6">
        <v>7.5</v>
      </c>
      <c r="P33" s="30">
        <f t="shared" si="0"/>
        <v>7.5</v>
      </c>
      <c r="Q33" s="29">
        <f>SUMIF(Dangerous!$A:$A,'Q-Score'!$B33,Dangerous!$N:$N)</f>
        <v>0</v>
      </c>
      <c r="R33" s="29">
        <f>SUMIF(Manual!$A:$A,'Q-Score'!$B33,Manual!$N:$N)</f>
        <v>0</v>
      </c>
      <c r="S33" s="31">
        <f t="shared" si="1"/>
        <v>7.5</v>
      </c>
    </row>
    <row r="34" spans="1:19" x14ac:dyDescent="0.6">
      <c r="A34" s="4" t="s">
        <v>45</v>
      </c>
      <c r="B34" s="7" t="s">
        <v>119</v>
      </c>
      <c r="C34" s="7" t="s">
        <v>120</v>
      </c>
      <c r="D34" s="15"/>
      <c r="E34" s="6"/>
      <c r="F34" s="6"/>
      <c r="G34" s="6">
        <v>0</v>
      </c>
      <c r="H34" s="6">
        <v>1.25</v>
      </c>
      <c r="I34" s="6">
        <v>2.5</v>
      </c>
      <c r="J34" s="6">
        <v>1.25</v>
      </c>
      <c r="K34" s="6">
        <v>0</v>
      </c>
      <c r="L34" s="6">
        <v>0</v>
      </c>
      <c r="M34" s="6">
        <v>0</v>
      </c>
      <c r="N34" s="6">
        <v>0</v>
      </c>
      <c r="O34" s="6">
        <v>5</v>
      </c>
      <c r="P34" s="30">
        <f t="shared" si="0"/>
        <v>5</v>
      </c>
      <c r="Q34" s="29">
        <f>SUMIF(Dangerous!$A:$A,'Q-Score'!$B34,Dangerous!$N:$N)</f>
        <v>0</v>
      </c>
      <c r="R34" s="29">
        <f>SUMIF(Manual!$A:$A,'Q-Score'!$B34,Manual!$N:$N)</f>
        <v>0</v>
      </c>
      <c r="S34" s="31">
        <f t="shared" si="1"/>
        <v>5</v>
      </c>
    </row>
    <row r="35" spans="1:19" x14ac:dyDescent="0.6">
      <c r="A35" s="4" t="s">
        <v>45</v>
      </c>
      <c r="B35" s="7" t="s">
        <v>55</v>
      </c>
      <c r="C35" s="7" t="s">
        <v>56</v>
      </c>
      <c r="D35" s="15"/>
      <c r="E35" s="6"/>
      <c r="F35" s="6"/>
      <c r="G35" s="6">
        <v>0</v>
      </c>
      <c r="H35" s="6">
        <v>1.25</v>
      </c>
      <c r="I35" s="6">
        <v>1.25</v>
      </c>
      <c r="J35" s="6">
        <v>1.25</v>
      </c>
      <c r="K35" s="6">
        <v>0</v>
      </c>
      <c r="L35" s="6">
        <v>0</v>
      </c>
      <c r="M35" s="6">
        <v>0</v>
      </c>
      <c r="N35" s="6">
        <v>0</v>
      </c>
      <c r="O35" s="6">
        <v>3.75</v>
      </c>
      <c r="P35" s="30">
        <f t="shared" si="0"/>
        <v>3.75</v>
      </c>
      <c r="Q35" s="29">
        <f>SUMIF(Dangerous!$A:$A,'Q-Score'!$B35,Dangerous!$N:$N)</f>
        <v>0</v>
      </c>
      <c r="R35" s="29">
        <f>SUMIF(Manual!$A:$A,'Q-Score'!$B35,Manual!$N:$N)</f>
        <v>0</v>
      </c>
      <c r="S35" s="31">
        <f t="shared" si="1"/>
        <v>3.75</v>
      </c>
    </row>
    <row r="36" spans="1:19" x14ac:dyDescent="0.6">
      <c r="A36" s="4" t="s">
        <v>45</v>
      </c>
      <c r="B36" s="7" t="s">
        <v>67</v>
      </c>
      <c r="C36" s="7" t="s">
        <v>68</v>
      </c>
      <c r="D36" s="15"/>
      <c r="E36" s="6"/>
      <c r="F36" s="6"/>
      <c r="G36" s="6">
        <v>0</v>
      </c>
      <c r="H36" s="6">
        <v>1.25</v>
      </c>
      <c r="I36" s="6">
        <v>0</v>
      </c>
      <c r="J36" s="6">
        <v>1.25</v>
      </c>
      <c r="K36" s="6">
        <v>0</v>
      </c>
      <c r="L36" s="6">
        <v>0</v>
      </c>
      <c r="M36" s="6">
        <v>0</v>
      </c>
      <c r="N36" s="6">
        <v>0</v>
      </c>
      <c r="O36" s="6">
        <v>2.5</v>
      </c>
      <c r="P36" s="30">
        <f t="shared" si="0"/>
        <v>2.5</v>
      </c>
      <c r="Q36" s="29">
        <f>SUMIF(Dangerous!$A:$A,'Q-Score'!$B36,Dangerous!$N:$N)</f>
        <v>0</v>
      </c>
      <c r="R36" s="29">
        <f>SUMIF(Manual!$A:$A,'Q-Score'!$B36,Manual!$N:$N)</f>
        <v>0</v>
      </c>
      <c r="S36" s="31">
        <f t="shared" si="1"/>
        <v>2.5</v>
      </c>
    </row>
    <row r="37" spans="1:19" x14ac:dyDescent="0.6">
      <c r="A37" s="4" t="s">
        <v>45</v>
      </c>
      <c r="B37" s="7" t="s">
        <v>127</v>
      </c>
      <c r="C37" s="7" t="s">
        <v>894</v>
      </c>
      <c r="D37" s="15"/>
      <c r="E37" s="6"/>
      <c r="F37" s="6"/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30">
        <f t="shared" si="0"/>
        <v>0</v>
      </c>
      <c r="Q37" s="29">
        <f>SUMIF(Dangerous!$A:$A,'Q-Score'!$B37,Dangerous!$N:$N)</f>
        <v>0</v>
      </c>
      <c r="R37" s="29">
        <f>SUMIF(Manual!$A:$A,'Q-Score'!$B37,Manual!$N:$N)</f>
        <v>0</v>
      </c>
      <c r="S37" s="31">
        <f t="shared" si="1"/>
        <v>0</v>
      </c>
    </row>
    <row r="38" spans="1:19" x14ac:dyDescent="0.6">
      <c r="A38" s="4" t="s">
        <v>45</v>
      </c>
      <c r="B38" s="7" t="s">
        <v>123</v>
      </c>
      <c r="C38" s="7" t="s">
        <v>895</v>
      </c>
      <c r="D38" s="15"/>
      <c r="E38" s="6"/>
      <c r="F38" s="6"/>
      <c r="G38" s="6">
        <v>1.25</v>
      </c>
      <c r="H38" s="6">
        <v>1.25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2.5</v>
      </c>
      <c r="P38" s="30">
        <f t="shared" si="0"/>
        <v>2.5</v>
      </c>
      <c r="Q38" s="29">
        <f>SUMIF(Dangerous!$A:$A,'Q-Score'!$B38,Dangerous!$N:$N)</f>
        <v>0</v>
      </c>
      <c r="R38" s="29">
        <f>SUMIF(Manual!$A:$A,'Q-Score'!$B38,Manual!$N:$N)</f>
        <v>0</v>
      </c>
      <c r="S38" s="31">
        <f t="shared" si="1"/>
        <v>2.5</v>
      </c>
    </row>
    <row r="39" spans="1:19" x14ac:dyDescent="0.6">
      <c r="A39" s="4" t="s">
        <v>45</v>
      </c>
      <c r="B39" s="7" t="s">
        <v>896</v>
      </c>
      <c r="C39" s="7" t="s">
        <v>897</v>
      </c>
      <c r="D39" s="15"/>
      <c r="E39" s="6"/>
      <c r="F39" s="6"/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30">
        <f t="shared" si="0"/>
        <v>0</v>
      </c>
      <c r="Q39" s="29">
        <f>SUMIF(Dangerous!$A:$A,'Q-Score'!$B39,Dangerous!$N:$N)</f>
        <v>0</v>
      </c>
      <c r="R39" s="29">
        <f>SUMIF(Manual!$A:$A,'Q-Score'!$B39,Manual!$N:$N)</f>
        <v>0</v>
      </c>
      <c r="S39" s="31">
        <f t="shared" si="1"/>
        <v>0</v>
      </c>
    </row>
    <row r="40" spans="1:19" x14ac:dyDescent="0.6">
      <c r="A40" s="4" t="s">
        <v>45</v>
      </c>
      <c r="B40" s="7" t="s">
        <v>898</v>
      </c>
      <c r="C40" s="7" t="s">
        <v>899</v>
      </c>
      <c r="D40" s="15"/>
      <c r="E40" s="6"/>
      <c r="F40" s="6"/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30">
        <f t="shared" si="0"/>
        <v>0</v>
      </c>
      <c r="Q40" s="29">
        <f>SUMIF(Dangerous!$A:$A,'Q-Score'!$B40,Dangerous!$N:$N)</f>
        <v>0</v>
      </c>
      <c r="R40" s="29">
        <f>SUMIF(Manual!$A:$A,'Q-Score'!$B40,Manual!$N:$N)</f>
        <v>0</v>
      </c>
      <c r="S40" s="31">
        <f t="shared" si="1"/>
        <v>0</v>
      </c>
    </row>
    <row r="41" spans="1:19" x14ac:dyDescent="0.6">
      <c r="A41" s="4" t="s">
        <v>45</v>
      </c>
      <c r="B41" s="7" t="s">
        <v>111</v>
      </c>
      <c r="C41" s="7" t="s">
        <v>112</v>
      </c>
      <c r="D41" s="15"/>
      <c r="E41" s="6"/>
      <c r="F41" s="6"/>
      <c r="G41" s="6">
        <v>1.25</v>
      </c>
      <c r="H41" s="6">
        <v>1.25</v>
      </c>
      <c r="I41" s="6">
        <v>2.5</v>
      </c>
      <c r="J41" s="6">
        <v>1.25</v>
      </c>
      <c r="K41" s="6">
        <v>1.25</v>
      </c>
      <c r="L41" s="6">
        <v>0</v>
      </c>
      <c r="M41" s="6">
        <v>0</v>
      </c>
      <c r="N41" s="6">
        <v>0</v>
      </c>
      <c r="O41" s="6">
        <v>7.5</v>
      </c>
      <c r="P41" s="30">
        <f t="shared" si="0"/>
        <v>7.5</v>
      </c>
      <c r="Q41" s="29">
        <f>SUMIF(Dangerous!$A:$A,'Q-Score'!$B41,Dangerous!$N:$N)</f>
        <v>0</v>
      </c>
      <c r="R41" s="29">
        <f>SUMIF(Manual!$A:$A,'Q-Score'!$B41,Manual!$N:$N)</f>
        <v>0</v>
      </c>
      <c r="S41" s="31">
        <f t="shared" si="1"/>
        <v>7.5</v>
      </c>
    </row>
    <row r="42" spans="1:19" x14ac:dyDescent="0.6">
      <c r="A42" s="4" t="s">
        <v>45</v>
      </c>
      <c r="B42" s="7" t="s">
        <v>97</v>
      </c>
      <c r="C42" s="7" t="s">
        <v>98</v>
      </c>
      <c r="D42" s="15"/>
      <c r="E42" s="6"/>
      <c r="F42" s="6"/>
      <c r="G42" s="6">
        <v>1.25</v>
      </c>
      <c r="H42" s="6">
        <v>0</v>
      </c>
      <c r="I42" s="6">
        <v>1.25</v>
      </c>
      <c r="J42" s="6">
        <v>1.25</v>
      </c>
      <c r="K42" s="6">
        <v>2.5</v>
      </c>
      <c r="L42" s="6">
        <v>0</v>
      </c>
      <c r="M42" s="6">
        <v>0</v>
      </c>
      <c r="N42" s="6">
        <v>0</v>
      </c>
      <c r="O42" s="6">
        <v>6.25</v>
      </c>
      <c r="P42" s="30">
        <f t="shared" si="0"/>
        <v>6.25</v>
      </c>
      <c r="Q42" s="29">
        <f>SUMIF(Dangerous!$A:$A,'Q-Score'!$B42,Dangerous!$N:$N)</f>
        <v>0</v>
      </c>
      <c r="R42" s="29">
        <f>SUMIF(Manual!$A:$A,'Q-Score'!$B42,Manual!$N:$N)</f>
        <v>0</v>
      </c>
      <c r="S42" s="31">
        <f t="shared" si="1"/>
        <v>6.25</v>
      </c>
    </row>
    <row r="43" spans="1:19" x14ac:dyDescent="0.6">
      <c r="A43" s="4" t="s">
        <v>45</v>
      </c>
      <c r="B43" s="7" t="s">
        <v>99</v>
      </c>
      <c r="C43" s="7" t="s">
        <v>900</v>
      </c>
      <c r="D43" s="15"/>
      <c r="E43" s="6"/>
      <c r="F43" s="6"/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30">
        <f t="shared" si="0"/>
        <v>0</v>
      </c>
      <c r="Q43" s="29">
        <f>SUMIF(Dangerous!$A:$A,'Q-Score'!$B43,Dangerous!$N:$N)</f>
        <v>0</v>
      </c>
      <c r="R43" s="29">
        <f>SUMIF(Manual!$A:$A,'Q-Score'!$B43,Manual!$N:$N)</f>
        <v>0</v>
      </c>
      <c r="S43" s="31">
        <f t="shared" si="1"/>
        <v>0</v>
      </c>
    </row>
    <row r="44" spans="1:19" x14ac:dyDescent="0.6">
      <c r="A44" s="4" t="s">
        <v>45</v>
      </c>
      <c r="B44" s="7" t="s">
        <v>125</v>
      </c>
      <c r="C44" s="7" t="s">
        <v>901</v>
      </c>
      <c r="D44" s="15"/>
      <c r="E44" s="6"/>
      <c r="F44" s="6"/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30">
        <f t="shared" si="0"/>
        <v>0</v>
      </c>
      <c r="Q44" s="29">
        <f>SUMIF(Dangerous!$A:$A,'Q-Score'!$B44,Dangerous!$N:$N)</f>
        <v>0</v>
      </c>
      <c r="R44" s="29">
        <f>SUMIF(Manual!$A:$A,'Q-Score'!$B44,Manual!$N:$N)</f>
        <v>0</v>
      </c>
      <c r="S44" s="31">
        <f t="shared" si="1"/>
        <v>0</v>
      </c>
    </row>
    <row r="45" spans="1:19" x14ac:dyDescent="0.6">
      <c r="A45" s="4" t="s">
        <v>45</v>
      </c>
      <c r="B45" s="7" t="s">
        <v>57</v>
      </c>
      <c r="C45" s="7" t="s">
        <v>58</v>
      </c>
      <c r="D45" s="15"/>
      <c r="E45" s="6"/>
      <c r="F45" s="6"/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30">
        <f t="shared" si="0"/>
        <v>0</v>
      </c>
      <c r="Q45" s="29">
        <f>SUMIF(Dangerous!$A:$A,'Q-Score'!$B45,Dangerous!$N:$N)</f>
        <v>0</v>
      </c>
      <c r="R45" s="29">
        <f>SUMIF(Manual!$A:$A,'Q-Score'!$B45,Manual!$N:$N)</f>
        <v>0</v>
      </c>
      <c r="S45" s="31">
        <f t="shared" si="1"/>
        <v>0</v>
      </c>
    </row>
    <row r="46" spans="1:19" x14ac:dyDescent="0.6">
      <c r="A46" s="4" t="s">
        <v>45</v>
      </c>
      <c r="B46" s="7" t="s">
        <v>113</v>
      </c>
      <c r="C46" s="7" t="s">
        <v>114</v>
      </c>
      <c r="D46" s="15"/>
      <c r="E46" s="6"/>
      <c r="F46" s="6"/>
      <c r="G46" s="6">
        <v>1.25</v>
      </c>
      <c r="H46" s="6">
        <v>1.25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2.5</v>
      </c>
      <c r="P46" s="30">
        <f t="shared" si="0"/>
        <v>2.5</v>
      </c>
      <c r="Q46" s="29">
        <f>SUMIF(Dangerous!$A:$A,'Q-Score'!$B46,Dangerous!$N:$N)</f>
        <v>0</v>
      </c>
      <c r="R46" s="29">
        <f>SUMIF(Manual!$A:$A,'Q-Score'!$B46,Manual!$N:$N)</f>
        <v>0</v>
      </c>
      <c r="S46" s="31">
        <f t="shared" si="1"/>
        <v>2.5</v>
      </c>
    </row>
    <row r="47" spans="1:19" x14ac:dyDescent="0.6">
      <c r="A47" s="4" t="s">
        <v>46</v>
      </c>
      <c r="B47" s="7" t="s">
        <v>161</v>
      </c>
      <c r="C47" s="7" t="s">
        <v>162</v>
      </c>
      <c r="D47" s="15"/>
      <c r="E47" s="6"/>
      <c r="F47" s="6"/>
      <c r="G47" s="6">
        <v>0</v>
      </c>
      <c r="H47" s="6">
        <v>1.25</v>
      </c>
      <c r="I47" s="6">
        <v>1.25</v>
      </c>
      <c r="J47" s="6">
        <v>1.25</v>
      </c>
      <c r="K47" s="6">
        <v>0</v>
      </c>
      <c r="L47" s="6">
        <v>0</v>
      </c>
      <c r="M47" s="6">
        <v>0</v>
      </c>
      <c r="N47" s="6">
        <v>0</v>
      </c>
      <c r="O47" s="6">
        <v>3.75</v>
      </c>
      <c r="P47" s="30">
        <f t="shared" si="0"/>
        <v>3.75</v>
      </c>
      <c r="Q47" s="29">
        <f>SUMIF(Dangerous!$A:$A,'Q-Score'!$B47,Dangerous!$N:$N)</f>
        <v>0</v>
      </c>
      <c r="R47" s="29">
        <f>SUMIF(Manual!$A:$A,'Q-Score'!$B47,Manual!$N:$N)</f>
        <v>0</v>
      </c>
      <c r="S47" s="31">
        <f t="shared" si="1"/>
        <v>3.75</v>
      </c>
    </row>
    <row r="48" spans="1:19" x14ac:dyDescent="0.6">
      <c r="A48" s="4" t="s">
        <v>46</v>
      </c>
      <c r="B48" s="7" t="s">
        <v>159</v>
      </c>
      <c r="C48" s="7" t="s">
        <v>160</v>
      </c>
      <c r="D48" s="15"/>
      <c r="E48" s="6"/>
      <c r="F48" s="6"/>
      <c r="G48" s="6">
        <v>0</v>
      </c>
      <c r="H48" s="6">
        <v>0</v>
      </c>
      <c r="I48" s="6">
        <v>0</v>
      </c>
      <c r="J48" s="6">
        <v>2.5</v>
      </c>
      <c r="K48" s="6">
        <v>0</v>
      </c>
      <c r="L48" s="6">
        <v>0</v>
      </c>
      <c r="M48" s="6">
        <v>0</v>
      </c>
      <c r="N48" s="6">
        <v>0</v>
      </c>
      <c r="O48" s="6">
        <v>2.5</v>
      </c>
      <c r="P48" s="30">
        <f t="shared" si="0"/>
        <v>2.5</v>
      </c>
      <c r="Q48" s="29">
        <f>SUMIF(Dangerous!$A:$A,'Q-Score'!$B48,Dangerous!$N:$N)</f>
        <v>-2.5</v>
      </c>
      <c r="R48" s="29">
        <f>SUMIF(Manual!$A:$A,'Q-Score'!$B48,Manual!$N:$N)</f>
        <v>0</v>
      </c>
      <c r="S48" s="31">
        <f t="shared" si="1"/>
        <v>0</v>
      </c>
    </row>
    <row r="49" spans="1:19" x14ac:dyDescent="0.6">
      <c r="A49" s="4" t="s">
        <v>46</v>
      </c>
      <c r="B49" s="7" t="s">
        <v>155</v>
      </c>
      <c r="C49" s="7" t="s">
        <v>156</v>
      </c>
      <c r="D49" s="15"/>
      <c r="E49" s="6"/>
      <c r="F49" s="6"/>
      <c r="G49" s="6">
        <v>1.25</v>
      </c>
      <c r="H49" s="6">
        <v>1.25</v>
      </c>
      <c r="I49" s="6">
        <v>1.25</v>
      </c>
      <c r="J49" s="6">
        <v>1.25</v>
      </c>
      <c r="K49" s="6">
        <v>2.5</v>
      </c>
      <c r="L49" s="6">
        <v>0</v>
      </c>
      <c r="M49" s="6">
        <v>0</v>
      </c>
      <c r="N49" s="6">
        <v>0</v>
      </c>
      <c r="O49" s="6">
        <v>7.5</v>
      </c>
      <c r="P49" s="30">
        <f t="shared" si="0"/>
        <v>7.5</v>
      </c>
      <c r="Q49" s="29">
        <f>SUMIF(Dangerous!$A:$A,'Q-Score'!$B49,Dangerous!$N:$N)</f>
        <v>0</v>
      </c>
      <c r="R49" s="29">
        <f>SUMIF(Manual!$A:$A,'Q-Score'!$B49,Manual!$N:$N)</f>
        <v>0</v>
      </c>
      <c r="S49" s="31">
        <f t="shared" si="1"/>
        <v>7.5</v>
      </c>
    </row>
    <row r="50" spans="1:19" x14ac:dyDescent="0.6">
      <c r="A50" s="4" t="s">
        <v>46</v>
      </c>
      <c r="B50" s="7" t="s">
        <v>157</v>
      </c>
      <c r="C50" s="7" t="s">
        <v>158</v>
      </c>
      <c r="D50" s="15"/>
      <c r="E50" s="6"/>
      <c r="F50" s="6"/>
      <c r="G50" s="6">
        <v>0</v>
      </c>
      <c r="H50" s="6">
        <v>1.25</v>
      </c>
      <c r="I50" s="6">
        <v>2.5</v>
      </c>
      <c r="J50" s="6">
        <v>0</v>
      </c>
      <c r="K50" s="6">
        <v>1.25</v>
      </c>
      <c r="L50" s="6">
        <v>0</v>
      </c>
      <c r="M50" s="6">
        <v>0</v>
      </c>
      <c r="N50" s="6">
        <v>0</v>
      </c>
      <c r="O50" s="6">
        <v>5</v>
      </c>
      <c r="P50" s="30">
        <f t="shared" si="0"/>
        <v>5</v>
      </c>
      <c r="Q50" s="29">
        <f>SUMIF(Dangerous!$A:$A,'Q-Score'!$B50,Dangerous!$N:$N)</f>
        <v>0</v>
      </c>
      <c r="R50" s="29">
        <f>SUMIF(Manual!$A:$A,'Q-Score'!$B50,Manual!$N:$N)</f>
        <v>0</v>
      </c>
      <c r="S50" s="31">
        <f t="shared" si="1"/>
        <v>5</v>
      </c>
    </row>
    <row r="51" spans="1:19" x14ac:dyDescent="0.6">
      <c r="A51" s="4" t="s">
        <v>46</v>
      </c>
      <c r="B51" s="7" t="s">
        <v>153</v>
      </c>
      <c r="C51" s="7" t="s">
        <v>154</v>
      </c>
      <c r="D51" s="15"/>
      <c r="E51" s="6"/>
      <c r="F51" s="6"/>
      <c r="G51" s="6">
        <v>1.25</v>
      </c>
      <c r="H51" s="6">
        <v>2.5</v>
      </c>
      <c r="I51" s="6">
        <v>1.25</v>
      </c>
      <c r="J51" s="6">
        <v>1.25</v>
      </c>
      <c r="K51" s="6">
        <v>1.25</v>
      </c>
      <c r="L51" s="6">
        <v>0</v>
      </c>
      <c r="M51" s="6">
        <v>0</v>
      </c>
      <c r="N51" s="6">
        <v>0</v>
      </c>
      <c r="O51" s="6">
        <v>7.5</v>
      </c>
      <c r="P51" s="30">
        <f t="shared" si="0"/>
        <v>7.5</v>
      </c>
      <c r="Q51" s="29">
        <f>SUMIF(Dangerous!$A:$A,'Q-Score'!$B51,Dangerous!$N:$N)</f>
        <v>0</v>
      </c>
      <c r="R51" s="29">
        <f>SUMIF(Manual!$A:$A,'Q-Score'!$B51,Manual!$N:$N)</f>
        <v>0</v>
      </c>
      <c r="S51" s="31">
        <f t="shared" si="1"/>
        <v>7.5</v>
      </c>
    </row>
    <row r="52" spans="1:19" x14ac:dyDescent="0.6">
      <c r="A52" s="4" t="s">
        <v>46</v>
      </c>
      <c r="B52" s="7" t="s">
        <v>149</v>
      </c>
      <c r="C52" s="7" t="s">
        <v>150</v>
      </c>
      <c r="D52" s="15"/>
      <c r="E52" s="6"/>
      <c r="F52" s="6"/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30">
        <f t="shared" si="0"/>
        <v>0</v>
      </c>
      <c r="Q52" s="29">
        <f>SUMIF(Dangerous!$A:$A,'Q-Score'!$B52,Dangerous!$N:$N)</f>
        <v>0</v>
      </c>
      <c r="R52" s="29">
        <f>SUMIF(Manual!$A:$A,'Q-Score'!$B52,Manual!$N:$N)</f>
        <v>0</v>
      </c>
      <c r="S52" s="31">
        <f t="shared" si="1"/>
        <v>0</v>
      </c>
    </row>
    <row r="53" spans="1:19" x14ac:dyDescent="0.6">
      <c r="A53" s="4" t="s">
        <v>46</v>
      </c>
      <c r="B53" s="7" t="s">
        <v>151</v>
      </c>
      <c r="C53" s="7" t="s">
        <v>152</v>
      </c>
      <c r="D53" s="15"/>
      <c r="E53" s="6"/>
      <c r="F53" s="6"/>
      <c r="G53" s="6">
        <v>0</v>
      </c>
      <c r="H53" s="6">
        <v>1.25</v>
      </c>
      <c r="I53" s="6">
        <v>1.25</v>
      </c>
      <c r="J53" s="6">
        <v>1.25</v>
      </c>
      <c r="K53" s="6">
        <v>1.25</v>
      </c>
      <c r="L53" s="6">
        <v>0</v>
      </c>
      <c r="M53" s="6">
        <v>0</v>
      </c>
      <c r="N53" s="6">
        <v>0</v>
      </c>
      <c r="O53" s="6">
        <v>5</v>
      </c>
      <c r="P53" s="30">
        <f t="shared" si="0"/>
        <v>5</v>
      </c>
      <c r="Q53" s="29">
        <f>SUMIF(Dangerous!$A:$A,'Q-Score'!$B53,Dangerous!$N:$N)</f>
        <v>0</v>
      </c>
      <c r="R53" s="29">
        <f>SUMIF(Manual!$A:$A,'Q-Score'!$B53,Manual!$N:$N)</f>
        <v>0</v>
      </c>
      <c r="S53" s="31">
        <f t="shared" si="1"/>
        <v>5</v>
      </c>
    </row>
    <row r="54" spans="1:19" x14ac:dyDescent="0.6">
      <c r="A54" s="4" t="s">
        <v>46</v>
      </c>
      <c r="B54" s="7" t="s">
        <v>18</v>
      </c>
      <c r="C54" s="7" t="s">
        <v>887</v>
      </c>
      <c r="D54" s="15"/>
      <c r="E54" s="6"/>
      <c r="F54" s="6"/>
      <c r="G54" s="6">
        <v>1.25</v>
      </c>
      <c r="H54" s="6">
        <v>0</v>
      </c>
      <c r="I54" s="6">
        <v>0</v>
      </c>
      <c r="J54" s="6">
        <v>1.25</v>
      </c>
      <c r="K54" s="6">
        <v>0</v>
      </c>
      <c r="L54" s="6">
        <v>0</v>
      </c>
      <c r="M54" s="6">
        <v>0</v>
      </c>
      <c r="N54" s="6">
        <v>0</v>
      </c>
      <c r="O54" s="6">
        <v>2.5</v>
      </c>
      <c r="P54" s="30">
        <f t="shared" si="0"/>
        <v>2.5</v>
      </c>
      <c r="Q54" s="29">
        <f>SUMIF(Dangerous!$A:$A,'Q-Score'!$B54,Dangerous!$N:$N)</f>
        <v>0</v>
      </c>
      <c r="R54" s="29">
        <f>SUMIF(Manual!$A:$A,'Q-Score'!$B54,Manual!$N:$N)</f>
        <v>0</v>
      </c>
      <c r="S54" s="31">
        <f t="shared" si="1"/>
        <v>2.5</v>
      </c>
    </row>
    <row r="55" spans="1:19" x14ac:dyDescent="0.6">
      <c r="A55" s="4" t="s">
        <v>46</v>
      </c>
      <c r="B55" s="7" t="s">
        <v>19</v>
      </c>
      <c r="C55" s="7" t="s">
        <v>20</v>
      </c>
      <c r="D55" s="15"/>
      <c r="E55" s="6"/>
      <c r="F55" s="6"/>
      <c r="G55" s="6">
        <v>0</v>
      </c>
      <c r="H55" s="6">
        <v>1.25</v>
      </c>
      <c r="I55" s="6">
        <v>2.5</v>
      </c>
      <c r="J55" s="6">
        <v>2.5</v>
      </c>
      <c r="K55" s="6">
        <v>1.25</v>
      </c>
      <c r="L55" s="6">
        <v>0</v>
      </c>
      <c r="M55" s="6">
        <v>0</v>
      </c>
      <c r="N55" s="6">
        <v>0</v>
      </c>
      <c r="O55" s="6">
        <v>7.5</v>
      </c>
      <c r="P55" s="30">
        <f t="shared" si="0"/>
        <v>7.5</v>
      </c>
      <c r="Q55" s="29">
        <f>SUMIF(Dangerous!$A:$A,'Q-Score'!$B55,Dangerous!$N:$N)</f>
        <v>0</v>
      </c>
      <c r="R55" s="29">
        <f>SUMIF(Manual!$A:$A,'Q-Score'!$B55,Manual!$N:$N)</f>
        <v>0</v>
      </c>
      <c r="S55" s="31">
        <f t="shared" si="1"/>
        <v>7.5</v>
      </c>
    </row>
    <row r="56" spans="1:19" x14ac:dyDescent="0.6">
      <c r="A56" s="4" t="s">
        <v>46</v>
      </c>
      <c r="B56" s="7" t="s">
        <v>21</v>
      </c>
      <c r="C56" s="7" t="s">
        <v>886</v>
      </c>
      <c r="D56" s="15"/>
      <c r="E56" s="6"/>
      <c r="F56" s="6"/>
      <c r="G56" s="6">
        <v>1.25</v>
      </c>
      <c r="H56" s="6">
        <v>2.5</v>
      </c>
      <c r="I56" s="6">
        <v>0</v>
      </c>
      <c r="J56" s="6">
        <v>2.5</v>
      </c>
      <c r="K56" s="6">
        <v>1.25</v>
      </c>
      <c r="L56" s="6">
        <v>0</v>
      </c>
      <c r="M56" s="6">
        <v>0</v>
      </c>
      <c r="N56" s="6">
        <v>0</v>
      </c>
      <c r="O56" s="6">
        <v>7.5</v>
      </c>
      <c r="P56" s="30">
        <f t="shared" si="0"/>
        <v>7.5</v>
      </c>
      <c r="Q56" s="29">
        <f>SUMIF(Dangerous!$A:$A,'Q-Score'!$B56,Dangerous!$N:$N)</f>
        <v>0</v>
      </c>
      <c r="R56" s="29">
        <f>SUMIF(Manual!$A:$A,'Q-Score'!$B56,Manual!$N:$N)</f>
        <v>0</v>
      </c>
      <c r="S56" s="31">
        <f t="shared" si="1"/>
        <v>7.5</v>
      </c>
    </row>
    <row r="57" spans="1:19" x14ac:dyDescent="0.6">
      <c r="A57" s="4" t="s">
        <v>46</v>
      </c>
      <c r="B57" s="7" t="s">
        <v>131</v>
      </c>
      <c r="C57" s="7" t="s">
        <v>132</v>
      </c>
      <c r="D57" s="15"/>
      <c r="E57" s="6"/>
      <c r="F57" s="6"/>
      <c r="G57" s="6">
        <v>0</v>
      </c>
      <c r="H57" s="6">
        <v>1.25</v>
      </c>
      <c r="I57" s="6">
        <v>2.5</v>
      </c>
      <c r="J57" s="6">
        <v>2.5</v>
      </c>
      <c r="K57" s="6">
        <v>0</v>
      </c>
      <c r="L57" s="6">
        <v>0</v>
      </c>
      <c r="M57" s="6">
        <v>0</v>
      </c>
      <c r="N57" s="6">
        <v>0</v>
      </c>
      <c r="O57" s="6">
        <v>6.25</v>
      </c>
      <c r="P57" s="30">
        <f t="shared" si="0"/>
        <v>6.25</v>
      </c>
      <c r="Q57" s="29">
        <f>SUMIF(Dangerous!$A:$A,'Q-Score'!$B57,Dangerous!$N:$N)</f>
        <v>-2.5</v>
      </c>
      <c r="R57" s="29">
        <f>SUMIF(Manual!$A:$A,'Q-Score'!$B57,Manual!$N:$N)</f>
        <v>0</v>
      </c>
      <c r="S57" s="31">
        <f t="shared" si="1"/>
        <v>3.75</v>
      </c>
    </row>
    <row r="58" spans="1:19" x14ac:dyDescent="0.6">
      <c r="A58" s="4" t="s">
        <v>46</v>
      </c>
      <c r="B58" s="7" t="s">
        <v>135</v>
      </c>
      <c r="C58" s="7" t="s">
        <v>902</v>
      </c>
      <c r="D58" s="15"/>
      <c r="E58" s="6"/>
      <c r="F58" s="6"/>
      <c r="G58" s="6">
        <v>0</v>
      </c>
      <c r="H58" s="6">
        <v>1.25</v>
      </c>
      <c r="I58" s="6">
        <v>0</v>
      </c>
      <c r="J58" s="6">
        <v>0</v>
      </c>
      <c r="K58" s="6">
        <v>2.5</v>
      </c>
      <c r="L58" s="6">
        <v>0</v>
      </c>
      <c r="M58" s="6">
        <v>0</v>
      </c>
      <c r="N58" s="6">
        <v>0</v>
      </c>
      <c r="O58" s="6">
        <v>3.75</v>
      </c>
      <c r="P58" s="30">
        <f t="shared" si="0"/>
        <v>3.75</v>
      </c>
      <c r="Q58" s="29">
        <f>SUMIF(Dangerous!$A:$A,'Q-Score'!$B58,Dangerous!$N:$N)</f>
        <v>0</v>
      </c>
      <c r="R58" s="29">
        <f>SUMIF(Manual!$A:$A,'Q-Score'!$B58,Manual!$N:$N)</f>
        <v>0</v>
      </c>
      <c r="S58" s="31">
        <f t="shared" si="1"/>
        <v>3.75</v>
      </c>
    </row>
    <row r="59" spans="1:19" x14ac:dyDescent="0.6">
      <c r="A59" s="4" t="s">
        <v>46</v>
      </c>
      <c r="B59" s="7" t="s">
        <v>133</v>
      </c>
      <c r="C59" s="7" t="s">
        <v>903</v>
      </c>
      <c r="D59" s="15"/>
      <c r="E59" s="6"/>
      <c r="F59" s="6"/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30">
        <f t="shared" si="0"/>
        <v>0</v>
      </c>
      <c r="Q59" s="29">
        <f>SUMIF(Dangerous!$A:$A,'Q-Score'!$B59,Dangerous!$N:$N)</f>
        <v>-5</v>
      </c>
      <c r="R59" s="29">
        <f>SUMIF(Manual!$A:$A,'Q-Score'!$B59,Manual!$N:$N)</f>
        <v>0</v>
      </c>
      <c r="S59" s="31">
        <f t="shared" si="1"/>
        <v>-5</v>
      </c>
    </row>
    <row r="60" spans="1:19" x14ac:dyDescent="0.6">
      <c r="A60" s="4" t="s">
        <v>46</v>
      </c>
      <c r="B60" s="7" t="s">
        <v>137</v>
      </c>
      <c r="C60" s="7" t="s">
        <v>138</v>
      </c>
      <c r="D60" s="15"/>
      <c r="E60" s="6"/>
      <c r="F60" s="6"/>
      <c r="G60" s="6">
        <v>2.5</v>
      </c>
      <c r="H60" s="6">
        <v>0</v>
      </c>
      <c r="I60" s="6">
        <v>1.25</v>
      </c>
      <c r="J60" s="6">
        <v>1.25</v>
      </c>
      <c r="K60" s="6">
        <v>1.25</v>
      </c>
      <c r="L60" s="6">
        <v>0</v>
      </c>
      <c r="M60" s="6">
        <v>0</v>
      </c>
      <c r="N60" s="6">
        <v>0</v>
      </c>
      <c r="O60" s="6">
        <v>6.25</v>
      </c>
      <c r="P60" s="30">
        <f t="shared" si="0"/>
        <v>6.25</v>
      </c>
      <c r="Q60" s="29">
        <f>SUMIF(Dangerous!$A:$A,'Q-Score'!$B60,Dangerous!$N:$N)</f>
        <v>0</v>
      </c>
      <c r="R60" s="29">
        <f>SUMIF(Manual!$A:$A,'Q-Score'!$B60,Manual!$N:$N)</f>
        <v>0</v>
      </c>
      <c r="S60" s="31">
        <f t="shared" si="1"/>
        <v>6.25</v>
      </c>
    </row>
    <row r="61" spans="1:19" x14ac:dyDescent="0.6">
      <c r="A61" s="4" t="s">
        <v>46</v>
      </c>
      <c r="B61" s="4" t="s">
        <v>141</v>
      </c>
      <c r="C61" s="4" t="s">
        <v>142</v>
      </c>
      <c r="D61" s="15"/>
      <c r="E61" s="6"/>
      <c r="F61" s="6"/>
      <c r="G61" s="6">
        <v>0</v>
      </c>
      <c r="H61" s="6">
        <v>1.25</v>
      </c>
      <c r="I61" s="6">
        <v>0</v>
      </c>
      <c r="J61" s="6">
        <v>0</v>
      </c>
      <c r="K61" s="6">
        <v>1.25</v>
      </c>
      <c r="L61" s="6">
        <v>0</v>
      </c>
      <c r="M61" s="6">
        <v>0</v>
      </c>
      <c r="N61" s="6">
        <v>0</v>
      </c>
      <c r="O61" s="6">
        <v>2.5</v>
      </c>
      <c r="P61" s="30">
        <f t="shared" si="0"/>
        <v>2.5</v>
      </c>
      <c r="Q61" s="29">
        <f>SUMIF(Dangerous!$A:$A,'Q-Score'!$B61,Dangerous!$N:$N)</f>
        <v>0</v>
      </c>
      <c r="R61" s="29">
        <f>SUMIF(Manual!$A:$A,'Q-Score'!$B61,Manual!$N:$N)</f>
        <v>0</v>
      </c>
      <c r="S61" s="31">
        <f t="shared" si="1"/>
        <v>2.5</v>
      </c>
    </row>
    <row r="62" spans="1:19" x14ac:dyDescent="0.6">
      <c r="A62" s="4" t="s">
        <v>46</v>
      </c>
      <c r="B62" s="7" t="s">
        <v>145</v>
      </c>
      <c r="C62" s="7" t="s">
        <v>146</v>
      </c>
      <c r="D62" s="15"/>
      <c r="E62" s="6"/>
      <c r="F62" s="6"/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30">
        <f t="shared" si="0"/>
        <v>0</v>
      </c>
      <c r="Q62" s="29">
        <f>SUMIF(Dangerous!$A:$A,'Q-Score'!$B62,Dangerous!$N:$N)</f>
        <v>0</v>
      </c>
      <c r="R62" s="29">
        <f>SUMIF(Manual!$A:$A,'Q-Score'!$B62,Manual!$N:$N)</f>
        <v>0</v>
      </c>
      <c r="S62" s="31">
        <f t="shared" si="1"/>
        <v>0</v>
      </c>
    </row>
    <row r="63" spans="1:19" x14ac:dyDescent="0.6">
      <c r="A63" s="4" t="s">
        <v>46</v>
      </c>
      <c r="B63" s="7" t="s">
        <v>129</v>
      </c>
      <c r="C63" s="7" t="s">
        <v>130</v>
      </c>
      <c r="D63" s="15"/>
      <c r="E63" s="6"/>
      <c r="F63" s="6"/>
      <c r="G63" s="6">
        <v>0</v>
      </c>
      <c r="H63" s="6">
        <v>0</v>
      </c>
      <c r="I63" s="6">
        <v>0</v>
      </c>
      <c r="J63" s="6">
        <v>1.25</v>
      </c>
      <c r="K63" s="6">
        <v>0</v>
      </c>
      <c r="L63" s="6">
        <v>0</v>
      </c>
      <c r="M63" s="6">
        <v>0</v>
      </c>
      <c r="N63" s="6">
        <v>0</v>
      </c>
      <c r="O63" s="6">
        <v>1.25</v>
      </c>
      <c r="P63" s="30">
        <f t="shared" si="0"/>
        <v>1.25</v>
      </c>
      <c r="Q63" s="29">
        <f>SUMIF(Dangerous!$A:$A,'Q-Score'!$B63,Dangerous!$N:$N)</f>
        <v>0</v>
      </c>
      <c r="R63" s="29">
        <f>SUMIF(Manual!$A:$A,'Q-Score'!$B63,Manual!$N:$N)</f>
        <v>0</v>
      </c>
      <c r="S63" s="31">
        <f t="shared" si="1"/>
        <v>1.25</v>
      </c>
    </row>
    <row r="64" spans="1:19" x14ac:dyDescent="0.6">
      <c r="A64" s="4" t="s">
        <v>46</v>
      </c>
      <c r="B64" s="7" t="s">
        <v>139</v>
      </c>
      <c r="C64" s="7" t="s">
        <v>140</v>
      </c>
      <c r="D64" s="15"/>
      <c r="E64" s="6"/>
      <c r="F64" s="6"/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30">
        <f t="shared" si="0"/>
        <v>0</v>
      </c>
      <c r="Q64" s="29">
        <f>SUMIF(Dangerous!$A:$A,'Q-Score'!$B64,Dangerous!$N:$N)</f>
        <v>0</v>
      </c>
      <c r="R64" s="29">
        <f>SUMIF(Manual!$A:$A,'Q-Score'!$B64,Manual!$N:$N)</f>
        <v>0</v>
      </c>
      <c r="S64" s="31">
        <f t="shared" si="1"/>
        <v>0</v>
      </c>
    </row>
    <row r="65" spans="1:19" x14ac:dyDescent="0.6">
      <c r="A65" s="4" t="s">
        <v>46</v>
      </c>
      <c r="B65" s="10" t="s">
        <v>143</v>
      </c>
      <c r="C65" s="10" t="s">
        <v>144</v>
      </c>
      <c r="D65" s="16"/>
      <c r="E65" s="6"/>
      <c r="F65" s="6"/>
      <c r="G65" s="6">
        <v>1.25</v>
      </c>
      <c r="H65" s="6">
        <v>1.25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2.5</v>
      </c>
      <c r="P65" s="30">
        <f t="shared" si="0"/>
        <v>2.5</v>
      </c>
      <c r="Q65" s="29">
        <f>SUMIF(Dangerous!$A:$A,'Q-Score'!$B65,Dangerous!$N:$N)</f>
        <v>-5</v>
      </c>
      <c r="R65" s="29">
        <f>SUMIF(Manual!$A:$A,'Q-Score'!$B65,Manual!$N:$N)</f>
        <v>0</v>
      </c>
      <c r="S65" s="31">
        <f t="shared" si="1"/>
        <v>-2.5</v>
      </c>
    </row>
    <row r="66" spans="1:19" x14ac:dyDescent="0.6">
      <c r="A66" s="4" t="s">
        <v>46</v>
      </c>
      <c r="B66" s="7" t="s">
        <v>147</v>
      </c>
      <c r="C66" s="7" t="s">
        <v>148</v>
      </c>
      <c r="D66" s="15"/>
      <c r="E66" s="6"/>
      <c r="F66" s="6"/>
      <c r="G66" s="6">
        <v>0</v>
      </c>
      <c r="H66" s="6">
        <v>1.25</v>
      </c>
      <c r="I66" s="6">
        <v>2.5</v>
      </c>
      <c r="J66" s="6">
        <v>1.25</v>
      </c>
      <c r="K66" s="6">
        <v>0</v>
      </c>
      <c r="L66" s="6">
        <v>0</v>
      </c>
      <c r="M66" s="6">
        <v>0</v>
      </c>
      <c r="N66" s="6">
        <v>0</v>
      </c>
      <c r="O66" s="6">
        <v>5</v>
      </c>
      <c r="P66" s="30">
        <f t="shared" si="0"/>
        <v>5</v>
      </c>
      <c r="Q66" s="29">
        <f>SUMIF(Dangerous!$A:$A,'Q-Score'!$B66,Dangerous!$N:$N)</f>
        <v>0</v>
      </c>
      <c r="R66" s="29">
        <f>SUMIF(Manual!$A:$A,'Q-Score'!$B66,Manual!$N:$N)</f>
        <v>0</v>
      </c>
      <c r="S66" s="31">
        <f t="shared" si="1"/>
        <v>5</v>
      </c>
    </row>
    <row r="67" spans="1:19" x14ac:dyDescent="0.6">
      <c r="A67" s="4" t="s">
        <v>47</v>
      </c>
      <c r="B67" s="7" t="s">
        <v>187</v>
      </c>
      <c r="C67" s="7" t="s">
        <v>188</v>
      </c>
      <c r="D67" s="15"/>
      <c r="E67" s="6"/>
      <c r="F67" s="6"/>
      <c r="G67" s="6">
        <v>0</v>
      </c>
      <c r="H67" s="6">
        <v>1.25</v>
      </c>
      <c r="I67" s="6">
        <v>2.5</v>
      </c>
      <c r="J67" s="6">
        <v>1.25</v>
      </c>
      <c r="K67" s="6">
        <v>1.25</v>
      </c>
      <c r="L67" s="6">
        <v>0</v>
      </c>
      <c r="M67" s="6">
        <v>0</v>
      </c>
      <c r="N67" s="6">
        <v>0</v>
      </c>
      <c r="O67" s="6">
        <v>6.25</v>
      </c>
      <c r="P67" s="30">
        <f t="shared" ref="P67:P130" si="2">SUM(E67:N67)</f>
        <v>6.25</v>
      </c>
      <c r="Q67" s="29">
        <f>SUMIF(Dangerous!$A:$A,'Q-Score'!$B67,Dangerous!$N:$N)</f>
        <v>0</v>
      </c>
      <c r="R67" s="29">
        <f>SUMIF(Manual!$A:$A,'Q-Score'!$B67,Manual!$N:$N)</f>
        <v>0</v>
      </c>
      <c r="S67" s="31">
        <f t="shared" ref="S67:S130" si="3">SUM(P67:R67)</f>
        <v>6.25</v>
      </c>
    </row>
    <row r="68" spans="1:19" x14ac:dyDescent="0.6">
      <c r="A68" s="4" t="s">
        <v>47</v>
      </c>
      <c r="B68" s="7" t="s">
        <v>189</v>
      </c>
      <c r="C68" s="7" t="s">
        <v>190</v>
      </c>
      <c r="D68" s="15"/>
      <c r="E68" s="6"/>
      <c r="F68" s="6"/>
      <c r="G68" s="6">
        <v>0</v>
      </c>
      <c r="H68" s="6">
        <v>0</v>
      </c>
      <c r="I68" s="6">
        <v>1.25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1.25</v>
      </c>
      <c r="P68" s="30">
        <f t="shared" si="2"/>
        <v>1.25</v>
      </c>
      <c r="Q68" s="29">
        <f>SUMIF(Dangerous!$A:$A,'Q-Score'!$B68,Dangerous!$N:$N)</f>
        <v>0</v>
      </c>
      <c r="R68" s="29">
        <f>SUMIF(Manual!$A:$A,'Q-Score'!$B68,Manual!$N:$N)</f>
        <v>0</v>
      </c>
      <c r="S68" s="31">
        <f t="shared" si="3"/>
        <v>1.25</v>
      </c>
    </row>
    <row r="69" spans="1:19" x14ac:dyDescent="0.6">
      <c r="A69" s="4" t="s">
        <v>47</v>
      </c>
      <c r="B69" s="7" t="s">
        <v>191</v>
      </c>
      <c r="C69" s="7" t="s">
        <v>192</v>
      </c>
      <c r="D69" s="15"/>
      <c r="E69" s="6"/>
      <c r="F69" s="6"/>
      <c r="G69" s="6">
        <v>1.25</v>
      </c>
      <c r="H69" s="6">
        <v>1.25</v>
      </c>
      <c r="I69" s="6">
        <v>1.25</v>
      </c>
      <c r="J69" s="6">
        <v>1.25</v>
      </c>
      <c r="K69" s="6">
        <v>1.25</v>
      </c>
      <c r="L69" s="6">
        <v>0</v>
      </c>
      <c r="M69" s="6">
        <v>0</v>
      </c>
      <c r="N69" s="6">
        <v>0</v>
      </c>
      <c r="O69" s="6">
        <v>6.25</v>
      </c>
      <c r="P69" s="30">
        <f t="shared" si="2"/>
        <v>6.25</v>
      </c>
      <c r="Q69" s="29">
        <f>SUMIF(Dangerous!$A:$A,'Q-Score'!$B69,Dangerous!$N:$N)</f>
        <v>0</v>
      </c>
      <c r="R69" s="29">
        <f>SUMIF(Manual!$A:$A,'Q-Score'!$B69,Manual!$N:$N)</f>
        <v>0</v>
      </c>
      <c r="S69" s="31">
        <f t="shared" si="3"/>
        <v>6.25</v>
      </c>
    </row>
    <row r="70" spans="1:19" x14ac:dyDescent="0.6">
      <c r="A70" s="4" t="s">
        <v>47</v>
      </c>
      <c r="B70" s="10" t="s">
        <v>203</v>
      </c>
      <c r="C70" s="10" t="s">
        <v>204</v>
      </c>
      <c r="D70" s="16"/>
      <c r="E70" s="6"/>
      <c r="F70" s="6"/>
      <c r="G70" s="6">
        <v>0</v>
      </c>
      <c r="H70" s="6">
        <v>1.25</v>
      </c>
      <c r="I70" s="6">
        <v>1.25</v>
      </c>
      <c r="J70" s="6">
        <v>1.25</v>
      </c>
      <c r="K70" s="6">
        <v>1.25</v>
      </c>
      <c r="L70" s="6">
        <v>0</v>
      </c>
      <c r="M70" s="6">
        <v>0</v>
      </c>
      <c r="N70" s="6">
        <v>0</v>
      </c>
      <c r="O70" s="6">
        <v>5</v>
      </c>
      <c r="P70" s="30">
        <f t="shared" si="2"/>
        <v>5</v>
      </c>
      <c r="Q70" s="29">
        <f>SUMIF(Dangerous!$A:$A,'Q-Score'!$B70,Dangerous!$N:$N)</f>
        <v>0</v>
      </c>
      <c r="R70" s="29">
        <f>SUMIF(Manual!$A:$A,'Q-Score'!$B70,Manual!$N:$N)</f>
        <v>0</v>
      </c>
      <c r="S70" s="31">
        <f t="shared" si="3"/>
        <v>5</v>
      </c>
    </row>
    <row r="71" spans="1:19" x14ac:dyDescent="0.6">
      <c r="A71" s="4" t="s">
        <v>47</v>
      </c>
      <c r="B71" s="10" t="s">
        <v>195</v>
      </c>
      <c r="C71" s="10" t="s">
        <v>196</v>
      </c>
      <c r="D71" s="16"/>
      <c r="E71" s="6"/>
      <c r="F71" s="6"/>
      <c r="G71" s="6">
        <v>0</v>
      </c>
      <c r="H71" s="6">
        <v>0</v>
      </c>
      <c r="I71" s="6">
        <v>1.25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1.25</v>
      </c>
      <c r="P71" s="30">
        <f t="shared" si="2"/>
        <v>1.25</v>
      </c>
      <c r="Q71" s="29">
        <f>SUMIF(Dangerous!$A:$A,'Q-Score'!$B71,Dangerous!$N:$N)</f>
        <v>0</v>
      </c>
      <c r="R71" s="29">
        <f>SUMIF(Manual!$A:$A,'Q-Score'!$B71,Manual!$N:$N)</f>
        <v>0</v>
      </c>
      <c r="S71" s="31">
        <f t="shared" si="3"/>
        <v>1.25</v>
      </c>
    </row>
    <row r="72" spans="1:19" x14ac:dyDescent="0.6">
      <c r="A72" s="4" t="s">
        <v>47</v>
      </c>
      <c r="B72" s="10" t="s">
        <v>193</v>
      </c>
      <c r="C72" s="10" t="s">
        <v>194</v>
      </c>
      <c r="D72" s="16"/>
      <c r="E72" s="6"/>
      <c r="F72" s="6"/>
      <c r="G72" s="6">
        <v>1.25</v>
      </c>
      <c r="H72" s="6">
        <v>1.25</v>
      </c>
      <c r="I72" s="6">
        <v>1.25</v>
      </c>
      <c r="J72" s="6">
        <v>1.25</v>
      </c>
      <c r="K72" s="6">
        <v>1.25</v>
      </c>
      <c r="L72" s="6">
        <v>0</v>
      </c>
      <c r="M72" s="6">
        <v>0</v>
      </c>
      <c r="N72" s="6">
        <v>0</v>
      </c>
      <c r="O72" s="6">
        <v>6.25</v>
      </c>
      <c r="P72" s="30">
        <f t="shared" si="2"/>
        <v>6.25</v>
      </c>
      <c r="Q72" s="29">
        <f>SUMIF(Dangerous!$A:$A,'Q-Score'!$B72,Dangerous!$N:$N)</f>
        <v>0</v>
      </c>
      <c r="R72" s="29">
        <f>SUMIF(Manual!$A:$A,'Q-Score'!$B72,Manual!$N:$N)</f>
        <v>0</v>
      </c>
      <c r="S72" s="31">
        <f t="shared" si="3"/>
        <v>6.25</v>
      </c>
    </row>
    <row r="73" spans="1:19" x14ac:dyDescent="0.6">
      <c r="A73" s="4" t="s">
        <v>47</v>
      </c>
      <c r="B73" s="10" t="s">
        <v>197</v>
      </c>
      <c r="C73" s="10" t="s">
        <v>198</v>
      </c>
      <c r="D73" s="16"/>
      <c r="E73" s="6"/>
      <c r="F73" s="6"/>
      <c r="G73" s="6">
        <v>1.25</v>
      </c>
      <c r="H73" s="6">
        <v>1.25</v>
      </c>
      <c r="I73" s="6">
        <v>1.25</v>
      </c>
      <c r="J73" s="6">
        <v>1.25</v>
      </c>
      <c r="K73" s="6">
        <v>1.25</v>
      </c>
      <c r="L73" s="6">
        <v>0</v>
      </c>
      <c r="M73" s="6">
        <v>0</v>
      </c>
      <c r="N73" s="6">
        <v>0</v>
      </c>
      <c r="O73" s="6">
        <v>6.25</v>
      </c>
      <c r="P73" s="30">
        <f t="shared" si="2"/>
        <v>6.25</v>
      </c>
      <c r="Q73" s="29">
        <f>SUMIF(Dangerous!$A:$A,'Q-Score'!$B73,Dangerous!$N:$N)</f>
        <v>0</v>
      </c>
      <c r="R73" s="29">
        <f>SUMIF(Manual!$A:$A,'Q-Score'!$B73,Manual!$N:$N)</f>
        <v>0</v>
      </c>
      <c r="S73" s="31">
        <f t="shared" si="3"/>
        <v>6.25</v>
      </c>
    </row>
    <row r="74" spans="1:19" x14ac:dyDescent="0.6">
      <c r="A74" s="4" t="s">
        <v>47</v>
      </c>
      <c r="B74" s="7" t="s">
        <v>199</v>
      </c>
      <c r="C74" s="7" t="s">
        <v>200</v>
      </c>
      <c r="D74" s="15"/>
      <c r="E74" s="6"/>
      <c r="F74" s="6"/>
      <c r="G74" s="6">
        <v>1.25</v>
      </c>
      <c r="H74" s="6">
        <v>1.25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2.5</v>
      </c>
      <c r="P74" s="30">
        <f t="shared" si="2"/>
        <v>2.5</v>
      </c>
      <c r="Q74" s="29">
        <f>SUMIF(Dangerous!$A:$A,'Q-Score'!$B74,Dangerous!$N:$N)</f>
        <v>0</v>
      </c>
      <c r="R74" s="29">
        <f>SUMIF(Manual!$A:$A,'Q-Score'!$B74,Manual!$N:$N)</f>
        <v>0</v>
      </c>
      <c r="S74" s="31">
        <f t="shared" si="3"/>
        <v>2.5</v>
      </c>
    </row>
    <row r="75" spans="1:19" x14ac:dyDescent="0.6">
      <c r="A75" s="4" t="s">
        <v>47</v>
      </c>
      <c r="B75" s="11" t="s">
        <v>291</v>
      </c>
      <c r="C75" s="10" t="s">
        <v>292</v>
      </c>
      <c r="D75" s="16"/>
      <c r="E75" s="6"/>
      <c r="F75" s="6"/>
      <c r="G75" s="6">
        <v>1.25</v>
      </c>
      <c r="H75" s="6">
        <v>0</v>
      </c>
      <c r="I75" s="6">
        <v>0</v>
      </c>
      <c r="J75" s="6">
        <v>1.25</v>
      </c>
      <c r="K75" s="6">
        <v>2.5</v>
      </c>
      <c r="L75" s="6">
        <v>0</v>
      </c>
      <c r="M75" s="6">
        <v>0</v>
      </c>
      <c r="N75" s="6">
        <v>0</v>
      </c>
      <c r="O75" s="6">
        <v>5</v>
      </c>
      <c r="P75" s="30">
        <f t="shared" si="2"/>
        <v>5</v>
      </c>
      <c r="Q75" s="29">
        <f>SUMIF(Dangerous!$A:$A,'Q-Score'!$B75,Dangerous!$N:$N)</f>
        <v>0</v>
      </c>
      <c r="R75" s="29">
        <f>SUMIF(Manual!$A:$A,'Q-Score'!$B75,Manual!$N:$N)</f>
        <v>0</v>
      </c>
      <c r="S75" s="31">
        <f t="shared" si="3"/>
        <v>5</v>
      </c>
    </row>
    <row r="76" spans="1:19" x14ac:dyDescent="0.6">
      <c r="A76" s="4" t="s">
        <v>47</v>
      </c>
      <c r="B76" s="7" t="s">
        <v>293</v>
      </c>
      <c r="C76" s="7" t="s">
        <v>294</v>
      </c>
      <c r="D76" s="15"/>
      <c r="E76" s="6"/>
      <c r="F76" s="6"/>
      <c r="G76" s="6">
        <v>0</v>
      </c>
      <c r="H76" s="6">
        <v>1.25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1.25</v>
      </c>
      <c r="P76" s="30">
        <f t="shared" si="2"/>
        <v>1.25</v>
      </c>
      <c r="Q76" s="29">
        <f>SUMIF(Dangerous!$A:$A,'Q-Score'!$B76,Dangerous!$N:$N)</f>
        <v>0</v>
      </c>
      <c r="R76" s="29">
        <f>SUMIF(Manual!$A:$A,'Q-Score'!$B76,Manual!$N:$N)</f>
        <v>0</v>
      </c>
      <c r="S76" s="31">
        <f t="shared" si="3"/>
        <v>1.25</v>
      </c>
    </row>
    <row r="77" spans="1:19" x14ac:dyDescent="0.6">
      <c r="A77" s="4" t="s">
        <v>47</v>
      </c>
      <c r="B77" s="7" t="s">
        <v>4</v>
      </c>
      <c r="C77" s="7" t="s">
        <v>5</v>
      </c>
      <c r="D77" s="15"/>
      <c r="E77" s="6"/>
      <c r="F77" s="6"/>
      <c r="G77" s="6">
        <v>0</v>
      </c>
      <c r="H77" s="6">
        <v>1.25</v>
      </c>
      <c r="I77" s="6">
        <v>0</v>
      </c>
      <c r="J77" s="6">
        <v>1.25</v>
      </c>
      <c r="K77" s="6">
        <v>1.25</v>
      </c>
      <c r="L77" s="6">
        <v>0</v>
      </c>
      <c r="M77" s="6">
        <v>0</v>
      </c>
      <c r="N77" s="6">
        <v>0</v>
      </c>
      <c r="O77" s="6">
        <v>3.75</v>
      </c>
      <c r="P77" s="30">
        <f t="shared" si="2"/>
        <v>3.75</v>
      </c>
      <c r="Q77" s="29">
        <f>SUMIF(Dangerous!$A:$A,'Q-Score'!$B77,Dangerous!$N:$N)</f>
        <v>0</v>
      </c>
      <c r="R77" s="29">
        <f>SUMIF(Manual!$A:$A,'Q-Score'!$B77,Manual!$N:$N)</f>
        <v>0</v>
      </c>
      <c r="S77" s="31">
        <f t="shared" si="3"/>
        <v>3.75</v>
      </c>
    </row>
    <row r="78" spans="1:19" x14ac:dyDescent="0.6">
      <c r="A78" s="4" t="s">
        <v>47</v>
      </c>
      <c r="B78" s="7" t="s">
        <v>2</v>
      </c>
      <c r="C78" s="7" t="s">
        <v>3</v>
      </c>
      <c r="D78" s="15"/>
      <c r="E78" s="6"/>
      <c r="F78" s="6"/>
      <c r="G78" s="6">
        <v>1.25</v>
      </c>
      <c r="H78" s="6">
        <v>1.25</v>
      </c>
      <c r="I78" s="6">
        <v>1.25</v>
      </c>
      <c r="J78" s="6">
        <v>1.25</v>
      </c>
      <c r="K78" s="6">
        <v>1.25</v>
      </c>
      <c r="L78" s="6">
        <v>0</v>
      </c>
      <c r="M78" s="6">
        <v>0</v>
      </c>
      <c r="N78" s="6">
        <v>0</v>
      </c>
      <c r="O78" s="6">
        <v>6.25</v>
      </c>
      <c r="P78" s="30">
        <f t="shared" si="2"/>
        <v>6.25</v>
      </c>
      <c r="Q78" s="29">
        <f>SUMIF(Dangerous!$A:$A,'Q-Score'!$B78,Dangerous!$N:$N)</f>
        <v>0</v>
      </c>
      <c r="R78" s="29">
        <f>SUMIF(Manual!$A:$A,'Q-Score'!$B78,Manual!$N:$N)</f>
        <v>0</v>
      </c>
      <c r="S78" s="31">
        <f t="shared" si="3"/>
        <v>6.25</v>
      </c>
    </row>
    <row r="79" spans="1:19" x14ac:dyDescent="0.6">
      <c r="A79" s="4" t="s">
        <v>47</v>
      </c>
      <c r="B79" s="7" t="s">
        <v>6</v>
      </c>
      <c r="C79" s="7" t="s">
        <v>7</v>
      </c>
      <c r="D79" s="15"/>
      <c r="E79" s="6"/>
      <c r="F79" s="6"/>
      <c r="G79" s="6">
        <v>0</v>
      </c>
      <c r="H79" s="6">
        <v>1.25</v>
      </c>
      <c r="I79" s="6">
        <v>1.25</v>
      </c>
      <c r="J79" s="6">
        <v>1.25</v>
      </c>
      <c r="K79" s="6">
        <v>1.25</v>
      </c>
      <c r="L79" s="6">
        <v>0</v>
      </c>
      <c r="M79" s="6">
        <v>0</v>
      </c>
      <c r="N79" s="6">
        <v>0</v>
      </c>
      <c r="O79" s="6">
        <v>5</v>
      </c>
      <c r="P79" s="30">
        <f t="shared" si="2"/>
        <v>5</v>
      </c>
      <c r="Q79" s="29">
        <f>SUMIF(Dangerous!$A:$A,'Q-Score'!$B79,Dangerous!$N:$N)</f>
        <v>0</v>
      </c>
      <c r="R79" s="29">
        <f>SUMIF(Manual!$A:$A,'Q-Score'!$B79,Manual!$N:$N)</f>
        <v>0</v>
      </c>
      <c r="S79" s="31">
        <f t="shared" si="3"/>
        <v>5</v>
      </c>
    </row>
    <row r="80" spans="1:19" x14ac:dyDescent="0.6">
      <c r="A80" s="4" t="s">
        <v>47</v>
      </c>
      <c r="B80" s="7" t="s">
        <v>295</v>
      </c>
      <c r="C80" s="7" t="s">
        <v>296</v>
      </c>
      <c r="D80" s="15"/>
      <c r="E80" s="6"/>
      <c r="F80" s="6"/>
      <c r="G80" s="6">
        <v>0</v>
      </c>
      <c r="H80" s="6">
        <v>1.25</v>
      </c>
      <c r="I80" s="6">
        <v>1.25</v>
      </c>
      <c r="J80" s="6">
        <v>1.25</v>
      </c>
      <c r="K80" s="6">
        <v>1.25</v>
      </c>
      <c r="L80" s="6">
        <v>0</v>
      </c>
      <c r="M80" s="6">
        <v>0</v>
      </c>
      <c r="N80" s="6">
        <v>0</v>
      </c>
      <c r="O80" s="6">
        <v>5</v>
      </c>
      <c r="P80" s="30">
        <f t="shared" si="2"/>
        <v>5</v>
      </c>
      <c r="Q80" s="29">
        <f>SUMIF(Dangerous!$A:$A,'Q-Score'!$B80,Dangerous!$N:$N)</f>
        <v>0</v>
      </c>
      <c r="R80" s="29">
        <f>SUMIF(Manual!$A:$A,'Q-Score'!$B80,Manual!$N:$N)</f>
        <v>0</v>
      </c>
      <c r="S80" s="31">
        <f t="shared" si="3"/>
        <v>5</v>
      </c>
    </row>
    <row r="81" spans="1:19" x14ac:dyDescent="0.6">
      <c r="A81" s="4" t="s">
        <v>47</v>
      </c>
      <c r="B81" s="7" t="s">
        <v>297</v>
      </c>
      <c r="C81" s="7" t="s">
        <v>298</v>
      </c>
      <c r="D81" s="15"/>
      <c r="E81" s="6"/>
      <c r="F81" s="6"/>
      <c r="G81" s="6">
        <v>2.5</v>
      </c>
      <c r="H81" s="6">
        <v>1.25</v>
      </c>
      <c r="I81" s="6">
        <v>1.25</v>
      </c>
      <c r="J81" s="6">
        <v>1.25</v>
      </c>
      <c r="K81" s="6">
        <v>1.25</v>
      </c>
      <c r="L81" s="6">
        <v>0</v>
      </c>
      <c r="M81" s="6">
        <v>0</v>
      </c>
      <c r="N81" s="6">
        <v>0</v>
      </c>
      <c r="O81" s="6">
        <v>7.5</v>
      </c>
      <c r="P81" s="30">
        <f t="shared" si="2"/>
        <v>7.5</v>
      </c>
      <c r="Q81" s="29">
        <f>SUMIF(Dangerous!$A:$A,'Q-Score'!$B81,Dangerous!$N:$N)</f>
        <v>0</v>
      </c>
      <c r="R81" s="29">
        <f>SUMIF(Manual!$A:$A,'Q-Score'!$B81,Manual!$N:$N)</f>
        <v>0</v>
      </c>
      <c r="S81" s="31">
        <f t="shared" si="3"/>
        <v>7.5</v>
      </c>
    </row>
    <row r="82" spans="1:19" x14ac:dyDescent="0.6">
      <c r="A82" s="4" t="s">
        <v>47</v>
      </c>
      <c r="B82" s="7" t="s">
        <v>285</v>
      </c>
      <c r="C82" s="7" t="s">
        <v>286</v>
      </c>
      <c r="D82" s="15"/>
      <c r="E82" s="6"/>
      <c r="F82" s="6"/>
      <c r="G82" s="6">
        <v>0</v>
      </c>
      <c r="H82" s="6">
        <v>1.25</v>
      </c>
      <c r="I82" s="6">
        <v>0</v>
      </c>
      <c r="J82" s="6">
        <v>2.5</v>
      </c>
      <c r="K82" s="6">
        <v>1.25</v>
      </c>
      <c r="L82" s="6">
        <v>0</v>
      </c>
      <c r="M82" s="6">
        <v>0</v>
      </c>
      <c r="N82" s="6">
        <v>0</v>
      </c>
      <c r="O82" s="6">
        <v>5</v>
      </c>
      <c r="P82" s="30">
        <f t="shared" si="2"/>
        <v>5</v>
      </c>
      <c r="Q82" s="29">
        <f>SUMIF(Dangerous!$A:$A,'Q-Score'!$B82,Dangerous!$N:$N)</f>
        <v>0</v>
      </c>
      <c r="R82" s="29">
        <f>SUMIF(Manual!$A:$A,'Q-Score'!$B82,Manual!$N:$N)</f>
        <v>0</v>
      </c>
      <c r="S82" s="31">
        <f t="shared" si="3"/>
        <v>5</v>
      </c>
    </row>
    <row r="83" spans="1:19" x14ac:dyDescent="0.6">
      <c r="A83" s="4" t="s">
        <v>47</v>
      </c>
      <c r="B83" s="7" t="s">
        <v>289</v>
      </c>
      <c r="C83" s="7" t="s">
        <v>290</v>
      </c>
      <c r="D83" s="15"/>
      <c r="E83" s="6"/>
      <c r="F83" s="6"/>
      <c r="G83" s="6">
        <v>1.25</v>
      </c>
      <c r="H83" s="6">
        <v>1.25</v>
      </c>
      <c r="I83" s="6">
        <v>1.25</v>
      </c>
      <c r="J83" s="6">
        <v>1.25</v>
      </c>
      <c r="K83" s="6">
        <v>1.25</v>
      </c>
      <c r="L83" s="6">
        <v>0</v>
      </c>
      <c r="M83" s="6">
        <v>0</v>
      </c>
      <c r="N83" s="6">
        <v>0</v>
      </c>
      <c r="O83" s="6">
        <v>6.25</v>
      </c>
      <c r="P83" s="30">
        <f t="shared" si="2"/>
        <v>6.25</v>
      </c>
      <c r="Q83" s="29">
        <f>SUMIF(Dangerous!$A:$A,'Q-Score'!$B83,Dangerous!$N:$N)</f>
        <v>0</v>
      </c>
      <c r="R83" s="29">
        <f>SUMIF(Manual!$A:$A,'Q-Score'!$B83,Manual!$N:$N)</f>
        <v>0</v>
      </c>
      <c r="S83" s="31">
        <f t="shared" si="3"/>
        <v>6.25</v>
      </c>
    </row>
    <row r="84" spans="1:19" x14ac:dyDescent="0.6">
      <c r="A84" s="4" t="s">
        <v>47</v>
      </c>
      <c r="B84" s="7" t="s">
        <v>287</v>
      </c>
      <c r="C84" s="7" t="s">
        <v>288</v>
      </c>
      <c r="D84" s="15"/>
      <c r="E84" s="6"/>
      <c r="F84" s="6"/>
      <c r="G84" s="6">
        <v>1.25</v>
      </c>
      <c r="H84" s="6">
        <v>1.25</v>
      </c>
      <c r="I84" s="6">
        <v>1.25</v>
      </c>
      <c r="J84" s="6">
        <v>1.25</v>
      </c>
      <c r="K84" s="6">
        <v>1.25</v>
      </c>
      <c r="L84" s="6">
        <v>0</v>
      </c>
      <c r="M84" s="6">
        <v>0</v>
      </c>
      <c r="N84" s="6">
        <v>0</v>
      </c>
      <c r="O84" s="6">
        <v>6.25</v>
      </c>
      <c r="P84" s="30">
        <f t="shared" si="2"/>
        <v>6.25</v>
      </c>
      <c r="Q84" s="29">
        <f>SUMIF(Dangerous!$A:$A,'Q-Score'!$B84,Dangerous!$N:$N)</f>
        <v>0</v>
      </c>
      <c r="R84" s="29">
        <f>SUMIF(Manual!$A:$A,'Q-Score'!$B84,Manual!$N:$N)</f>
        <v>0</v>
      </c>
      <c r="S84" s="31">
        <f t="shared" si="3"/>
        <v>6.25</v>
      </c>
    </row>
    <row r="85" spans="1:19" x14ac:dyDescent="0.6">
      <c r="A85" s="4" t="s">
        <v>47</v>
      </c>
      <c r="B85" s="7" t="s">
        <v>213</v>
      </c>
      <c r="C85" s="7" t="s">
        <v>214</v>
      </c>
      <c r="D85" s="15"/>
      <c r="E85" s="6"/>
      <c r="F85" s="6"/>
      <c r="G85" s="6">
        <v>1.25</v>
      </c>
      <c r="H85" s="6">
        <v>1.25</v>
      </c>
      <c r="I85" s="6">
        <v>1.25</v>
      </c>
      <c r="J85" s="6">
        <v>1.25</v>
      </c>
      <c r="K85" s="6">
        <v>1.25</v>
      </c>
      <c r="L85" s="6">
        <v>0</v>
      </c>
      <c r="M85" s="6">
        <v>0</v>
      </c>
      <c r="N85" s="6">
        <v>0</v>
      </c>
      <c r="O85" s="6">
        <v>6.25</v>
      </c>
      <c r="P85" s="30">
        <f t="shared" si="2"/>
        <v>6.25</v>
      </c>
      <c r="Q85" s="29">
        <f>SUMIF(Dangerous!$A:$A,'Q-Score'!$B85,Dangerous!$N:$N)</f>
        <v>0</v>
      </c>
      <c r="R85" s="29">
        <f>SUMIF(Manual!$A:$A,'Q-Score'!$B85,Manual!$N:$N)</f>
        <v>0</v>
      </c>
      <c r="S85" s="31">
        <f t="shared" si="3"/>
        <v>6.25</v>
      </c>
    </row>
    <row r="86" spans="1:19" x14ac:dyDescent="0.6">
      <c r="A86" s="4" t="s">
        <v>47</v>
      </c>
      <c r="B86" s="7" t="s">
        <v>227</v>
      </c>
      <c r="C86" s="7" t="s">
        <v>228</v>
      </c>
      <c r="D86" s="15"/>
      <c r="E86" s="6"/>
      <c r="F86" s="6"/>
      <c r="G86" s="6">
        <v>1.25</v>
      </c>
      <c r="H86" s="6">
        <v>1.25</v>
      </c>
      <c r="I86" s="6">
        <v>1.25</v>
      </c>
      <c r="J86" s="6">
        <v>1.25</v>
      </c>
      <c r="K86" s="6">
        <v>1.25</v>
      </c>
      <c r="L86" s="6">
        <v>0</v>
      </c>
      <c r="M86" s="6">
        <v>0</v>
      </c>
      <c r="N86" s="6">
        <v>0</v>
      </c>
      <c r="O86" s="6">
        <v>6.25</v>
      </c>
      <c r="P86" s="30">
        <f t="shared" si="2"/>
        <v>6.25</v>
      </c>
      <c r="Q86" s="29">
        <f>SUMIF(Dangerous!$A:$A,'Q-Score'!$B86,Dangerous!$N:$N)</f>
        <v>0</v>
      </c>
      <c r="R86" s="29">
        <f>SUMIF(Manual!$A:$A,'Q-Score'!$B86,Manual!$N:$N)</f>
        <v>0</v>
      </c>
      <c r="S86" s="31">
        <f t="shared" si="3"/>
        <v>6.25</v>
      </c>
    </row>
    <row r="87" spans="1:19" x14ac:dyDescent="0.6">
      <c r="A87" s="4" t="s">
        <v>47</v>
      </c>
      <c r="B87" s="7" t="s">
        <v>217</v>
      </c>
      <c r="C87" s="7" t="s">
        <v>218</v>
      </c>
      <c r="D87" s="15"/>
      <c r="E87" s="6"/>
      <c r="F87" s="6"/>
      <c r="G87" s="6">
        <v>1.25</v>
      </c>
      <c r="H87" s="6">
        <v>2.5</v>
      </c>
      <c r="I87" s="6">
        <v>1.25</v>
      </c>
      <c r="J87" s="6">
        <v>1.25</v>
      </c>
      <c r="K87" s="6">
        <v>1.25</v>
      </c>
      <c r="L87" s="6">
        <v>0</v>
      </c>
      <c r="M87" s="6">
        <v>0</v>
      </c>
      <c r="N87" s="6">
        <v>0</v>
      </c>
      <c r="O87" s="6">
        <v>7.5</v>
      </c>
      <c r="P87" s="30">
        <f t="shared" si="2"/>
        <v>7.5</v>
      </c>
      <c r="Q87" s="29">
        <f>SUMIF(Dangerous!$A:$A,'Q-Score'!$B87,Dangerous!$N:$N)</f>
        <v>0</v>
      </c>
      <c r="R87" s="29">
        <f>SUMIF(Manual!$A:$A,'Q-Score'!$B87,Manual!$N:$N)</f>
        <v>0</v>
      </c>
      <c r="S87" s="31">
        <f t="shared" si="3"/>
        <v>7.5</v>
      </c>
    </row>
    <row r="88" spans="1:19" x14ac:dyDescent="0.6">
      <c r="A88" s="4" t="s">
        <v>47</v>
      </c>
      <c r="B88" s="7" t="s">
        <v>257</v>
      </c>
      <c r="C88" s="7" t="s">
        <v>258</v>
      </c>
      <c r="D88" s="15"/>
      <c r="E88" s="6"/>
      <c r="F88" s="6"/>
      <c r="G88" s="6">
        <v>2.5</v>
      </c>
      <c r="H88" s="6">
        <v>1.25</v>
      </c>
      <c r="I88" s="6">
        <v>1.25</v>
      </c>
      <c r="J88" s="6">
        <v>1.25</v>
      </c>
      <c r="K88" s="6">
        <v>2.5</v>
      </c>
      <c r="L88" s="6">
        <v>0</v>
      </c>
      <c r="M88" s="6">
        <v>0</v>
      </c>
      <c r="N88" s="6">
        <v>0</v>
      </c>
      <c r="O88" s="6">
        <v>8.75</v>
      </c>
      <c r="P88" s="30">
        <f t="shared" si="2"/>
        <v>8.75</v>
      </c>
      <c r="Q88" s="29">
        <f>SUMIF(Dangerous!$A:$A,'Q-Score'!$B88,Dangerous!$N:$N)</f>
        <v>0</v>
      </c>
      <c r="R88" s="29">
        <f>SUMIF(Manual!$A:$A,'Q-Score'!$B88,Manual!$N:$N)</f>
        <v>0</v>
      </c>
      <c r="S88" s="31">
        <f t="shared" si="3"/>
        <v>8.75</v>
      </c>
    </row>
    <row r="89" spans="1:19" x14ac:dyDescent="0.6">
      <c r="A89" s="4" t="s">
        <v>47</v>
      </c>
      <c r="B89" s="10" t="s">
        <v>181</v>
      </c>
      <c r="C89" s="10" t="s">
        <v>182</v>
      </c>
      <c r="D89" s="16"/>
      <c r="E89" s="6"/>
      <c r="F89" s="6"/>
      <c r="G89" s="6">
        <v>1.25</v>
      </c>
      <c r="H89" s="6">
        <v>2.5</v>
      </c>
      <c r="I89" s="6">
        <v>1.25</v>
      </c>
      <c r="J89" s="6">
        <v>2.5</v>
      </c>
      <c r="K89" s="6">
        <v>1.25</v>
      </c>
      <c r="L89" s="6">
        <v>0</v>
      </c>
      <c r="M89" s="6">
        <v>0</v>
      </c>
      <c r="N89" s="6">
        <v>0</v>
      </c>
      <c r="O89" s="6">
        <v>8.75</v>
      </c>
      <c r="P89" s="30">
        <f t="shared" si="2"/>
        <v>8.75</v>
      </c>
      <c r="Q89" s="29">
        <f>SUMIF(Dangerous!$A:$A,'Q-Score'!$B89,Dangerous!$N:$N)</f>
        <v>0</v>
      </c>
      <c r="R89" s="29">
        <f>SUMIF(Manual!$A:$A,'Q-Score'!$B89,Manual!$N:$N)</f>
        <v>0</v>
      </c>
      <c r="S89" s="31">
        <f t="shared" si="3"/>
        <v>8.75</v>
      </c>
    </row>
    <row r="90" spans="1:19" x14ac:dyDescent="0.6">
      <c r="A90" s="4" t="s">
        <v>47</v>
      </c>
      <c r="B90" s="10" t="s">
        <v>169</v>
      </c>
      <c r="C90" s="10" t="s">
        <v>170</v>
      </c>
      <c r="D90" s="16"/>
      <c r="E90" s="6"/>
      <c r="F90" s="6"/>
      <c r="G90" s="6">
        <v>1.25</v>
      </c>
      <c r="H90" s="6">
        <v>1.25</v>
      </c>
      <c r="I90" s="6">
        <v>1.25</v>
      </c>
      <c r="J90" s="6">
        <v>1.25</v>
      </c>
      <c r="K90" s="6">
        <v>1.25</v>
      </c>
      <c r="L90" s="6">
        <v>0</v>
      </c>
      <c r="M90" s="6">
        <v>0</v>
      </c>
      <c r="N90" s="6">
        <v>0</v>
      </c>
      <c r="O90" s="6">
        <v>6.25</v>
      </c>
      <c r="P90" s="30">
        <f t="shared" si="2"/>
        <v>6.25</v>
      </c>
      <c r="Q90" s="29">
        <f>SUMIF(Dangerous!$A:$A,'Q-Score'!$B90,Dangerous!$N:$N)</f>
        <v>0</v>
      </c>
      <c r="R90" s="29">
        <f>SUMIF(Manual!$A:$A,'Q-Score'!$B90,Manual!$N:$N)</f>
        <v>0</v>
      </c>
      <c r="S90" s="31">
        <f t="shared" si="3"/>
        <v>6.25</v>
      </c>
    </row>
    <row r="91" spans="1:19" x14ac:dyDescent="0.6">
      <c r="A91" s="4" t="s">
        <v>47</v>
      </c>
      <c r="B91" s="7" t="s">
        <v>269</v>
      </c>
      <c r="C91" s="7" t="s">
        <v>270</v>
      </c>
      <c r="D91" s="15"/>
      <c r="E91" s="6"/>
      <c r="F91" s="6"/>
      <c r="G91" s="6">
        <v>1.25</v>
      </c>
      <c r="H91" s="6">
        <v>1.25</v>
      </c>
      <c r="I91" s="6">
        <v>2.5</v>
      </c>
      <c r="J91" s="6">
        <v>2.5</v>
      </c>
      <c r="K91" s="6">
        <v>2.5</v>
      </c>
      <c r="L91" s="6">
        <v>0</v>
      </c>
      <c r="M91" s="6">
        <v>0</v>
      </c>
      <c r="N91" s="6">
        <v>0</v>
      </c>
      <c r="O91" s="6">
        <v>10</v>
      </c>
      <c r="P91" s="30">
        <f t="shared" si="2"/>
        <v>10</v>
      </c>
      <c r="Q91" s="29">
        <f>SUMIF(Dangerous!$A:$A,'Q-Score'!$B91,Dangerous!$N:$N)</f>
        <v>0</v>
      </c>
      <c r="R91" s="29">
        <f>SUMIF(Manual!$A:$A,'Q-Score'!$B91,Manual!$N:$N)</f>
        <v>0</v>
      </c>
      <c r="S91" s="31">
        <f t="shared" si="3"/>
        <v>10</v>
      </c>
    </row>
    <row r="92" spans="1:19" x14ac:dyDescent="0.6">
      <c r="A92" s="4" t="s">
        <v>47</v>
      </c>
      <c r="B92" s="7" t="s">
        <v>167</v>
      </c>
      <c r="C92" s="7" t="s">
        <v>168</v>
      </c>
      <c r="D92" s="15"/>
      <c r="E92" s="6"/>
      <c r="F92" s="6"/>
      <c r="G92" s="6">
        <v>1.25</v>
      </c>
      <c r="H92" s="6">
        <v>2.5</v>
      </c>
      <c r="I92" s="6">
        <v>2.5</v>
      </c>
      <c r="J92" s="6">
        <v>1.25</v>
      </c>
      <c r="K92" s="6">
        <v>1.25</v>
      </c>
      <c r="L92" s="6">
        <v>0</v>
      </c>
      <c r="M92" s="6">
        <v>0</v>
      </c>
      <c r="N92" s="6">
        <v>0</v>
      </c>
      <c r="O92" s="6">
        <v>8.75</v>
      </c>
      <c r="P92" s="30">
        <f t="shared" si="2"/>
        <v>8.75</v>
      </c>
      <c r="Q92" s="29">
        <f>SUMIF(Dangerous!$A:$A,'Q-Score'!$B92,Dangerous!$N:$N)</f>
        <v>0</v>
      </c>
      <c r="R92" s="29">
        <f>SUMIF(Manual!$A:$A,'Q-Score'!$B92,Manual!$N:$N)</f>
        <v>0</v>
      </c>
      <c r="S92" s="31">
        <f t="shared" si="3"/>
        <v>8.75</v>
      </c>
    </row>
    <row r="93" spans="1:19" x14ac:dyDescent="0.6">
      <c r="A93" s="4" t="s">
        <v>47</v>
      </c>
      <c r="B93" s="10" t="s">
        <v>163</v>
      </c>
      <c r="C93" s="10" t="s">
        <v>164</v>
      </c>
      <c r="D93" s="16"/>
      <c r="E93" s="6"/>
      <c r="F93" s="6"/>
      <c r="G93" s="6">
        <v>1.25</v>
      </c>
      <c r="H93" s="6">
        <v>1.25</v>
      </c>
      <c r="I93" s="6">
        <v>1.25</v>
      </c>
      <c r="J93" s="6">
        <v>2.5</v>
      </c>
      <c r="K93" s="6">
        <v>1.25</v>
      </c>
      <c r="L93" s="6">
        <v>0</v>
      </c>
      <c r="M93" s="6">
        <v>0</v>
      </c>
      <c r="N93" s="6">
        <v>0</v>
      </c>
      <c r="O93" s="6">
        <v>7.5</v>
      </c>
      <c r="P93" s="30">
        <f t="shared" si="2"/>
        <v>7.5</v>
      </c>
      <c r="Q93" s="29">
        <f>SUMIF(Dangerous!$A:$A,'Q-Score'!$B93,Dangerous!$N:$N)</f>
        <v>0</v>
      </c>
      <c r="R93" s="29">
        <f>SUMIF(Manual!$A:$A,'Q-Score'!$B93,Manual!$N:$N)</f>
        <v>0</v>
      </c>
      <c r="S93" s="31">
        <f t="shared" si="3"/>
        <v>7.5</v>
      </c>
    </row>
    <row r="94" spans="1:19" x14ac:dyDescent="0.6">
      <c r="A94" s="4" t="s">
        <v>47</v>
      </c>
      <c r="B94" s="7" t="s">
        <v>165</v>
      </c>
      <c r="C94" s="7" t="s">
        <v>166</v>
      </c>
      <c r="D94" s="15"/>
      <c r="E94" s="6"/>
      <c r="F94" s="6"/>
      <c r="G94" s="6">
        <v>1.25</v>
      </c>
      <c r="H94" s="6">
        <v>1.25</v>
      </c>
      <c r="I94" s="6">
        <v>1.25</v>
      </c>
      <c r="J94" s="6">
        <v>2.5</v>
      </c>
      <c r="K94" s="6">
        <v>1.25</v>
      </c>
      <c r="L94" s="6">
        <v>0</v>
      </c>
      <c r="M94" s="6">
        <v>0</v>
      </c>
      <c r="N94" s="6">
        <v>0</v>
      </c>
      <c r="O94" s="6">
        <v>7.5</v>
      </c>
      <c r="P94" s="30">
        <f t="shared" si="2"/>
        <v>7.5</v>
      </c>
      <c r="Q94" s="29">
        <f>SUMIF(Dangerous!$A:$A,'Q-Score'!$B94,Dangerous!$N:$N)</f>
        <v>0</v>
      </c>
      <c r="R94" s="29">
        <f>SUMIF(Manual!$A:$A,'Q-Score'!$B94,Manual!$N:$N)</f>
        <v>0</v>
      </c>
      <c r="S94" s="31">
        <f t="shared" si="3"/>
        <v>7.5</v>
      </c>
    </row>
    <row r="95" spans="1:19" x14ac:dyDescent="0.6">
      <c r="A95" s="4" t="s">
        <v>47</v>
      </c>
      <c r="B95" s="7" t="s">
        <v>171</v>
      </c>
      <c r="C95" s="7" t="s">
        <v>172</v>
      </c>
      <c r="D95" s="15"/>
      <c r="E95" s="6"/>
      <c r="F95" s="6"/>
      <c r="G95" s="6">
        <v>1.25</v>
      </c>
      <c r="H95" s="6">
        <v>1.25</v>
      </c>
      <c r="I95" s="6">
        <v>1.25</v>
      </c>
      <c r="J95" s="6">
        <v>1.25</v>
      </c>
      <c r="K95" s="6">
        <v>2.5</v>
      </c>
      <c r="L95" s="6">
        <v>0</v>
      </c>
      <c r="M95" s="6">
        <v>0</v>
      </c>
      <c r="N95" s="6">
        <v>0</v>
      </c>
      <c r="O95" s="6">
        <v>7.5</v>
      </c>
      <c r="P95" s="30">
        <f t="shared" si="2"/>
        <v>7.5</v>
      </c>
      <c r="Q95" s="29">
        <f>SUMIF(Dangerous!$A:$A,'Q-Score'!$B95,Dangerous!$N:$N)</f>
        <v>0</v>
      </c>
      <c r="R95" s="29">
        <f>SUMIF(Manual!$A:$A,'Q-Score'!$B95,Manual!$N:$N)</f>
        <v>0</v>
      </c>
      <c r="S95" s="31">
        <f t="shared" si="3"/>
        <v>7.5</v>
      </c>
    </row>
    <row r="96" spans="1:19" x14ac:dyDescent="0.6">
      <c r="A96" s="4" t="s">
        <v>47</v>
      </c>
      <c r="B96" s="7" t="s">
        <v>237</v>
      </c>
      <c r="C96" s="7" t="s">
        <v>238</v>
      </c>
      <c r="D96" s="15"/>
      <c r="E96" s="6"/>
      <c r="F96" s="6"/>
      <c r="G96" s="6">
        <v>2.5</v>
      </c>
      <c r="H96" s="6">
        <v>1.25</v>
      </c>
      <c r="I96" s="6">
        <v>1.25</v>
      </c>
      <c r="J96" s="6">
        <v>2.5</v>
      </c>
      <c r="K96" s="6">
        <v>2.5</v>
      </c>
      <c r="L96" s="6">
        <v>0</v>
      </c>
      <c r="M96" s="6">
        <v>0</v>
      </c>
      <c r="N96" s="6">
        <v>0</v>
      </c>
      <c r="O96" s="6">
        <v>10</v>
      </c>
      <c r="P96" s="30">
        <f t="shared" si="2"/>
        <v>10</v>
      </c>
      <c r="Q96" s="29">
        <f>SUMIF(Dangerous!$A:$A,'Q-Score'!$B96,Dangerous!$N:$N)</f>
        <v>0</v>
      </c>
      <c r="R96" s="29">
        <f>SUMIF(Manual!$A:$A,'Q-Score'!$B96,Manual!$N:$N)</f>
        <v>0</v>
      </c>
      <c r="S96" s="31">
        <f t="shared" si="3"/>
        <v>10</v>
      </c>
    </row>
    <row r="97" spans="1:19" x14ac:dyDescent="0.6">
      <c r="A97" s="4" t="s">
        <v>47</v>
      </c>
      <c r="B97" s="7" t="s">
        <v>241</v>
      </c>
      <c r="C97" s="7" t="s">
        <v>242</v>
      </c>
      <c r="D97" s="15"/>
      <c r="E97" s="6"/>
      <c r="F97" s="6"/>
      <c r="G97" s="6">
        <v>1.25</v>
      </c>
      <c r="H97" s="6">
        <v>2.5</v>
      </c>
      <c r="I97" s="6">
        <v>1.25</v>
      </c>
      <c r="J97" s="6">
        <v>1.25</v>
      </c>
      <c r="K97" s="6">
        <v>2.5</v>
      </c>
      <c r="L97" s="6">
        <v>0</v>
      </c>
      <c r="M97" s="6">
        <v>0</v>
      </c>
      <c r="N97" s="6">
        <v>0</v>
      </c>
      <c r="O97" s="6">
        <v>8.75</v>
      </c>
      <c r="P97" s="30">
        <f t="shared" si="2"/>
        <v>8.75</v>
      </c>
      <c r="Q97" s="29">
        <f>SUMIF(Dangerous!$A:$A,'Q-Score'!$B97,Dangerous!$N:$N)</f>
        <v>0</v>
      </c>
      <c r="R97" s="29">
        <f>SUMIF(Manual!$A:$A,'Q-Score'!$B97,Manual!$N:$N)</f>
        <v>0</v>
      </c>
      <c r="S97" s="31">
        <f t="shared" si="3"/>
        <v>8.75</v>
      </c>
    </row>
    <row r="98" spans="1:19" x14ac:dyDescent="0.6">
      <c r="A98" s="4" t="s">
        <v>47</v>
      </c>
      <c r="B98" s="7" t="s">
        <v>239</v>
      </c>
      <c r="C98" s="7" t="s">
        <v>240</v>
      </c>
      <c r="D98" s="15"/>
      <c r="E98" s="6"/>
      <c r="F98" s="6"/>
      <c r="G98" s="6">
        <v>1.25</v>
      </c>
      <c r="H98" s="6">
        <v>1.25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2.5</v>
      </c>
      <c r="P98" s="30">
        <f t="shared" si="2"/>
        <v>2.5</v>
      </c>
      <c r="Q98" s="29">
        <f>SUMIF(Dangerous!$A:$A,'Q-Score'!$B98,Dangerous!$N:$N)</f>
        <v>0</v>
      </c>
      <c r="R98" s="29">
        <f>SUMIF(Manual!$A:$A,'Q-Score'!$B98,Manual!$N:$N)</f>
        <v>0</v>
      </c>
      <c r="S98" s="31">
        <f t="shared" si="3"/>
        <v>2.5</v>
      </c>
    </row>
    <row r="99" spans="1:19" x14ac:dyDescent="0.6">
      <c r="A99" s="4" t="s">
        <v>47</v>
      </c>
      <c r="B99" s="7" t="s">
        <v>243</v>
      </c>
      <c r="C99" s="7" t="s">
        <v>244</v>
      </c>
      <c r="D99" s="15"/>
      <c r="E99" s="6"/>
      <c r="F99" s="6"/>
      <c r="G99" s="6">
        <v>1.25</v>
      </c>
      <c r="H99" s="6">
        <v>2.5</v>
      </c>
      <c r="I99" s="6">
        <v>1.25</v>
      </c>
      <c r="J99" s="6">
        <v>1.25</v>
      </c>
      <c r="K99" s="6">
        <v>1.25</v>
      </c>
      <c r="L99" s="6">
        <v>0</v>
      </c>
      <c r="M99" s="6">
        <v>0</v>
      </c>
      <c r="N99" s="6">
        <v>0</v>
      </c>
      <c r="O99" s="6">
        <v>7.5</v>
      </c>
      <c r="P99" s="30">
        <f t="shared" si="2"/>
        <v>7.5</v>
      </c>
      <c r="Q99" s="29">
        <f>SUMIF(Dangerous!$A:$A,'Q-Score'!$B99,Dangerous!$N:$N)</f>
        <v>0</v>
      </c>
      <c r="R99" s="29">
        <f>SUMIF(Manual!$A:$A,'Q-Score'!$B99,Manual!$N:$N)</f>
        <v>0</v>
      </c>
      <c r="S99" s="31">
        <f t="shared" si="3"/>
        <v>7.5</v>
      </c>
    </row>
    <row r="100" spans="1:19" x14ac:dyDescent="0.6">
      <c r="A100" s="4" t="s">
        <v>47</v>
      </c>
      <c r="B100" s="7" t="s">
        <v>253</v>
      </c>
      <c r="C100" s="7" t="s">
        <v>254</v>
      </c>
      <c r="D100" s="15"/>
      <c r="E100" s="6"/>
      <c r="F100" s="6"/>
      <c r="G100" s="6">
        <v>1.25</v>
      </c>
      <c r="H100" s="6">
        <v>1.25</v>
      </c>
      <c r="I100" s="6">
        <v>1.25</v>
      </c>
      <c r="J100" s="6">
        <v>1.25</v>
      </c>
      <c r="K100" s="6">
        <v>1.25</v>
      </c>
      <c r="L100" s="6">
        <v>0</v>
      </c>
      <c r="M100" s="6">
        <v>0</v>
      </c>
      <c r="N100" s="6">
        <v>0</v>
      </c>
      <c r="O100" s="6">
        <v>6.25</v>
      </c>
      <c r="P100" s="30">
        <f t="shared" si="2"/>
        <v>6.25</v>
      </c>
      <c r="Q100" s="29">
        <f>SUMIF(Dangerous!$A:$A,'Q-Score'!$B100,Dangerous!$N:$N)</f>
        <v>0</v>
      </c>
      <c r="R100" s="29">
        <f>SUMIF(Manual!$A:$A,'Q-Score'!$B100,Manual!$N:$N)</f>
        <v>0</v>
      </c>
      <c r="S100" s="31">
        <f t="shared" si="3"/>
        <v>6.25</v>
      </c>
    </row>
    <row r="101" spans="1:19" x14ac:dyDescent="0.6">
      <c r="A101" s="4" t="s">
        <v>47</v>
      </c>
      <c r="B101" s="12" t="s">
        <v>255</v>
      </c>
      <c r="C101" s="12" t="s">
        <v>256</v>
      </c>
      <c r="D101" s="17"/>
      <c r="E101" s="6"/>
      <c r="F101" s="6"/>
      <c r="G101" s="6">
        <v>1.25</v>
      </c>
      <c r="H101" s="6">
        <v>1.25</v>
      </c>
      <c r="I101" s="6">
        <v>1.25</v>
      </c>
      <c r="J101" s="6">
        <v>1.25</v>
      </c>
      <c r="K101" s="6">
        <v>1.25</v>
      </c>
      <c r="L101" s="6">
        <v>0</v>
      </c>
      <c r="M101" s="6">
        <v>0</v>
      </c>
      <c r="N101" s="6">
        <v>0</v>
      </c>
      <c r="O101" s="6">
        <v>6.25</v>
      </c>
      <c r="P101" s="30">
        <f t="shared" si="2"/>
        <v>6.25</v>
      </c>
      <c r="Q101" s="29">
        <f>SUMIF(Dangerous!$A:$A,'Q-Score'!$B101,Dangerous!$N:$N)</f>
        <v>0</v>
      </c>
      <c r="R101" s="29">
        <f>SUMIF(Manual!$A:$A,'Q-Score'!$B101,Manual!$N:$N)</f>
        <v>0</v>
      </c>
      <c r="S101" s="31">
        <f t="shared" si="3"/>
        <v>6.25</v>
      </c>
    </row>
    <row r="102" spans="1:19" x14ac:dyDescent="0.6">
      <c r="A102" s="4" t="s">
        <v>47</v>
      </c>
      <c r="B102" s="7" t="s">
        <v>279</v>
      </c>
      <c r="C102" s="7" t="s">
        <v>280</v>
      </c>
      <c r="D102" s="15"/>
      <c r="E102" s="6"/>
      <c r="F102" s="6"/>
      <c r="G102" s="6">
        <v>1.25</v>
      </c>
      <c r="H102" s="6">
        <v>1.25</v>
      </c>
      <c r="I102" s="6">
        <v>1.25</v>
      </c>
      <c r="J102" s="6">
        <v>1.25</v>
      </c>
      <c r="K102" s="6">
        <v>1.25</v>
      </c>
      <c r="L102" s="6">
        <v>0</v>
      </c>
      <c r="M102" s="6">
        <v>0</v>
      </c>
      <c r="N102" s="6">
        <v>0</v>
      </c>
      <c r="O102" s="6">
        <v>6.25</v>
      </c>
      <c r="P102" s="30">
        <f t="shared" si="2"/>
        <v>6.25</v>
      </c>
      <c r="Q102" s="29">
        <f>SUMIF(Dangerous!$A:$A,'Q-Score'!$B102,Dangerous!$N:$N)</f>
        <v>0</v>
      </c>
      <c r="R102" s="29">
        <f>SUMIF(Manual!$A:$A,'Q-Score'!$B102,Manual!$N:$N)</f>
        <v>0</v>
      </c>
      <c r="S102" s="31">
        <f t="shared" si="3"/>
        <v>6.25</v>
      </c>
    </row>
    <row r="103" spans="1:19" x14ac:dyDescent="0.6">
      <c r="A103" s="4" t="s">
        <v>47</v>
      </c>
      <c r="B103" s="12" t="s">
        <v>281</v>
      </c>
      <c r="C103" s="12" t="s">
        <v>282</v>
      </c>
      <c r="D103" s="17"/>
      <c r="E103" s="6"/>
      <c r="F103" s="6"/>
      <c r="G103" s="6">
        <v>1.25</v>
      </c>
      <c r="H103" s="6">
        <v>1.25</v>
      </c>
      <c r="I103" s="6">
        <v>1.25</v>
      </c>
      <c r="J103" s="6">
        <v>1.25</v>
      </c>
      <c r="K103" s="6">
        <v>1.25</v>
      </c>
      <c r="L103" s="6">
        <v>0</v>
      </c>
      <c r="M103" s="6">
        <v>0</v>
      </c>
      <c r="N103" s="6">
        <v>0</v>
      </c>
      <c r="O103" s="6">
        <v>6.25</v>
      </c>
      <c r="P103" s="30">
        <f t="shared" si="2"/>
        <v>6.25</v>
      </c>
      <c r="Q103" s="29">
        <f>SUMIF(Dangerous!$A:$A,'Q-Score'!$B103,Dangerous!$N:$N)</f>
        <v>0</v>
      </c>
      <c r="R103" s="29">
        <f>SUMIF(Manual!$A:$A,'Q-Score'!$B103,Manual!$N:$N)</f>
        <v>0</v>
      </c>
      <c r="S103" s="31">
        <f t="shared" si="3"/>
        <v>6.25</v>
      </c>
    </row>
    <row r="104" spans="1:19" x14ac:dyDescent="0.6">
      <c r="A104" s="4" t="s">
        <v>47</v>
      </c>
      <c r="B104" s="12" t="s">
        <v>245</v>
      </c>
      <c r="C104" s="12" t="s">
        <v>246</v>
      </c>
      <c r="D104" s="17"/>
      <c r="E104" s="6"/>
      <c r="F104" s="6"/>
      <c r="G104" s="6">
        <v>1.25</v>
      </c>
      <c r="H104" s="6">
        <v>1.25</v>
      </c>
      <c r="I104" s="6">
        <v>1.25</v>
      </c>
      <c r="J104" s="6">
        <v>2.5</v>
      </c>
      <c r="K104" s="6">
        <v>1.25</v>
      </c>
      <c r="L104" s="6">
        <v>0</v>
      </c>
      <c r="M104" s="6">
        <v>0</v>
      </c>
      <c r="N104" s="6">
        <v>0</v>
      </c>
      <c r="O104" s="6">
        <v>7.5</v>
      </c>
      <c r="P104" s="30">
        <f t="shared" si="2"/>
        <v>7.5</v>
      </c>
      <c r="Q104" s="29">
        <f>SUMIF(Dangerous!$A:$A,'Q-Score'!$B104,Dangerous!$N:$N)</f>
        <v>0</v>
      </c>
      <c r="R104" s="29">
        <f>SUMIF(Manual!$A:$A,'Q-Score'!$B104,Manual!$N:$N)</f>
        <v>0</v>
      </c>
      <c r="S104" s="31">
        <f t="shared" si="3"/>
        <v>7.5</v>
      </c>
    </row>
    <row r="105" spans="1:19" x14ac:dyDescent="0.6">
      <c r="A105" s="4" t="s">
        <v>47</v>
      </c>
      <c r="B105" s="7" t="s">
        <v>247</v>
      </c>
      <c r="C105" s="7" t="s">
        <v>248</v>
      </c>
      <c r="D105" s="15"/>
      <c r="E105" s="6"/>
      <c r="F105" s="6"/>
      <c r="G105" s="6">
        <v>1.25</v>
      </c>
      <c r="H105" s="6">
        <v>1.25</v>
      </c>
      <c r="I105" s="6">
        <v>1.25</v>
      </c>
      <c r="J105" s="6">
        <v>1.25</v>
      </c>
      <c r="K105" s="6">
        <v>1.25</v>
      </c>
      <c r="L105" s="6">
        <v>0</v>
      </c>
      <c r="M105" s="6">
        <v>0</v>
      </c>
      <c r="N105" s="6">
        <v>0</v>
      </c>
      <c r="O105" s="6">
        <v>6.25</v>
      </c>
      <c r="P105" s="30">
        <f t="shared" si="2"/>
        <v>6.25</v>
      </c>
      <c r="Q105" s="29">
        <f>SUMIF(Dangerous!$A:$A,'Q-Score'!$B105,Dangerous!$N:$N)</f>
        <v>0</v>
      </c>
      <c r="R105" s="29">
        <f>SUMIF(Manual!$A:$A,'Q-Score'!$B105,Manual!$N:$N)</f>
        <v>0</v>
      </c>
      <c r="S105" s="31">
        <f t="shared" si="3"/>
        <v>6.25</v>
      </c>
    </row>
    <row r="106" spans="1:19" x14ac:dyDescent="0.6">
      <c r="A106" s="4" t="s">
        <v>47</v>
      </c>
      <c r="B106" s="7" t="s">
        <v>249</v>
      </c>
      <c r="C106" s="7" t="s">
        <v>250</v>
      </c>
      <c r="D106" s="15"/>
      <c r="E106" s="6"/>
      <c r="F106" s="6"/>
      <c r="G106" s="6">
        <v>1.25</v>
      </c>
      <c r="H106" s="6">
        <v>1.25</v>
      </c>
      <c r="I106" s="6">
        <v>1.25</v>
      </c>
      <c r="J106" s="6">
        <v>1.25</v>
      </c>
      <c r="K106" s="6">
        <v>1.25</v>
      </c>
      <c r="L106" s="6">
        <v>0</v>
      </c>
      <c r="M106" s="6">
        <v>0</v>
      </c>
      <c r="N106" s="6">
        <v>0</v>
      </c>
      <c r="O106" s="6">
        <v>6.25</v>
      </c>
      <c r="P106" s="30">
        <f t="shared" si="2"/>
        <v>6.25</v>
      </c>
      <c r="Q106" s="29">
        <f>SUMIF(Dangerous!$A:$A,'Q-Score'!$B106,Dangerous!$N:$N)</f>
        <v>0</v>
      </c>
      <c r="R106" s="29">
        <f>SUMIF(Manual!$A:$A,'Q-Score'!$B106,Manual!$N:$N)</f>
        <v>0</v>
      </c>
      <c r="S106" s="31">
        <f t="shared" si="3"/>
        <v>6.25</v>
      </c>
    </row>
    <row r="107" spans="1:19" x14ac:dyDescent="0.6">
      <c r="A107" s="4" t="s">
        <v>47</v>
      </c>
      <c r="B107" s="7" t="s">
        <v>251</v>
      </c>
      <c r="C107" s="7" t="s">
        <v>252</v>
      </c>
      <c r="D107" s="15"/>
      <c r="E107" s="6"/>
      <c r="F107" s="6"/>
      <c r="G107" s="6">
        <v>1.25</v>
      </c>
      <c r="H107" s="6">
        <v>1.25</v>
      </c>
      <c r="I107" s="6">
        <v>1.25</v>
      </c>
      <c r="J107" s="6">
        <v>1.25</v>
      </c>
      <c r="K107" s="6">
        <v>1.25</v>
      </c>
      <c r="L107" s="6">
        <v>0</v>
      </c>
      <c r="M107" s="6">
        <v>0</v>
      </c>
      <c r="N107" s="6">
        <v>0</v>
      </c>
      <c r="O107" s="6">
        <v>6.25</v>
      </c>
      <c r="P107" s="30">
        <f t="shared" si="2"/>
        <v>6.25</v>
      </c>
      <c r="Q107" s="29">
        <f>SUMIF(Dangerous!$A:$A,'Q-Score'!$B107,Dangerous!$N:$N)</f>
        <v>0</v>
      </c>
      <c r="R107" s="29">
        <f>SUMIF(Manual!$A:$A,'Q-Score'!$B107,Manual!$N:$N)</f>
        <v>0</v>
      </c>
      <c r="S107" s="31">
        <f t="shared" si="3"/>
        <v>6.25</v>
      </c>
    </row>
    <row r="108" spans="1:19" x14ac:dyDescent="0.6">
      <c r="A108" s="4" t="s">
        <v>47</v>
      </c>
      <c r="B108" s="7" t="s">
        <v>273</v>
      </c>
      <c r="C108" s="7" t="s">
        <v>274</v>
      </c>
      <c r="D108" s="15"/>
      <c r="E108" s="6"/>
      <c r="F108" s="6"/>
      <c r="G108" s="6">
        <v>1.25</v>
      </c>
      <c r="H108" s="6">
        <v>0</v>
      </c>
      <c r="I108" s="6">
        <v>0</v>
      </c>
      <c r="J108" s="6">
        <v>2.5</v>
      </c>
      <c r="K108" s="6">
        <v>1.25</v>
      </c>
      <c r="L108" s="6">
        <v>0</v>
      </c>
      <c r="M108" s="6">
        <v>0</v>
      </c>
      <c r="N108" s="6">
        <v>0</v>
      </c>
      <c r="O108" s="6">
        <v>5</v>
      </c>
      <c r="P108" s="30">
        <f t="shared" si="2"/>
        <v>5</v>
      </c>
      <c r="Q108" s="29">
        <f>SUMIF(Dangerous!$A:$A,'Q-Score'!$B108,Dangerous!$N:$N)</f>
        <v>0</v>
      </c>
      <c r="R108" s="29">
        <f>SUMIF(Manual!$A:$A,'Q-Score'!$B108,Manual!$N:$N)</f>
        <v>0</v>
      </c>
      <c r="S108" s="31">
        <f t="shared" si="3"/>
        <v>5</v>
      </c>
    </row>
    <row r="109" spans="1:19" x14ac:dyDescent="0.6">
      <c r="A109" s="4" t="s">
        <v>47</v>
      </c>
      <c r="B109" s="7" t="s">
        <v>275</v>
      </c>
      <c r="C109" s="7" t="s">
        <v>276</v>
      </c>
      <c r="D109" s="15"/>
      <c r="E109" s="6"/>
      <c r="F109" s="6"/>
      <c r="G109" s="6">
        <v>1.25</v>
      </c>
      <c r="H109" s="6">
        <v>1.25</v>
      </c>
      <c r="I109" s="6">
        <v>0</v>
      </c>
      <c r="J109" s="6">
        <v>2.5</v>
      </c>
      <c r="K109" s="6">
        <v>1.25</v>
      </c>
      <c r="L109" s="6">
        <v>0</v>
      </c>
      <c r="M109" s="6">
        <v>0</v>
      </c>
      <c r="N109" s="6">
        <v>0</v>
      </c>
      <c r="O109" s="6">
        <v>6.25</v>
      </c>
      <c r="P109" s="30">
        <f t="shared" si="2"/>
        <v>6.25</v>
      </c>
      <c r="Q109" s="29">
        <f>SUMIF(Dangerous!$A:$A,'Q-Score'!$B109,Dangerous!$N:$N)</f>
        <v>0</v>
      </c>
      <c r="R109" s="29">
        <f>SUMIF(Manual!$A:$A,'Q-Score'!$B109,Manual!$N:$N)</f>
        <v>0</v>
      </c>
      <c r="S109" s="31">
        <f t="shared" si="3"/>
        <v>6.25</v>
      </c>
    </row>
    <row r="110" spans="1:19" x14ac:dyDescent="0.6">
      <c r="A110" s="4" t="s">
        <v>47</v>
      </c>
      <c r="B110" s="7" t="s">
        <v>271</v>
      </c>
      <c r="C110" s="7" t="s">
        <v>272</v>
      </c>
      <c r="D110" s="15"/>
      <c r="E110" s="6"/>
      <c r="F110" s="6"/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30">
        <f t="shared" si="2"/>
        <v>0</v>
      </c>
      <c r="Q110" s="29">
        <f>SUMIF(Dangerous!$A:$A,'Q-Score'!$B110,Dangerous!$N:$N)</f>
        <v>0</v>
      </c>
      <c r="R110" s="29">
        <f>SUMIF(Manual!$A:$A,'Q-Score'!$B110,Manual!$N:$N)</f>
        <v>0</v>
      </c>
      <c r="S110" s="31">
        <f t="shared" si="3"/>
        <v>0</v>
      </c>
    </row>
    <row r="111" spans="1:19" x14ac:dyDescent="0.6">
      <c r="A111" s="4" t="s">
        <v>47</v>
      </c>
      <c r="B111" s="7" t="s">
        <v>277</v>
      </c>
      <c r="C111" s="7" t="s">
        <v>278</v>
      </c>
      <c r="D111" s="15"/>
      <c r="E111" s="6"/>
      <c r="F111" s="6"/>
      <c r="G111" s="6">
        <v>1.25</v>
      </c>
      <c r="H111" s="6">
        <v>1.25</v>
      </c>
      <c r="I111" s="6">
        <v>1.25</v>
      </c>
      <c r="J111" s="6">
        <v>1.25</v>
      </c>
      <c r="K111" s="6">
        <v>0</v>
      </c>
      <c r="L111" s="6">
        <v>0</v>
      </c>
      <c r="M111" s="6">
        <v>0</v>
      </c>
      <c r="N111" s="6">
        <v>0</v>
      </c>
      <c r="O111" s="6">
        <v>5</v>
      </c>
      <c r="P111" s="30">
        <f t="shared" si="2"/>
        <v>5</v>
      </c>
      <c r="Q111" s="29">
        <f>SUMIF(Dangerous!$A:$A,'Q-Score'!$B111,Dangerous!$N:$N)</f>
        <v>0</v>
      </c>
      <c r="R111" s="29">
        <f>SUMIF(Manual!$A:$A,'Q-Score'!$B111,Manual!$N:$N)</f>
        <v>0</v>
      </c>
      <c r="S111" s="31">
        <f t="shared" si="3"/>
        <v>5</v>
      </c>
    </row>
    <row r="112" spans="1:19" x14ac:dyDescent="0.6">
      <c r="A112" s="4" t="s">
        <v>47</v>
      </c>
      <c r="B112" s="7" t="s">
        <v>179</v>
      </c>
      <c r="C112" s="7" t="s">
        <v>180</v>
      </c>
      <c r="D112" s="15"/>
      <c r="E112" s="6"/>
      <c r="F112" s="6"/>
      <c r="G112" s="6">
        <v>1.25</v>
      </c>
      <c r="H112" s="6">
        <v>1.25</v>
      </c>
      <c r="I112" s="6">
        <v>1.25</v>
      </c>
      <c r="J112" s="6">
        <v>1.25</v>
      </c>
      <c r="K112" s="6">
        <v>2.5</v>
      </c>
      <c r="L112" s="6">
        <v>0</v>
      </c>
      <c r="M112" s="6">
        <v>0</v>
      </c>
      <c r="N112" s="6">
        <v>0</v>
      </c>
      <c r="O112" s="6">
        <v>7.5</v>
      </c>
      <c r="P112" s="30">
        <f t="shared" si="2"/>
        <v>7.5</v>
      </c>
      <c r="Q112" s="29">
        <f>SUMIF(Dangerous!$A:$A,'Q-Score'!$B112,Dangerous!$N:$N)</f>
        <v>0</v>
      </c>
      <c r="R112" s="29">
        <f>SUMIF(Manual!$A:$A,'Q-Score'!$B112,Manual!$N:$N)</f>
        <v>0</v>
      </c>
      <c r="S112" s="31">
        <f t="shared" si="3"/>
        <v>7.5</v>
      </c>
    </row>
    <row r="113" spans="1:19" x14ac:dyDescent="0.6">
      <c r="A113" s="4" t="s">
        <v>47</v>
      </c>
      <c r="B113" s="12" t="s">
        <v>263</v>
      </c>
      <c r="C113" s="12" t="s">
        <v>264</v>
      </c>
      <c r="D113" s="17"/>
      <c r="E113" s="6"/>
      <c r="F113" s="6"/>
      <c r="G113" s="6">
        <v>2.5</v>
      </c>
      <c r="H113" s="6">
        <v>1.25</v>
      </c>
      <c r="I113" s="6">
        <v>1.25</v>
      </c>
      <c r="J113" s="6">
        <v>1.25</v>
      </c>
      <c r="K113" s="6">
        <v>1.25</v>
      </c>
      <c r="L113" s="6">
        <v>0</v>
      </c>
      <c r="M113" s="6">
        <v>0</v>
      </c>
      <c r="N113" s="6">
        <v>0</v>
      </c>
      <c r="O113" s="6">
        <v>7.5</v>
      </c>
      <c r="P113" s="30">
        <f t="shared" si="2"/>
        <v>7.5</v>
      </c>
      <c r="Q113" s="29">
        <f>SUMIF(Dangerous!$A:$A,'Q-Score'!$B113,Dangerous!$N:$N)</f>
        <v>0</v>
      </c>
      <c r="R113" s="29">
        <f>SUMIF(Manual!$A:$A,'Q-Score'!$B113,Manual!$N:$N)</f>
        <v>0</v>
      </c>
      <c r="S113" s="31">
        <f t="shared" si="3"/>
        <v>7.5</v>
      </c>
    </row>
    <row r="114" spans="1:19" x14ac:dyDescent="0.6">
      <c r="A114" s="4" t="s">
        <v>47</v>
      </c>
      <c r="B114" s="12" t="s">
        <v>259</v>
      </c>
      <c r="C114" s="12" t="s">
        <v>260</v>
      </c>
      <c r="D114" s="17"/>
      <c r="E114" s="6"/>
      <c r="F114" s="6"/>
      <c r="G114" s="6">
        <v>1.25</v>
      </c>
      <c r="H114" s="6">
        <v>1.25</v>
      </c>
      <c r="I114" s="6">
        <v>2.5</v>
      </c>
      <c r="J114" s="6">
        <v>2.5</v>
      </c>
      <c r="K114" s="6">
        <v>1.25</v>
      </c>
      <c r="L114" s="6">
        <v>0</v>
      </c>
      <c r="M114" s="6">
        <v>0</v>
      </c>
      <c r="N114" s="6">
        <v>0</v>
      </c>
      <c r="O114" s="6">
        <v>8.75</v>
      </c>
      <c r="P114" s="30">
        <f t="shared" si="2"/>
        <v>8.75</v>
      </c>
      <c r="Q114" s="29">
        <f>SUMIF(Dangerous!$A:$A,'Q-Score'!$B114,Dangerous!$N:$N)</f>
        <v>0</v>
      </c>
      <c r="R114" s="29">
        <f>SUMIF(Manual!$A:$A,'Q-Score'!$B114,Manual!$N:$N)</f>
        <v>0</v>
      </c>
      <c r="S114" s="31">
        <f t="shared" si="3"/>
        <v>8.75</v>
      </c>
    </row>
    <row r="115" spans="1:19" x14ac:dyDescent="0.6">
      <c r="A115" s="4" t="s">
        <v>47</v>
      </c>
      <c r="B115" s="7" t="s">
        <v>261</v>
      </c>
      <c r="C115" s="7" t="s">
        <v>262</v>
      </c>
      <c r="D115" s="15"/>
      <c r="E115" s="6"/>
      <c r="F115" s="6"/>
      <c r="G115" s="6">
        <v>2.5</v>
      </c>
      <c r="H115" s="6">
        <v>1.25</v>
      </c>
      <c r="I115" s="6">
        <v>1.25</v>
      </c>
      <c r="J115" s="6">
        <v>1.25</v>
      </c>
      <c r="K115" s="6">
        <v>1.25</v>
      </c>
      <c r="L115" s="6">
        <v>0</v>
      </c>
      <c r="M115" s="6">
        <v>0</v>
      </c>
      <c r="N115" s="6">
        <v>0</v>
      </c>
      <c r="O115" s="6">
        <v>7.5</v>
      </c>
      <c r="P115" s="30">
        <f t="shared" si="2"/>
        <v>7.5</v>
      </c>
      <c r="Q115" s="29">
        <f>SUMIF(Dangerous!$A:$A,'Q-Score'!$B115,Dangerous!$N:$N)</f>
        <v>0</v>
      </c>
      <c r="R115" s="29">
        <f>SUMIF(Manual!$A:$A,'Q-Score'!$B115,Manual!$N:$N)</f>
        <v>0</v>
      </c>
      <c r="S115" s="31">
        <f t="shared" si="3"/>
        <v>7.5</v>
      </c>
    </row>
    <row r="116" spans="1:19" x14ac:dyDescent="0.6">
      <c r="A116" s="4" t="s">
        <v>47</v>
      </c>
      <c r="B116" s="12" t="s">
        <v>265</v>
      </c>
      <c r="C116" s="12" t="s">
        <v>266</v>
      </c>
      <c r="D116" s="17"/>
      <c r="E116" s="6"/>
      <c r="F116" s="6"/>
      <c r="G116" s="6">
        <v>1.25</v>
      </c>
      <c r="H116" s="6">
        <v>1.25</v>
      </c>
      <c r="I116" s="6">
        <v>2.5</v>
      </c>
      <c r="J116" s="6">
        <v>1.25</v>
      </c>
      <c r="K116" s="6">
        <v>1.25</v>
      </c>
      <c r="L116" s="6">
        <v>0</v>
      </c>
      <c r="M116" s="6">
        <v>0</v>
      </c>
      <c r="N116" s="6">
        <v>0</v>
      </c>
      <c r="O116" s="6">
        <v>7.5</v>
      </c>
      <c r="P116" s="30">
        <f t="shared" si="2"/>
        <v>7.5</v>
      </c>
      <c r="Q116" s="29">
        <f>SUMIF(Dangerous!$A:$A,'Q-Score'!$B116,Dangerous!$N:$N)</f>
        <v>0</v>
      </c>
      <c r="R116" s="29">
        <f>SUMIF(Manual!$A:$A,'Q-Score'!$B116,Manual!$N:$N)</f>
        <v>0</v>
      </c>
      <c r="S116" s="31">
        <f t="shared" si="3"/>
        <v>7.5</v>
      </c>
    </row>
    <row r="117" spans="1:19" x14ac:dyDescent="0.6">
      <c r="A117" s="4" t="s">
        <v>47</v>
      </c>
      <c r="B117" s="7" t="s">
        <v>267</v>
      </c>
      <c r="C117" s="7" t="s">
        <v>268</v>
      </c>
      <c r="D117" s="15"/>
      <c r="E117" s="6"/>
      <c r="F117" s="6"/>
      <c r="G117" s="6">
        <v>1.25</v>
      </c>
      <c r="H117" s="6">
        <v>1.25</v>
      </c>
      <c r="I117" s="6">
        <v>1.25</v>
      </c>
      <c r="J117" s="6">
        <v>1.25</v>
      </c>
      <c r="K117" s="6">
        <v>1.25</v>
      </c>
      <c r="L117" s="6">
        <v>0</v>
      </c>
      <c r="M117" s="6">
        <v>0</v>
      </c>
      <c r="N117" s="6">
        <v>0</v>
      </c>
      <c r="O117" s="6">
        <v>6.25</v>
      </c>
      <c r="P117" s="30">
        <f t="shared" si="2"/>
        <v>6.25</v>
      </c>
      <c r="Q117" s="29">
        <f>SUMIF(Dangerous!$A:$A,'Q-Score'!$B117,Dangerous!$N:$N)</f>
        <v>0</v>
      </c>
      <c r="R117" s="29">
        <f>SUMIF(Manual!$A:$A,'Q-Score'!$B117,Manual!$N:$N)</f>
        <v>0</v>
      </c>
      <c r="S117" s="31">
        <f t="shared" si="3"/>
        <v>6.25</v>
      </c>
    </row>
    <row r="118" spans="1:19" x14ac:dyDescent="0.6">
      <c r="A118" s="4" t="s">
        <v>47</v>
      </c>
      <c r="B118" s="7" t="s">
        <v>175</v>
      </c>
      <c r="C118" s="7" t="s">
        <v>176</v>
      </c>
      <c r="D118" s="15"/>
      <c r="E118" s="6"/>
      <c r="F118" s="6"/>
      <c r="G118" s="6">
        <v>1.25</v>
      </c>
      <c r="H118" s="6">
        <v>1.25</v>
      </c>
      <c r="I118" s="6">
        <v>1.25</v>
      </c>
      <c r="J118" s="6">
        <v>1.25</v>
      </c>
      <c r="K118" s="6">
        <v>1.25</v>
      </c>
      <c r="L118" s="6">
        <v>0</v>
      </c>
      <c r="M118" s="6">
        <v>0</v>
      </c>
      <c r="N118" s="6">
        <v>0</v>
      </c>
      <c r="O118" s="6">
        <v>6.25</v>
      </c>
      <c r="P118" s="30">
        <f t="shared" si="2"/>
        <v>6.25</v>
      </c>
      <c r="Q118" s="29">
        <f>SUMIF(Dangerous!$A:$A,'Q-Score'!$B118,Dangerous!$N:$N)</f>
        <v>0</v>
      </c>
      <c r="R118" s="29">
        <f>SUMIF(Manual!$A:$A,'Q-Score'!$B118,Manual!$N:$N)</f>
        <v>0</v>
      </c>
      <c r="S118" s="31">
        <f t="shared" si="3"/>
        <v>6.25</v>
      </c>
    </row>
    <row r="119" spans="1:19" x14ac:dyDescent="0.6">
      <c r="A119" s="4" t="s">
        <v>47</v>
      </c>
      <c r="B119" s="7" t="s">
        <v>177</v>
      </c>
      <c r="C119" s="7" t="s">
        <v>904</v>
      </c>
      <c r="D119" s="15"/>
      <c r="E119" s="6"/>
      <c r="F119" s="6"/>
      <c r="G119" s="6">
        <v>0</v>
      </c>
      <c r="H119" s="6">
        <v>0</v>
      </c>
      <c r="I119" s="6">
        <v>0</v>
      </c>
      <c r="J119" s="6">
        <v>0</v>
      </c>
      <c r="K119" s="6">
        <v>2.5</v>
      </c>
      <c r="L119" s="6">
        <v>0</v>
      </c>
      <c r="M119" s="6">
        <v>0</v>
      </c>
      <c r="N119" s="6">
        <v>0</v>
      </c>
      <c r="O119" s="6">
        <v>2.5</v>
      </c>
      <c r="P119" s="30">
        <f t="shared" si="2"/>
        <v>2.5</v>
      </c>
      <c r="Q119" s="29">
        <f>SUMIF(Dangerous!$A:$A,'Q-Score'!$B119,Dangerous!$N:$N)</f>
        <v>0</v>
      </c>
      <c r="R119" s="29">
        <f>SUMIF(Manual!$A:$A,'Q-Score'!$B119,Manual!$N:$N)</f>
        <v>0</v>
      </c>
      <c r="S119" s="31">
        <f t="shared" si="3"/>
        <v>2.5</v>
      </c>
    </row>
    <row r="120" spans="1:19" x14ac:dyDescent="0.6">
      <c r="A120" s="4" t="s">
        <v>47</v>
      </c>
      <c r="B120" s="12" t="s">
        <v>201</v>
      </c>
      <c r="C120" s="12" t="s">
        <v>202</v>
      </c>
      <c r="D120" s="17"/>
      <c r="E120" s="6"/>
      <c r="F120" s="6"/>
      <c r="G120" s="6">
        <v>1.25</v>
      </c>
      <c r="H120" s="6">
        <v>0</v>
      </c>
      <c r="I120" s="6">
        <v>1.25</v>
      </c>
      <c r="J120" s="6">
        <v>1.25</v>
      </c>
      <c r="K120" s="6">
        <v>1.25</v>
      </c>
      <c r="L120" s="6">
        <v>0</v>
      </c>
      <c r="M120" s="6">
        <v>0</v>
      </c>
      <c r="N120" s="6">
        <v>0</v>
      </c>
      <c r="O120" s="6">
        <v>5</v>
      </c>
      <c r="P120" s="30">
        <f t="shared" si="2"/>
        <v>5</v>
      </c>
      <c r="Q120" s="29">
        <f>SUMIF(Dangerous!$A:$A,'Q-Score'!$B120,Dangerous!$N:$N)</f>
        <v>0</v>
      </c>
      <c r="R120" s="29">
        <f>SUMIF(Manual!$A:$A,'Q-Score'!$B120,Manual!$N:$N)</f>
        <v>0</v>
      </c>
      <c r="S120" s="31">
        <f t="shared" si="3"/>
        <v>5</v>
      </c>
    </row>
    <row r="121" spans="1:19" x14ac:dyDescent="0.6">
      <c r="A121" s="4" t="s">
        <v>47</v>
      </c>
      <c r="B121" s="7" t="s">
        <v>211</v>
      </c>
      <c r="C121" s="7" t="s">
        <v>212</v>
      </c>
      <c r="D121" s="15"/>
      <c r="E121" s="6"/>
      <c r="F121" s="6"/>
      <c r="G121" s="6">
        <v>1.25</v>
      </c>
      <c r="H121" s="6">
        <v>0</v>
      </c>
      <c r="I121" s="6">
        <v>1.25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2.5</v>
      </c>
      <c r="P121" s="30">
        <f t="shared" si="2"/>
        <v>2.5</v>
      </c>
      <c r="Q121" s="29">
        <f>SUMIF(Dangerous!$A:$A,'Q-Score'!$B121,Dangerous!$N:$N)</f>
        <v>0</v>
      </c>
      <c r="R121" s="29">
        <f>SUMIF(Manual!$A:$A,'Q-Score'!$B121,Manual!$N:$N)</f>
        <v>0</v>
      </c>
      <c r="S121" s="31">
        <f t="shared" si="3"/>
        <v>2.5</v>
      </c>
    </row>
    <row r="122" spans="1:19" x14ac:dyDescent="0.6">
      <c r="A122" s="4" t="s">
        <v>47</v>
      </c>
      <c r="B122" s="7" t="s">
        <v>223</v>
      </c>
      <c r="C122" s="7" t="s">
        <v>905</v>
      </c>
      <c r="D122" s="15"/>
      <c r="E122" s="6"/>
      <c r="F122" s="6"/>
      <c r="G122" s="6">
        <v>0</v>
      </c>
      <c r="H122" s="6">
        <v>1.25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1.25</v>
      </c>
      <c r="P122" s="30">
        <f t="shared" si="2"/>
        <v>1.25</v>
      </c>
      <c r="Q122" s="29">
        <f>SUMIF(Dangerous!$A:$A,'Q-Score'!$B122,Dangerous!$N:$N)</f>
        <v>-2.5</v>
      </c>
      <c r="R122" s="29">
        <f>SUMIF(Manual!$A:$A,'Q-Score'!$B122,Manual!$N:$N)</f>
        <v>0</v>
      </c>
      <c r="S122" s="31">
        <f t="shared" si="3"/>
        <v>-1.25</v>
      </c>
    </row>
    <row r="123" spans="1:19" x14ac:dyDescent="0.6">
      <c r="A123" s="4" t="s">
        <v>47</v>
      </c>
      <c r="B123" s="7" t="s">
        <v>219</v>
      </c>
      <c r="C123" s="7" t="s">
        <v>906</v>
      </c>
      <c r="D123" s="15"/>
      <c r="E123" s="6"/>
      <c r="F123" s="6"/>
      <c r="G123" s="6">
        <v>1.25</v>
      </c>
      <c r="H123" s="6">
        <v>1.25</v>
      </c>
      <c r="I123" s="6">
        <v>1.25</v>
      </c>
      <c r="J123" s="6">
        <v>0</v>
      </c>
      <c r="K123" s="6">
        <v>1.25</v>
      </c>
      <c r="L123" s="6">
        <v>0</v>
      </c>
      <c r="M123" s="6">
        <v>0</v>
      </c>
      <c r="N123" s="6">
        <v>0</v>
      </c>
      <c r="O123" s="6">
        <v>5</v>
      </c>
      <c r="P123" s="30">
        <f t="shared" si="2"/>
        <v>5</v>
      </c>
      <c r="Q123" s="29">
        <f>SUMIF(Dangerous!$A:$A,'Q-Score'!$B123,Dangerous!$N:$N)</f>
        <v>0</v>
      </c>
      <c r="R123" s="29">
        <f>SUMIF(Manual!$A:$A,'Q-Score'!$B123,Manual!$N:$N)</f>
        <v>0</v>
      </c>
      <c r="S123" s="31">
        <f t="shared" si="3"/>
        <v>5</v>
      </c>
    </row>
    <row r="124" spans="1:19" x14ac:dyDescent="0.6">
      <c r="A124" s="4" t="s">
        <v>47</v>
      </c>
      <c r="B124" s="7" t="s">
        <v>183</v>
      </c>
      <c r="C124" s="7" t="s">
        <v>907</v>
      </c>
      <c r="D124" s="15"/>
      <c r="E124" s="6"/>
      <c r="F124" s="6"/>
      <c r="G124" s="6">
        <v>0</v>
      </c>
      <c r="H124" s="6">
        <v>1.25</v>
      </c>
      <c r="I124" s="6">
        <v>1.25</v>
      </c>
      <c r="J124" s="6">
        <v>1.25</v>
      </c>
      <c r="K124" s="6">
        <v>1.25</v>
      </c>
      <c r="L124" s="6">
        <v>0</v>
      </c>
      <c r="M124" s="6">
        <v>0</v>
      </c>
      <c r="N124" s="6">
        <v>0</v>
      </c>
      <c r="O124" s="6">
        <v>5</v>
      </c>
      <c r="P124" s="30">
        <f t="shared" si="2"/>
        <v>5</v>
      </c>
      <c r="Q124" s="29">
        <f>SUMIF(Dangerous!$A:$A,'Q-Score'!$B124,Dangerous!$N:$N)</f>
        <v>0</v>
      </c>
      <c r="R124" s="29">
        <f>SUMIF(Manual!$A:$A,'Q-Score'!$B124,Manual!$N:$N)</f>
        <v>0</v>
      </c>
      <c r="S124" s="31">
        <f t="shared" si="3"/>
        <v>5</v>
      </c>
    </row>
    <row r="125" spans="1:19" x14ac:dyDescent="0.6">
      <c r="A125" s="4" t="s">
        <v>47</v>
      </c>
      <c r="B125" s="7" t="s">
        <v>185</v>
      </c>
      <c r="C125" s="7" t="s">
        <v>908</v>
      </c>
      <c r="D125" s="15"/>
      <c r="E125" s="6"/>
      <c r="F125" s="6"/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30">
        <f t="shared" si="2"/>
        <v>0</v>
      </c>
      <c r="Q125" s="29">
        <f>SUMIF(Dangerous!$A:$A,'Q-Score'!$B125,Dangerous!$N:$N)</f>
        <v>0</v>
      </c>
      <c r="R125" s="29">
        <f>SUMIF(Manual!$A:$A,'Q-Score'!$B125,Manual!$N:$N)</f>
        <v>0</v>
      </c>
      <c r="S125" s="31">
        <f t="shared" si="3"/>
        <v>0</v>
      </c>
    </row>
    <row r="126" spans="1:19" x14ac:dyDescent="0.6">
      <c r="A126" s="4" t="s">
        <v>47</v>
      </c>
      <c r="B126" s="7" t="s">
        <v>221</v>
      </c>
      <c r="C126" s="7" t="s">
        <v>909</v>
      </c>
      <c r="D126" s="15"/>
      <c r="E126" s="6"/>
      <c r="F126" s="6"/>
      <c r="G126" s="6">
        <v>0</v>
      </c>
      <c r="H126" s="6">
        <v>0</v>
      </c>
      <c r="I126" s="6">
        <v>0</v>
      </c>
      <c r="J126" s="6">
        <v>1.25</v>
      </c>
      <c r="K126" s="6">
        <v>0</v>
      </c>
      <c r="L126" s="6">
        <v>0</v>
      </c>
      <c r="M126" s="6">
        <v>0</v>
      </c>
      <c r="N126" s="6">
        <v>0</v>
      </c>
      <c r="O126" s="6">
        <v>1.25</v>
      </c>
      <c r="P126" s="30">
        <f t="shared" si="2"/>
        <v>1.25</v>
      </c>
      <c r="Q126" s="29">
        <f>SUMIF(Dangerous!$A:$A,'Q-Score'!$B126,Dangerous!$N:$N)</f>
        <v>-2.5</v>
      </c>
      <c r="R126" s="29">
        <f>SUMIF(Manual!$A:$A,'Q-Score'!$B126,Manual!$N:$N)</f>
        <v>0</v>
      </c>
      <c r="S126" s="31">
        <f t="shared" si="3"/>
        <v>-1.25</v>
      </c>
    </row>
    <row r="127" spans="1:19" x14ac:dyDescent="0.6">
      <c r="A127" s="4" t="s">
        <v>47</v>
      </c>
      <c r="B127" s="7" t="s">
        <v>173</v>
      </c>
      <c r="C127" s="7" t="s">
        <v>910</v>
      </c>
      <c r="D127" s="15"/>
      <c r="E127" s="6"/>
      <c r="F127" s="6"/>
      <c r="G127" s="6">
        <v>1.25</v>
      </c>
      <c r="H127" s="6">
        <v>1.25</v>
      </c>
      <c r="I127" s="6">
        <v>1.25</v>
      </c>
      <c r="J127" s="6">
        <v>1.25</v>
      </c>
      <c r="K127" s="6">
        <v>1.25</v>
      </c>
      <c r="L127" s="6">
        <v>0</v>
      </c>
      <c r="M127" s="6">
        <v>0</v>
      </c>
      <c r="N127" s="6">
        <v>0</v>
      </c>
      <c r="O127" s="6">
        <v>6.25</v>
      </c>
      <c r="P127" s="30">
        <f t="shared" si="2"/>
        <v>6.25</v>
      </c>
      <c r="Q127" s="29">
        <f>SUMIF(Dangerous!$A:$A,'Q-Score'!$B127,Dangerous!$N:$N)</f>
        <v>0</v>
      </c>
      <c r="R127" s="29">
        <f>SUMIF(Manual!$A:$A,'Q-Score'!$B127,Manual!$N:$N)</f>
        <v>0</v>
      </c>
      <c r="S127" s="31">
        <f t="shared" si="3"/>
        <v>6.25</v>
      </c>
    </row>
    <row r="128" spans="1:19" x14ac:dyDescent="0.6">
      <c r="A128" s="4" t="s">
        <v>47</v>
      </c>
      <c r="B128" s="7" t="s">
        <v>205</v>
      </c>
      <c r="C128" s="7" t="s">
        <v>911</v>
      </c>
      <c r="D128" s="15"/>
      <c r="E128" s="6"/>
      <c r="F128" s="6"/>
      <c r="G128" s="6">
        <v>1.25</v>
      </c>
      <c r="H128" s="6">
        <v>0</v>
      </c>
      <c r="I128" s="6">
        <v>0</v>
      </c>
      <c r="J128" s="6">
        <v>1.25</v>
      </c>
      <c r="K128" s="6">
        <v>1.25</v>
      </c>
      <c r="L128" s="6">
        <v>0</v>
      </c>
      <c r="M128" s="6">
        <v>0</v>
      </c>
      <c r="N128" s="6">
        <v>0</v>
      </c>
      <c r="O128" s="6">
        <v>3.75</v>
      </c>
      <c r="P128" s="30">
        <f t="shared" si="2"/>
        <v>3.75</v>
      </c>
      <c r="Q128" s="29">
        <f>SUMIF(Dangerous!$A:$A,'Q-Score'!$B128,Dangerous!$N:$N)</f>
        <v>0</v>
      </c>
      <c r="R128" s="29">
        <f>SUMIF(Manual!$A:$A,'Q-Score'!$B128,Manual!$N:$N)</f>
        <v>0</v>
      </c>
      <c r="S128" s="31">
        <f t="shared" si="3"/>
        <v>3.75</v>
      </c>
    </row>
    <row r="129" spans="1:19" x14ac:dyDescent="0.6">
      <c r="A129" s="4" t="s">
        <v>47</v>
      </c>
      <c r="B129" s="7" t="s">
        <v>235</v>
      </c>
      <c r="C129" s="7" t="s">
        <v>912</v>
      </c>
      <c r="D129" s="15"/>
      <c r="E129" s="6"/>
      <c r="F129" s="6"/>
      <c r="G129" s="6">
        <v>0</v>
      </c>
      <c r="H129" s="6">
        <v>0</v>
      </c>
      <c r="I129" s="6">
        <v>0</v>
      </c>
      <c r="J129" s="6">
        <v>0</v>
      </c>
      <c r="K129" s="6">
        <v>1.25</v>
      </c>
      <c r="L129" s="6">
        <v>0</v>
      </c>
      <c r="M129" s="6">
        <v>0</v>
      </c>
      <c r="N129" s="6">
        <v>0</v>
      </c>
      <c r="O129" s="6">
        <v>1.25</v>
      </c>
      <c r="P129" s="30">
        <f t="shared" si="2"/>
        <v>1.25</v>
      </c>
      <c r="Q129" s="29">
        <f>SUMIF(Dangerous!$A:$A,'Q-Score'!$B129,Dangerous!$N:$N)</f>
        <v>0</v>
      </c>
      <c r="R129" s="29">
        <f>SUMIF(Manual!$A:$A,'Q-Score'!$B129,Manual!$N:$N)</f>
        <v>0</v>
      </c>
      <c r="S129" s="31">
        <f t="shared" si="3"/>
        <v>1.25</v>
      </c>
    </row>
    <row r="130" spans="1:19" x14ac:dyDescent="0.6">
      <c r="A130" s="4" t="s">
        <v>47</v>
      </c>
      <c r="B130" s="7" t="s">
        <v>215</v>
      </c>
      <c r="C130" s="7" t="s">
        <v>913</v>
      </c>
      <c r="D130" s="15"/>
      <c r="E130" s="6"/>
      <c r="F130" s="6"/>
      <c r="G130" s="6">
        <v>0</v>
      </c>
      <c r="H130" s="6">
        <v>1.25</v>
      </c>
      <c r="I130" s="6">
        <v>0</v>
      </c>
      <c r="J130" s="6">
        <v>2.5</v>
      </c>
      <c r="K130" s="6">
        <v>1.25</v>
      </c>
      <c r="L130" s="6">
        <v>0</v>
      </c>
      <c r="M130" s="6">
        <v>0</v>
      </c>
      <c r="N130" s="6">
        <v>0</v>
      </c>
      <c r="O130" s="6">
        <v>5</v>
      </c>
      <c r="P130" s="30">
        <f t="shared" si="2"/>
        <v>5</v>
      </c>
      <c r="Q130" s="29">
        <f>SUMIF(Dangerous!$A:$A,'Q-Score'!$B130,Dangerous!$N:$N)</f>
        <v>0</v>
      </c>
      <c r="R130" s="29">
        <f>SUMIF(Manual!$A:$A,'Q-Score'!$B130,Manual!$N:$N)</f>
        <v>0</v>
      </c>
      <c r="S130" s="31">
        <f t="shared" si="3"/>
        <v>5</v>
      </c>
    </row>
    <row r="131" spans="1:19" x14ac:dyDescent="0.6">
      <c r="A131" s="4" t="s">
        <v>47</v>
      </c>
      <c r="B131" s="7" t="s">
        <v>283</v>
      </c>
      <c r="C131" s="7" t="s">
        <v>914</v>
      </c>
      <c r="D131" s="15"/>
      <c r="E131" s="6"/>
      <c r="F131" s="6"/>
      <c r="G131" s="6">
        <v>1.25</v>
      </c>
      <c r="H131" s="6">
        <v>1.25</v>
      </c>
      <c r="I131" s="6">
        <v>1.25</v>
      </c>
      <c r="J131" s="6">
        <v>1.25</v>
      </c>
      <c r="K131" s="6">
        <v>0</v>
      </c>
      <c r="L131" s="6">
        <v>0</v>
      </c>
      <c r="M131" s="6">
        <v>0</v>
      </c>
      <c r="N131" s="6">
        <v>0</v>
      </c>
      <c r="O131" s="6">
        <v>5</v>
      </c>
      <c r="P131" s="30">
        <f t="shared" ref="P131:P194" si="4">SUM(E131:N131)</f>
        <v>5</v>
      </c>
      <c r="Q131" s="29">
        <f>SUMIF(Dangerous!$A:$A,'Q-Score'!$B131,Dangerous!$N:$N)</f>
        <v>0</v>
      </c>
      <c r="R131" s="29">
        <f>SUMIF(Manual!$A:$A,'Q-Score'!$B131,Manual!$N:$N)</f>
        <v>0</v>
      </c>
      <c r="S131" s="31">
        <f t="shared" ref="S131:S194" si="5">SUM(P131:R131)</f>
        <v>5</v>
      </c>
    </row>
    <row r="132" spans="1:19" x14ac:dyDescent="0.6">
      <c r="A132" s="4" t="s">
        <v>47</v>
      </c>
      <c r="B132" s="7" t="s">
        <v>231</v>
      </c>
      <c r="C132" s="7" t="s">
        <v>915</v>
      </c>
      <c r="D132" s="15"/>
      <c r="E132" s="6"/>
      <c r="F132" s="6"/>
      <c r="G132" s="6">
        <v>1.25</v>
      </c>
      <c r="H132" s="6">
        <v>1.25</v>
      </c>
      <c r="I132" s="6">
        <v>2.5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5</v>
      </c>
      <c r="P132" s="30">
        <f t="shared" si="4"/>
        <v>5</v>
      </c>
      <c r="Q132" s="29">
        <f>SUMIF(Dangerous!$A:$A,'Q-Score'!$B132,Dangerous!$N:$N)</f>
        <v>0</v>
      </c>
      <c r="R132" s="29">
        <f>SUMIF(Manual!$A:$A,'Q-Score'!$B132,Manual!$N:$N)</f>
        <v>0</v>
      </c>
      <c r="S132" s="31">
        <f t="shared" si="5"/>
        <v>5</v>
      </c>
    </row>
    <row r="133" spans="1:19" x14ac:dyDescent="0.6">
      <c r="A133" s="4" t="s">
        <v>47</v>
      </c>
      <c r="B133" s="7" t="s">
        <v>233</v>
      </c>
      <c r="C133" s="7" t="s">
        <v>916</v>
      </c>
      <c r="D133" s="15"/>
      <c r="E133" s="6"/>
      <c r="F133" s="6"/>
      <c r="G133" s="6">
        <v>1.25</v>
      </c>
      <c r="H133" s="6">
        <v>1.25</v>
      </c>
      <c r="I133" s="6">
        <v>0</v>
      </c>
      <c r="J133" s="6">
        <v>2.5</v>
      </c>
      <c r="K133" s="6">
        <v>0</v>
      </c>
      <c r="L133" s="6">
        <v>0</v>
      </c>
      <c r="M133" s="6">
        <v>0</v>
      </c>
      <c r="N133" s="6">
        <v>0</v>
      </c>
      <c r="O133" s="6">
        <v>5</v>
      </c>
      <c r="P133" s="30">
        <f t="shared" si="4"/>
        <v>5</v>
      </c>
      <c r="Q133" s="29">
        <f>SUMIF(Dangerous!$A:$A,'Q-Score'!$B133,Dangerous!$N:$N)</f>
        <v>0</v>
      </c>
      <c r="R133" s="29">
        <f>SUMIF(Manual!$A:$A,'Q-Score'!$B133,Manual!$N:$N)</f>
        <v>0</v>
      </c>
      <c r="S133" s="31">
        <f t="shared" si="5"/>
        <v>5</v>
      </c>
    </row>
    <row r="134" spans="1:19" x14ac:dyDescent="0.6">
      <c r="A134" s="4" t="s">
        <v>47</v>
      </c>
      <c r="B134" s="12" t="s">
        <v>209</v>
      </c>
      <c r="C134" s="12" t="s">
        <v>210</v>
      </c>
      <c r="D134" s="17"/>
      <c r="E134" s="6"/>
      <c r="F134" s="6"/>
      <c r="G134" s="6">
        <v>0</v>
      </c>
      <c r="H134" s="6">
        <v>1.25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1.25</v>
      </c>
      <c r="P134" s="30">
        <f t="shared" si="4"/>
        <v>1.25</v>
      </c>
      <c r="Q134" s="29">
        <f>SUMIF(Dangerous!$A:$A,'Q-Score'!$B134,Dangerous!$N:$N)</f>
        <v>0</v>
      </c>
      <c r="R134" s="29">
        <f>SUMIF(Manual!$A:$A,'Q-Score'!$B134,Manual!$N:$N)</f>
        <v>0</v>
      </c>
      <c r="S134" s="31">
        <f t="shared" si="5"/>
        <v>1.25</v>
      </c>
    </row>
    <row r="135" spans="1:19" x14ac:dyDescent="0.6">
      <c r="A135" s="4" t="s">
        <v>47</v>
      </c>
      <c r="B135" s="7" t="s">
        <v>225</v>
      </c>
      <c r="C135" s="7" t="s">
        <v>226</v>
      </c>
      <c r="D135" s="15"/>
      <c r="E135" s="6"/>
      <c r="F135" s="6"/>
      <c r="G135" s="6">
        <v>0</v>
      </c>
      <c r="H135" s="6">
        <v>0</v>
      </c>
      <c r="I135" s="6">
        <v>1.25</v>
      </c>
      <c r="J135" s="6">
        <v>2.5</v>
      </c>
      <c r="K135" s="6">
        <v>0</v>
      </c>
      <c r="L135" s="6">
        <v>0</v>
      </c>
      <c r="M135" s="6">
        <v>0</v>
      </c>
      <c r="N135" s="6">
        <v>0</v>
      </c>
      <c r="O135" s="6">
        <v>3.75</v>
      </c>
      <c r="P135" s="30">
        <f t="shared" si="4"/>
        <v>3.75</v>
      </c>
      <c r="Q135" s="29">
        <f>SUMIF(Dangerous!$A:$A,'Q-Score'!$B135,Dangerous!$N:$N)</f>
        <v>-2.5</v>
      </c>
      <c r="R135" s="29">
        <f>SUMIF(Manual!$A:$A,'Q-Score'!$B135,Manual!$N:$N)</f>
        <v>0</v>
      </c>
      <c r="S135" s="31">
        <f t="shared" si="5"/>
        <v>1.25</v>
      </c>
    </row>
    <row r="136" spans="1:19" x14ac:dyDescent="0.6">
      <c r="A136" s="4" t="s">
        <v>47</v>
      </c>
      <c r="B136" s="7" t="s">
        <v>229</v>
      </c>
      <c r="C136" s="7" t="s">
        <v>917</v>
      </c>
      <c r="D136" s="15"/>
      <c r="E136" s="6"/>
      <c r="F136" s="6"/>
      <c r="G136" s="6">
        <v>2.5</v>
      </c>
      <c r="H136" s="6">
        <v>1.25</v>
      </c>
      <c r="I136" s="6">
        <v>1.25</v>
      </c>
      <c r="J136" s="6">
        <v>0</v>
      </c>
      <c r="K136" s="6">
        <v>1.25</v>
      </c>
      <c r="L136" s="6">
        <v>0</v>
      </c>
      <c r="M136" s="6">
        <v>0</v>
      </c>
      <c r="N136" s="6">
        <v>0</v>
      </c>
      <c r="O136" s="6">
        <v>6.25</v>
      </c>
      <c r="P136" s="30">
        <f t="shared" si="4"/>
        <v>6.25</v>
      </c>
      <c r="Q136" s="29">
        <f>SUMIF(Dangerous!$A:$A,'Q-Score'!$B136,Dangerous!$N:$N)</f>
        <v>0</v>
      </c>
      <c r="R136" s="29">
        <f>SUMIF(Manual!$A:$A,'Q-Score'!$B136,Manual!$N:$N)</f>
        <v>0</v>
      </c>
      <c r="S136" s="31">
        <f t="shared" si="5"/>
        <v>6.25</v>
      </c>
    </row>
    <row r="137" spans="1:19" x14ac:dyDescent="0.6">
      <c r="A137" s="4" t="s">
        <v>47</v>
      </c>
      <c r="B137" s="12" t="s">
        <v>207</v>
      </c>
      <c r="C137" s="12" t="s">
        <v>918</v>
      </c>
      <c r="D137" s="17"/>
      <c r="E137" s="6"/>
      <c r="F137" s="6"/>
      <c r="G137" s="6">
        <v>1.25</v>
      </c>
      <c r="H137" s="6">
        <v>1.25</v>
      </c>
      <c r="I137" s="6">
        <v>0</v>
      </c>
      <c r="J137" s="6">
        <v>1.25</v>
      </c>
      <c r="K137" s="6">
        <v>0</v>
      </c>
      <c r="L137" s="6">
        <v>0</v>
      </c>
      <c r="M137" s="6">
        <v>0</v>
      </c>
      <c r="N137" s="6">
        <v>0</v>
      </c>
      <c r="O137" s="6">
        <v>3.75</v>
      </c>
      <c r="P137" s="30">
        <f t="shared" si="4"/>
        <v>3.75</v>
      </c>
      <c r="Q137" s="29">
        <f>SUMIF(Dangerous!$A:$A,'Q-Score'!$B137,Dangerous!$N:$N)</f>
        <v>0</v>
      </c>
      <c r="R137" s="29">
        <f>SUMIF(Manual!$A:$A,'Q-Score'!$B137,Manual!$N:$N)</f>
        <v>0</v>
      </c>
      <c r="S137" s="31">
        <f t="shared" si="5"/>
        <v>3.75</v>
      </c>
    </row>
    <row r="138" spans="1:19" x14ac:dyDescent="0.6">
      <c r="A138" s="4" t="s">
        <v>919</v>
      </c>
      <c r="B138" s="7" t="s">
        <v>488</v>
      </c>
      <c r="C138" s="7" t="s">
        <v>489</v>
      </c>
      <c r="D138" s="15"/>
      <c r="E138" s="6"/>
      <c r="F138" s="6"/>
      <c r="G138" s="6">
        <v>1.25</v>
      </c>
      <c r="H138" s="6">
        <v>1.25</v>
      </c>
      <c r="I138" s="6">
        <v>1.25</v>
      </c>
      <c r="J138" s="6">
        <v>1.25</v>
      </c>
      <c r="K138" s="6">
        <v>1.25</v>
      </c>
      <c r="L138" s="6">
        <v>0</v>
      </c>
      <c r="M138" s="6">
        <v>0</v>
      </c>
      <c r="N138" s="6">
        <v>0</v>
      </c>
      <c r="O138" s="6">
        <v>6.25</v>
      </c>
      <c r="P138" s="30">
        <f t="shared" si="4"/>
        <v>6.25</v>
      </c>
      <c r="Q138" s="29">
        <f>SUMIF(Dangerous!$A:$A,'Q-Score'!$B138,Dangerous!$N:$N)</f>
        <v>0</v>
      </c>
      <c r="R138" s="29">
        <f>SUMIF(Manual!$A:$A,'Q-Score'!$B138,Manual!$N:$N)</f>
        <v>0</v>
      </c>
      <c r="S138" s="31">
        <f t="shared" si="5"/>
        <v>6.25</v>
      </c>
    </row>
    <row r="139" spans="1:19" x14ac:dyDescent="0.6">
      <c r="A139" s="4" t="s">
        <v>919</v>
      </c>
      <c r="B139" s="7" t="s">
        <v>490</v>
      </c>
      <c r="C139" s="7" t="s">
        <v>491</v>
      </c>
      <c r="D139" s="15"/>
      <c r="E139" s="6"/>
      <c r="F139" s="6"/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30">
        <f t="shared" si="4"/>
        <v>0</v>
      </c>
      <c r="Q139" s="29">
        <f>SUMIF(Dangerous!$A:$A,'Q-Score'!$B139,Dangerous!$N:$N)</f>
        <v>0</v>
      </c>
      <c r="R139" s="29">
        <f>SUMIF(Manual!$A:$A,'Q-Score'!$B139,Manual!$N:$N)</f>
        <v>0</v>
      </c>
      <c r="S139" s="31">
        <f t="shared" si="5"/>
        <v>0</v>
      </c>
    </row>
    <row r="140" spans="1:19" x14ac:dyDescent="0.6">
      <c r="A140" s="4" t="s">
        <v>919</v>
      </c>
      <c r="B140" s="7" t="s">
        <v>486</v>
      </c>
      <c r="C140" s="7" t="s">
        <v>487</v>
      </c>
      <c r="D140" s="15"/>
      <c r="E140" s="6"/>
      <c r="F140" s="6"/>
      <c r="G140" s="6">
        <v>1.25</v>
      </c>
      <c r="H140" s="6">
        <v>1.25</v>
      </c>
      <c r="I140" s="6">
        <v>1.25</v>
      </c>
      <c r="J140" s="6">
        <v>2.5</v>
      </c>
      <c r="K140" s="6">
        <v>1.25</v>
      </c>
      <c r="L140" s="6">
        <v>0</v>
      </c>
      <c r="M140" s="6">
        <v>0</v>
      </c>
      <c r="N140" s="6">
        <v>0</v>
      </c>
      <c r="O140" s="6">
        <v>7.5</v>
      </c>
      <c r="P140" s="30">
        <f t="shared" si="4"/>
        <v>7.5</v>
      </c>
      <c r="Q140" s="29">
        <f>SUMIF(Dangerous!$A:$A,'Q-Score'!$B140,Dangerous!$N:$N)</f>
        <v>0</v>
      </c>
      <c r="R140" s="29">
        <f>SUMIF(Manual!$A:$A,'Q-Score'!$B140,Manual!$N:$N)</f>
        <v>0</v>
      </c>
      <c r="S140" s="31">
        <f t="shared" si="5"/>
        <v>7.5</v>
      </c>
    </row>
    <row r="141" spans="1:19" x14ac:dyDescent="0.6">
      <c r="A141" s="4" t="s">
        <v>919</v>
      </c>
      <c r="B141" s="7" t="s">
        <v>498</v>
      </c>
      <c r="C141" s="7" t="s">
        <v>499</v>
      </c>
      <c r="D141" s="15"/>
      <c r="E141" s="6"/>
      <c r="F141" s="6"/>
      <c r="G141" s="6">
        <v>1.25</v>
      </c>
      <c r="H141" s="6">
        <v>2.5</v>
      </c>
      <c r="I141" s="6">
        <v>1.25</v>
      </c>
      <c r="J141" s="6">
        <v>1.25</v>
      </c>
      <c r="K141" s="6">
        <v>1.25</v>
      </c>
      <c r="L141" s="6">
        <v>0</v>
      </c>
      <c r="M141" s="6">
        <v>0</v>
      </c>
      <c r="N141" s="6">
        <v>0</v>
      </c>
      <c r="O141" s="6">
        <v>7.5</v>
      </c>
      <c r="P141" s="30">
        <f t="shared" si="4"/>
        <v>7.5</v>
      </c>
      <c r="Q141" s="29">
        <f>SUMIF(Dangerous!$A:$A,'Q-Score'!$B141,Dangerous!$N:$N)</f>
        <v>0</v>
      </c>
      <c r="R141" s="29">
        <f>SUMIF(Manual!$A:$A,'Q-Score'!$B141,Manual!$N:$N)</f>
        <v>0</v>
      </c>
      <c r="S141" s="31">
        <f t="shared" si="5"/>
        <v>7.5</v>
      </c>
    </row>
    <row r="142" spans="1:19" x14ac:dyDescent="0.6">
      <c r="A142" s="4" t="s">
        <v>919</v>
      </c>
      <c r="B142" s="7" t="s">
        <v>502</v>
      </c>
      <c r="C142" s="7" t="s">
        <v>503</v>
      </c>
      <c r="D142" s="15"/>
      <c r="E142" s="6"/>
      <c r="F142" s="6"/>
      <c r="G142" s="6">
        <v>1.25</v>
      </c>
      <c r="H142" s="6">
        <v>1.25</v>
      </c>
      <c r="I142" s="6">
        <v>1.25</v>
      </c>
      <c r="J142" s="6">
        <v>1.25</v>
      </c>
      <c r="K142" s="6">
        <v>1.25</v>
      </c>
      <c r="L142" s="6">
        <v>0</v>
      </c>
      <c r="M142" s="6">
        <v>0</v>
      </c>
      <c r="N142" s="6">
        <v>0</v>
      </c>
      <c r="O142" s="6">
        <v>6.25</v>
      </c>
      <c r="P142" s="30">
        <f t="shared" si="4"/>
        <v>6.25</v>
      </c>
      <c r="Q142" s="29">
        <f>SUMIF(Dangerous!$A:$A,'Q-Score'!$B142,Dangerous!$N:$N)</f>
        <v>0</v>
      </c>
      <c r="R142" s="29">
        <f>SUMIF(Manual!$A:$A,'Q-Score'!$B142,Manual!$N:$N)</f>
        <v>0</v>
      </c>
      <c r="S142" s="31">
        <f t="shared" si="5"/>
        <v>6.25</v>
      </c>
    </row>
    <row r="143" spans="1:19" x14ac:dyDescent="0.6">
      <c r="A143" s="4" t="s">
        <v>919</v>
      </c>
      <c r="B143" s="12" t="s">
        <v>504</v>
      </c>
      <c r="C143" s="12" t="s">
        <v>505</v>
      </c>
      <c r="D143" s="17"/>
      <c r="E143" s="6"/>
      <c r="F143" s="6"/>
      <c r="G143" s="6">
        <v>2.5</v>
      </c>
      <c r="H143" s="6">
        <v>1.25</v>
      </c>
      <c r="I143" s="6">
        <v>2.5</v>
      </c>
      <c r="J143" s="6">
        <v>1.25</v>
      </c>
      <c r="K143" s="6">
        <v>1.25</v>
      </c>
      <c r="L143" s="6">
        <v>0</v>
      </c>
      <c r="M143" s="6">
        <v>0</v>
      </c>
      <c r="N143" s="6">
        <v>0</v>
      </c>
      <c r="O143" s="6">
        <v>8.75</v>
      </c>
      <c r="P143" s="30">
        <f t="shared" si="4"/>
        <v>8.75</v>
      </c>
      <c r="Q143" s="29">
        <f>SUMIF(Dangerous!$A:$A,'Q-Score'!$B143,Dangerous!$N:$N)</f>
        <v>0</v>
      </c>
      <c r="R143" s="29">
        <f>SUMIF(Manual!$A:$A,'Q-Score'!$B143,Manual!$N:$N)</f>
        <v>0</v>
      </c>
      <c r="S143" s="31">
        <f t="shared" si="5"/>
        <v>8.75</v>
      </c>
    </row>
    <row r="144" spans="1:19" x14ac:dyDescent="0.6">
      <c r="A144" s="4" t="s">
        <v>919</v>
      </c>
      <c r="B144" s="7" t="s">
        <v>500</v>
      </c>
      <c r="C144" s="7" t="s">
        <v>501</v>
      </c>
      <c r="D144" s="15"/>
      <c r="E144" s="6"/>
      <c r="F144" s="6"/>
      <c r="G144" s="6">
        <v>1.25</v>
      </c>
      <c r="H144" s="6">
        <v>1.25</v>
      </c>
      <c r="I144" s="6">
        <v>1.25</v>
      </c>
      <c r="J144" s="6">
        <v>1.25</v>
      </c>
      <c r="K144" s="6">
        <v>1.25</v>
      </c>
      <c r="L144" s="6">
        <v>0</v>
      </c>
      <c r="M144" s="6">
        <v>0</v>
      </c>
      <c r="N144" s="6">
        <v>0</v>
      </c>
      <c r="O144" s="6">
        <v>6.25</v>
      </c>
      <c r="P144" s="30">
        <f t="shared" si="4"/>
        <v>6.25</v>
      </c>
      <c r="Q144" s="29">
        <f>SUMIF(Dangerous!$A:$A,'Q-Score'!$B144,Dangerous!$N:$N)</f>
        <v>0</v>
      </c>
      <c r="R144" s="29">
        <f>SUMIF(Manual!$A:$A,'Q-Score'!$B144,Manual!$N:$N)</f>
        <v>0</v>
      </c>
      <c r="S144" s="31">
        <f t="shared" si="5"/>
        <v>6.25</v>
      </c>
    </row>
    <row r="145" spans="1:19" x14ac:dyDescent="0.6">
      <c r="A145" s="4" t="s">
        <v>919</v>
      </c>
      <c r="B145" s="7" t="s">
        <v>506</v>
      </c>
      <c r="C145" s="7" t="s">
        <v>507</v>
      </c>
      <c r="D145" s="15"/>
      <c r="E145" s="6"/>
      <c r="F145" s="6"/>
      <c r="G145" s="6">
        <v>1.25</v>
      </c>
      <c r="H145" s="6">
        <v>1.25</v>
      </c>
      <c r="I145" s="6">
        <v>1.25</v>
      </c>
      <c r="J145" s="6">
        <v>1.25</v>
      </c>
      <c r="K145" s="6">
        <v>1.25</v>
      </c>
      <c r="L145" s="6">
        <v>0</v>
      </c>
      <c r="M145" s="6">
        <v>0</v>
      </c>
      <c r="N145" s="6">
        <v>0</v>
      </c>
      <c r="O145" s="6">
        <v>6.25</v>
      </c>
      <c r="P145" s="30">
        <f t="shared" si="4"/>
        <v>6.25</v>
      </c>
      <c r="Q145" s="29">
        <f>SUMIF(Dangerous!$A:$A,'Q-Score'!$B145,Dangerous!$N:$N)</f>
        <v>0</v>
      </c>
      <c r="R145" s="29">
        <f>SUMIF(Manual!$A:$A,'Q-Score'!$B145,Manual!$N:$N)</f>
        <v>0</v>
      </c>
      <c r="S145" s="31">
        <f t="shared" si="5"/>
        <v>6.25</v>
      </c>
    </row>
    <row r="146" spans="1:19" x14ac:dyDescent="0.6">
      <c r="A146" s="4" t="s">
        <v>919</v>
      </c>
      <c r="B146" s="7" t="s">
        <v>508</v>
      </c>
      <c r="C146" s="7" t="s">
        <v>509</v>
      </c>
      <c r="D146" s="15"/>
      <c r="E146" s="6"/>
      <c r="F146" s="6"/>
      <c r="G146" s="6">
        <v>1.25</v>
      </c>
      <c r="H146" s="6">
        <v>1.25</v>
      </c>
      <c r="I146" s="6">
        <v>1.25</v>
      </c>
      <c r="J146" s="6">
        <v>2.5</v>
      </c>
      <c r="K146" s="6">
        <v>1.25</v>
      </c>
      <c r="L146" s="6">
        <v>0</v>
      </c>
      <c r="M146" s="6">
        <v>0</v>
      </c>
      <c r="N146" s="6">
        <v>0</v>
      </c>
      <c r="O146" s="6">
        <v>7.5</v>
      </c>
      <c r="P146" s="30">
        <f t="shared" si="4"/>
        <v>7.5</v>
      </c>
      <c r="Q146" s="29">
        <f>SUMIF(Dangerous!$A:$A,'Q-Score'!$B146,Dangerous!$N:$N)</f>
        <v>0</v>
      </c>
      <c r="R146" s="29">
        <f>SUMIF(Manual!$A:$A,'Q-Score'!$B146,Manual!$N:$N)</f>
        <v>0</v>
      </c>
      <c r="S146" s="31">
        <f t="shared" si="5"/>
        <v>7.5</v>
      </c>
    </row>
    <row r="147" spans="1:19" x14ac:dyDescent="0.6">
      <c r="A147" s="4" t="s">
        <v>919</v>
      </c>
      <c r="B147" s="7" t="s">
        <v>510</v>
      </c>
      <c r="C147" s="7" t="s">
        <v>511</v>
      </c>
      <c r="D147" s="15"/>
      <c r="E147" s="6"/>
      <c r="F147" s="6"/>
      <c r="G147" s="6">
        <v>1.25</v>
      </c>
      <c r="H147" s="6">
        <v>2.5</v>
      </c>
      <c r="I147" s="6">
        <v>1.25</v>
      </c>
      <c r="J147" s="6">
        <v>1.25</v>
      </c>
      <c r="K147" s="6">
        <v>1.25</v>
      </c>
      <c r="L147" s="6">
        <v>0</v>
      </c>
      <c r="M147" s="6">
        <v>0</v>
      </c>
      <c r="N147" s="6">
        <v>0</v>
      </c>
      <c r="O147" s="6">
        <v>7.5</v>
      </c>
      <c r="P147" s="30">
        <f t="shared" si="4"/>
        <v>7.5</v>
      </c>
      <c r="Q147" s="29">
        <f>SUMIF(Dangerous!$A:$A,'Q-Score'!$B147,Dangerous!$N:$N)</f>
        <v>0</v>
      </c>
      <c r="R147" s="29">
        <f>SUMIF(Manual!$A:$A,'Q-Score'!$B147,Manual!$N:$N)</f>
        <v>0</v>
      </c>
      <c r="S147" s="31">
        <f t="shared" si="5"/>
        <v>7.5</v>
      </c>
    </row>
    <row r="148" spans="1:19" x14ac:dyDescent="0.6">
      <c r="A148" s="4" t="s">
        <v>919</v>
      </c>
      <c r="B148" s="7" t="s">
        <v>512</v>
      </c>
      <c r="C148" s="7" t="s">
        <v>920</v>
      </c>
      <c r="D148" s="15"/>
      <c r="E148" s="6"/>
      <c r="F148" s="6"/>
      <c r="G148" s="6">
        <v>1.25</v>
      </c>
      <c r="H148" s="6">
        <v>1.25</v>
      </c>
      <c r="I148" s="6">
        <v>1.25</v>
      </c>
      <c r="J148" s="6">
        <v>1.25</v>
      </c>
      <c r="K148" s="6">
        <v>1.25</v>
      </c>
      <c r="L148" s="6">
        <v>0</v>
      </c>
      <c r="M148" s="6">
        <v>0</v>
      </c>
      <c r="N148" s="6">
        <v>0</v>
      </c>
      <c r="O148" s="6">
        <v>6.25</v>
      </c>
      <c r="P148" s="30">
        <f t="shared" si="4"/>
        <v>6.25</v>
      </c>
      <c r="Q148" s="29">
        <f>SUMIF(Dangerous!$A:$A,'Q-Score'!$B148,Dangerous!$N:$N)</f>
        <v>0</v>
      </c>
      <c r="R148" s="29">
        <f>SUMIF(Manual!$A:$A,'Q-Score'!$B148,Manual!$N:$N)</f>
        <v>0</v>
      </c>
      <c r="S148" s="31">
        <f t="shared" si="5"/>
        <v>6.25</v>
      </c>
    </row>
    <row r="149" spans="1:19" x14ac:dyDescent="0.6">
      <c r="A149" s="4" t="s">
        <v>919</v>
      </c>
      <c r="B149" s="7" t="s">
        <v>514</v>
      </c>
      <c r="C149" s="7" t="s">
        <v>515</v>
      </c>
      <c r="D149" s="15"/>
      <c r="E149" s="6"/>
      <c r="F149" s="6"/>
      <c r="G149" s="6">
        <v>1.25</v>
      </c>
      <c r="H149" s="6">
        <v>1.25</v>
      </c>
      <c r="I149" s="6">
        <v>1.25</v>
      </c>
      <c r="J149" s="6">
        <v>1.25</v>
      </c>
      <c r="K149" s="6">
        <v>0</v>
      </c>
      <c r="L149" s="6">
        <v>0</v>
      </c>
      <c r="M149" s="6">
        <v>0</v>
      </c>
      <c r="N149" s="6">
        <v>0</v>
      </c>
      <c r="O149" s="6">
        <v>5</v>
      </c>
      <c r="P149" s="30">
        <f t="shared" si="4"/>
        <v>5</v>
      </c>
      <c r="Q149" s="29">
        <f>SUMIF(Dangerous!$A:$A,'Q-Score'!$B149,Dangerous!$N:$N)</f>
        <v>0</v>
      </c>
      <c r="R149" s="29">
        <f>SUMIF(Manual!$A:$A,'Q-Score'!$B149,Manual!$N:$N)</f>
        <v>0</v>
      </c>
      <c r="S149" s="31">
        <f t="shared" si="5"/>
        <v>5</v>
      </c>
    </row>
    <row r="150" spans="1:19" x14ac:dyDescent="0.6">
      <c r="A150" s="4" t="s">
        <v>919</v>
      </c>
      <c r="B150" s="7" t="s">
        <v>342</v>
      </c>
      <c r="C150" s="7" t="s">
        <v>343</v>
      </c>
      <c r="D150" s="15"/>
      <c r="E150" s="6"/>
      <c r="F150" s="6"/>
      <c r="G150" s="6">
        <v>1.25</v>
      </c>
      <c r="H150" s="6">
        <v>0</v>
      </c>
      <c r="I150" s="6">
        <v>1.25</v>
      </c>
      <c r="J150" s="6">
        <v>1.25</v>
      </c>
      <c r="K150" s="6">
        <v>0</v>
      </c>
      <c r="L150" s="6">
        <v>0</v>
      </c>
      <c r="M150" s="6">
        <v>0</v>
      </c>
      <c r="N150" s="6">
        <v>0</v>
      </c>
      <c r="O150" s="6">
        <v>3.75</v>
      </c>
      <c r="P150" s="30">
        <f t="shared" si="4"/>
        <v>3.75</v>
      </c>
      <c r="Q150" s="29">
        <f>SUMIF(Dangerous!$A:$A,'Q-Score'!$B150,Dangerous!$N:$N)</f>
        <v>0</v>
      </c>
      <c r="R150" s="29">
        <f>SUMIF(Manual!$A:$A,'Q-Score'!$B150,Manual!$N:$N)</f>
        <v>0</v>
      </c>
      <c r="S150" s="31">
        <f t="shared" si="5"/>
        <v>3.75</v>
      </c>
    </row>
    <row r="151" spans="1:19" x14ac:dyDescent="0.6">
      <c r="A151" s="4" t="s">
        <v>919</v>
      </c>
      <c r="B151" s="7" t="s">
        <v>30</v>
      </c>
      <c r="C151" s="7" t="s">
        <v>31</v>
      </c>
      <c r="D151" s="15"/>
      <c r="E151" s="6"/>
      <c r="F151" s="6"/>
      <c r="G151" s="6">
        <v>1.25</v>
      </c>
      <c r="H151" s="6">
        <v>2.5</v>
      </c>
      <c r="I151" s="6">
        <v>1.25</v>
      </c>
      <c r="J151" s="6">
        <v>1.25</v>
      </c>
      <c r="K151" s="6">
        <v>1.25</v>
      </c>
      <c r="L151" s="6">
        <v>0</v>
      </c>
      <c r="M151" s="6">
        <v>0</v>
      </c>
      <c r="N151" s="6">
        <v>0</v>
      </c>
      <c r="O151" s="6">
        <v>7.5</v>
      </c>
      <c r="P151" s="30">
        <f t="shared" si="4"/>
        <v>7.5</v>
      </c>
      <c r="Q151" s="29">
        <f>SUMIF(Dangerous!$A:$A,'Q-Score'!$B151,Dangerous!$N:$N)</f>
        <v>0</v>
      </c>
      <c r="R151" s="29">
        <f>SUMIF(Manual!$A:$A,'Q-Score'!$B151,Manual!$N:$N)</f>
        <v>0</v>
      </c>
      <c r="S151" s="31">
        <f t="shared" si="5"/>
        <v>7.5</v>
      </c>
    </row>
    <row r="152" spans="1:19" x14ac:dyDescent="0.6">
      <c r="A152" s="4" t="s">
        <v>919</v>
      </c>
      <c r="B152" s="7" t="s">
        <v>32</v>
      </c>
      <c r="C152" s="7" t="s">
        <v>921</v>
      </c>
      <c r="D152" s="15"/>
      <c r="E152" s="6"/>
      <c r="F152" s="6"/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30">
        <f t="shared" si="4"/>
        <v>0</v>
      </c>
      <c r="Q152" s="29">
        <f>SUMIF(Dangerous!$A:$A,'Q-Score'!$B152,Dangerous!$N:$N)</f>
        <v>0</v>
      </c>
      <c r="R152" s="29">
        <f>SUMIF(Manual!$A:$A,'Q-Score'!$B152,Manual!$N:$N)</f>
        <v>0</v>
      </c>
      <c r="S152" s="31">
        <f t="shared" si="5"/>
        <v>0</v>
      </c>
    </row>
    <row r="153" spans="1:19" x14ac:dyDescent="0.6">
      <c r="A153" s="4" t="s">
        <v>919</v>
      </c>
      <c r="B153" s="7" t="s">
        <v>28</v>
      </c>
      <c r="C153" s="7" t="s">
        <v>29</v>
      </c>
      <c r="D153" s="15"/>
      <c r="E153" s="6"/>
      <c r="F153" s="6"/>
      <c r="G153" s="6">
        <v>0</v>
      </c>
      <c r="H153" s="6">
        <v>1.25</v>
      </c>
      <c r="I153" s="6">
        <v>1.25</v>
      </c>
      <c r="J153" s="6">
        <v>1.25</v>
      </c>
      <c r="K153" s="6">
        <v>1.25</v>
      </c>
      <c r="L153" s="6">
        <v>0</v>
      </c>
      <c r="M153" s="6">
        <v>0</v>
      </c>
      <c r="N153" s="6">
        <v>0</v>
      </c>
      <c r="O153" s="6">
        <v>5</v>
      </c>
      <c r="P153" s="30">
        <f t="shared" si="4"/>
        <v>5</v>
      </c>
      <c r="Q153" s="29">
        <f>SUMIF(Dangerous!$A:$A,'Q-Score'!$B153,Dangerous!$N:$N)</f>
        <v>0</v>
      </c>
      <c r="R153" s="29">
        <f>SUMIF(Manual!$A:$A,'Q-Score'!$B153,Manual!$N:$N)</f>
        <v>0</v>
      </c>
      <c r="S153" s="31">
        <f t="shared" si="5"/>
        <v>5</v>
      </c>
    </row>
    <row r="154" spans="1:19" x14ac:dyDescent="0.6">
      <c r="A154" s="4" t="s">
        <v>919</v>
      </c>
      <c r="B154" s="7" t="s">
        <v>26</v>
      </c>
      <c r="C154" s="7" t="s">
        <v>27</v>
      </c>
      <c r="D154" s="15"/>
      <c r="E154" s="6"/>
      <c r="F154" s="6"/>
      <c r="G154" s="6">
        <v>1.25</v>
      </c>
      <c r="H154" s="6">
        <v>1.25</v>
      </c>
      <c r="I154" s="6">
        <v>1.25</v>
      </c>
      <c r="J154" s="6">
        <v>1.25</v>
      </c>
      <c r="K154" s="6">
        <v>1.25</v>
      </c>
      <c r="L154" s="6">
        <v>0</v>
      </c>
      <c r="M154" s="6">
        <v>0</v>
      </c>
      <c r="N154" s="6">
        <v>0</v>
      </c>
      <c r="O154" s="6">
        <v>6.25</v>
      </c>
      <c r="P154" s="30">
        <f t="shared" si="4"/>
        <v>6.25</v>
      </c>
      <c r="Q154" s="29">
        <f>SUMIF(Dangerous!$A:$A,'Q-Score'!$B154,Dangerous!$N:$N)</f>
        <v>0</v>
      </c>
      <c r="R154" s="29">
        <f>SUMIF(Manual!$A:$A,'Q-Score'!$B154,Manual!$N:$N)</f>
        <v>0</v>
      </c>
      <c r="S154" s="31">
        <f t="shared" si="5"/>
        <v>6.25</v>
      </c>
    </row>
    <row r="155" spans="1:19" x14ac:dyDescent="0.6">
      <c r="A155" s="4" t="s">
        <v>919</v>
      </c>
      <c r="B155" s="7" t="s">
        <v>372</v>
      </c>
      <c r="C155" s="7" t="s">
        <v>373</v>
      </c>
      <c r="D155" s="15"/>
      <c r="E155" s="6"/>
      <c r="F155" s="6"/>
      <c r="G155" s="6">
        <v>0</v>
      </c>
      <c r="H155" s="6">
        <v>1.25</v>
      </c>
      <c r="I155" s="6">
        <v>1.25</v>
      </c>
      <c r="J155" s="6">
        <v>1.25</v>
      </c>
      <c r="K155" s="6">
        <v>1.25</v>
      </c>
      <c r="L155" s="6">
        <v>0</v>
      </c>
      <c r="M155" s="6">
        <v>0</v>
      </c>
      <c r="N155" s="6">
        <v>0</v>
      </c>
      <c r="O155" s="6">
        <v>5</v>
      </c>
      <c r="P155" s="30">
        <f t="shared" si="4"/>
        <v>5</v>
      </c>
      <c r="Q155" s="29">
        <f>SUMIF(Dangerous!$A:$A,'Q-Score'!$B155,Dangerous!$N:$N)</f>
        <v>0</v>
      </c>
      <c r="R155" s="29">
        <f>SUMIF(Manual!$A:$A,'Q-Score'!$B155,Manual!$N:$N)</f>
        <v>0</v>
      </c>
      <c r="S155" s="31">
        <f t="shared" si="5"/>
        <v>5</v>
      </c>
    </row>
    <row r="156" spans="1:19" x14ac:dyDescent="0.6">
      <c r="A156" s="4" t="s">
        <v>919</v>
      </c>
      <c r="B156" s="7" t="s">
        <v>368</v>
      </c>
      <c r="C156" s="7" t="s">
        <v>369</v>
      </c>
      <c r="D156" s="15"/>
      <c r="E156" s="6"/>
      <c r="F156" s="6"/>
      <c r="G156" s="6">
        <v>1.25</v>
      </c>
      <c r="H156" s="6">
        <v>1.25</v>
      </c>
      <c r="I156" s="6">
        <v>1.25</v>
      </c>
      <c r="J156" s="6">
        <v>1.25</v>
      </c>
      <c r="K156" s="6">
        <v>1.25</v>
      </c>
      <c r="L156" s="6">
        <v>0</v>
      </c>
      <c r="M156" s="6">
        <v>0</v>
      </c>
      <c r="N156" s="6">
        <v>0</v>
      </c>
      <c r="O156" s="6">
        <v>6.25</v>
      </c>
      <c r="P156" s="30">
        <f t="shared" si="4"/>
        <v>6.25</v>
      </c>
      <c r="Q156" s="29">
        <f>SUMIF(Dangerous!$A:$A,'Q-Score'!$B156,Dangerous!$N:$N)</f>
        <v>0</v>
      </c>
      <c r="R156" s="29">
        <f>SUMIF(Manual!$A:$A,'Q-Score'!$B156,Manual!$N:$N)</f>
        <v>0</v>
      </c>
      <c r="S156" s="31">
        <f t="shared" si="5"/>
        <v>6.25</v>
      </c>
    </row>
    <row r="157" spans="1:19" x14ac:dyDescent="0.6">
      <c r="A157" s="4" t="s">
        <v>919</v>
      </c>
      <c r="B157" s="7" t="s">
        <v>350</v>
      </c>
      <c r="C157" s="7" t="s">
        <v>922</v>
      </c>
      <c r="D157" s="15"/>
      <c r="E157" s="6"/>
      <c r="F157" s="6"/>
      <c r="G157" s="6">
        <v>0</v>
      </c>
      <c r="H157" s="6">
        <v>1.25</v>
      </c>
      <c r="I157" s="6">
        <v>1.25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2.5</v>
      </c>
      <c r="P157" s="30">
        <f t="shared" si="4"/>
        <v>2.5</v>
      </c>
      <c r="Q157" s="29">
        <f>SUMIF(Dangerous!$A:$A,'Q-Score'!$B157,Dangerous!$N:$N)</f>
        <v>0</v>
      </c>
      <c r="R157" s="29">
        <f>SUMIF(Manual!$A:$A,'Q-Score'!$B157,Manual!$N:$N)</f>
        <v>0</v>
      </c>
      <c r="S157" s="31">
        <f t="shared" si="5"/>
        <v>2.5</v>
      </c>
    </row>
    <row r="158" spans="1:19" x14ac:dyDescent="0.6">
      <c r="A158" s="4" t="s">
        <v>919</v>
      </c>
      <c r="B158" s="7" t="s">
        <v>370</v>
      </c>
      <c r="C158" s="7" t="s">
        <v>371</v>
      </c>
      <c r="D158" s="15"/>
      <c r="E158" s="6"/>
      <c r="F158" s="6"/>
      <c r="G158" s="6">
        <v>1.25</v>
      </c>
      <c r="H158" s="6">
        <v>2.5</v>
      </c>
      <c r="I158" s="6">
        <v>1.25</v>
      </c>
      <c r="J158" s="6">
        <v>1.25</v>
      </c>
      <c r="K158" s="6">
        <v>1.25</v>
      </c>
      <c r="L158" s="6">
        <v>0</v>
      </c>
      <c r="M158" s="6">
        <v>0</v>
      </c>
      <c r="N158" s="6">
        <v>0</v>
      </c>
      <c r="O158" s="6">
        <v>7.5</v>
      </c>
      <c r="P158" s="30">
        <f t="shared" si="4"/>
        <v>7.5</v>
      </c>
      <c r="Q158" s="29">
        <f>SUMIF(Dangerous!$A:$A,'Q-Score'!$B158,Dangerous!$N:$N)</f>
        <v>0</v>
      </c>
      <c r="R158" s="29">
        <f>SUMIF(Manual!$A:$A,'Q-Score'!$B158,Manual!$N:$N)</f>
        <v>0</v>
      </c>
      <c r="S158" s="31">
        <f t="shared" si="5"/>
        <v>7.5</v>
      </c>
    </row>
    <row r="159" spans="1:19" x14ac:dyDescent="0.6">
      <c r="A159" s="4" t="s">
        <v>919</v>
      </c>
      <c r="B159" s="7" t="s">
        <v>299</v>
      </c>
      <c r="C159" s="7" t="s">
        <v>300</v>
      </c>
      <c r="D159" s="15"/>
      <c r="E159" s="6"/>
      <c r="F159" s="6"/>
      <c r="G159" s="6">
        <v>2.5</v>
      </c>
      <c r="H159" s="6">
        <v>1.25</v>
      </c>
      <c r="I159" s="6">
        <v>1.25</v>
      </c>
      <c r="J159" s="6">
        <v>2.5</v>
      </c>
      <c r="K159" s="6">
        <v>1.25</v>
      </c>
      <c r="L159" s="6">
        <v>0</v>
      </c>
      <c r="M159" s="6">
        <v>0</v>
      </c>
      <c r="N159" s="6">
        <v>0</v>
      </c>
      <c r="O159" s="6">
        <v>8.75</v>
      </c>
      <c r="P159" s="30">
        <f t="shared" si="4"/>
        <v>8.75</v>
      </c>
      <c r="Q159" s="29">
        <f>SUMIF(Dangerous!$A:$A,'Q-Score'!$B159,Dangerous!$N:$N)</f>
        <v>0</v>
      </c>
      <c r="R159" s="29">
        <f>SUMIF(Manual!$A:$A,'Q-Score'!$B159,Manual!$N:$N)</f>
        <v>0</v>
      </c>
      <c r="S159" s="31">
        <f t="shared" si="5"/>
        <v>8.75</v>
      </c>
    </row>
    <row r="160" spans="1:19" x14ac:dyDescent="0.6">
      <c r="A160" s="4" t="s">
        <v>919</v>
      </c>
      <c r="B160" s="7" t="s">
        <v>305</v>
      </c>
      <c r="C160" s="7" t="s">
        <v>306</v>
      </c>
      <c r="D160" s="15"/>
      <c r="E160" s="6"/>
      <c r="F160" s="6"/>
      <c r="G160" s="6">
        <v>2.5</v>
      </c>
      <c r="H160" s="6">
        <v>0</v>
      </c>
      <c r="I160" s="6">
        <v>1.25</v>
      </c>
      <c r="J160" s="6">
        <v>1.25</v>
      </c>
      <c r="K160" s="6">
        <v>2.5</v>
      </c>
      <c r="L160" s="6">
        <v>0</v>
      </c>
      <c r="M160" s="6">
        <v>0</v>
      </c>
      <c r="N160" s="6">
        <v>0</v>
      </c>
      <c r="O160" s="6">
        <v>7.5</v>
      </c>
      <c r="P160" s="30">
        <f t="shared" si="4"/>
        <v>7.5</v>
      </c>
      <c r="Q160" s="29">
        <f>SUMIF(Dangerous!$A:$A,'Q-Score'!$B160,Dangerous!$N:$N)</f>
        <v>0</v>
      </c>
      <c r="R160" s="29">
        <f>SUMIF(Manual!$A:$A,'Q-Score'!$B160,Manual!$N:$N)</f>
        <v>0</v>
      </c>
      <c r="S160" s="31">
        <f t="shared" si="5"/>
        <v>7.5</v>
      </c>
    </row>
    <row r="161" spans="1:19" x14ac:dyDescent="0.6">
      <c r="A161" s="4" t="s">
        <v>919</v>
      </c>
      <c r="B161" s="7" t="s">
        <v>301</v>
      </c>
      <c r="C161" s="7" t="s">
        <v>302</v>
      </c>
      <c r="D161" s="15"/>
      <c r="E161" s="6"/>
      <c r="F161" s="6"/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30">
        <f t="shared" si="4"/>
        <v>0</v>
      </c>
      <c r="Q161" s="29">
        <f>SUMIF(Dangerous!$A:$A,'Q-Score'!$B161,Dangerous!$N:$N)</f>
        <v>0</v>
      </c>
      <c r="R161" s="29">
        <f>SUMIF(Manual!$A:$A,'Q-Score'!$B161,Manual!$N:$N)</f>
        <v>0</v>
      </c>
      <c r="S161" s="31">
        <f t="shared" si="5"/>
        <v>0</v>
      </c>
    </row>
    <row r="162" spans="1:19" x14ac:dyDescent="0.6">
      <c r="A162" s="4" t="s">
        <v>919</v>
      </c>
      <c r="B162" s="7" t="s">
        <v>307</v>
      </c>
      <c r="C162" s="7" t="s">
        <v>308</v>
      </c>
      <c r="D162" s="15"/>
      <c r="E162" s="6"/>
      <c r="F162" s="6"/>
      <c r="G162" s="6">
        <v>1.25</v>
      </c>
      <c r="H162" s="6">
        <v>1.25</v>
      </c>
      <c r="I162" s="6">
        <v>1.25</v>
      </c>
      <c r="J162" s="6">
        <v>1.25</v>
      </c>
      <c r="K162" s="6">
        <v>2.5</v>
      </c>
      <c r="L162" s="6">
        <v>0</v>
      </c>
      <c r="M162" s="6">
        <v>0</v>
      </c>
      <c r="N162" s="6">
        <v>0</v>
      </c>
      <c r="O162" s="6">
        <v>7.5</v>
      </c>
      <c r="P162" s="30">
        <f t="shared" si="4"/>
        <v>7.5</v>
      </c>
      <c r="Q162" s="29">
        <f>SUMIF(Dangerous!$A:$A,'Q-Score'!$B162,Dangerous!$N:$N)</f>
        <v>0</v>
      </c>
      <c r="R162" s="29">
        <f>SUMIF(Manual!$A:$A,'Q-Score'!$B162,Manual!$N:$N)</f>
        <v>0</v>
      </c>
      <c r="S162" s="31">
        <f t="shared" si="5"/>
        <v>7.5</v>
      </c>
    </row>
    <row r="163" spans="1:19" x14ac:dyDescent="0.6">
      <c r="A163" s="4" t="s">
        <v>919</v>
      </c>
      <c r="B163" s="7" t="s">
        <v>303</v>
      </c>
      <c r="C163" s="7" t="s">
        <v>304</v>
      </c>
      <c r="D163" s="15"/>
      <c r="E163" s="6"/>
      <c r="F163" s="6"/>
      <c r="G163" s="6">
        <v>1.25</v>
      </c>
      <c r="H163" s="6">
        <v>1.25</v>
      </c>
      <c r="I163" s="6">
        <v>1.25</v>
      </c>
      <c r="J163" s="6">
        <v>1.25</v>
      </c>
      <c r="K163" s="6">
        <v>1.25</v>
      </c>
      <c r="L163" s="6">
        <v>0</v>
      </c>
      <c r="M163" s="6">
        <v>0</v>
      </c>
      <c r="N163" s="6">
        <v>0</v>
      </c>
      <c r="O163" s="6">
        <v>6.25</v>
      </c>
      <c r="P163" s="30">
        <f t="shared" si="4"/>
        <v>6.25</v>
      </c>
      <c r="Q163" s="29">
        <f>SUMIF(Dangerous!$A:$A,'Q-Score'!$B163,Dangerous!$N:$N)</f>
        <v>0</v>
      </c>
      <c r="R163" s="29">
        <f>SUMIF(Manual!$A:$A,'Q-Score'!$B163,Manual!$N:$N)</f>
        <v>0</v>
      </c>
      <c r="S163" s="31">
        <f t="shared" si="5"/>
        <v>6.25</v>
      </c>
    </row>
    <row r="164" spans="1:19" x14ac:dyDescent="0.6">
      <c r="A164" s="4" t="s">
        <v>919</v>
      </c>
      <c r="B164" s="7" t="s">
        <v>309</v>
      </c>
      <c r="C164" s="7" t="s">
        <v>923</v>
      </c>
      <c r="D164" s="15"/>
      <c r="E164" s="6"/>
      <c r="F164" s="6"/>
      <c r="G164" s="6">
        <v>1.25</v>
      </c>
      <c r="H164" s="6">
        <v>2.5</v>
      </c>
      <c r="I164" s="6">
        <v>1.25</v>
      </c>
      <c r="J164" s="6">
        <v>1.25</v>
      </c>
      <c r="K164" s="6">
        <v>1.25</v>
      </c>
      <c r="L164" s="6">
        <v>0</v>
      </c>
      <c r="M164" s="6">
        <v>0</v>
      </c>
      <c r="N164" s="6">
        <v>0</v>
      </c>
      <c r="O164" s="6">
        <v>7.5</v>
      </c>
      <c r="P164" s="30">
        <f t="shared" si="4"/>
        <v>7.5</v>
      </c>
      <c r="Q164" s="29">
        <f>SUMIF(Dangerous!$A:$A,'Q-Score'!$B164,Dangerous!$N:$N)</f>
        <v>0</v>
      </c>
      <c r="R164" s="29">
        <f>SUMIF(Manual!$A:$A,'Q-Score'!$B164,Manual!$N:$N)</f>
        <v>0</v>
      </c>
      <c r="S164" s="31">
        <f t="shared" si="5"/>
        <v>7.5</v>
      </c>
    </row>
    <row r="165" spans="1:19" x14ac:dyDescent="0.6">
      <c r="A165" s="4" t="s">
        <v>919</v>
      </c>
      <c r="B165" s="7" t="s">
        <v>378</v>
      </c>
      <c r="C165" s="7" t="s">
        <v>924</v>
      </c>
      <c r="D165" s="15"/>
      <c r="E165" s="6"/>
      <c r="F165" s="6"/>
      <c r="G165" s="6">
        <v>1.25</v>
      </c>
      <c r="H165" s="6">
        <v>0</v>
      </c>
      <c r="I165" s="6">
        <v>1.25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2.5</v>
      </c>
      <c r="P165" s="30">
        <f t="shared" si="4"/>
        <v>2.5</v>
      </c>
      <c r="Q165" s="29">
        <f>SUMIF(Dangerous!$A:$A,'Q-Score'!$B165,Dangerous!$N:$N)</f>
        <v>0</v>
      </c>
      <c r="R165" s="29">
        <f>SUMIF(Manual!$A:$A,'Q-Score'!$B165,Manual!$N:$N)</f>
        <v>0</v>
      </c>
      <c r="S165" s="31">
        <f t="shared" si="5"/>
        <v>2.5</v>
      </c>
    </row>
    <row r="166" spans="1:19" x14ac:dyDescent="0.6">
      <c r="A166" s="4" t="s">
        <v>919</v>
      </c>
      <c r="B166" s="7" t="s">
        <v>380</v>
      </c>
      <c r="C166" s="7" t="s">
        <v>925</v>
      </c>
      <c r="D166" s="15"/>
      <c r="E166" s="6"/>
      <c r="F166" s="6"/>
      <c r="G166" s="6">
        <v>1.25</v>
      </c>
      <c r="H166" s="6">
        <v>2.5</v>
      </c>
      <c r="I166" s="6">
        <v>1.25</v>
      </c>
      <c r="J166" s="6">
        <v>0</v>
      </c>
      <c r="K166" s="6">
        <v>1.25</v>
      </c>
      <c r="L166" s="6">
        <v>0</v>
      </c>
      <c r="M166" s="6">
        <v>0</v>
      </c>
      <c r="N166" s="6">
        <v>0</v>
      </c>
      <c r="O166" s="6">
        <v>6.25</v>
      </c>
      <c r="P166" s="30">
        <f t="shared" si="4"/>
        <v>6.25</v>
      </c>
      <c r="Q166" s="29">
        <f>SUMIF(Dangerous!$A:$A,'Q-Score'!$B166,Dangerous!$N:$N)</f>
        <v>0</v>
      </c>
      <c r="R166" s="29">
        <f>SUMIF(Manual!$A:$A,'Q-Score'!$B166,Manual!$N:$N)</f>
        <v>0</v>
      </c>
      <c r="S166" s="31">
        <f t="shared" si="5"/>
        <v>6.25</v>
      </c>
    </row>
    <row r="167" spans="1:19" x14ac:dyDescent="0.6">
      <c r="A167" s="4" t="s">
        <v>919</v>
      </c>
      <c r="B167" s="7" t="s">
        <v>440</v>
      </c>
      <c r="C167" s="7" t="s">
        <v>441</v>
      </c>
      <c r="D167" s="15"/>
      <c r="E167" s="6"/>
      <c r="F167" s="6"/>
      <c r="G167" s="6">
        <v>1.25</v>
      </c>
      <c r="H167" s="6">
        <v>1.25</v>
      </c>
      <c r="I167" s="6">
        <v>0</v>
      </c>
      <c r="J167" s="6">
        <v>0</v>
      </c>
      <c r="K167" s="6">
        <v>1.25</v>
      </c>
      <c r="L167" s="6">
        <v>0</v>
      </c>
      <c r="M167" s="6">
        <v>0</v>
      </c>
      <c r="N167" s="6">
        <v>0</v>
      </c>
      <c r="O167" s="6">
        <v>3.75</v>
      </c>
      <c r="P167" s="30">
        <f t="shared" si="4"/>
        <v>3.75</v>
      </c>
      <c r="Q167" s="29">
        <f>SUMIF(Dangerous!$A:$A,'Q-Score'!$B167,Dangerous!$N:$N)</f>
        <v>0</v>
      </c>
      <c r="R167" s="29">
        <f>SUMIF(Manual!$A:$A,'Q-Score'!$B167,Manual!$N:$N)</f>
        <v>0</v>
      </c>
      <c r="S167" s="31">
        <f t="shared" si="5"/>
        <v>3.75</v>
      </c>
    </row>
    <row r="168" spans="1:19" x14ac:dyDescent="0.6">
      <c r="A168" s="4" t="s">
        <v>919</v>
      </c>
      <c r="B168" s="7" t="s">
        <v>442</v>
      </c>
      <c r="C168" s="7" t="s">
        <v>443</v>
      </c>
      <c r="D168" s="15"/>
      <c r="E168" s="6"/>
      <c r="F168" s="6"/>
      <c r="G168" s="6">
        <v>1.25</v>
      </c>
      <c r="H168" s="6">
        <v>2.5</v>
      </c>
      <c r="I168" s="6">
        <v>2.5</v>
      </c>
      <c r="J168" s="6">
        <v>1.25</v>
      </c>
      <c r="K168" s="6">
        <v>2.5</v>
      </c>
      <c r="L168" s="6">
        <v>0</v>
      </c>
      <c r="M168" s="6">
        <v>0</v>
      </c>
      <c r="N168" s="6">
        <v>0</v>
      </c>
      <c r="O168" s="6">
        <v>10</v>
      </c>
      <c r="P168" s="30">
        <f t="shared" si="4"/>
        <v>10</v>
      </c>
      <c r="Q168" s="29">
        <f>SUMIF(Dangerous!$A:$A,'Q-Score'!$B168,Dangerous!$N:$N)</f>
        <v>0</v>
      </c>
      <c r="R168" s="29">
        <f>SUMIF(Manual!$A:$A,'Q-Score'!$B168,Manual!$N:$N)</f>
        <v>0</v>
      </c>
      <c r="S168" s="31">
        <f t="shared" si="5"/>
        <v>10</v>
      </c>
    </row>
    <row r="169" spans="1:19" x14ac:dyDescent="0.6">
      <c r="A169" s="4" t="s">
        <v>919</v>
      </c>
      <c r="B169" s="7" t="s">
        <v>444</v>
      </c>
      <c r="C169" s="7" t="s">
        <v>445</v>
      </c>
      <c r="D169" s="15"/>
      <c r="E169" s="6"/>
      <c r="F169" s="6"/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30">
        <f t="shared" si="4"/>
        <v>0</v>
      </c>
      <c r="Q169" s="29">
        <f>SUMIF(Dangerous!$A:$A,'Q-Score'!$B169,Dangerous!$N:$N)</f>
        <v>0</v>
      </c>
      <c r="R169" s="29">
        <f>SUMIF(Manual!$A:$A,'Q-Score'!$B169,Manual!$N:$N)</f>
        <v>0</v>
      </c>
      <c r="S169" s="31">
        <f t="shared" si="5"/>
        <v>0</v>
      </c>
    </row>
    <row r="170" spans="1:19" x14ac:dyDescent="0.6">
      <c r="A170" s="4" t="s">
        <v>919</v>
      </c>
      <c r="B170" s="7" t="s">
        <v>448</v>
      </c>
      <c r="C170" s="7" t="s">
        <v>449</v>
      </c>
      <c r="D170" s="15"/>
      <c r="E170" s="6"/>
      <c r="F170" s="6"/>
      <c r="G170" s="6">
        <v>2.5</v>
      </c>
      <c r="H170" s="6">
        <v>1.25</v>
      </c>
      <c r="I170" s="6">
        <v>1.25</v>
      </c>
      <c r="J170" s="6">
        <v>1.25</v>
      </c>
      <c r="K170" s="6">
        <v>1.25</v>
      </c>
      <c r="L170" s="6">
        <v>0</v>
      </c>
      <c r="M170" s="6">
        <v>0</v>
      </c>
      <c r="N170" s="6">
        <v>0</v>
      </c>
      <c r="O170" s="6">
        <v>7.5</v>
      </c>
      <c r="P170" s="30">
        <f t="shared" si="4"/>
        <v>7.5</v>
      </c>
      <c r="Q170" s="29">
        <f>SUMIF(Dangerous!$A:$A,'Q-Score'!$B170,Dangerous!$N:$N)</f>
        <v>0</v>
      </c>
      <c r="R170" s="29">
        <f>SUMIF(Manual!$A:$A,'Q-Score'!$B170,Manual!$N:$N)</f>
        <v>0</v>
      </c>
      <c r="S170" s="31">
        <f t="shared" si="5"/>
        <v>7.5</v>
      </c>
    </row>
    <row r="171" spans="1:19" x14ac:dyDescent="0.6">
      <c r="A171" s="4" t="s">
        <v>919</v>
      </c>
      <c r="B171" s="7" t="s">
        <v>446</v>
      </c>
      <c r="C171" s="7" t="s">
        <v>447</v>
      </c>
      <c r="D171" s="15"/>
      <c r="E171" s="6"/>
      <c r="F171" s="6"/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30">
        <f t="shared" si="4"/>
        <v>0</v>
      </c>
      <c r="Q171" s="29">
        <f>SUMIF(Dangerous!$A:$A,'Q-Score'!$B171,Dangerous!$N:$N)</f>
        <v>0</v>
      </c>
      <c r="R171" s="29">
        <f>SUMIF(Manual!$A:$A,'Q-Score'!$B171,Manual!$N:$N)</f>
        <v>0</v>
      </c>
      <c r="S171" s="31">
        <f t="shared" si="5"/>
        <v>0</v>
      </c>
    </row>
    <row r="172" spans="1:19" x14ac:dyDescent="0.6">
      <c r="A172" s="4" t="s">
        <v>919</v>
      </c>
      <c r="B172" s="7" t="s">
        <v>926</v>
      </c>
      <c r="C172" s="7" t="s">
        <v>927</v>
      </c>
      <c r="D172" s="15"/>
      <c r="E172" s="6"/>
      <c r="F172" s="6"/>
      <c r="G172" s="6">
        <v>1.25</v>
      </c>
      <c r="H172" s="6">
        <v>1.25</v>
      </c>
      <c r="I172" s="6">
        <v>2.5</v>
      </c>
      <c r="J172" s="6">
        <v>0</v>
      </c>
      <c r="K172" s="6">
        <v>2.5</v>
      </c>
      <c r="L172" s="6">
        <v>0</v>
      </c>
      <c r="M172" s="6">
        <v>0</v>
      </c>
      <c r="N172" s="6">
        <v>0</v>
      </c>
      <c r="O172" s="6">
        <v>7.5</v>
      </c>
      <c r="P172" s="30">
        <f t="shared" si="4"/>
        <v>7.5</v>
      </c>
      <c r="Q172" s="29">
        <f>SUMIF(Dangerous!$A:$A,'Q-Score'!$B172,Dangerous!$N:$N)</f>
        <v>0</v>
      </c>
      <c r="R172" s="29">
        <f>SUMIF(Manual!$A:$A,'Q-Score'!$B172,Manual!$N:$N)</f>
        <v>0</v>
      </c>
      <c r="S172" s="31">
        <f t="shared" si="5"/>
        <v>7.5</v>
      </c>
    </row>
    <row r="173" spans="1:19" x14ac:dyDescent="0.6">
      <c r="A173" s="4" t="s">
        <v>919</v>
      </c>
      <c r="B173" s="7" t="s">
        <v>313</v>
      </c>
      <c r="C173" s="7" t="s">
        <v>928</v>
      </c>
      <c r="D173" s="15"/>
      <c r="E173" s="6"/>
      <c r="F173" s="6"/>
      <c r="G173" s="6">
        <v>1.25</v>
      </c>
      <c r="H173" s="6">
        <v>1.25</v>
      </c>
      <c r="I173" s="6">
        <v>1.25</v>
      </c>
      <c r="J173" s="6">
        <v>1.25</v>
      </c>
      <c r="K173" s="6">
        <v>1.25</v>
      </c>
      <c r="L173" s="6">
        <v>0</v>
      </c>
      <c r="M173" s="6">
        <v>0</v>
      </c>
      <c r="N173" s="6">
        <v>0</v>
      </c>
      <c r="O173" s="6">
        <v>6.25</v>
      </c>
      <c r="P173" s="30">
        <f t="shared" si="4"/>
        <v>6.25</v>
      </c>
      <c r="Q173" s="29">
        <f>SUMIF(Dangerous!$A:$A,'Q-Score'!$B173,Dangerous!$N:$N)</f>
        <v>0</v>
      </c>
      <c r="R173" s="29">
        <f>SUMIF(Manual!$A:$A,'Q-Score'!$B173,Manual!$N:$N)</f>
        <v>0</v>
      </c>
      <c r="S173" s="31">
        <f t="shared" si="5"/>
        <v>6.25</v>
      </c>
    </row>
    <row r="174" spans="1:19" x14ac:dyDescent="0.6">
      <c r="A174" s="4" t="s">
        <v>919</v>
      </c>
      <c r="B174" s="7" t="s">
        <v>315</v>
      </c>
      <c r="C174" s="7" t="s">
        <v>929</v>
      </c>
      <c r="D174" s="15"/>
      <c r="E174" s="6"/>
      <c r="F174" s="6"/>
      <c r="G174" s="6">
        <v>1.25</v>
      </c>
      <c r="H174" s="6">
        <v>1.25</v>
      </c>
      <c r="I174" s="6">
        <v>1.25</v>
      </c>
      <c r="J174" s="6">
        <v>1.25</v>
      </c>
      <c r="K174" s="6">
        <v>1.25</v>
      </c>
      <c r="L174" s="6">
        <v>0</v>
      </c>
      <c r="M174" s="6">
        <v>0</v>
      </c>
      <c r="N174" s="6">
        <v>0</v>
      </c>
      <c r="O174" s="6">
        <v>6.25</v>
      </c>
      <c r="P174" s="30">
        <f t="shared" si="4"/>
        <v>6.25</v>
      </c>
      <c r="Q174" s="29">
        <f>SUMIF(Dangerous!$A:$A,'Q-Score'!$B174,Dangerous!$N:$N)</f>
        <v>0</v>
      </c>
      <c r="R174" s="29">
        <f>SUMIF(Manual!$A:$A,'Q-Score'!$B174,Manual!$N:$N)</f>
        <v>0</v>
      </c>
      <c r="S174" s="31">
        <f t="shared" si="5"/>
        <v>6.25</v>
      </c>
    </row>
    <row r="175" spans="1:19" x14ac:dyDescent="0.6">
      <c r="A175" s="4" t="s">
        <v>919</v>
      </c>
      <c r="B175" s="7" t="s">
        <v>317</v>
      </c>
      <c r="C175" s="7" t="s">
        <v>930</v>
      </c>
      <c r="D175" s="15"/>
      <c r="E175" s="6"/>
      <c r="F175" s="6"/>
      <c r="G175" s="6">
        <v>1.25</v>
      </c>
      <c r="H175" s="6">
        <v>1.25</v>
      </c>
      <c r="I175" s="6">
        <v>1.25</v>
      </c>
      <c r="J175" s="6">
        <v>1.25</v>
      </c>
      <c r="K175" s="6">
        <v>1.25</v>
      </c>
      <c r="L175" s="6">
        <v>0</v>
      </c>
      <c r="M175" s="6">
        <v>0</v>
      </c>
      <c r="N175" s="6">
        <v>0</v>
      </c>
      <c r="O175" s="6">
        <v>6.25</v>
      </c>
      <c r="P175" s="30">
        <f t="shared" si="4"/>
        <v>6.25</v>
      </c>
      <c r="Q175" s="29">
        <f>SUMIF(Dangerous!$A:$A,'Q-Score'!$B175,Dangerous!$N:$N)</f>
        <v>0</v>
      </c>
      <c r="R175" s="29">
        <f>SUMIF(Manual!$A:$A,'Q-Score'!$B175,Manual!$N:$N)</f>
        <v>0</v>
      </c>
      <c r="S175" s="31">
        <f t="shared" si="5"/>
        <v>6.25</v>
      </c>
    </row>
    <row r="176" spans="1:19" x14ac:dyDescent="0.6">
      <c r="A176" s="4" t="s">
        <v>919</v>
      </c>
      <c r="B176" s="7" t="s">
        <v>319</v>
      </c>
      <c r="C176" s="7" t="s">
        <v>931</v>
      </c>
      <c r="D176" s="15"/>
      <c r="E176" s="6"/>
      <c r="F176" s="6"/>
      <c r="G176" s="6">
        <v>1.25</v>
      </c>
      <c r="H176" s="6">
        <v>1.25</v>
      </c>
      <c r="I176" s="6">
        <v>1.25</v>
      </c>
      <c r="J176" s="6">
        <v>1.25</v>
      </c>
      <c r="K176" s="6">
        <v>1.25</v>
      </c>
      <c r="L176" s="6">
        <v>0</v>
      </c>
      <c r="M176" s="6">
        <v>0</v>
      </c>
      <c r="N176" s="6">
        <v>0</v>
      </c>
      <c r="O176" s="6">
        <v>6.25</v>
      </c>
      <c r="P176" s="30">
        <f t="shared" si="4"/>
        <v>6.25</v>
      </c>
      <c r="Q176" s="29">
        <f>SUMIF(Dangerous!$A:$A,'Q-Score'!$B176,Dangerous!$N:$N)</f>
        <v>0</v>
      </c>
      <c r="R176" s="29">
        <f>SUMIF(Manual!$A:$A,'Q-Score'!$B176,Manual!$N:$N)</f>
        <v>0</v>
      </c>
      <c r="S176" s="31">
        <f t="shared" si="5"/>
        <v>6.25</v>
      </c>
    </row>
    <row r="177" spans="1:19" x14ac:dyDescent="0.6">
      <c r="A177" s="4" t="s">
        <v>919</v>
      </c>
      <c r="B177" s="7" t="s">
        <v>376</v>
      </c>
      <c r="C177" s="7" t="s">
        <v>932</v>
      </c>
      <c r="D177" s="15"/>
      <c r="E177" s="6"/>
      <c r="F177" s="6"/>
      <c r="G177" s="6">
        <v>1.25</v>
      </c>
      <c r="H177" s="6">
        <v>1.25</v>
      </c>
      <c r="I177" s="6">
        <v>1.25</v>
      </c>
      <c r="J177" s="6">
        <v>1.25</v>
      </c>
      <c r="K177" s="6">
        <v>1.25</v>
      </c>
      <c r="L177" s="6">
        <v>0</v>
      </c>
      <c r="M177" s="6">
        <v>0</v>
      </c>
      <c r="N177" s="6">
        <v>0</v>
      </c>
      <c r="O177" s="6">
        <v>6.25</v>
      </c>
      <c r="P177" s="30">
        <f t="shared" si="4"/>
        <v>6.25</v>
      </c>
      <c r="Q177" s="29">
        <f>SUMIF(Dangerous!$A:$A,'Q-Score'!$B177,Dangerous!$N:$N)</f>
        <v>0</v>
      </c>
      <c r="R177" s="29">
        <f>SUMIF(Manual!$A:$A,'Q-Score'!$B177,Manual!$N:$N)</f>
        <v>0</v>
      </c>
      <c r="S177" s="31">
        <f t="shared" si="5"/>
        <v>6.25</v>
      </c>
    </row>
    <row r="178" spans="1:19" x14ac:dyDescent="0.6">
      <c r="A178" s="4" t="s">
        <v>919</v>
      </c>
      <c r="B178" s="4" t="s">
        <v>321</v>
      </c>
      <c r="C178" s="4" t="s">
        <v>933</v>
      </c>
      <c r="D178" s="15"/>
      <c r="E178" s="6"/>
      <c r="F178" s="6"/>
      <c r="G178" s="6">
        <v>1.25</v>
      </c>
      <c r="H178" s="6">
        <v>1.25</v>
      </c>
      <c r="I178" s="6">
        <v>1.25</v>
      </c>
      <c r="J178" s="6">
        <v>1.25</v>
      </c>
      <c r="K178" s="6">
        <v>1.25</v>
      </c>
      <c r="L178" s="6">
        <v>0</v>
      </c>
      <c r="M178" s="6">
        <v>0</v>
      </c>
      <c r="N178" s="6">
        <v>0</v>
      </c>
      <c r="O178" s="6">
        <v>6.25</v>
      </c>
      <c r="P178" s="30">
        <f t="shared" si="4"/>
        <v>6.25</v>
      </c>
      <c r="Q178" s="29">
        <f>SUMIF(Dangerous!$A:$A,'Q-Score'!$B178,Dangerous!$N:$N)</f>
        <v>0</v>
      </c>
      <c r="R178" s="29">
        <f>SUMIF(Manual!$A:$A,'Q-Score'!$B178,Manual!$N:$N)</f>
        <v>0</v>
      </c>
      <c r="S178" s="31">
        <f t="shared" si="5"/>
        <v>6.25</v>
      </c>
    </row>
    <row r="179" spans="1:19" x14ac:dyDescent="0.6">
      <c r="A179" s="4" t="s">
        <v>919</v>
      </c>
      <c r="B179" s="7" t="s">
        <v>311</v>
      </c>
      <c r="C179" s="7" t="s">
        <v>934</v>
      </c>
      <c r="D179" s="15"/>
      <c r="E179" s="6"/>
      <c r="F179" s="6"/>
      <c r="G179" s="6">
        <v>1.25</v>
      </c>
      <c r="H179" s="6">
        <v>1.25</v>
      </c>
      <c r="I179" s="6">
        <v>1.25</v>
      </c>
      <c r="J179" s="6">
        <v>1.25</v>
      </c>
      <c r="K179" s="6">
        <v>1.25</v>
      </c>
      <c r="L179" s="6">
        <v>0</v>
      </c>
      <c r="M179" s="6">
        <v>0</v>
      </c>
      <c r="N179" s="6">
        <v>0</v>
      </c>
      <c r="O179" s="6">
        <v>6.25</v>
      </c>
      <c r="P179" s="30">
        <f t="shared" si="4"/>
        <v>6.25</v>
      </c>
      <c r="Q179" s="29">
        <f>SUMIF(Dangerous!$A:$A,'Q-Score'!$B179,Dangerous!$N:$N)</f>
        <v>0</v>
      </c>
      <c r="R179" s="29">
        <f>SUMIF(Manual!$A:$A,'Q-Score'!$B179,Manual!$N:$N)</f>
        <v>0</v>
      </c>
      <c r="S179" s="31">
        <f t="shared" si="5"/>
        <v>6.25</v>
      </c>
    </row>
    <row r="180" spans="1:19" x14ac:dyDescent="0.6">
      <c r="A180" s="4" t="s">
        <v>919</v>
      </c>
      <c r="B180" s="7" t="s">
        <v>390</v>
      </c>
      <c r="C180" s="7" t="s">
        <v>935</v>
      </c>
      <c r="D180" s="15"/>
      <c r="E180" s="6"/>
      <c r="F180" s="6"/>
      <c r="G180" s="6">
        <v>1.25</v>
      </c>
      <c r="H180" s="6">
        <v>1.25</v>
      </c>
      <c r="I180" s="6">
        <v>1.25</v>
      </c>
      <c r="J180" s="6">
        <v>1.25</v>
      </c>
      <c r="K180" s="6">
        <v>1.25</v>
      </c>
      <c r="L180" s="6">
        <v>0</v>
      </c>
      <c r="M180" s="6">
        <v>0</v>
      </c>
      <c r="N180" s="6">
        <v>0</v>
      </c>
      <c r="O180" s="6">
        <v>6.25</v>
      </c>
      <c r="P180" s="30">
        <f t="shared" si="4"/>
        <v>6.25</v>
      </c>
      <c r="Q180" s="29">
        <f>SUMIF(Dangerous!$A:$A,'Q-Score'!$B180,Dangerous!$N:$N)</f>
        <v>0</v>
      </c>
      <c r="R180" s="29">
        <f>SUMIF(Manual!$A:$A,'Q-Score'!$B180,Manual!$N:$N)</f>
        <v>0</v>
      </c>
      <c r="S180" s="31">
        <f t="shared" si="5"/>
        <v>6.25</v>
      </c>
    </row>
    <row r="181" spans="1:19" x14ac:dyDescent="0.6">
      <c r="A181" s="4" t="s">
        <v>919</v>
      </c>
      <c r="B181" s="7" t="s">
        <v>392</v>
      </c>
      <c r="C181" s="7" t="s">
        <v>936</v>
      </c>
      <c r="D181" s="15"/>
      <c r="E181" s="6"/>
      <c r="F181" s="6"/>
      <c r="G181" s="6">
        <v>1.25</v>
      </c>
      <c r="H181" s="6">
        <v>1.25</v>
      </c>
      <c r="I181" s="6">
        <v>1.25</v>
      </c>
      <c r="J181" s="6">
        <v>1.25</v>
      </c>
      <c r="K181" s="6">
        <v>2.5</v>
      </c>
      <c r="L181" s="6">
        <v>0</v>
      </c>
      <c r="M181" s="6">
        <v>0</v>
      </c>
      <c r="N181" s="6">
        <v>0</v>
      </c>
      <c r="O181" s="6">
        <v>7.5</v>
      </c>
      <c r="P181" s="30">
        <f t="shared" si="4"/>
        <v>7.5</v>
      </c>
      <c r="Q181" s="29">
        <f>SUMIF(Dangerous!$A:$A,'Q-Score'!$B181,Dangerous!$N:$N)</f>
        <v>0</v>
      </c>
      <c r="R181" s="29">
        <f>SUMIF(Manual!$A:$A,'Q-Score'!$B181,Manual!$N:$N)</f>
        <v>0</v>
      </c>
      <c r="S181" s="31">
        <f t="shared" si="5"/>
        <v>7.5</v>
      </c>
    </row>
    <row r="182" spans="1:19" x14ac:dyDescent="0.6">
      <c r="A182" s="4" t="s">
        <v>919</v>
      </c>
      <c r="B182" s="7" t="s">
        <v>450</v>
      </c>
      <c r="C182" s="7" t="s">
        <v>451</v>
      </c>
      <c r="D182" s="15"/>
      <c r="E182" s="6"/>
      <c r="F182" s="6"/>
      <c r="G182" s="6">
        <v>2.5</v>
      </c>
      <c r="H182" s="6">
        <v>1.25</v>
      </c>
      <c r="I182" s="6">
        <v>1.25</v>
      </c>
      <c r="J182" s="6">
        <v>1.25</v>
      </c>
      <c r="K182" s="6">
        <v>1.25</v>
      </c>
      <c r="L182" s="6">
        <v>0</v>
      </c>
      <c r="M182" s="6">
        <v>0</v>
      </c>
      <c r="N182" s="6">
        <v>0</v>
      </c>
      <c r="O182" s="6">
        <v>7.5</v>
      </c>
      <c r="P182" s="30">
        <f t="shared" si="4"/>
        <v>7.5</v>
      </c>
      <c r="Q182" s="29">
        <f>SUMIF(Dangerous!$A:$A,'Q-Score'!$B182,Dangerous!$N:$N)</f>
        <v>0</v>
      </c>
      <c r="R182" s="29">
        <f>SUMIF(Manual!$A:$A,'Q-Score'!$B182,Manual!$N:$N)</f>
        <v>0</v>
      </c>
      <c r="S182" s="31">
        <f t="shared" si="5"/>
        <v>7.5</v>
      </c>
    </row>
    <row r="183" spans="1:19" x14ac:dyDescent="0.6">
      <c r="A183" s="4" t="s">
        <v>919</v>
      </c>
      <c r="B183" s="7" t="s">
        <v>452</v>
      </c>
      <c r="C183" s="7" t="s">
        <v>453</v>
      </c>
      <c r="D183" s="15"/>
      <c r="E183" s="6"/>
      <c r="F183" s="6"/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30">
        <f t="shared" si="4"/>
        <v>0</v>
      </c>
      <c r="Q183" s="29">
        <f>SUMIF(Dangerous!$A:$A,'Q-Score'!$B183,Dangerous!$N:$N)</f>
        <v>0</v>
      </c>
      <c r="R183" s="29">
        <f>SUMIF(Manual!$A:$A,'Q-Score'!$B183,Manual!$N:$N)</f>
        <v>0</v>
      </c>
      <c r="S183" s="31">
        <f t="shared" si="5"/>
        <v>0</v>
      </c>
    </row>
    <row r="184" spans="1:19" x14ac:dyDescent="0.6">
      <c r="A184" s="4" t="s">
        <v>919</v>
      </c>
      <c r="B184" s="7" t="s">
        <v>428</v>
      </c>
      <c r="C184" s="7" t="s">
        <v>429</v>
      </c>
      <c r="D184" s="15"/>
      <c r="E184" s="6"/>
      <c r="F184" s="6"/>
      <c r="G184" s="6">
        <v>1.25</v>
      </c>
      <c r="H184" s="6">
        <v>1.25</v>
      </c>
      <c r="I184" s="6">
        <v>2.5</v>
      </c>
      <c r="J184" s="6">
        <v>1.25</v>
      </c>
      <c r="K184" s="6">
        <v>1.25</v>
      </c>
      <c r="L184" s="6">
        <v>0</v>
      </c>
      <c r="M184" s="6">
        <v>0</v>
      </c>
      <c r="N184" s="6">
        <v>0</v>
      </c>
      <c r="O184" s="6">
        <v>7.5</v>
      </c>
      <c r="P184" s="30">
        <f t="shared" si="4"/>
        <v>7.5</v>
      </c>
      <c r="Q184" s="29">
        <f>SUMIF(Dangerous!$A:$A,'Q-Score'!$B184,Dangerous!$N:$N)</f>
        <v>0</v>
      </c>
      <c r="R184" s="29">
        <f>SUMIF(Manual!$A:$A,'Q-Score'!$B184,Manual!$N:$N)</f>
        <v>0</v>
      </c>
      <c r="S184" s="31">
        <f t="shared" si="5"/>
        <v>7.5</v>
      </c>
    </row>
    <row r="185" spans="1:19" x14ac:dyDescent="0.6">
      <c r="A185" s="4" t="s">
        <v>919</v>
      </c>
      <c r="B185" s="7" t="s">
        <v>430</v>
      </c>
      <c r="C185" s="7" t="s">
        <v>431</v>
      </c>
      <c r="D185" s="15"/>
      <c r="E185" s="6"/>
      <c r="F185" s="6"/>
      <c r="G185" s="6">
        <v>1.25</v>
      </c>
      <c r="H185" s="6">
        <v>2.5</v>
      </c>
      <c r="I185" s="6">
        <v>1.25</v>
      </c>
      <c r="J185" s="6">
        <v>2.5</v>
      </c>
      <c r="K185" s="6">
        <v>2.5</v>
      </c>
      <c r="L185" s="6">
        <v>0</v>
      </c>
      <c r="M185" s="6">
        <v>0</v>
      </c>
      <c r="N185" s="6">
        <v>0</v>
      </c>
      <c r="O185" s="6">
        <v>10</v>
      </c>
      <c r="P185" s="30">
        <f t="shared" si="4"/>
        <v>10</v>
      </c>
      <c r="Q185" s="29">
        <f>SUMIF(Dangerous!$A:$A,'Q-Score'!$B185,Dangerous!$N:$N)</f>
        <v>0</v>
      </c>
      <c r="R185" s="29">
        <f>SUMIF(Manual!$A:$A,'Q-Score'!$B185,Manual!$N:$N)</f>
        <v>0</v>
      </c>
      <c r="S185" s="31">
        <f t="shared" si="5"/>
        <v>10</v>
      </c>
    </row>
    <row r="186" spans="1:19" x14ac:dyDescent="0.6">
      <c r="A186" s="4" t="s">
        <v>919</v>
      </c>
      <c r="B186" s="7" t="s">
        <v>432</v>
      </c>
      <c r="C186" s="7" t="s">
        <v>433</v>
      </c>
      <c r="D186" s="15"/>
      <c r="E186" s="6"/>
      <c r="F186" s="6"/>
      <c r="G186" s="6">
        <v>1.25</v>
      </c>
      <c r="H186" s="6">
        <v>1.25</v>
      </c>
      <c r="I186" s="6">
        <v>2.5</v>
      </c>
      <c r="J186" s="6">
        <v>1.25</v>
      </c>
      <c r="K186" s="6">
        <v>2.5</v>
      </c>
      <c r="L186" s="6">
        <v>0</v>
      </c>
      <c r="M186" s="6">
        <v>0</v>
      </c>
      <c r="N186" s="6">
        <v>0</v>
      </c>
      <c r="O186" s="6">
        <v>8.75</v>
      </c>
      <c r="P186" s="30">
        <f t="shared" si="4"/>
        <v>8.75</v>
      </c>
      <c r="Q186" s="29">
        <f>SUMIF(Dangerous!$A:$A,'Q-Score'!$B186,Dangerous!$N:$N)</f>
        <v>0</v>
      </c>
      <c r="R186" s="29">
        <f>SUMIF(Manual!$A:$A,'Q-Score'!$B186,Manual!$N:$N)</f>
        <v>0</v>
      </c>
      <c r="S186" s="31">
        <f t="shared" si="5"/>
        <v>8.75</v>
      </c>
    </row>
    <row r="187" spans="1:19" x14ac:dyDescent="0.6">
      <c r="A187" s="4" t="s">
        <v>919</v>
      </c>
      <c r="B187" s="7" t="s">
        <v>434</v>
      </c>
      <c r="C187" s="7" t="s">
        <v>937</v>
      </c>
      <c r="D187" s="15"/>
      <c r="E187" s="6"/>
      <c r="F187" s="6"/>
      <c r="G187" s="6">
        <v>1.25</v>
      </c>
      <c r="H187" s="6">
        <v>1.25</v>
      </c>
      <c r="I187" s="6">
        <v>1.25</v>
      </c>
      <c r="J187" s="6">
        <v>1.25</v>
      </c>
      <c r="K187" s="6">
        <v>1.25</v>
      </c>
      <c r="L187" s="6">
        <v>0</v>
      </c>
      <c r="M187" s="6">
        <v>0</v>
      </c>
      <c r="N187" s="6">
        <v>0</v>
      </c>
      <c r="O187" s="6">
        <v>6.25</v>
      </c>
      <c r="P187" s="30">
        <f t="shared" si="4"/>
        <v>6.25</v>
      </c>
      <c r="Q187" s="29">
        <f>SUMIF(Dangerous!$A:$A,'Q-Score'!$B187,Dangerous!$N:$N)</f>
        <v>0</v>
      </c>
      <c r="R187" s="29">
        <f>SUMIF(Manual!$A:$A,'Q-Score'!$B187,Manual!$N:$N)</f>
        <v>0</v>
      </c>
      <c r="S187" s="31">
        <f t="shared" si="5"/>
        <v>6.25</v>
      </c>
    </row>
    <row r="188" spans="1:19" x14ac:dyDescent="0.6">
      <c r="A188" s="4" t="s">
        <v>919</v>
      </c>
      <c r="B188" s="7" t="s">
        <v>436</v>
      </c>
      <c r="C188" s="7" t="s">
        <v>437</v>
      </c>
      <c r="D188" s="15"/>
      <c r="E188" s="6"/>
      <c r="F188" s="6"/>
      <c r="G188" s="6">
        <v>1.25</v>
      </c>
      <c r="H188" s="6">
        <v>1.25</v>
      </c>
      <c r="I188" s="6">
        <v>1.25</v>
      </c>
      <c r="J188" s="6">
        <v>1.25</v>
      </c>
      <c r="K188" s="6">
        <v>1.25</v>
      </c>
      <c r="L188" s="6">
        <v>0</v>
      </c>
      <c r="M188" s="6">
        <v>0</v>
      </c>
      <c r="N188" s="6">
        <v>0</v>
      </c>
      <c r="O188" s="6">
        <v>6.25</v>
      </c>
      <c r="P188" s="30">
        <f t="shared" si="4"/>
        <v>6.25</v>
      </c>
      <c r="Q188" s="29">
        <f>SUMIF(Dangerous!$A:$A,'Q-Score'!$B188,Dangerous!$N:$N)</f>
        <v>0</v>
      </c>
      <c r="R188" s="29">
        <f>SUMIF(Manual!$A:$A,'Q-Score'!$B188,Manual!$N:$N)</f>
        <v>0</v>
      </c>
      <c r="S188" s="31">
        <f t="shared" si="5"/>
        <v>6.25</v>
      </c>
    </row>
    <row r="189" spans="1:19" x14ac:dyDescent="0.6">
      <c r="A189" s="4" t="s">
        <v>919</v>
      </c>
      <c r="B189" s="7" t="s">
        <v>438</v>
      </c>
      <c r="C189" s="7" t="s">
        <v>938</v>
      </c>
      <c r="D189" s="15"/>
      <c r="E189" s="6"/>
      <c r="F189" s="6"/>
      <c r="G189" s="6">
        <v>1.25</v>
      </c>
      <c r="H189" s="6">
        <v>1.25</v>
      </c>
      <c r="I189" s="6">
        <v>1.25</v>
      </c>
      <c r="J189" s="6">
        <v>2.5</v>
      </c>
      <c r="K189" s="6">
        <v>2.5</v>
      </c>
      <c r="L189" s="6">
        <v>0</v>
      </c>
      <c r="M189" s="6">
        <v>0</v>
      </c>
      <c r="N189" s="6">
        <v>0</v>
      </c>
      <c r="O189" s="6">
        <v>8.75</v>
      </c>
      <c r="P189" s="30">
        <f t="shared" si="4"/>
        <v>8.75</v>
      </c>
      <c r="Q189" s="29">
        <f>SUMIF(Dangerous!$A:$A,'Q-Score'!$B189,Dangerous!$N:$N)</f>
        <v>0</v>
      </c>
      <c r="R189" s="29">
        <f>SUMIF(Manual!$A:$A,'Q-Score'!$B189,Manual!$N:$N)</f>
        <v>0</v>
      </c>
      <c r="S189" s="31">
        <f t="shared" si="5"/>
        <v>8.75</v>
      </c>
    </row>
    <row r="190" spans="1:19" x14ac:dyDescent="0.6">
      <c r="A190" s="4" t="s">
        <v>919</v>
      </c>
      <c r="B190" s="7" t="s">
        <v>402</v>
      </c>
      <c r="C190" s="7" t="s">
        <v>403</v>
      </c>
      <c r="D190" s="15"/>
      <c r="E190" s="6"/>
      <c r="F190" s="6"/>
      <c r="G190" s="6">
        <v>1.25</v>
      </c>
      <c r="H190" s="6">
        <v>1.25</v>
      </c>
      <c r="I190" s="6">
        <v>0</v>
      </c>
      <c r="J190" s="6">
        <v>1.25</v>
      </c>
      <c r="K190" s="6">
        <v>2.5</v>
      </c>
      <c r="L190" s="6">
        <v>0</v>
      </c>
      <c r="M190" s="6">
        <v>0</v>
      </c>
      <c r="N190" s="6">
        <v>0</v>
      </c>
      <c r="O190" s="6">
        <v>6.25</v>
      </c>
      <c r="P190" s="30">
        <f t="shared" si="4"/>
        <v>6.25</v>
      </c>
      <c r="Q190" s="29">
        <f>SUMIF(Dangerous!$A:$A,'Q-Score'!$B190,Dangerous!$N:$N)</f>
        <v>0</v>
      </c>
      <c r="R190" s="29">
        <f>SUMIF(Manual!$A:$A,'Q-Score'!$B190,Manual!$N:$N)</f>
        <v>0</v>
      </c>
      <c r="S190" s="31">
        <f t="shared" si="5"/>
        <v>6.25</v>
      </c>
    </row>
    <row r="191" spans="1:19" x14ac:dyDescent="0.6">
      <c r="A191" s="4" t="s">
        <v>919</v>
      </c>
      <c r="B191" s="7" t="s">
        <v>412</v>
      </c>
      <c r="C191" s="7" t="s">
        <v>413</v>
      </c>
      <c r="D191" s="15"/>
      <c r="E191" s="6"/>
      <c r="F191" s="6"/>
      <c r="G191" s="6">
        <v>1.25</v>
      </c>
      <c r="H191" s="6">
        <v>1.25</v>
      </c>
      <c r="I191" s="6">
        <v>1.25</v>
      </c>
      <c r="J191" s="6">
        <v>1.25</v>
      </c>
      <c r="K191" s="6">
        <v>1.25</v>
      </c>
      <c r="L191" s="6">
        <v>0</v>
      </c>
      <c r="M191" s="6">
        <v>0</v>
      </c>
      <c r="N191" s="6">
        <v>0</v>
      </c>
      <c r="O191" s="6">
        <v>6.25</v>
      </c>
      <c r="P191" s="30">
        <f t="shared" si="4"/>
        <v>6.25</v>
      </c>
      <c r="Q191" s="29">
        <f>SUMIF(Dangerous!$A:$A,'Q-Score'!$B191,Dangerous!$N:$N)</f>
        <v>0</v>
      </c>
      <c r="R191" s="29">
        <f>SUMIF(Manual!$A:$A,'Q-Score'!$B191,Manual!$N:$N)</f>
        <v>0</v>
      </c>
      <c r="S191" s="31">
        <f t="shared" si="5"/>
        <v>6.25</v>
      </c>
    </row>
    <row r="192" spans="1:19" x14ac:dyDescent="0.6">
      <c r="A192" s="4" t="s">
        <v>919</v>
      </c>
      <c r="B192" s="7" t="s">
        <v>414</v>
      </c>
      <c r="C192" s="7" t="s">
        <v>415</v>
      </c>
      <c r="D192" s="15"/>
      <c r="E192" s="6"/>
      <c r="F192" s="6"/>
      <c r="G192" s="6">
        <v>1.25</v>
      </c>
      <c r="H192" s="6">
        <v>1.25</v>
      </c>
      <c r="I192" s="6">
        <v>1.25</v>
      </c>
      <c r="J192" s="6">
        <v>1.25</v>
      </c>
      <c r="K192" s="6">
        <v>1.25</v>
      </c>
      <c r="L192" s="6">
        <v>0</v>
      </c>
      <c r="M192" s="6">
        <v>0</v>
      </c>
      <c r="N192" s="6">
        <v>0</v>
      </c>
      <c r="O192" s="6">
        <v>6.25</v>
      </c>
      <c r="P192" s="30">
        <f t="shared" si="4"/>
        <v>6.25</v>
      </c>
      <c r="Q192" s="29">
        <f>SUMIF(Dangerous!$A:$A,'Q-Score'!$B192,Dangerous!$N:$N)</f>
        <v>0</v>
      </c>
      <c r="R192" s="29">
        <f>SUMIF(Manual!$A:$A,'Q-Score'!$B192,Manual!$N:$N)</f>
        <v>0</v>
      </c>
      <c r="S192" s="31">
        <f t="shared" si="5"/>
        <v>6.25</v>
      </c>
    </row>
    <row r="193" spans="1:19" x14ac:dyDescent="0.6">
      <c r="A193" s="4" t="s">
        <v>919</v>
      </c>
      <c r="B193" s="7" t="s">
        <v>416</v>
      </c>
      <c r="C193" s="7" t="s">
        <v>417</v>
      </c>
      <c r="D193" s="15"/>
      <c r="E193" s="6"/>
      <c r="F193" s="6"/>
      <c r="G193" s="6">
        <v>1.25</v>
      </c>
      <c r="H193" s="6">
        <v>1.25</v>
      </c>
      <c r="I193" s="6">
        <v>1.25</v>
      </c>
      <c r="J193" s="6">
        <v>1.25</v>
      </c>
      <c r="K193" s="6">
        <v>2.5</v>
      </c>
      <c r="L193" s="6">
        <v>0</v>
      </c>
      <c r="M193" s="6">
        <v>0</v>
      </c>
      <c r="N193" s="6">
        <v>0</v>
      </c>
      <c r="O193" s="6">
        <v>7.5</v>
      </c>
      <c r="P193" s="30">
        <f t="shared" si="4"/>
        <v>7.5</v>
      </c>
      <c r="Q193" s="29">
        <f>SUMIF(Dangerous!$A:$A,'Q-Score'!$B193,Dangerous!$N:$N)</f>
        <v>0</v>
      </c>
      <c r="R193" s="29">
        <f>SUMIF(Manual!$A:$A,'Q-Score'!$B193,Manual!$N:$N)</f>
        <v>0</v>
      </c>
      <c r="S193" s="31">
        <f t="shared" si="5"/>
        <v>7.5</v>
      </c>
    </row>
    <row r="194" spans="1:19" x14ac:dyDescent="0.6">
      <c r="A194" s="4" t="s">
        <v>919</v>
      </c>
      <c r="B194" s="7" t="s">
        <v>418</v>
      </c>
      <c r="C194" s="7" t="s">
        <v>939</v>
      </c>
      <c r="D194" s="15"/>
      <c r="E194" s="6"/>
      <c r="F194" s="6"/>
      <c r="G194" s="6">
        <v>1.25</v>
      </c>
      <c r="H194" s="6">
        <v>1.25</v>
      </c>
      <c r="I194" s="6">
        <v>1.25</v>
      </c>
      <c r="J194" s="6">
        <v>1.25</v>
      </c>
      <c r="K194" s="6">
        <v>1.25</v>
      </c>
      <c r="L194" s="6">
        <v>0</v>
      </c>
      <c r="M194" s="6">
        <v>0</v>
      </c>
      <c r="N194" s="6">
        <v>0</v>
      </c>
      <c r="O194" s="6">
        <v>6.25</v>
      </c>
      <c r="P194" s="30">
        <f t="shared" si="4"/>
        <v>6.25</v>
      </c>
      <c r="Q194" s="29">
        <f>SUMIF(Dangerous!$A:$A,'Q-Score'!$B194,Dangerous!$N:$N)</f>
        <v>0</v>
      </c>
      <c r="R194" s="29">
        <f>SUMIF(Manual!$A:$A,'Q-Score'!$B194,Manual!$N:$N)</f>
        <v>0</v>
      </c>
      <c r="S194" s="31">
        <f t="shared" si="5"/>
        <v>6.25</v>
      </c>
    </row>
    <row r="195" spans="1:19" x14ac:dyDescent="0.6">
      <c r="A195" s="4" t="s">
        <v>919</v>
      </c>
      <c r="B195" s="7" t="s">
        <v>406</v>
      </c>
      <c r="C195" s="7" t="s">
        <v>407</v>
      </c>
      <c r="D195" s="15"/>
      <c r="E195" s="6"/>
      <c r="F195" s="6"/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30">
        <f t="shared" ref="P195:P258" si="6">SUM(E195:N195)</f>
        <v>0</v>
      </c>
      <c r="Q195" s="29">
        <f>SUMIF(Dangerous!$A:$A,'Q-Score'!$B195,Dangerous!$N:$N)</f>
        <v>0</v>
      </c>
      <c r="R195" s="29">
        <f>SUMIF(Manual!$A:$A,'Q-Score'!$B195,Manual!$N:$N)</f>
        <v>0</v>
      </c>
      <c r="S195" s="31">
        <f t="shared" ref="S195:S258" si="7">SUM(P195:R195)</f>
        <v>0</v>
      </c>
    </row>
    <row r="196" spans="1:19" x14ac:dyDescent="0.6">
      <c r="A196" s="4" t="s">
        <v>919</v>
      </c>
      <c r="B196" s="7" t="s">
        <v>408</v>
      </c>
      <c r="C196" s="7" t="s">
        <v>409</v>
      </c>
      <c r="D196" s="15"/>
      <c r="E196" s="6"/>
      <c r="F196" s="6"/>
      <c r="G196" s="6">
        <v>1.25</v>
      </c>
      <c r="H196" s="6">
        <v>1.25</v>
      </c>
      <c r="I196" s="6">
        <v>2.5</v>
      </c>
      <c r="J196" s="6">
        <v>1.25</v>
      </c>
      <c r="K196" s="6">
        <v>1.25</v>
      </c>
      <c r="L196" s="6">
        <v>0</v>
      </c>
      <c r="M196" s="6">
        <v>0</v>
      </c>
      <c r="N196" s="6">
        <v>0</v>
      </c>
      <c r="O196" s="6">
        <v>7.5</v>
      </c>
      <c r="P196" s="30">
        <f t="shared" si="6"/>
        <v>7.5</v>
      </c>
      <c r="Q196" s="29">
        <f>SUMIF(Dangerous!$A:$A,'Q-Score'!$B196,Dangerous!$N:$N)</f>
        <v>0</v>
      </c>
      <c r="R196" s="29">
        <f>SUMIF(Manual!$A:$A,'Q-Score'!$B196,Manual!$N:$N)</f>
        <v>0</v>
      </c>
      <c r="S196" s="31">
        <f t="shared" si="7"/>
        <v>7.5</v>
      </c>
    </row>
    <row r="197" spans="1:19" x14ac:dyDescent="0.6">
      <c r="A197" s="4" t="s">
        <v>919</v>
      </c>
      <c r="B197" s="7" t="s">
        <v>420</v>
      </c>
      <c r="C197" s="7" t="s">
        <v>421</v>
      </c>
      <c r="D197" s="15"/>
      <c r="E197" s="6"/>
      <c r="F197" s="6"/>
      <c r="G197" s="6">
        <v>1.25</v>
      </c>
      <c r="H197" s="6">
        <v>1.25</v>
      </c>
      <c r="I197" s="6">
        <v>1.25</v>
      </c>
      <c r="J197" s="6">
        <v>1.25</v>
      </c>
      <c r="K197" s="6">
        <v>1.25</v>
      </c>
      <c r="L197" s="6">
        <v>0</v>
      </c>
      <c r="M197" s="6">
        <v>0</v>
      </c>
      <c r="N197" s="6">
        <v>0</v>
      </c>
      <c r="O197" s="6">
        <v>6.25</v>
      </c>
      <c r="P197" s="30">
        <f t="shared" si="6"/>
        <v>6.25</v>
      </c>
      <c r="Q197" s="29">
        <f>SUMIF(Dangerous!$A:$A,'Q-Score'!$B197,Dangerous!$N:$N)</f>
        <v>0</v>
      </c>
      <c r="R197" s="29">
        <f>SUMIF(Manual!$A:$A,'Q-Score'!$B197,Manual!$N:$N)</f>
        <v>0</v>
      </c>
      <c r="S197" s="31">
        <f t="shared" si="7"/>
        <v>6.25</v>
      </c>
    </row>
    <row r="198" spans="1:19" x14ac:dyDescent="0.6">
      <c r="A198" s="4" t="s">
        <v>919</v>
      </c>
      <c r="B198" s="7" t="s">
        <v>422</v>
      </c>
      <c r="C198" s="7" t="s">
        <v>423</v>
      </c>
      <c r="D198" s="15"/>
      <c r="E198" s="6"/>
      <c r="F198" s="6"/>
      <c r="G198" s="6">
        <v>1.25</v>
      </c>
      <c r="H198" s="6">
        <v>1.25</v>
      </c>
      <c r="I198" s="6">
        <v>1.25</v>
      </c>
      <c r="J198" s="6">
        <v>1.25</v>
      </c>
      <c r="K198" s="6">
        <v>1.25</v>
      </c>
      <c r="L198" s="6">
        <v>0</v>
      </c>
      <c r="M198" s="6">
        <v>0</v>
      </c>
      <c r="N198" s="6">
        <v>0</v>
      </c>
      <c r="O198" s="6">
        <v>6.25</v>
      </c>
      <c r="P198" s="30">
        <f t="shared" si="6"/>
        <v>6.25</v>
      </c>
      <c r="Q198" s="29">
        <f>SUMIF(Dangerous!$A:$A,'Q-Score'!$B198,Dangerous!$N:$N)</f>
        <v>0</v>
      </c>
      <c r="R198" s="29">
        <f>SUMIF(Manual!$A:$A,'Q-Score'!$B198,Manual!$N:$N)</f>
        <v>0</v>
      </c>
      <c r="S198" s="31">
        <f t="shared" si="7"/>
        <v>6.25</v>
      </c>
    </row>
    <row r="199" spans="1:19" x14ac:dyDescent="0.6">
      <c r="A199" s="4" t="s">
        <v>919</v>
      </c>
      <c r="B199" s="7" t="s">
        <v>424</v>
      </c>
      <c r="C199" s="7" t="s">
        <v>940</v>
      </c>
      <c r="D199" s="15"/>
      <c r="E199" s="6"/>
      <c r="F199" s="6"/>
      <c r="G199" s="6">
        <v>1.25</v>
      </c>
      <c r="H199" s="6">
        <v>1.25</v>
      </c>
      <c r="I199" s="6">
        <v>1.25</v>
      </c>
      <c r="J199" s="6">
        <v>1.25</v>
      </c>
      <c r="K199" s="6">
        <v>1.25</v>
      </c>
      <c r="L199" s="6">
        <v>0</v>
      </c>
      <c r="M199" s="6">
        <v>0</v>
      </c>
      <c r="N199" s="6">
        <v>0</v>
      </c>
      <c r="O199" s="6">
        <v>6.25</v>
      </c>
      <c r="P199" s="30">
        <f t="shared" si="6"/>
        <v>6.25</v>
      </c>
      <c r="Q199" s="29">
        <f>SUMIF(Dangerous!$A:$A,'Q-Score'!$B199,Dangerous!$N:$N)</f>
        <v>0</v>
      </c>
      <c r="R199" s="29">
        <f>SUMIF(Manual!$A:$A,'Q-Score'!$B199,Manual!$N:$N)</f>
        <v>0</v>
      </c>
      <c r="S199" s="31">
        <f t="shared" si="7"/>
        <v>6.25</v>
      </c>
    </row>
    <row r="200" spans="1:19" x14ac:dyDescent="0.6">
      <c r="A200" s="4" t="s">
        <v>919</v>
      </c>
      <c r="B200" s="7" t="s">
        <v>330</v>
      </c>
      <c r="C200" s="7" t="s">
        <v>331</v>
      </c>
      <c r="D200" s="15"/>
      <c r="E200" s="6"/>
      <c r="F200" s="6"/>
      <c r="G200" s="6">
        <v>1.25</v>
      </c>
      <c r="H200" s="6">
        <v>1.25</v>
      </c>
      <c r="I200" s="6">
        <v>1.25</v>
      </c>
      <c r="J200" s="6">
        <v>1.25</v>
      </c>
      <c r="K200" s="6">
        <v>1.25</v>
      </c>
      <c r="L200" s="6">
        <v>0</v>
      </c>
      <c r="M200" s="6">
        <v>0</v>
      </c>
      <c r="N200" s="6">
        <v>0</v>
      </c>
      <c r="O200" s="6">
        <v>6.25</v>
      </c>
      <c r="P200" s="30">
        <f t="shared" si="6"/>
        <v>6.25</v>
      </c>
      <c r="Q200" s="29">
        <f>SUMIF(Dangerous!$A:$A,'Q-Score'!$B200,Dangerous!$N:$N)</f>
        <v>0</v>
      </c>
      <c r="R200" s="29">
        <f>SUMIF(Manual!$A:$A,'Q-Score'!$B200,Manual!$N:$N)</f>
        <v>0</v>
      </c>
      <c r="S200" s="31">
        <f t="shared" si="7"/>
        <v>6.25</v>
      </c>
    </row>
    <row r="201" spans="1:19" x14ac:dyDescent="0.6">
      <c r="A201" s="4" t="s">
        <v>919</v>
      </c>
      <c r="B201" s="7" t="s">
        <v>474</v>
      </c>
      <c r="C201" s="7" t="s">
        <v>475</v>
      </c>
      <c r="D201" s="15"/>
      <c r="E201" s="6"/>
      <c r="F201" s="6"/>
      <c r="G201" s="6">
        <v>1.25</v>
      </c>
      <c r="H201" s="6">
        <v>2.5</v>
      </c>
      <c r="I201" s="6">
        <v>1.25</v>
      </c>
      <c r="J201" s="6">
        <v>1.25</v>
      </c>
      <c r="K201" s="6">
        <v>1.25</v>
      </c>
      <c r="L201" s="6">
        <v>0</v>
      </c>
      <c r="M201" s="6">
        <v>0</v>
      </c>
      <c r="N201" s="6">
        <v>0</v>
      </c>
      <c r="O201" s="6">
        <v>7.5</v>
      </c>
      <c r="P201" s="30">
        <f t="shared" si="6"/>
        <v>7.5</v>
      </c>
      <c r="Q201" s="29">
        <f>SUMIF(Dangerous!$A:$A,'Q-Score'!$B201,Dangerous!$N:$N)</f>
        <v>0</v>
      </c>
      <c r="R201" s="29">
        <f>SUMIF(Manual!$A:$A,'Q-Score'!$B201,Manual!$N:$N)</f>
        <v>0</v>
      </c>
      <c r="S201" s="31">
        <f t="shared" si="7"/>
        <v>7.5</v>
      </c>
    </row>
    <row r="202" spans="1:19" x14ac:dyDescent="0.6">
      <c r="A202" s="4" t="s">
        <v>919</v>
      </c>
      <c r="B202" s="7" t="s">
        <v>476</v>
      </c>
      <c r="C202" s="7" t="s">
        <v>477</v>
      </c>
      <c r="D202" s="15"/>
      <c r="E202" s="6"/>
      <c r="F202" s="6"/>
      <c r="G202" s="6">
        <v>1.25</v>
      </c>
      <c r="H202" s="6">
        <v>1.25</v>
      </c>
      <c r="I202" s="6">
        <v>1.25</v>
      </c>
      <c r="J202" s="6">
        <v>1.25</v>
      </c>
      <c r="K202" s="6">
        <v>1.25</v>
      </c>
      <c r="L202" s="6">
        <v>0</v>
      </c>
      <c r="M202" s="6">
        <v>0</v>
      </c>
      <c r="N202" s="6">
        <v>0</v>
      </c>
      <c r="O202" s="6">
        <v>6.25</v>
      </c>
      <c r="P202" s="30">
        <f t="shared" si="6"/>
        <v>6.25</v>
      </c>
      <c r="Q202" s="29">
        <f>SUMIF(Dangerous!$A:$A,'Q-Score'!$B202,Dangerous!$N:$N)</f>
        <v>0</v>
      </c>
      <c r="R202" s="29">
        <f>SUMIF(Manual!$A:$A,'Q-Score'!$B202,Manual!$N:$N)</f>
        <v>0</v>
      </c>
      <c r="S202" s="31">
        <f t="shared" si="7"/>
        <v>6.25</v>
      </c>
    </row>
    <row r="203" spans="1:19" x14ac:dyDescent="0.6">
      <c r="A203" s="4" t="s">
        <v>919</v>
      </c>
      <c r="B203" s="7" t="s">
        <v>478</v>
      </c>
      <c r="C203" s="7" t="s">
        <v>479</v>
      </c>
      <c r="D203" s="15"/>
      <c r="E203" s="6"/>
      <c r="F203" s="6"/>
      <c r="G203" s="6">
        <v>1.25</v>
      </c>
      <c r="H203" s="6">
        <v>1.25</v>
      </c>
      <c r="I203" s="6">
        <v>1.25</v>
      </c>
      <c r="J203" s="6">
        <v>1.25</v>
      </c>
      <c r="K203" s="6">
        <v>0</v>
      </c>
      <c r="L203" s="6">
        <v>0</v>
      </c>
      <c r="M203" s="6">
        <v>0</v>
      </c>
      <c r="N203" s="6">
        <v>0</v>
      </c>
      <c r="O203" s="6">
        <v>5</v>
      </c>
      <c r="P203" s="30">
        <f t="shared" si="6"/>
        <v>5</v>
      </c>
      <c r="Q203" s="29">
        <f>SUMIF(Dangerous!$A:$A,'Q-Score'!$B203,Dangerous!$N:$N)</f>
        <v>0</v>
      </c>
      <c r="R203" s="29">
        <f>SUMIF(Manual!$A:$A,'Q-Score'!$B203,Manual!$N:$N)</f>
        <v>0</v>
      </c>
      <c r="S203" s="31">
        <f t="shared" si="7"/>
        <v>5</v>
      </c>
    </row>
    <row r="204" spans="1:19" x14ac:dyDescent="0.6">
      <c r="A204" s="4" t="s">
        <v>919</v>
      </c>
      <c r="B204" s="7" t="s">
        <v>480</v>
      </c>
      <c r="C204" s="7" t="s">
        <v>941</v>
      </c>
      <c r="D204" s="15"/>
      <c r="E204" s="6"/>
      <c r="F204" s="6"/>
      <c r="G204" s="6">
        <v>1.25</v>
      </c>
      <c r="H204" s="6">
        <v>2.5</v>
      </c>
      <c r="I204" s="6">
        <v>1.25</v>
      </c>
      <c r="J204" s="6">
        <v>1.25</v>
      </c>
      <c r="K204" s="6">
        <v>1.25</v>
      </c>
      <c r="L204" s="6">
        <v>0</v>
      </c>
      <c r="M204" s="6">
        <v>0</v>
      </c>
      <c r="N204" s="6">
        <v>0</v>
      </c>
      <c r="O204" s="6">
        <v>7.5</v>
      </c>
      <c r="P204" s="30">
        <f t="shared" si="6"/>
        <v>7.5</v>
      </c>
      <c r="Q204" s="29">
        <f>SUMIF(Dangerous!$A:$A,'Q-Score'!$B204,Dangerous!$N:$N)</f>
        <v>0</v>
      </c>
      <c r="R204" s="29">
        <f>SUMIF(Manual!$A:$A,'Q-Score'!$B204,Manual!$N:$N)</f>
        <v>0</v>
      </c>
      <c r="S204" s="31">
        <f t="shared" si="7"/>
        <v>7.5</v>
      </c>
    </row>
    <row r="205" spans="1:19" x14ac:dyDescent="0.6">
      <c r="A205" s="4" t="s">
        <v>919</v>
      </c>
      <c r="B205" s="7" t="s">
        <v>324</v>
      </c>
      <c r="C205" s="7" t="s">
        <v>942</v>
      </c>
      <c r="D205" s="15"/>
      <c r="E205" s="6"/>
      <c r="F205" s="6"/>
      <c r="G205" s="6">
        <v>0</v>
      </c>
      <c r="H205" s="6">
        <v>0</v>
      </c>
      <c r="I205" s="6">
        <v>1.25</v>
      </c>
      <c r="J205" s="6">
        <v>1.25</v>
      </c>
      <c r="K205" s="6">
        <v>0</v>
      </c>
      <c r="L205" s="6">
        <v>0</v>
      </c>
      <c r="M205" s="6">
        <v>0</v>
      </c>
      <c r="N205" s="6">
        <v>0</v>
      </c>
      <c r="O205" s="6">
        <v>2.5</v>
      </c>
      <c r="P205" s="30">
        <f t="shared" si="6"/>
        <v>2.5</v>
      </c>
      <c r="Q205" s="29">
        <f>SUMIF(Dangerous!$A:$A,'Q-Score'!$B205,Dangerous!$N:$N)</f>
        <v>0</v>
      </c>
      <c r="R205" s="29">
        <f>SUMIF(Manual!$A:$A,'Q-Score'!$B205,Manual!$N:$N)</f>
        <v>0</v>
      </c>
      <c r="S205" s="31">
        <f t="shared" si="7"/>
        <v>2.5</v>
      </c>
    </row>
    <row r="206" spans="1:19" x14ac:dyDescent="0.6">
      <c r="A206" s="4" t="s">
        <v>919</v>
      </c>
      <c r="B206" s="7" t="s">
        <v>382</v>
      </c>
      <c r="C206" s="7" t="s">
        <v>943</v>
      </c>
      <c r="D206" s="15"/>
      <c r="E206" s="6"/>
      <c r="F206" s="6"/>
      <c r="G206" s="6">
        <v>1.25</v>
      </c>
      <c r="H206" s="6">
        <v>2.5</v>
      </c>
      <c r="I206" s="6">
        <v>1.25</v>
      </c>
      <c r="J206" s="6">
        <v>1.25</v>
      </c>
      <c r="K206" s="6">
        <v>1.25</v>
      </c>
      <c r="L206" s="6">
        <v>0</v>
      </c>
      <c r="M206" s="6">
        <v>0</v>
      </c>
      <c r="N206" s="6">
        <v>0</v>
      </c>
      <c r="O206" s="6">
        <v>7.5</v>
      </c>
      <c r="P206" s="30">
        <f t="shared" si="6"/>
        <v>7.5</v>
      </c>
      <c r="Q206" s="29">
        <f>SUMIF(Dangerous!$A:$A,'Q-Score'!$B206,Dangerous!$N:$N)</f>
        <v>0</v>
      </c>
      <c r="R206" s="29">
        <f>SUMIF(Manual!$A:$A,'Q-Score'!$B206,Manual!$N:$N)</f>
        <v>0</v>
      </c>
      <c r="S206" s="31">
        <f t="shared" si="7"/>
        <v>7.5</v>
      </c>
    </row>
    <row r="207" spans="1:19" x14ac:dyDescent="0.6">
      <c r="A207" s="4" t="s">
        <v>919</v>
      </c>
      <c r="B207" s="7" t="s">
        <v>326</v>
      </c>
      <c r="C207" s="7" t="s">
        <v>944</v>
      </c>
      <c r="D207" s="15"/>
      <c r="E207" s="6"/>
      <c r="F207" s="6"/>
      <c r="G207" s="6">
        <v>1.25</v>
      </c>
      <c r="H207" s="6">
        <v>1.25</v>
      </c>
      <c r="I207" s="6">
        <v>1.25</v>
      </c>
      <c r="J207" s="6">
        <v>1.25</v>
      </c>
      <c r="K207" s="6">
        <v>1.25</v>
      </c>
      <c r="L207" s="6">
        <v>0</v>
      </c>
      <c r="M207" s="6">
        <v>0</v>
      </c>
      <c r="N207" s="6">
        <v>0</v>
      </c>
      <c r="O207" s="6">
        <v>6.25</v>
      </c>
      <c r="P207" s="30">
        <f t="shared" si="6"/>
        <v>6.25</v>
      </c>
      <c r="Q207" s="29">
        <f>SUMIF(Dangerous!$A:$A,'Q-Score'!$B207,Dangerous!$N:$N)</f>
        <v>0</v>
      </c>
      <c r="R207" s="29">
        <f>SUMIF(Manual!$A:$A,'Q-Score'!$B207,Manual!$N:$N)</f>
        <v>0</v>
      </c>
      <c r="S207" s="31">
        <f t="shared" si="7"/>
        <v>6.25</v>
      </c>
    </row>
    <row r="208" spans="1:19" x14ac:dyDescent="0.6">
      <c r="A208" s="4" t="s">
        <v>919</v>
      </c>
      <c r="B208" s="7" t="s">
        <v>344</v>
      </c>
      <c r="C208" s="7" t="s">
        <v>345</v>
      </c>
      <c r="D208" s="15"/>
      <c r="E208" s="6"/>
      <c r="F208" s="6"/>
      <c r="G208" s="6">
        <v>1.25</v>
      </c>
      <c r="H208" s="6">
        <v>1.25</v>
      </c>
      <c r="I208" s="6">
        <v>1.25</v>
      </c>
      <c r="J208" s="6">
        <v>1.25</v>
      </c>
      <c r="K208" s="6">
        <v>1.25</v>
      </c>
      <c r="L208" s="6">
        <v>0</v>
      </c>
      <c r="M208" s="6">
        <v>0</v>
      </c>
      <c r="N208" s="6">
        <v>0</v>
      </c>
      <c r="O208" s="6">
        <v>6.25</v>
      </c>
      <c r="P208" s="30">
        <f t="shared" si="6"/>
        <v>6.25</v>
      </c>
      <c r="Q208" s="29">
        <f>SUMIF(Dangerous!$A:$A,'Q-Score'!$B208,Dangerous!$N:$N)</f>
        <v>0</v>
      </c>
      <c r="R208" s="29">
        <f>SUMIF(Manual!$A:$A,'Q-Score'!$B208,Manual!$N:$N)</f>
        <v>0</v>
      </c>
      <c r="S208" s="31">
        <f t="shared" si="7"/>
        <v>6.25</v>
      </c>
    </row>
    <row r="209" spans="1:19" x14ac:dyDescent="0.6">
      <c r="A209" s="4" t="s">
        <v>919</v>
      </c>
      <c r="B209" s="7" t="s">
        <v>334</v>
      </c>
      <c r="C209" s="7" t="s">
        <v>335</v>
      </c>
      <c r="D209" s="15"/>
      <c r="E209" s="6"/>
      <c r="F209" s="6"/>
      <c r="G209" s="6">
        <v>2.5</v>
      </c>
      <c r="H209" s="6">
        <v>1.25</v>
      </c>
      <c r="I209" s="6">
        <v>1.25</v>
      </c>
      <c r="J209" s="6">
        <v>1.25</v>
      </c>
      <c r="K209" s="6">
        <v>1.25</v>
      </c>
      <c r="L209" s="6">
        <v>0</v>
      </c>
      <c r="M209" s="6">
        <v>0</v>
      </c>
      <c r="N209" s="6">
        <v>0</v>
      </c>
      <c r="O209" s="6">
        <v>7.5</v>
      </c>
      <c r="P209" s="30">
        <f t="shared" si="6"/>
        <v>7.5</v>
      </c>
      <c r="Q209" s="29">
        <f>SUMIF(Dangerous!$A:$A,'Q-Score'!$B209,Dangerous!$N:$N)</f>
        <v>0</v>
      </c>
      <c r="R209" s="29">
        <f>SUMIF(Manual!$A:$A,'Q-Score'!$B209,Manual!$N:$N)</f>
        <v>0</v>
      </c>
      <c r="S209" s="31">
        <f t="shared" si="7"/>
        <v>7.5</v>
      </c>
    </row>
    <row r="210" spans="1:19" x14ac:dyDescent="0.6">
      <c r="A210" s="4" t="s">
        <v>919</v>
      </c>
      <c r="B210" s="7" t="s">
        <v>336</v>
      </c>
      <c r="C210" s="7" t="s">
        <v>337</v>
      </c>
      <c r="D210" s="15"/>
      <c r="E210" s="6"/>
      <c r="F210" s="6"/>
      <c r="G210" s="6">
        <v>1.25</v>
      </c>
      <c r="H210" s="6">
        <v>1.25</v>
      </c>
      <c r="I210" s="6">
        <v>1.25</v>
      </c>
      <c r="J210" s="6">
        <v>1.25</v>
      </c>
      <c r="K210" s="6">
        <v>1.25</v>
      </c>
      <c r="L210" s="6">
        <v>0</v>
      </c>
      <c r="M210" s="6">
        <v>0</v>
      </c>
      <c r="N210" s="6">
        <v>0</v>
      </c>
      <c r="O210" s="6">
        <v>6.25</v>
      </c>
      <c r="P210" s="30">
        <f t="shared" si="6"/>
        <v>6.25</v>
      </c>
      <c r="Q210" s="29">
        <f>SUMIF(Dangerous!$A:$A,'Q-Score'!$B210,Dangerous!$N:$N)</f>
        <v>0</v>
      </c>
      <c r="R210" s="29">
        <f>SUMIF(Manual!$A:$A,'Q-Score'!$B210,Manual!$N:$N)</f>
        <v>0</v>
      </c>
      <c r="S210" s="31">
        <f t="shared" si="7"/>
        <v>6.25</v>
      </c>
    </row>
    <row r="211" spans="1:19" x14ac:dyDescent="0.6">
      <c r="A211" s="4" t="s">
        <v>919</v>
      </c>
      <c r="B211" s="7" t="s">
        <v>338</v>
      </c>
      <c r="C211" s="7" t="s">
        <v>339</v>
      </c>
      <c r="D211" s="15"/>
      <c r="E211" s="6"/>
      <c r="F211" s="6"/>
      <c r="G211" s="6">
        <v>0</v>
      </c>
      <c r="H211" s="6">
        <v>1.25</v>
      </c>
      <c r="I211" s="6">
        <v>1.25</v>
      </c>
      <c r="J211" s="6">
        <v>1.25</v>
      </c>
      <c r="K211" s="6">
        <v>1.25</v>
      </c>
      <c r="L211" s="6">
        <v>0</v>
      </c>
      <c r="M211" s="6">
        <v>0</v>
      </c>
      <c r="N211" s="6">
        <v>0</v>
      </c>
      <c r="O211" s="6">
        <v>5</v>
      </c>
      <c r="P211" s="30">
        <f t="shared" si="6"/>
        <v>5</v>
      </c>
      <c r="Q211" s="29">
        <f>SUMIF(Dangerous!$A:$A,'Q-Score'!$B211,Dangerous!$N:$N)</f>
        <v>0</v>
      </c>
      <c r="R211" s="29">
        <f>SUMIF(Manual!$A:$A,'Q-Score'!$B211,Manual!$N:$N)</f>
        <v>0</v>
      </c>
      <c r="S211" s="31">
        <f t="shared" si="7"/>
        <v>5</v>
      </c>
    </row>
    <row r="212" spans="1:19" x14ac:dyDescent="0.6">
      <c r="A212" s="4" t="s">
        <v>919</v>
      </c>
      <c r="B212" s="7" t="s">
        <v>332</v>
      </c>
      <c r="C212" s="7" t="s">
        <v>945</v>
      </c>
      <c r="D212" s="15"/>
      <c r="E212" s="6"/>
      <c r="F212" s="6"/>
      <c r="G212" s="6">
        <v>1.25</v>
      </c>
      <c r="H212" s="6">
        <v>1.25</v>
      </c>
      <c r="I212" s="6">
        <v>2.5</v>
      </c>
      <c r="J212" s="6">
        <v>1.25</v>
      </c>
      <c r="K212" s="6">
        <v>2.5</v>
      </c>
      <c r="L212" s="6">
        <v>0</v>
      </c>
      <c r="M212" s="6">
        <v>0</v>
      </c>
      <c r="N212" s="6">
        <v>0</v>
      </c>
      <c r="O212" s="6">
        <v>8.75</v>
      </c>
      <c r="P212" s="30">
        <f t="shared" si="6"/>
        <v>8.75</v>
      </c>
      <c r="Q212" s="29">
        <f>SUMIF(Dangerous!$A:$A,'Q-Score'!$B212,Dangerous!$N:$N)</f>
        <v>0</v>
      </c>
      <c r="R212" s="29">
        <f>SUMIF(Manual!$A:$A,'Q-Score'!$B212,Manual!$N:$N)</f>
        <v>0</v>
      </c>
      <c r="S212" s="31">
        <f t="shared" si="7"/>
        <v>8.75</v>
      </c>
    </row>
    <row r="213" spans="1:19" x14ac:dyDescent="0.6">
      <c r="A213" s="4" t="s">
        <v>919</v>
      </c>
      <c r="B213" s="7" t="s">
        <v>340</v>
      </c>
      <c r="C213" s="7" t="s">
        <v>341</v>
      </c>
      <c r="D213" s="15"/>
      <c r="E213" s="6"/>
      <c r="F213" s="6"/>
      <c r="G213" s="6">
        <v>2.5</v>
      </c>
      <c r="H213" s="6">
        <v>1.25</v>
      </c>
      <c r="I213" s="6">
        <v>1.25</v>
      </c>
      <c r="J213" s="6">
        <v>1.25</v>
      </c>
      <c r="K213" s="6">
        <v>1.25</v>
      </c>
      <c r="L213" s="6">
        <v>0</v>
      </c>
      <c r="M213" s="6">
        <v>0</v>
      </c>
      <c r="N213" s="6">
        <v>0</v>
      </c>
      <c r="O213" s="6">
        <v>7.5</v>
      </c>
      <c r="P213" s="30">
        <f t="shared" si="6"/>
        <v>7.5</v>
      </c>
      <c r="Q213" s="29">
        <f>SUMIF(Dangerous!$A:$A,'Q-Score'!$B213,Dangerous!$N:$N)</f>
        <v>0</v>
      </c>
      <c r="R213" s="29">
        <f>SUMIF(Manual!$A:$A,'Q-Score'!$B213,Manual!$N:$N)</f>
        <v>0</v>
      </c>
      <c r="S213" s="31">
        <f t="shared" si="7"/>
        <v>7.5</v>
      </c>
    </row>
    <row r="214" spans="1:19" x14ac:dyDescent="0.6">
      <c r="A214" s="4" t="s">
        <v>919</v>
      </c>
      <c r="B214" s="7" t="s">
        <v>454</v>
      </c>
      <c r="C214" s="7" t="s">
        <v>455</v>
      </c>
      <c r="D214" s="15"/>
      <c r="E214" s="6"/>
      <c r="F214" s="6"/>
      <c r="G214" s="6">
        <v>1.25</v>
      </c>
      <c r="H214" s="6">
        <v>2.5</v>
      </c>
      <c r="I214" s="6">
        <v>1.25</v>
      </c>
      <c r="J214" s="6">
        <v>1.25</v>
      </c>
      <c r="K214" s="6">
        <v>1.25</v>
      </c>
      <c r="L214" s="6">
        <v>0</v>
      </c>
      <c r="M214" s="6">
        <v>0</v>
      </c>
      <c r="N214" s="6">
        <v>0</v>
      </c>
      <c r="O214" s="6">
        <v>7.5</v>
      </c>
      <c r="P214" s="30">
        <f t="shared" si="6"/>
        <v>7.5</v>
      </c>
      <c r="Q214" s="29">
        <f>SUMIF(Dangerous!$A:$A,'Q-Score'!$B214,Dangerous!$N:$N)</f>
        <v>0</v>
      </c>
      <c r="R214" s="29">
        <f>SUMIF(Manual!$A:$A,'Q-Score'!$B214,Manual!$N:$N)</f>
        <v>0</v>
      </c>
      <c r="S214" s="31">
        <f t="shared" si="7"/>
        <v>7.5</v>
      </c>
    </row>
    <row r="215" spans="1:19" x14ac:dyDescent="0.6">
      <c r="A215" s="4" t="s">
        <v>919</v>
      </c>
      <c r="B215" s="7" t="s">
        <v>396</v>
      </c>
      <c r="C215" s="7" t="s">
        <v>397</v>
      </c>
      <c r="D215" s="15"/>
      <c r="E215" s="6"/>
      <c r="F215" s="6"/>
      <c r="G215" s="6">
        <v>1.25</v>
      </c>
      <c r="H215" s="6">
        <v>0</v>
      </c>
      <c r="I215" s="6">
        <v>1.25</v>
      </c>
      <c r="J215" s="6">
        <v>1.25</v>
      </c>
      <c r="K215" s="6">
        <v>1.25</v>
      </c>
      <c r="L215" s="6">
        <v>0</v>
      </c>
      <c r="M215" s="6">
        <v>0</v>
      </c>
      <c r="N215" s="6">
        <v>0</v>
      </c>
      <c r="O215" s="6">
        <v>5</v>
      </c>
      <c r="P215" s="30">
        <f t="shared" si="6"/>
        <v>5</v>
      </c>
      <c r="Q215" s="29">
        <f>SUMIF(Dangerous!$A:$A,'Q-Score'!$B215,Dangerous!$N:$N)</f>
        <v>0</v>
      </c>
      <c r="R215" s="29">
        <f>SUMIF(Manual!$A:$A,'Q-Score'!$B215,Manual!$N:$N)</f>
        <v>0</v>
      </c>
      <c r="S215" s="31">
        <f t="shared" si="7"/>
        <v>5</v>
      </c>
    </row>
    <row r="216" spans="1:19" x14ac:dyDescent="0.6">
      <c r="A216" s="4" t="s">
        <v>919</v>
      </c>
      <c r="B216" s="7" t="s">
        <v>352</v>
      </c>
      <c r="C216" s="7" t="s">
        <v>947</v>
      </c>
      <c r="D216" s="15"/>
      <c r="E216" s="6"/>
      <c r="F216" s="6"/>
      <c r="G216" s="6">
        <v>1.25</v>
      </c>
      <c r="H216" s="6">
        <v>1.25</v>
      </c>
      <c r="I216" s="6">
        <v>2.5</v>
      </c>
      <c r="J216" s="6">
        <v>1.25</v>
      </c>
      <c r="K216" s="6">
        <v>1.25</v>
      </c>
      <c r="L216" s="6">
        <v>0</v>
      </c>
      <c r="M216" s="6">
        <v>0</v>
      </c>
      <c r="N216" s="6">
        <v>0</v>
      </c>
      <c r="O216" s="6">
        <v>7.5</v>
      </c>
      <c r="P216" s="30">
        <f t="shared" si="6"/>
        <v>7.5</v>
      </c>
      <c r="Q216" s="29">
        <f>SUMIF(Dangerous!$A:$A,'Q-Score'!$B216,Dangerous!$N:$N)</f>
        <v>0</v>
      </c>
      <c r="R216" s="29">
        <f>SUMIF(Manual!$A:$A,'Q-Score'!$B216,Manual!$N:$N)</f>
        <v>0</v>
      </c>
      <c r="S216" s="31">
        <f t="shared" si="7"/>
        <v>7.5</v>
      </c>
    </row>
    <row r="217" spans="1:19" x14ac:dyDescent="0.6">
      <c r="A217" s="4" t="s">
        <v>919</v>
      </c>
      <c r="B217" s="7" t="s">
        <v>398</v>
      </c>
      <c r="C217" s="7" t="s">
        <v>399</v>
      </c>
      <c r="D217" s="15"/>
      <c r="E217" s="6"/>
      <c r="F217" s="6"/>
      <c r="G217" s="6">
        <v>1.25</v>
      </c>
      <c r="H217" s="6">
        <v>1.25</v>
      </c>
      <c r="I217" s="6">
        <v>1.25</v>
      </c>
      <c r="J217" s="6">
        <v>1.25</v>
      </c>
      <c r="K217" s="6">
        <v>1.25</v>
      </c>
      <c r="L217" s="6">
        <v>0</v>
      </c>
      <c r="M217" s="6">
        <v>0</v>
      </c>
      <c r="N217" s="6">
        <v>0</v>
      </c>
      <c r="O217" s="6">
        <v>6.25</v>
      </c>
      <c r="P217" s="30">
        <f t="shared" si="6"/>
        <v>6.25</v>
      </c>
      <c r="Q217" s="29">
        <f>SUMIF(Dangerous!$A:$A,'Q-Score'!$B217,Dangerous!$N:$N)</f>
        <v>0</v>
      </c>
      <c r="R217" s="29">
        <f>SUMIF(Manual!$A:$A,'Q-Score'!$B217,Manual!$N:$N)</f>
        <v>0</v>
      </c>
      <c r="S217" s="31">
        <f t="shared" si="7"/>
        <v>6.25</v>
      </c>
    </row>
    <row r="218" spans="1:19" x14ac:dyDescent="0.6">
      <c r="A218" s="4" t="s">
        <v>919</v>
      </c>
      <c r="B218" s="7" t="s">
        <v>400</v>
      </c>
      <c r="C218" s="7" t="s">
        <v>401</v>
      </c>
      <c r="D218" s="15"/>
      <c r="E218" s="6"/>
      <c r="F218" s="6"/>
      <c r="G218" s="6">
        <v>1.25</v>
      </c>
      <c r="H218" s="6">
        <v>1.25</v>
      </c>
      <c r="I218" s="6">
        <v>1.25</v>
      </c>
      <c r="J218" s="6">
        <v>1.25</v>
      </c>
      <c r="K218" s="6">
        <v>1.25</v>
      </c>
      <c r="L218" s="6">
        <v>0</v>
      </c>
      <c r="M218" s="6">
        <v>0</v>
      </c>
      <c r="N218" s="6">
        <v>0</v>
      </c>
      <c r="O218" s="6">
        <v>6.25</v>
      </c>
      <c r="P218" s="30">
        <f t="shared" si="6"/>
        <v>6.25</v>
      </c>
      <c r="Q218" s="29">
        <f>SUMIF(Dangerous!$A:$A,'Q-Score'!$B218,Dangerous!$N:$N)</f>
        <v>0</v>
      </c>
      <c r="R218" s="29">
        <f>SUMIF(Manual!$A:$A,'Q-Score'!$B218,Manual!$N:$N)</f>
        <v>0</v>
      </c>
      <c r="S218" s="31">
        <f t="shared" si="7"/>
        <v>6.25</v>
      </c>
    </row>
    <row r="219" spans="1:19" x14ac:dyDescent="0.6">
      <c r="A219" s="4" t="s">
        <v>919</v>
      </c>
      <c r="B219" s="7" t="s">
        <v>470</v>
      </c>
      <c r="C219" s="7" t="s">
        <v>471</v>
      </c>
      <c r="D219" s="15"/>
      <c r="E219" s="6"/>
      <c r="F219" s="6"/>
      <c r="G219" s="6">
        <v>1.25</v>
      </c>
      <c r="H219" s="6">
        <v>2.5</v>
      </c>
      <c r="I219" s="6">
        <v>1.25</v>
      </c>
      <c r="J219" s="6">
        <v>1.25</v>
      </c>
      <c r="K219" s="6">
        <v>1.25</v>
      </c>
      <c r="L219" s="6">
        <v>0</v>
      </c>
      <c r="M219" s="6">
        <v>0</v>
      </c>
      <c r="N219" s="6">
        <v>0</v>
      </c>
      <c r="O219" s="6">
        <v>7.5</v>
      </c>
      <c r="P219" s="30">
        <f t="shared" si="6"/>
        <v>7.5</v>
      </c>
      <c r="Q219" s="29">
        <f>SUMIF(Dangerous!$A:$A,'Q-Score'!$B219,Dangerous!$N:$N)</f>
        <v>0</v>
      </c>
      <c r="R219" s="29">
        <f>SUMIF(Manual!$A:$A,'Q-Score'!$B219,Manual!$N:$N)</f>
        <v>0</v>
      </c>
      <c r="S219" s="31">
        <f t="shared" si="7"/>
        <v>7.5</v>
      </c>
    </row>
    <row r="220" spans="1:19" x14ac:dyDescent="0.6">
      <c r="A220" s="4" t="s">
        <v>919</v>
      </c>
      <c r="B220" s="7" t="s">
        <v>366</v>
      </c>
      <c r="C220" s="7" t="s">
        <v>367</v>
      </c>
      <c r="D220" s="15"/>
      <c r="E220" s="6"/>
      <c r="F220" s="6"/>
      <c r="G220" s="6">
        <v>2.5</v>
      </c>
      <c r="H220" s="6">
        <v>1.25</v>
      </c>
      <c r="I220" s="6">
        <v>1.25</v>
      </c>
      <c r="J220" s="6">
        <v>2.5</v>
      </c>
      <c r="K220" s="6">
        <v>1.25</v>
      </c>
      <c r="L220" s="6">
        <v>0</v>
      </c>
      <c r="M220" s="6">
        <v>0</v>
      </c>
      <c r="N220" s="6">
        <v>0</v>
      </c>
      <c r="O220" s="6">
        <v>8.75</v>
      </c>
      <c r="P220" s="30">
        <f t="shared" si="6"/>
        <v>8.75</v>
      </c>
      <c r="Q220" s="29">
        <f>SUMIF(Dangerous!$A:$A,'Q-Score'!$B220,Dangerous!$N:$N)</f>
        <v>0</v>
      </c>
      <c r="R220" s="29">
        <f>SUMIF(Manual!$A:$A,'Q-Score'!$B220,Manual!$N:$N)</f>
        <v>0</v>
      </c>
      <c r="S220" s="31">
        <f t="shared" si="7"/>
        <v>8.75</v>
      </c>
    </row>
    <row r="221" spans="1:19" x14ac:dyDescent="0.6">
      <c r="A221" s="4" t="s">
        <v>919</v>
      </c>
      <c r="B221" s="7" t="s">
        <v>354</v>
      </c>
      <c r="C221" s="7" t="s">
        <v>355</v>
      </c>
      <c r="D221" s="15"/>
      <c r="E221" s="6"/>
      <c r="F221" s="6"/>
      <c r="G221" s="6">
        <v>1.25</v>
      </c>
      <c r="H221" s="6">
        <v>1.25</v>
      </c>
      <c r="I221" s="6">
        <v>1.25</v>
      </c>
      <c r="J221" s="6">
        <v>1.25</v>
      </c>
      <c r="K221" s="6">
        <v>1.25</v>
      </c>
      <c r="L221" s="6">
        <v>0</v>
      </c>
      <c r="M221" s="6">
        <v>0</v>
      </c>
      <c r="N221" s="6">
        <v>0</v>
      </c>
      <c r="O221" s="6">
        <v>6.25</v>
      </c>
      <c r="P221" s="30">
        <f t="shared" si="6"/>
        <v>6.25</v>
      </c>
      <c r="Q221" s="29">
        <f>SUMIF(Dangerous!$A:$A,'Q-Score'!$B221,Dangerous!$N:$N)</f>
        <v>0</v>
      </c>
      <c r="R221" s="29">
        <f>SUMIF(Manual!$A:$A,'Q-Score'!$B221,Manual!$N:$N)</f>
        <v>0</v>
      </c>
      <c r="S221" s="31">
        <f t="shared" si="7"/>
        <v>6.25</v>
      </c>
    </row>
    <row r="222" spans="1:19" x14ac:dyDescent="0.6">
      <c r="A222" s="4" t="s">
        <v>919</v>
      </c>
      <c r="B222" s="7" t="s">
        <v>364</v>
      </c>
      <c r="C222" s="7" t="s">
        <v>365</v>
      </c>
      <c r="D222" s="15"/>
      <c r="E222" s="6"/>
      <c r="F222" s="6"/>
      <c r="G222" s="6">
        <v>1.25</v>
      </c>
      <c r="H222" s="6">
        <v>1.25</v>
      </c>
      <c r="I222" s="6">
        <v>1.25</v>
      </c>
      <c r="J222" s="6">
        <v>1.25</v>
      </c>
      <c r="K222" s="6">
        <v>1.25</v>
      </c>
      <c r="L222" s="6">
        <v>0</v>
      </c>
      <c r="M222" s="6">
        <v>0</v>
      </c>
      <c r="N222" s="6">
        <v>0</v>
      </c>
      <c r="O222" s="6">
        <v>6.25</v>
      </c>
      <c r="P222" s="30">
        <f t="shared" si="6"/>
        <v>6.25</v>
      </c>
      <c r="Q222" s="29">
        <f>SUMIF(Dangerous!$A:$A,'Q-Score'!$B222,Dangerous!$N:$N)</f>
        <v>0</v>
      </c>
      <c r="R222" s="29">
        <f>SUMIF(Manual!$A:$A,'Q-Score'!$B222,Manual!$N:$N)</f>
        <v>0</v>
      </c>
      <c r="S222" s="31">
        <f t="shared" si="7"/>
        <v>6.25</v>
      </c>
    </row>
    <row r="223" spans="1:19" x14ac:dyDescent="0.6">
      <c r="A223" s="4" t="s">
        <v>919</v>
      </c>
      <c r="B223" s="7" t="s">
        <v>426</v>
      </c>
      <c r="C223" s="7" t="s">
        <v>948</v>
      </c>
      <c r="D223" s="15"/>
      <c r="E223" s="6"/>
      <c r="F223" s="6"/>
      <c r="G223" s="6">
        <v>1.25</v>
      </c>
      <c r="H223" s="6">
        <v>1.25</v>
      </c>
      <c r="I223" s="6">
        <v>1.25</v>
      </c>
      <c r="J223" s="6">
        <v>2.5</v>
      </c>
      <c r="K223" s="6">
        <v>0</v>
      </c>
      <c r="L223" s="6">
        <v>0</v>
      </c>
      <c r="M223" s="6">
        <v>0</v>
      </c>
      <c r="N223" s="6">
        <v>0</v>
      </c>
      <c r="O223" s="6">
        <v>6.25</v>
      </c>
      <c r="P223" s="30">
        <f t="shared" si="6"/>
        <v>6.25</v>
      </c>
      <c r="Q223" s="29">
        <f>SUMIF(Dangerous!$A:$A,'Q-Score'!$B223,Dangerous!$N:$N)</f>
        <v>0</v>
      </c>
      <c r="R223" s="29">
        <f>SUMIF(Manual!$A:$A,'Q-Score'!$B223,Manual!$N:$N)</f>
        <v>0</v>
      </c>
      <c r="S223" s="31">
        <f t="shared" si="7"/>
        <v>6.25</v>
      </c>
    </row>
    <row r="224" spans="1:19" x14ac:dyDescent="0.6">
      <c r="A224" s="4" t="s">
        <v>919</v>
      </c>
      <c r="B224" s="7" t="s">
        <v>362</v>
      </c>
      <c r="C224" s="7" t="s">
        <v>363</v>
      </c>
      <c r="D224" s="15"/>
      <c r="E224" s="6"/>
      <c r="F224" s="6"/>
      <c r="G224" s="6">
        <v>1.25</v>
      </c>
      <c r="H224" s="6">
        <v>1.25</v>
      </c>
      <c r="I224" s="6">
        <v>1.25</v>
      </c>
      <c r="J224" s="6">
        <v>2.5</v>
      </c>
      <c r="K224" s="6">
        <v>2.5</v>
      </c>
      <c r="L224" s="6">
        <v>0</v>
      </c>
      <c r="M224" s="6">
        <v>0</v>
      </c>
      <c r="N224" s="6">
        <v>0</v>
      </c>
      <c r="O224" s="6">
        <v>8.75</v>
      </c>
      <c r="P224" s="30">
        <f t="shared" si="6"/>
        <v>8.75</v>
      </c>
      <c r="Q224" s="29">
        <f>SUMIF(Dangerous!$A:$A,'Q-Score'!$B224,Dangerous!$N:$N)</f>
        <v>0</v>
      </c>
      <c r="R224" s="29">
        <f>SUMIF(Manual!$A:$A,'Q-Score'!$B224,Manual!$N:$N)</f>
        <v>0</v>
      </c>
      <c r="S224" s="31">
        <f t="shared" si="7"/>
        <v>8.75</v>
      </c>
    </row>
    <row r="225" spans="1:19" x14ac:dyDescent="0.6">
      <c r="A225" s="4" t="s">
        <v>919</v>
      </c>
      <c r="B225" s="7" t="s">
        <v>404</v>
      </c>
      <c r="C225" s="7" t="s">
        <v>405</v>
      </c>
      <c r="D225" s="15"/>
      <c r="E225" s="6"/>
      <c r="F225" s="6"/>
      <c r="G225" s="6">
        <v>2.5</v>
      </c>
      <c r="H225" s="6">
        <v>1.25</v>
      </c>
      <c r="I225" s="6">
        <v>1.25</v>
      </c>
      <c r="J225" s="6">
        <v>1.25</v>
      </c>
      <c r="K225" s="6">
        <v>1.25</v>
      </c>
      <c r="L225" s="6">
        <v>0</v>
      </c>
      <c r="M225" s="6">
        <v>0</v>
      </c>
      <c r="N225" s="6">
        <v>0</v>
      </c>
      <c r="O225" s="6">
        <v>7.5</v>
      </c>
      <c r="P225" s="30">
        <f t="shared" si="6"/>
        <v>7.5</v>
      </c>
      <c r="Q225" s="29">
        <f>SUMIF(Dangerous!$A:$A,'Q-Score'!$B225,Dangerous!$N:$N)</f>
        <v>0</v>
      </c>
      <c r="R225" s="29">
        <f>SUMIF(Manual!$A:$A,'Q-Score'!$B225,Manual!$N:$N)</f>
        <v>0</v>
      </c>
      <c r="S225" s="31">
        <f t="shared" si="7"/>
        <v>7.5</v>
      </c>
    </row>
    <row r="226" spans="1:19" x14ac:dyDescent="0.6">
      <c r="A226" s="4" t="s">
        <v>919</v>
      </c>
      <c r="B226" s="7" t="s">
        <v>346</v>
      </c>
      <c r="C226" s="7" t="s">
        <v>347</v>
      </c>
      <c r="D226" s="15"/>
      <c r="E226" s="6"/>
      <c r="F226" s="6"/>
      <c r="G226" s="6">
        <v>1.25</v>
      </c>
      <c r="H226" s="6">
        <v>1.25</v>
      </c>
      <c r="I226" s="6">
        <v>1.25</v>
      </c>
      <c r="J226" s="6">
        <v>1.25</v>
      </c>
      <c r="K226" s="6">
        <v>0</v>
      </c>
      <c r="L226" s="6">
        <v>0</v>
      </c>
      <c r="M226" s="6">
        <v>0</v>
      </c>
      <c r="N226" s="6">
        <v>0</v>
      </c>
      <c r="O226" s="6">
        <v>5</v>
      </c>
      <c r="P226" s="30">
        <f t="shared" si="6"/>
        <v>5</v>
      </c>
      <c r="Q226" s="29">
        <f>SUMIF(Dangerous!$A:$A,'Q-Score'!$B226,Dangerous!$N:$N)</f>
        <v>0</v>
      </c>
      <c r="R226" s="29">
        <f>SUMIF(Manual!$A:$A,'Q-Score'!$B226,Manual!$N:$N)</f>
        <v>0</v>
      </c>
      <c r="S226" s="31">
        <f t="shared" si="7"/>
        <v>5</v>
      </c>
    </row>
    <row r="227" spans="1:19" x14ac:dyDescent="0.6">
      <c r="A227" s="4" t="s">
        <v>919</v>
      </c>
      <c r="B227" s="7" t="s">
        <v>348</v>
      </c>
      <c r="C227" s="7" t="s">
        <v>949</v>
      </c>
      <c r="D227" s="15"/>
      <c r="E227" s="6"/>
      <c r="F227" s="6"/>
      <c r="G227" s="6">
        <v>1.25</v>
      </c>
      <c r="H227" s="6">
        <v>1.25</v>
      </c>
      <c r="I227" s="6">
        <v>1.25</v>
      </c>
      <c r="J227" s="6">
        <v>1.25</v>
      </c>
      <c r="K227" s="6">
        <v>1.25</v>
      </c>
      <c r="L227" s="6">
        <v>0</v>
      </c>
      <c r="M227" s="6">
        <v>0</v>
      </c>
      <c r="N227" s="6">
        <v>0</v>
      </c>
      <c r="O227" s="6">
        <v>6.25</v>
      </c>
      <c r="P227" s="30">
        <f t="shared" si="6"/>
        <v>6.25</v>
      </c>
      <c r="Q227" s="29">
        <f>SUMIF(Dangerous!$A:$A,'Q-Score'!$B227,Dangerous!$N:$N)</f>
        <v>0</v>
      </c>
      <c r="R227" s="29">
        <f>SUMIF(Manual!$A:$A,'Q-Score'!$B227,Manual!$N:$N)</f>
        <v>0</v>
      </c>
      <c r="S227" s="31">
        <f t="shared" si="7"/>
        <v>6.25</v>
      </c>
    </row>
    <row r="228" spans="1:19" x14ac:dyDescent="0.6">
      <c r="A228" s="4" t="s">
        <v>919</v>
      </c>
      <c r="B228" s="7" t="s">
        <v>394</v>
      </c>
      <c r="C228" s="7" t="s">
        <v>950</v>
      </c>
      <c r="D228" s="15"/>
      <c r="E228" s="6"/>
      <c r="F228" s="6"/>
      <c r="G228" s="6">
        <v>1.25</v>
      </c>
      <c r="H228" s="6">
        <v>1.25</v>
      </c>
      <c r="I228" s="6">
        <v>1.25</v>
      </c>
      <c r="J228" s="6">
        <v>1.25</v>
      </c>
      <c r="K228" s="6">
        <v>1.25</v>
      </c>
      <c r="L228" s="6">
        <v>0</v>
      </c>
      <c r="M228" s="6">
        <v>0</v>
      </c>
      <c r="N228" s="6">
        <v>0</v>
      </c>
      <c r="O228" s="6">
        <v>6.25</v>
      </c>
      <c r="P228" s="30">
        <f t="shared" si="6"/>
        <v>6.25</v>
      </c>
      <c r="Q228" s="29">
        <f>SUMIF(Dangerous!$A:$A,'Q-Score'!$B228,Dangerous!$N:$N)</f>
        <v>0</v>
      </c>
      <c r="R228" s="29">
        <f>SUMIF(Manual!$A:$A,'Q-Score'!$B228,Manual!$N:$N)</f>
        <v>0</v>
      </c>
      <c r="S228" s="31">
        <f t="shared" si="7"/>
        <v>6.25</v>
      </c>
    </row>
    <row r="229" spans="1:19" x14ac:dyDescent="0.6">
      <c r="A229" s="4" t="s">
        <v>919</v>
      </c>
      <c r="B229" s="7" t="s">
        <v>484</v>
      </c>
      <c r="C229" s="7" t="s">
        <v>485</v>
      </c>
      <c r="D229" s="15"/>
      <c r="E229" s="6"/>
      <c r="F229" s="6"/>
      <c r="G229" s="6">
        <v>1.25</v>
      </c>
      <c r="H229" s="6">
        <v>1.25</v>
      </c>
      <c r="I229" s="6">
        <v>0</v>
      </c>
      <c r="J229" s="6">
        <v>0</v>
      </c>
      <c r="K229" s="6">
        <v>1.25</v>
      </c>
      <c r="L229" s="6">
        <v>0</v>
      </c>
      <c r="M229" s="6">
        <v>0</v>
      </c>
      <c r="N229" s="6">
        <v>0</v>
      </c>
      <c r="O229" s="6">
        <v>3.75</v>
      </c>
      <c r="P229" s="30">
        <f t="shared" si="6"/>
        <v>3.75</v>
      </c>
      <c r="Q229" s="29">
        <f>SUMIF(Dangerous!$A:$A,'Q-Score'!$B229,Dangerous!$N:$N)</f>
        <v>0</v>
      </c>
      <c r="R229" s="29">
        <f>SUMIF(Manual!$A:$A,'Q-Score'!$B229,Manual!$N:$N)</f>
        <v>0</v>
      </c>
      <c r="S229" s="31">
        <f t="shared" si="7"/>
        <v>3.75</v>
      </c>
    </row>
    <row r="230" spans="1:19" x14ac:dyDescent="0.6">
      <c r="A230" s="4" t="s">
        <v>919</v>
      </c>
      <c r="B230" s="7" t="s">
        <v>482</v>
      </c>
      <c r="C230" s="7" t="s">
        <v>483</v>
      </c>
      <c r="D230" s="15"/>
      <c r="E230" s="6"/>
      <c r="F230" s="6"/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30">
        <f t="shared" si="6"/>
        <v>0</v>
      </c>
      <c r="Q230" s="29">
        <f>SUMIF(Dangerous!$A:$A,'Q-Score'!$B230,Dangerous!$N:$N)</f>
        <v>0</v>
      </c>
      <c r="R230" s="29">
        <f>SUMIF(Manual!$A:$A,'Q-Score'!$B230,Manual!$N:$N)</f>
        <v>0</v>
      </c>
      <c r="S230" s="31">
        <f t="shared" si="7"/>
        <v>0</v>
      </c>
    </row>
    <row r="231" spans="1:19" x14ac:dyDescent="0.6">
      <c r="A231" s="4" t="s">
        <v>919</v>
      </c>
      <c r="B231" s="7" t="s">
        <v>492</v>
      </c>
      <c r="C231" s="7" t="s">
        <v>493</v>
      </c>
      <c r="D231" s="15"/>
      <c r="E231" s="6"/>
      <c r="F231" s="6"/>
      <c r="G231" s="6">
        <v>1.25</v>
      </c>
      <c r="H231" s="6">
        <v>1.25</v>
      </c>
      <c r="I231" s="6">
        <v>1.25</v>
      </c>
      <c r="J231" s="6">
        <v>1.25</v>
      </c>
      <c r="K231" s="6">
        <v>1.25</v>
      </c>
      <c r="L231" s="6">
        <v>0</v>
      </c>
      <c r="M231" s="6">
        <v>0</v>
      </c>
      <c r="N231" s="6">
        <v>0</v>
      </c>
      <c r="O231" s="6">
        <v>6.25</v>
      </c>
      <c r="P231" s="30">
        <f t="shared" si="6"/>
        <v>6.25</v>
      </c>
      <c r="Q231" s="29">
        <f>SUMIF(Dangerous!$A:$A,'Q-Score'!$B231,Dangerous!$N:$N)</f>
        <v>0</v>
      </c>
      <c r="R231" s="29">
        <f>SUMIF(Manual!$A:$A,'Q-Score'!$B231,Manual!$N:$N)</f>
        <v>0</v>
      </c>
      <c r="S231" s="31">
        <f t="shared" si="7"/>
        <v>6.25</v>
      </c>
    </row>
    <row r="232" spans="1:19" x14ac:dyDescent="0.6">
      <c r="A232" s="4" t="s">
        <v>919</v>
      </c>
      <c r="B232" s="7" t="s">
        <v>374</v>
      </c>
      <c r="C232" s="7" t="s">
        <v>375</v>
      </c>
      <c r="D232" s="15"/>
      <c r="E232" s="6"/>
      <c r="F232" s="6"/>
      <c r="G232" s="6">
        <v>1.25</v>
      </c>
      <c r="H232" s="6">
        <v>1.25</v>
      </c>
      <c r="I232" s="6">
        <v>1.25</v>
      </c>
      <c r="J232" s="6">
        <v>0</v>
      </c>
      <c r="K232" s="6">
        <v>1.25</v>
      </c>
      <c r="L232" s="6">
        <v>0</v>
      </c>
      <c r="M232" s="6">
        <v>0</v>
      </c>
      <c r="N232" s="6">
        <v>0</v>
      </c>
      <c r="O232" s="6">
        <v>5</v>
      </c>
      <c r="P232" s="30">
        <f t="shared" si="6"/>
        <v>5</v>
      </c>
      <c r="Q232" s="29">
        <f>SUMIF(Dangerous!$A:$A,'Q-Score'!$B232,Dangerous!$N:$N)</f>
        <v>0</v>
      </c>
      <c r="R232" s="29">
        <f>SUMIF(Manual!$A:$A,'Q-Score'!$B232,Manual!$N:$N)</f>
        <v>0</v>
      </c>
      <c r="S232" s="31">
        <f t="shared" si="7"/>
        <v>5</v>
      </c>
    </row>
    <row r="233" spans="1:19" x14ac:dyDescent="0.6">
      <c r="A233" s="4" t="s">
        <v>919</v>
      </c>
      <c r="B233" s="7" t="s">
        <v>494</v>
      </c>
      <c r="C233" s="7" t="s">
        <v>951</v>
      </c>
      <c r="D233" s="15"/>
      <c r="E233" s="6"/>
      <c r="F233" s="6"/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30">
        <f t="shared" si="6"/>
        <v>0</v>
      </c>
      <c r="Q233" s="29">
        <f>SUMIF(Dangerous!$A:$A,'Q-Score'!$B233,Dangerous!$N:$N)</f>
        <v>0</v>
      </c>
      <c r="R233" s="29">
        <f>SUMIF(Manual!$A:$A,'Q-Score'!$B233,Manual!$N:$N)</f>
        <v>0</v>
      </c>
      <c r="S233" s="31">
        <f t="shared" si="7"/>
        <v>0</v>
      </c>
    </row>
    <row r="234" spans="1:19" x14ac:dyDescent="0.6">
      <c r="A234" s="4" t="s">
        <v>919</v>
      </c>
      <c r="B234" s="7" t="s">
        <v>496</v>
      </c>
      <c r="C234" s="7" t="s">
        <v>497</v>
      </c>
      <c r="D234" s="15"/>
      <c r="E234" s="6"/>
      <c r="F234" s="6"/>
      <c r="G234" s="6">
        <v>1.25</v>
      </c>
      <c r="H234" s="6">
        <v>1.25</v>
      </c>
      <c r="I234" s="6">
        <v>1.25</v>
      </c>
      <c r="J234" s="6">
        <v>2.5</v>
      </c>
      <c r="K234" s="6">
        <v>1.25</v>
      </c>
      <c r="L234" s="6">
        <v>0</v>
      </c>
      <c r="M234" s="6">
        <v>0</v>
      </c>
      <c r="N234" s="6">
        <v>0</v>
      </c>
      <c r="O234" s="6">
        <v>7.5</v>
      </c>
      <c r="P234" s="30">
        <f t="shared" si="6"/>
        <v>7.5</v>
      </c>
      <c r="Q234" s="29">
        <f>SUMIF(Dangerous!$A:$A,'Q-Score'!$B234,Dangerous!$N:$N)</f>
        <v>0</v>
      </c>
      <c r="R234" s="29">
        <f>SUMIF(Manual!$A:$A,'Q-Score'!$B234,Manual!$N:$N)</f>
        <v>0</v>
      </c>
      <c r="S234" s="31">
        <f t="shared" si="7"/>
        <v>7.5</v>
      </c>
    </row>
    <row r="235" spans="1:19" x14ac:dyDescent="0.6">
      <c r="A235" s="4" t="s">
        <v>919</v>
      </c>
      <c r="B235" s="7" t="s">
        <v>328</v>
      </c>
      <c r="C235" s="7" t="s">
        <v>329</v>
      </c>
      <c r="D235" s="15"/>
      <c r="E235" s="6"/>
      <c r="F235" s="6"/>
      <c r="G235" s="6">
        <v>1.25</v>
      </c>
      <c r="H235" s="6">
        <v>2.5</v>
      </c>
      <c r="I235" s="6">
        <v>1.25</v>
      </c>
      <c r="J235" s="6">
        <v>1.25</v>
      </c>
      <c r="K235" s="6">
        <v>1.25</v>
      </c>
      <c r="L235" s="6">
        <v>0</v>
      </c>
      <c r="M235" s="6">
        <v>0</v>
      </c>
      <c r="N235" s="6">
        <v>0</v>
      </c>
      <c r="O235" s="6">
        <v>7.5</v>
      </c>
      <c r="P235" s="30">
        <f t="shared" si="6"/>
        <v>7.5</v>
      </c>
      <c r="Q235" s="29">
        <f>SUMIF(Dangerous!$A:$A,'Q-Score'!$B235,Dangerous!$N:$N)</f>
        <v>0</v>
      </c>
      <c r="R235" s="29">
        <f>SUMIF(Manual!$A:$A,'Q-Score'!$B235,Manual!$N:$N)</f>
        <v>0</v>
      </c>
      <c r="S235" s="31">
        <f t="shared" si="7"/>
        <v>7.5</v>
      </c>
    </row>
    <row r="236" spans="1:19" x14ac:dyDescent="0.6">
      <c r="A236" s="4" t="s">
        <v>919</v>
      </c>
      <c r="B236" s="7" t="s">
        <v>458</v>
      </c>
      <c r="C236" s="7" t="s">
        <v>952</v>
      </c>
      <c r="D236" s="15"/>
      <c r="E236" s="6"/>
      <c r="F236" s="6"/>
      <c r="G236" s="6">
        <v>1.25</v>
      </c>
      <c r="H236" s="6">
        <v>1.25</v>
      </c>
      <c r="I236" s="6">
        <v>1.25</v>
      </c>
      <c r="J236" s="6">
        <v>1.25</v>
      </c>
      <c r="K236" s="6">
        <v>0</v>
      </c>
      <c r="L236" s="6">
        <v>0</v>
      </c>
      <c r="M236" s="6">
        <v>0</v>
      </c>
      <c r="N236" s="6">
        <v>0</v>
      </c>
      <c r="O236" s="6">
        <v>5</v>
      </c>
      <c r="P236" s="30">
        <f t="shared" si="6"/>
        <v>5</v>
      </c>
      <c r="Q236" s="29">
        <f>SUMIF(Dangerous!$A:$A,'Q-Score'!$B236,Dangerous!$N:$N)</f>
        <v>0</v>
      </c>
      <c r="R236" s="29">
        <f>SUMIF(Manual!$A:$A,'Q-Score'!$B236,Manual!$N:$N)</f>
        <v>0</v>
      </c>
      <c r="S236" s="31">
        <f t="shared" si="7"/>
        <v>5</v>
      </c>
    </row>
    <row r="237" spans="1:19" x14ac:dyDescent="0.6">
      <c r="A237" s="4" t="s">
        <v>919</v>
      </c>
      <c r="B237" s="7" t="s">
        <v>410</v>
      </c>
      <c r="C237" s="7" t="s">
        <v>411</v>
      </c>
      <c r="D237" s="15"/>
      <c r="E237" s="6"/>
      <c r="F237" s="6"/>
      <c r="G237" s="6">
        <v>1.25</v>
      </c>
      <c r="H237" s="6">
        <v>1.25</v>
      </c>
      <c r="I237" s="6">
        <v>2.5</v>
      </c>
      <c r="J237" s="6">
        <v>1.25</v>
      </c>
      <c r="K237" s="6">
        <v>1.25</v>
      </c>
      <c r="L237" s="6">
        <v>0</v>
      </c>
      <c r="M237" s="6">
        <v>0</v>
      </c>
      <c r="N237" s="6">
        <v>0</v>
      </c>
      <c r="O237" s="6">
        <v>7.5</v>
      </c>
      <c r="P237" s="30">
        <f t="shared" si="6"/>
        <v>7.5</v>
      </c>
      <c r="Q237" s="29">
        <f>SUMIF(Dangerous!$A:$A,'Q-Score'!$B237,Dangerous!$N:$N)</f>
        <v>0</v>
      </c>
      <c r="R237" s="29">
        <f>SUMIF(Manual!$A:$A,'Q-Score'!$B237,Manual!$N:$N)</f>
        <v>0</v>
      </c>
      <c r="S237" s="31">
        <f t="shared" si="7"/>
        <v>7.5</v>
      </c>
    </row>
    <row r="238" spans="1:19" x14ac:dyDescent="0.6">
      <c r="A238" s="4" t="s">
        <v>919</v>
      </c>
      <c r="B238" s="7" t="s">
        <v>472</v>
      </c>
      <c r="C238" s="7" t="s">
        <v>953</v>
      </c>
      <c r="D238" s="15"/>
      <c r="E238" s="6"/>
      <c r="F238" s="6"/>
      <c r="G238" s="6">
        <v>1.25</v>
      </c>
      <c r="H238" s="6">
        <v>1.25</v>
      </c>
      <c r="I238" s="6">
        <v>1.25</v>
      </c>
      <c r="J238" s="6">
        <v>0</v>
      </c>
      <c r="K238" s="6">
        <v>2.5</v>
      </c>
      <c r="L238" s="6">
        <v>0</v>
      </c>
      <c r="M238" s="6">
        <v>0</v>
      </c>
      <c r="N238" s="6">
        <v>0</v>
      </c>
      <c r="O238" s="6">
        <v>6.25</v>
      </c>
      <c r="P238" s="30">
        <f t="shared" si="6"/>
        <v>6.25</v>
      </c>
      <c r="Q238" s="29">
        <f>SUMIF(Dangerous!$A:$A,'Q-Score'!$B238,Dangerous!$N:$N)</f>
        <v>0</v>
      </c>
      <c r="R238" s="29">
        <f>SUMIF(Manual!$A:$A,'Q-Score'!$B238,Manual!$N:$N)</f>
        <v>0</v>
      </c>
      <c r="S238" s="31">
        <f t="shared" si="7"/>
        <v>6.25</v>
      </c>
    </row>
    <row r="239" spans="1:19" x14ac:dyDescent="0.6">
      <c r="A239" s="4" t="s">
        <v>919</v>
      </c>
      <c r="B239" s="7" t="s">
        <v>456</v>
      </c>
      <c r="C239" s="7" t="s">
        <v>954</v>
      </c>
      <c r="D239" s="15"/>
      <c r="E239" s="6"/>
      <c r="F239" s="6"/>
      <c r="G239" s="6">
        <v>1.25</v>
      </c>
      <c r="H239" s="6">
        <v>2.5</v>
      </c>
      <c r="I239" s="6">
        <v>2.5</v>
      </c>
      <c r="J239" s="6">
        <v>1.25</v>
      </c>
      <c r="K239" s="6">
        <v>0</v>
      </c>
      <c r="L239" s="6">
        <v>0</v>
      </c>
      <c r="M239" s="6">
        <v>0</v>
      </c>
      <c r="N239" s="6">
        <v>0</v>
      </c>
      <c r="O239" s="6">
        <v>7.5</v>
      </c>
      <c r="P239" s="30">
        <f t="shared" si="6"/>
        <v>7.5</v>
      </c>
      <c r="Q239" s="29">
        <f>SUMIF(Dangerous!$A:$A,'Q-Score'!$B239,Dangerous!$N:$N)</f>
        <v>0</v>
      </c>
      <c r="R239" s="29">
        <f>SUMIF(Manual!$A:$A,'Q-Score'!$B239,Manual!$N:$N)</f>
        <v>0</v>
      </c>
      <c r="S239" s="31">
        <f t="shared" si="7"/>
        <v>7.5</v>
      </c>
    </row>
    <row r="240" spans="1:19" x14ac:dyDescent="0.6">
      <c r="A240" s="4" t="s">
        <v>919</v>
      </c>
      <c r="B240" s="12" t="s">
        <v>955</v>
      </c>
      <c r="C240" s="12" t="s">
        <v>956</v>
      </c>
      <c r="D240" s="17"/>
      <c r="E240" s="6"/>
      <c r="F240" s="6"/>
      <c r="G240" s="6">
        <v>1.25</v>
      </c>
      <c r="H240" s="6">
        <v>1.25</v>
      </c>
      <c r="I240" s="6">
        <v>2.5</v>
      </c>
      <c r="J240" s="6">
        <v>1.25</v>
      </c>
      <c r="K240" s="6">
        <v>1.25</v>
      </c>
      <c r="L240" s="6">
        <v>0</v>
      </c>
      <c r="M240" s="6">
        <v>0</v>
      </c>
      <c r="N240" s="6">
        <v>0</v>
      </c>
      <c r="O240" s="6">
        <v>7.5</v>
      </c>
      <c r="P240" s="30">
        <f t="shared" si="6"/>
        <v>7.5</v>
      </c>
      <c r="Q240" s="29">
        <f>SUMIF(Dangerous!$A:$A,'Q-Score'!$B240,Dangerous!$N:$N)</f>
        <v>0</v>
      </c>
      <c r="R240" s="29">
        <f>SUMIF(Manual!$A:$A,'Q-Score'!$B240,Manual!$N:$N)</f>
        <v>0</v>
      </c>
      <c r="S240" s="31">
        <f t="shared" si="7"/>
        <v>7.5</v>
      </c>
    </row>
    <row r="241" spans="1:19" x14ac:dyDescent="0.6">
      <c r="A241" s="4" t="s">
        <v>919</v>
      </c>
      <c r="B241" s="12" t="s">
        <v>356</v>
      </c>
      <c r="C241" s="12" t="s">
        <v>957</v>
      </c>
      <c r="D241" s="17"/>
      <c r="E241" s="6"/>
      <c r="F241" s="6"/>
      <c r="G241" s="6">
        <v>1.25</v>
      </c>
      <c r="H241" s="6">
        <v>1.25</v>
      </c>
      <c r="I241" s="6">
        <v>1.25</v>
      </c>
      <c r="J241" s="6">
        <v>1.25</v>
      </c>
      <c r="K241" s="6">
        <v>1.25</v>
      </c>
      <c r="L241" s="6">
        <v>0</v>
      </c>
      <c r="M241" s="6">
        <v>0</v>
      </c>
      <c r="N241" s="6">
        <v>0</v>
      </c>
      <c r="O241" s="6">
        <v>6.25</v>
      </c>
      <c r="P241" s="30">
        <f t="shared" si="6"/>
        <v>6.25</v>
      </c>
      <c r="Q241" s="29">
        <f>SUMIF(Dangerous!$A:$A,'Q-Score'!$B241,Dangerous!$N:$N)</f>
        <v>0</v>
      </c>
      <c r="R241" s="29">
        <f>SUMIF(Manual!$A:$A,'Q-Score'!$B241,Manual!$N:$N)</f>
        <v>0</v>
      </c>
      <c r="S241" s="31">
        <f t="shared" si="7"/>
        <v>6.25</v>
      </c>
    </row>
    <row r="242" spans="1:19" x14ac:dyDescent="0.6">
      <c r="A242" s="4" t="s">
        <v>919</v>
      </c>
      <c r="B242" s="12" t="s">
        <v>358</v>
      </c>
      <c r="C242" s="12" t="s">
        <v>359</v>
      </c>
      <c r="D242" s="17"/>
      <c r="E242" s="6"/>
      <c r="F242" s="6"/>
      <c r="G242" s="6">
        <v>1.25</v>
      </c>
      <c r="H242" s="6">
        <v>1.25</v>
      </c>
      <c r="I242" s="6">
        <v>0</v>
      </c>
      <c r="J242" s="6">
        <v>1.25</v>
      </c>
      <c r="K242" s="6">
        <v>1.25</v>
      </c>
      <c r="L242" s="6">
        <v>0</v>
      </c>
      <c r="M242" s="6">
        <v>0</v>
      </c>
      <c r="N242" s="6">
        <v>0</v>
      </c>
      <c r="O242" s="6">
        <v>5</v>
      </c>
      <c r="P242" s="30">
        <f t="shared" si="6"/>
        <v>5</v>
      </c>
      <c r="Q242" s="29">
        <f>SUMIF(Dangerous!$A:$A,'Q-Score'!$B242,Dangerous!$N:$N)</f>
        <v>0</v>
      </c>
      <c r="R242" s="29">
        <f>SUMIF(Manual!$A:$A,'Q-Score'!$B242,Manual!$N:$N)</f>
        <v>0</v>
      </c>
      <c r="S242" s="31">
        <f t="shared" si="7"/>
        <v>5</v>
      </c>
    </row>
    <row r="243" spans="1:19" x14ac:dyDescent="0.6">
      <c r="A243" s="4" t="s">
        <v>919</v>
      </c>
      <c r="B243" s="7" t="s">
        <v>360</v>
      </c>
      <c r="C243" s="7" t="s">
        <v>958</v>
      </c>
      <c r="D243" s="15"/>
      <c r="E243" s="6"/>
      <c r="F243" s="6"/>
      <c r="G243" s="6">
        <v>1.25</v>
      </c>
      <c r="H243" s="6">
        <v>1.25</v>
      </c>
      <c r="I243" s="6">
        <v>1.25</v>
      </c>
      <c r="J243" s="6">
        <v>1.25</v>
      </c>
      <c r="K243" s="6">
        <v>2.5</v>
      </c>
      <c r="L243" s="6">
        <v>0</v>
      </c>
      <c r="M243" s="6">
        <v>0</v>
      </c>
      <c r="N243" s="6">
        <v>0</v>
      </c>
      <c r="O243" s="6">
        <v>7.5</v>
      </c>
      <c r="P243" s="30">
        <f t="shared" si="6"/>
        <v>7.5</v>
      </c>
      <c r="Q243" s="29">
        <f>SUMIF(Dangerous!$A:$A,'Q-Score'!$B243,Dangerous!$N:$N)</f>
        <v>0</v>
      </c>
      <c r="R243" s="29">
        <f>SUMIF(Manual!$A:$A,'Q-Score'!$B243,Manual!$N:$N)</f>
        <v>0</v>
      </c>
      <c r="S243" s="31">
        <f t="shared" si="7"/>
        <v>7.5</v>
      </c>
    </row>
    <row r="244" spans="1:19" x14ac:dyDescent="0.6">
      <c r="A244" s="4" t="s">
        <v>919</v>
      </c>
      <c r="B244" s="7" t="s">
        <v>386</v>
      </c>
      <c r="C244" s="7" t="s">
        <v>959</v>
      </c>
      <c r="D244" s="15"/>
      <c r="E244" s="6"/>
      <c r="F244" s="6"/>
      <c r="G244" s="6">
        <v>1.25</v>
      </c>
      <c r="H244" s="6">
        <v>1.25</v>
      </c>
      <c r="I244" s="6">
        <v>1.25</v>
      </c>
      <c r="J244" s="6">
        <v>1.25</v>
      </c>
      <c r="K244" s="6">
        <v>1.25</v>
      </c>
      <c r="L244" s="6">
        <v>0</v>
      </c>
      <c r="M244" s="6">
        <v>0</v>
      </c>
      <c r="N244" s="6">
        <v>0</v>
      </c>
      <c r="O244" s="6">
        <v>6.25</v>
      </c>
      <c r="P244" s="30">
        <f t="shared" si="6"/>
        <v>6.25</v>
      </c>
      <c r="Q244" s="29">
        <f>SUMIF(Dangerous!$A:$A,'Q-Score'!$B244,Dangerous!$N:$N)</f>
        <v>0</v>
      </c>
      <c r="R244" s="29">
        <f>SUMIF(Manual!$A:$A,'Q-Score'!$B244,Manual!$N:$N)</f>
        <v>0</v>
      </c>
      <c r="S244" s="31">
        <f t="shared" si="7"/>
        <v>6.25</v>
      </c>
    </row>
    <row r="245" spans="1:19" x14ac:dyDescent="0.6">
      <c r="A245" s="4" t="s">
        <v>919</v>
      </c>
      <c r="B245" s="7" t="s">
        <v>388</v>
      </c>
      <c r="C245" s="7" t="s">
        <v>960</v>
      </c>
      <c r="D245" s="15"/>
      <c r="E245" s="6"/>
      <c r="F245" s="6"/>
      <c r="G245" s="6">
        <v>1.25</v>
      </c>
      <c r="H245" s="6">
        <v>1.25</v>
      </c>
      <c r="I245" s="6">
        <v>1.25</v>
      </c>
      <c r="J245" s="6">
        <v>1.25</v>
      </c>
      <c r="K245" s="6">
        <v>2.5</v>
      </c>
      <c r="L245" s="6">
        <v>0</v>
      </c>
      <c r="M245" s="6">
        <v>0</v>
      </c>
      <c r="N245" s="6">
        <v>0</v>
      </c>
      <c r="O245" s="6">
        <v>7.5</v>
      </c>
      <c r="P245" s="30">
        <f t="shared" si="6"/>
        <v>7.5</v>
      </c>
      <c r="Q245" s="29">
        <f>SUMIF(Dangerous!$A:$A,'Q-Score'!$B245,Dangerous!$N:$N)</f>
        <v>0</v>
      </c>
      <c r="R245" s="29">
        <f>SUMIF(Manual!$A:$A,'Q-Score'!$B245,Manual!$N:$N)</f>
        <v>0</v>
      </c>
      <c r="S245" s="31">
        <f t="shared" si="7"/>
        <v>7.5</v>
      </c>
    </row>
    <row r="246" spans="1:19" x14ac:dyDescent="0.6">
      <c r="A246" s="4" t="s">
        <v>919</v>
      </c>
      <c r="B246" s="12" t="s">
        <v>460</v>
      </c>
      <c r="C246" s="12" t="s">
        <v>961</v>
      </c>
      <c r="D246" s="17"/>
      <c r="E246" s="6"/>
      <c r="F246" s="6"/>
      <c r="G246" s="6">
        <v>2.5</v>
      </c>
      <c r="H246" s="6">
        <v>1.25</v>
      </c>
      <c r="I246" s="6">
        <v>1.25</v>
      </c>
      <c r="J246" s="6">
        <v>1.25</v>
      </c>
      <c r="K246" s="6">
        <v>0</v>
      </c>
      <c r="L246" s="6">
        <v>0</v>
      </c>
      <c r="M246" s="6">
        <v>0</v>
      </c>
      <c r="N246" s="6">
        <v>0</v>
      </c>
      <c r="O246" s="6">
        <v>6.25</v>
      </c>
      <c r="P246" s="30">
        <f t="shared" si="6"/>
        <v>6.25</v>
      </c>
      <c r="Q246" s="29">
        <f>SUMIF(Dangerous!$A:$A,'Q-Score'!$B246,Dangerous!$N:$N)</f>
        <v>0</v>
      </c>
      <c r="R246" s="29">
        <f>SUMIF(Manual!$A:$A,'Q-Score'!$B246,Manual!$N:$N)</f>
        <v>0</v>
      </c>
      <c r="S246" s="31">
        <f t="shared" si="7"/>
        <v>6.25</v>
      </c>
    </row>
    <row r="247" spans="1:19" x14ac:dyDescent="0.6">
      <c r="A247" s="4" t="s">
        <v>919</v>
      </c>
      <c r="B247" s="12" t="s">
        <v>462</v>
      </c>
      <c r="C247" s="12" t="s">
        <v>962</v>
      </c>
      <c r="D247" s="17"/>
      <c r="E247" s="6"/>
      <c r="F247" s="6"/>
      <c r="G247" s="6">
        <v>1.25</v>
      </c>
      <c r="H247" s="6">
        <v>1.25</v>
      </c>
      <c r="I247" s="6">
        <v>0</v>
      </c>
      <c r="J247" s="6">
        <v>1.25</v>
      </c>
      <c r="K247" s="6">
        <v>0</v>
      </c>
      <c r="L247" s="6">
        <v>0</v>
      </c>
      <c r="M247" s="6">
        <v>0</v>
      </c>
      <c r="N247" s="6">
        <v>0</v>
      </c>
      <c r="O247" s="6">
        <v>3.75</v>
      </c>
      <c r="P247" s="30">
        <f t="shared" si="6"/>
        <v>3.75</v>
      </c>
      <c r="Q247" s="29">
        <f>SUMIF(Dangerous!$A:$A,'Q-Score'!$B247,Dangerous!$N:$N)</f>
        <v>0</v>
      </c>
      <c r="R247" s="29">
        <f>SUMIF(Manual!$A:$A,'Q-Score'!$B247,Manual!$N:$N)</f>
        <v>0</v>
      </c>
      <c r="S247" s="31">
        <f t="shared" si="7"/>
        <v>3.75</v>
      </c>
    </row>
    <row r="248" spans="1:19" x14ac:dyDescent="0.6">
      <c r="A248" s="4" t="s">
        <v>919</v>
      </c>
      <c r="B248" s="12" t="s">
        <v>384</v>
      </c>
      <c r="C248" s="12" t="s">
        <v>963</v>
      </c>
      <c r="D248" s="17"/>
      <c r="E248" s="6"/>
      <c r="F248" s="6"/>
      <c r="G248" s="6">
        <v>1.25</v>
      </c>
      <c r="H248" s="6">
        <v>1.25</v>
      </c>
      <c r="I248" s="6">
        <v>1.25</v>
      </c>
      <c r="J248" s="6">
        <v>0</v>
      </c>
      <c r="K248" s="6">
        <v>1.25</v>
      </c>
      <c r="L248" s="6">
        <v>0</v>
      </c>
      <c r="M248" s="6">
        <v>0</v>
      </c>
      <c r="N248" s="6">
        <v>0</v>
      </c>
      <c r="O248" s="6">
        <v>5</v>
      </c>
      <c r="P248" s="30">
        <f t="shared" si="6"/>
        <v>5</v>
      </c>
      <c r="Q248" s="29">
        <f>SUMIF(Dangerous!$A:$A,'Q-Score'!$B248,Dangerous!$N:$N)</f>
        <v>0</v>
      </c>
      <c r="R248" s="29">
        <f>SUMIF(Manual!$A:$A,'Q-Score'!$B248,Manual!$N:$N)</f>
        <v>0</v>
      </c>
      <c r="S248" s="31">
        <f t="shared" si="7"/>
        <v>5</v>
      </c>
    </row>
    <row r="249" spans="1:19" x14ac:dyDescent="0.6">
      <c r="A249" s="4" t="s">
        <v>919</v>
      </c>
      <c r="B249" s="12" t="s">
        <v>464</v>
      </c>
      <c r="C249" s="12" t="s">
        <v>465</v>
      </c>
      <c r="D249" s="17"/>
      <c r="E249" s="6"/>
      <c r="F249" s="6"/>
      <c r="G249" s="6">
        <v>1.25</v>
      </c>
      <c r="H249" s="6">
        <v>1.25</v>
      </c>
      <c r="I249" s="6">
        <v>2.5</v>
      </c>
      <c r="J249" s="6">
        <v>1.25</v>
      </c>
      <c r="K249" s="6">
        <v>1.25</v>
      </c>
      <c r="L249" s="6">
        <v>0</v>
      </c>
      <c r="M249" s="6">
        <v>0</v>
      </c>
      <c r="N249" s="6">
        <v>0</v>
      </c>
      <c r="O249" s="6">
        <v>7.5</v>
      </c>
      <c r="P249" s="30">
        <f t="shared" si="6"/>
        <v>7.5</v>
      </c>
      <c r="Q249" s="29">
        <f>SUMIF(Dangerous!$A:$A,'Q-Score'!$B249,Dangerous!$N:$N)</f>
        <v>0</v>
      </c>
      <c r="R249" s="29">
        <f>SUMIF(Manual!$A:$A,'Q-Score'!$B249,Manual!$N:$N)</f>
        <v>0</v>
      </c>
      <c r="S249" s="31">
        <f t="shared" si="7"/>
        <v>7.5</v>
      </c>
    </row>
    <row r="250" spans="1:19" x14ac:dyDescent="0.6">
      <c r="A250" s="4" t="s">
        <v>919</v>
      </c>
      <c r="B250" s="12" t="s">
        <v>466</v>
      </c>
      <c r="C250" s="12" t="s">
        <v>467</v>
      </c>
      <c r="D250" s="17"/>
      <c r="E250" s="6"/>
      <c r="F250" s="6"/>
      <c r="G250" s="6">
        <v>1.25</v>
      </c>
      <c r="H250" s="6">
        <v>1.25</v>
      </c>
      <c r="I250" s="6">
        <v>1.25</v>
      </c>
      <c r="J250" s="6">
        <v>1.25</v>
      </c>
      <c r="K250" s="6">
        <v>1.25</v>
      </c>
      <c r="L250" s="6">
        <v>0</v>
      </c>
      <c r="M250" s="6">
        <v>0</v>
      </c>
      <c r="N250" s="6">
        <v>0</v>
      </c>
      <c r="O250" s="6">
        <v>6.25</v>
      </c>
      <c r="P250" s="30">
        <f t="shared" si="6"/>
        <v>6.25</v>
      </c>
      <c r="Q250" s="29">
        <f>SUMIF(Dangerous!$A:$A,'Q-Score'!$B250,Dangerous!$N:$N)</f>
        <v>0</v>
      </c>
      <c r="R250" s="29">
        <f>SUMIF(Manual!$A:$A,'Q-Score'!$B250,Manual!$N:$N)</f>
        <v>0</v>
      </c>
      <c r="S250" s="31">
        <f t="shared" si="7"/>
        <v>6.25</v>
      </c>
    </row>
    <row r="251" spans="1:19" x14ac:dyDescent="0.6">
      <c r="A251" s="4" t="s">
        <v>919</v>
      </c>
      <c r="B251" s="12" t="s">
        <v>468</v>
      </c>
      <c r="C251" s="12" t="s">
        <v>469</v>
      </c>
      <c r="D251" s="17"/>
      <c r="E251" s="6"/>
      <c r="F251" s="6"/>
      <c r="G251" s="6">
        <v>1.25</v>
      </c>
      <c r="H251" s="6">
        <v>1.25</v>
      </c>
      <c r="I251" s="6">
        <v>1.25</v>
      </c>
      <c r="J251" s="6">
        <v>0</v>
      </c>
      <c r="K251" s="6">
        <v>1.25</v>
      </c>
      <c r="L251" s="6">
        <v>0</v>
      </c>
      <c r="M251" s="6">
        <v>0</v>
      </c>
      <c r="N251" s="6">
        <v>0</v>
      </c>
      <c r="O251" s="6">
        <v>5</v>
      </c>
      <c r="P251" s="30">
        <f t="shared" si="6"/>
        <v>5</v>
      </c>
      <c r="Q251" s="29">
        <f>SUMIF(Dangerous!$A:$A,'Q-Score'!$B251,Dangerous!$N:$N)</f>
        <v>0</v>
      </c>
      <c r="R251" s="29">
        <f>SUMIF(Manual!$A:$A,'Q-Score'!$B251,Manual!$N:$N)</f>
        <v>0</v>
      </c>
      <c r="S251" s="31">
        <f t="shared" si="7"/>
        <v>5</v>
      </c>
    </row>
    <row r="252" spans="1:19" x14ac:dyDescent="0.6">
      <c r="A252" s="4" t="s">
        <v>919</v>
      </c>
      <c r="B252" s="12" t="s">
        <v>884</v>
      </c>
      <c r="C252" s="12" t="s">
        <v>885</v>
      </c>
      <c r="D252" s="17"/>
      <c r="E252" s="6"/>
      <c r="F252" s="6"/>
      <c r="G252" s="6">
        <v>0</v>
      </c>
      <c r="H252" s="6">
        <v>0</v>
      </c>
      <c r="I252" s="6">
        <v>1.25</v>
      </c>
      <c r="J252" s="6">
        <v>1.25</v>
      </c>
      <c r="K252" s="6">
        <v>1.25</v>
      </c>
      <c r="L252" s="6">
        <v>0</v>
      </c>
      <c r="M252" s="6">
        <v>0</v>
      </c>
      <c r="N252" s="6">
        <v>0</v>
      </c>
      <c r="O252" s="6">
        <v>3.75</v>
      </c>
      <c r="P252" s="30">
        <f t="shared" si="6"/>
        <v>3.75</v>
      </c>
      <c r="Q252" s="29">
        <f>SUMIF(Dangerous!$A:$A,'Q-Score'!$B252,Dangerous!$N:$N)</f>
        <v>-2.5</v>
      </c>
      <c r="R252" s="29">
        <f>SUMIF(Manual!$A:$A,'Q-Score'!$B252,Manual!$N:$N)</f>
        <v>0</v>
      </c>
      <c r="S252" s="31">
        <f t="shared" si="7"/>
        <v>1.25</v>
      </c>
    </row>
    <row r="253" spans="1:19" x14ac:dyDescent="0.6">
      <c r="A253" s="4" t="s">
        <v>48</v>
      </c>
      <c r="B253" s="12" t="s">
        <v>578</v>
      </c>
      <c r="C253" s="12" t="s">
        <v>579</v>
      </c>
      <c r="D253" s="17"/>
      <c r="E253" s="6"/>
      <c r="F253" s="6"/>
      <c r="G253" s="6">
        <v>1.25</v>
      </c>
      <c r="H253" s="6">
        <v>1.25</v>
      </c>
      <c r="I253" s="6">
        <v>1.25</v>
      </c>
      <c r="J253" s="6">
        <v>1.25</v>
      </c>
      <c r="K253" s="6">
        <v>1.25</v>
      </c>
      <c r="L253" s="6">
        <v>0</v>
      </c>
      <c r="M253" s="6">
        <v>0</v>
      </c>
      <c r="N253" s="6">
        <v>0</v>
      </c>
      <c r="O253" s="6">
        <v>6.25</v>
      </c>
      <c r="P253" s="30">
        <f t="shared" si="6"/>
        <v>6.25</v>
      </c>
      <c r="Q253" s="29">
        <f>SUMIF(Dangerous!$A:$A,'Q-Score'!$B253,Dangerous!$N:$N)</f>
        <v>0</v>
      </c>
      <c r="R253" s="29">
        <f>SUMIF(Manual!$A:$A,'Q-Score'!$B253,Manual!$N:$N)</f>
        <v>0</v>
      </c>
      <c r="S253" s="31">
        <f t="shared" si="7"/>
        <v>6.25</v>
      </c>
    </row>
    <row r="254" spans="1:19" x14ac:dyDescent="0.6">
      <c r="A254" s="4" t="s">
        <v>48</v>
      </c>
      <c r="B254" s="12" t="s">
        <v>576</v>
      </c>
      <c r="C254" s="12" t="s">
        <v>577</v>
      </c>
      <c r="D254" s="17"/>
      <c r="E254" s="6"/>
      <c r="F254" s="6"/>
      <c r="G254" s="6">
        <v>1.25</v>
      </c>
      <c r="H254" s="6">
        <v>1.25</v>
      </c>
      <c r="I254" s="6">
        <v>1.25</v>
      </c>
      <c r="J254" s="6">
        <v>1.25</v>
      </c>
      <c r="K254" s="6">
        <v>1.25</v>
      </c>
      <c r="L254" s="6">
        <v>0</v>
      </c>
      <c r="M254" s="6">
        <v>0</v>
      </c>
      <c r="N254" s="6">
        <v>0</v>
      </c>
      <c r="O254" s="6">
        <v>6.25</v>
      </c>
      <c r="P254" s="30">
        <f t="shared" si="6"/>
        <v>6.25</v>
      </c>
      <c r="Q254" s="29">
        <f>SUMIF(Dangerous!$A:$A,'Q-Score'!$B254,Dangerous!$N:$N)</f>
        <v>0</v>
      </c>
      <c r="R254" s="29">
        <f>SUMIF(Manual!$A:$A,'Q-Score'!$B254,Manual!$N:$N)</f>
        <v>0</v>
      </c>
      <c r="S254" s="31">
        <f t="shared" si="7"/>
        <v>6.25</v>
      </c>
    </row>
    <row r="255" spans="1:19" x14ac:dyDescent="0.6">
      <c r="A255" s="4" t="s">
        <v>48</v>
      </c>
      <c r="B255" s="12">
        <v>3164</v>
      </c>
      <c r="C255" s="12" t="s">
        <v>964</v>
      </c>
      <c r="D255" s="17"/>
      <c r="E255" s="6"/>
      <c r="F255" s="6"/>
      <c r="G255" s="6">
        <v>1.25</v>
      </c>
      <c r="H255" s="6">
        <v>2.5</v>
      </c>
      <c r="I255" s="6">
        <v>1.25</v>
      </c>
      <c r="J255" s="6">
        <v>2.5</v>
      </c>
      <c r="K255" s="6">
        <v>0</v>
      </c>
      <c r="L255" s="6">
        <v>0</v>
      </c>
      <c r="M255" s="6">
        <v>0</v>
      </c>
      <c r="N255" s="6">
        <v>0</v>
      </c>
      <c r="O255" s="6">
        <v>7.5</v>
      </c>
      <c r="P255" s="30">
        <f t="shared" si="6"/>
        <v>7.5</v>
      </c>
      <c r="Q255" s="29">
        <f>SUMIF(Dangerous!$A:$A,'Q-Score'!$B255,Dangerous!$N:$N)</f>
        <v>0</v>
      </c>
      <c r="R255" s="29">
        <f>SUMIF(Manual!$A:$A,'Q-Score'!$B255,Manual!$N:$N)</f>
        <v>0</v>
      </c>
      <c r="S255" s="31">
        <f t="shared" si="7"/>
        <v>7.5</v>
      </c>
    </row>
    <row r="256" spans="1:19" x14ac:dyDescent="0.6">
      <c r="A256" s="4" t="s">
        <v>48</v>
      </c>
      <c r="B256" s="12" t="s">
        <v>582</v>
      </c>
      <c r="C256" s="12" t="s">
        <v>583</v>
      </c>
      <c r="D256" s="17"/>
      <c r="E256" s="6"/>
      <c r="F256" s="6"/>
      <c r="G256" s="6">
        <v>1.25</v>
      </c>
      <c r="H256" s="6">
        <v>1.25</v>
      </c>
      <c r="I256" s="6">
        <v>1.25</v>
      </c>
      <c r="J256" s="6">
        <v>1.25</v>
      </c>
      <c r="K256" s="6">
        <v>0</v>
      </c>
      <c r="L256" s="6">
        <v>0</v>
      </c>
      <c r="M256" s="6">
        <v>0</v>
      </c>
      <c r="N256" s="6">
        <v>0</v>
      </c>
      <c r="O256" s="6">
        <v>5</v>
      </c>
      <c r="P256" s="30">
        <f t="shared" si="6"/>
        <v>5</v>
      </c>
      <c r="Q256" s="29">
        <f>SUMIF(Dangerous!$A:$A,'Q-Score'!$B256,Dangerous!$N:$N)</f>
        <v>0</v>
      </c>
      <c r="R256" s="29">
        <f>SUMIF(Manual!$A:$A,'Q-Score'!$B256,Manual!$N:$N)</f>
        <v>0</v>
      </c>
      <c r="S256" s="31">
        <f t="shared" si="7"/>
        <v>5</v>
      </c>
    </row>
    <row r="257" spans="1:19" x14ac:dyDescent="0.6">
      <c r="A257" s="4" t="s">
        <v>48</v>
      </c>
      <c r="B257" s="12" t="s">
        <v>580</v>
      </c>
      <c r="C257" s="12" t="s">
        <v>581</v>
      </c>
      <c r="D257" s="17"/>
      <c r="E257" s="6"/>
      <c r="F257" s="6"/>
      <c r="G257" s="6">
        <v>1.25</v>
      </c>
      <c r="H257" s="6">
        <v>2.5</v>
      </c>
      <c r="I257" s="6">
        <v>1.25</v>
      </c>
      <c r="J257" s="6">
        <v>2.5</v>
      </c>
      <c r="K257" s="6">
        <v>0</v>
      </c>
      <c r="L257" s="6">
        <v>0</v>
      </c>
      <c r="M257" s="6">
        <v>0</v>
      </c>
      <c r="N257" s="6">
        <v>0</v>
      </c>
      <c r="O257" s="6">
        <v>7.5</v>
      </c>
      <c r="P257" s="30">
        <f t="shared" si="6"/>
        <v>7.5</v>
      </c>
      <c r="Q257" s="29">
        <f>SUMIF(Dangerous!$A:$A,'Q-Score'!$B257,Dangerous!$N:$N)</f>
        <v>0</v>
      </c>
      <c r="R257" s="29">
        <f>SUMIF(Manual!$A:$A,'Q-Score'!$B257,Manual!$N:$N)</f>
        <v>0</v>
      </c>
      <c r="S257" s="31">
        <f t="shared" si="7"/>
        <v>7.5</v>
      </c>
    </row>
    <row r="258" spans="1:19" x14ac:dyDescent="0.6">
      <c r="A258" s="4" t="s">
        <v>48</v>
      </c>
      <c r="B258" s="12" t="s">
        <v>538</v>
      </c>
      <c r="C258" s="12" t="s">
        <v>965</v>
      </c>
      <c r="D258" s="17"/>
      <c r="E258" s="6"/>
      <c r="F258" s="6"/>
      <c r="G258" s="6">
        <v>1.25</v>
      </c>
      <c r="H258" s="6">
        <v>2.5</v>
      </c>
      <c r="I258" s="6">
        <v>1.25</v>
      </c>
      <c r="J258" s="6">
        <v>1.25</v>
      </c>
      <c r="K258" s="6">
        <v>1.25</v>
      </c>
      <c r="L258" s="6">
        <v>0</v>
      </c>
      <c r="M258" s="6">
        <v>0</v>
      </c>
      <c r="N258" s="6">
        <v>0</v>
      </c>
      <c r="O258" s="6">
        <v>7.5</v>
      </c>
      <c r="P258" s="30">
        <f t="shared" si="6"/>
        <v>7.5</v>
      </c>
      <c r="Q258" s="29">
        <f>SUMIF(Dangerous!$A:$A,'Q-Score'!$B258,Dangerous!$N:$N)</f>
        <v>0</v>
      </c>
      <c r="R258" s="29">
        <f>SUMIF(Manual!$A:$A,'Q-Score'!$B258,Manual!$N:$N)</f>
        <v>0</v>
      </c>
      <c r="S258" s="31">
        <f t="shared" si="7"/>
        <v>7.5</v>
      </c>
    </row>
    <row r="259" spans="1:19" x14ac:dyDescent="0.6">
      <c r="A259" s="4" t="s">
        <v>48</v>
      </c>
      <c r="B259" s="12" t="s">
        <v>540</v>
      </c>
      <c r="C259" s="12" t="s">
        <v>966</v>
      </c>
      <c r="D259" s="17"/>
      <c r="E259" s="6"/>
      <c r="F259" s="6"/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30">
        <f t="shared" ref="P259:P292" si="8">SUM(E259:N259)</f>
        <v>0</v>
      </c>
      <c r="Q259" s="29">
        <f>SUMIF(Dangerous!$A:$A,'Q-Score'!$B259,Dangerous!$N:$N)</f>
        <v>0</v>
      </c>
      <c r="R259" s="29">
        <f>SUMIF(Manual!$A:$A,'Q-Score'!$B259,Manual!$N:$N)</f>
        <v>0</v>
      </c>
      <c r="S259" s="31">
        <f t="shared" ref="S259:S286" si="9">SUM(P259:R259)</f>
        <v>0</v>
      </c>
    </row>
    <row r="260" spans="1:19" x14ac:dyDescent="0.6">
      <c r="A260" s="4" t="s">
        <v>48</v>
      </c>
      <c r="B260" s="12" t="s">
        <v>584</v>
      </c>
      <c r="C260" s="12" t="s">
        <v>967</v>
      </c>
      <c r="D260" s="17"/>
      <c r="E260" s="6"/>
      <c r="F260" s="6"/>
      <c r="G260" s="6">
        <v>0</v>
      </c>
      <c r="H260" s="6">
        <v>0</v>
      </c>
      <c r="I260" s="6">
        <v>1.25</v>
      </c>
      <c r="J260" s="6">
        <v>1.25</v>
      </c>
      <c r="K260" s="6">
        <v>1.25</v>
      </c>
      <c r="L260" s="6">
        <v>0</v>
      </c>
      <c r="M260" s="6">
        <v>0</v>
      </c>
      <c r="N260" s="6">
        <v>0</v>
      </c>
      <c r="O260" s="6">
        <v>3.75</v>
      </c>
      <c r="P260" s="30">
        <f t="shared" si="8"/>
        <v>3.75</v>
      </c>
      <c r="Q260" s="29">
        <f>SUMIF(Dangerous!$A:$A,'Q-Score'!$B260,Dangerous!$N:$N)</f>
        <v>0</v>
      </c>
      <c r="R260" s="29">
        <f>SUMIF(Manual!$A:$A,'Q-Score'!$B260,Manual!$N:$N)</f>
        <v>0</v>
      </c>
      <c r="S260" s="31">
        <f t="shared" si="9"/>
        <v>3.75</v>
      </c>
    </row>
    <row r="261" spans="1:19" x14ac:dyDescent="0.6">
      <c r="A261" s="4" t="s">
        <v>48</v>
      </c>
      <c r="B261" s="12" t="s">
        <v>542</v>
      </c>
      <c r="C261" s="12" t="s">
        <v>968</v>
      </c>
      <c r="D261" s="17"/>
      <c r="E261" s="6"/>
      <c r="F261" s="6"/>
      <c r="G261" s="6">
        <v>1.25</v>
      </c>
      <c r="H261" s="6">
        <v>1.25</v>
      </c>
      <c r="I261" s="6">
        <v>1.25</v>
      </c>
      <c r="J261" s="6">
        <v>1.25</v>
      </c>
      <c r="K261" s="6">
        <v>1.25</v>
      </c>
      <c r="L261" s="6">
        <v>0</v>
      </c>
      <c r="M261" s="6">
        <v>0</v>
      </c>
      <c r="N261" s="6">
        <v>0</v>
      </c>
      <c r="O261" s="6">
        <v>6.25</v>
      </c>
      <c r="P261" s="30">
        <f t="shared" si="8"/>
        <v>6.25</v>
      </c>
      <c r="Q261" s="29">
        <f>SUMIF(Dangerous!$A:$A,'Q-Score'!$B261,Dangerous!$N:$N)</f>
        <v>0</v>
      </c>
      <c r="R261" s="29">
        <f>SUMIF(Manual!$A:$A,'Q-Score'!$B261,Manual!$N:$N)</f>
        <v>0</v>
      </c>
      <c r="S261" s="31">
        <f t="shared" si="9"/>
        <v>6.25</v>
      </c>
    </row>
    <row r="262" spans="1:19" x14ac:dyDescent="0.6">
      <c r="A262" s="4" t="s">
        <v>48</v>
      </c>
      <c r="B262" s="12" t="s">
        <v>562</v>
      </c>
      <c r="C262" s="12" t="s">
        <v>563</v>
      </c>
      <c r="D262" s="17"/>
      <c r="E262" s="6"/>
      <c r="F262" s="6"/>
      <c r="G262" s="6">
        <v>0</v>
      </c>
      <c r="H262" s="6">
        <v>1.25</v>
      </c>
      <c r="I262" s="6">
        <v>1.25</v>
      </c>
      <c r="J262" s="6">
        <v>1.25</v>
      </c>
      <c r="K262" s="6">
        <v>1.25</v>
      </c>
      <c r="L262" s="6">
        <v>0</v>
      </c>
      <c r="M262" s="6">
        <v>0</v>
      </c>
      <c r="N262" s="6">
        <v>0</v>
      </c>
      <c r="O262" s="6">
        <v>5</v>
      </c>
      <c r="P262" s="30">
        <f t="shared" si="8"/>
        <v>5</v>
      </c>
      <c r="Q262" s="29">
        <f>SUMIF(Dangerous!$A:$A,'Q-Score'!$B262,Dangerous!$N:$N)</f>
        <v>0</v>
      </c>
      <c r="R262" s="29">
        <f>SUMIF(Manual!$A:$A,'Q-Score'!$B262,Manual!$N:$N)</f>
        <v>0</v>
      </c>
      <c r="S262" s="31">
        <f t="shared" si="9"/>
        <v>5</v>
      </c>
    </row>
    <row r="263" spans="1:19" x14ac:dyDescent="0.6">
      <c r="A263" s="4" t="s">
        <v>48</v>
      </c>
      <c r="B263" s="12" t="s">
        <v>560</v>
      </c>
      <c r="C263" s="12" t="s">
        <v>561</v>
      </c>
      <c r="D263" s="17"/>
      <c r="E263" s="6"/>
      <c r="F263" s="6"/>
      <c r="G263" s="6">
        <v>0</v>
      </c>
      <c r="H263" s="6">
        <v>1.25</v>
      </c>
      <c r="I263" s="6">
        <v>1.25</v>
      </c>
      <c r="J263" s="6">
        <v>2.5</v>
      </c>
      <c r="K263" s="6">
        <v>1.25</v>
      </c>
      <c r="L263" s="6">
        <v>0</v>
      </c>
      <c r="M263" s="6">
        <v>0</v>
      </c>
      <c r="N263" s="6">
        <v>0</v>
      </c>
      <c r="O263" s="6">
        <v>6.25</v>
      </c>
      <c r="P263" s="30">
        <f t="shared" si="8"/>
        <v>6.25</v>
      </c>
      <c r="Q263" s="29">
        <f>SUMIF(Dangerous!$A:$A,'Q-Score'!$B263,Dangerous!$N:$N)</f>
        <v>-2.5</v>
      </c>
      <c r="R263" s="29">
        <f>SUMIF(Manual!$A:$A,'Q-Score'!$B263,Manual!$N:$N)</f>
        <v>0</v>
      </c>
      <c r="S263" s="31">
        <f t="shared" si="9"/>
        <v>3.75</v>
      </c>
    </row>
    <row r="264" spans="1:19" x14ac:dyDescent="0.6">
      <c r="A264" s="4" t="s">
        <v>48</v>
      </c>
      <c r="B264" s="12" t="s">
        <v>564</v>
      </c>
      <c r="C264" s="12" t="s">
        <v>565</v>
      </c>
      <c r="D264" s="17"/>
      <c r="E264" s="6"/>
      <c r="F264" s="6"/>
      <c r="G264" s="6">
        <v>2.5</v>
      </c>
      <c r="H264" s="6">
        <v>1.25</v>
      </c>
      <c r="I264" s="6">
        <v>1.25</v>
      </c>
      <c r="J264" s="6">
        <v>1.25</v>
      </c>
      <c r="K264" s="6">
        <v>1.25</v>
      </c>
      <c r="L264" s="6">
        <v>0</v>
      </c>
      <c r="M264" s="6">
        <v>0</v>
      </c>
      <c r="N264" s="6">
        <v>0</v>
      </c>
      <c r="O264" s="6">
        <v>7.5</v>
      </c>
      <c r="P264" s="30">
        <f t="shared" si="8"/>
        <v>7.5</v>
      </c>
      <c r="Q264" s="29">
        <f>SUMIF(Dangerous!$A:$A,'Q-Score'!$B264,Dangerous!$N:$N)</f>
        <v>0</v>
      </c>
      <c r="R264" s="29">
        <f>SUMIF(Manual!$A:$A,'Q-Score'!$B264,Manual!$N:$N)</f>
        <v>0</v>
      </c>
      <c r="S264" s="31">
        <f t="shared" si="9"/>
        <v>7.5</v>
      </c>
    </row>
    <row r="265" spans="1:19" x14ac:dyDescent="0.6">
      <c r="A265" s="4" t="s">
        <v>48</v>
      </c>
      <c r="B265" s="12" t="s">
        <v>566</v>
      </c>
      <c r="C265" s="12" t="s">
        <v>567</v>
      </c>
      <c r="D265" s="17"/>
      <c r="E265" s="6"/>
      <c r="F265" s="6"/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30">
        <f t="shared" si="8"/>
        <v>0</v>
      </c>
      <c r="Q265" s="29">
        <f>SUMIF(Dangerous!$A:$A,'Q-Score'!$B265,Dangerous!$N:$N)</f>
        <v>0</v>
      </c>
      <c r="R265" s="29">
        <f>SUMIF(Manual!$A:$A,'Q-Score'!$B265,Manual!$N:$N)</f>
        <v>0</v>
      </c>
      <c r="S265" s="31">
        <f t="shared" si="9"/>
        <v>0</v>
      </c>
    </row>
    <row r="266" spans="1:19" x14ac:dyDescent="0.6">
      <c r="A266" s="4" t="s">
        <v>48</v>
      </c>
      <c r="B266" s="12" t="s">
        <v>568</v>
      </c>
      <c r="C266" s="12" t="s">
        <v>569</v>
      </c>
      <c r="D266" s="17"/>
      <c r="E266" s="6"/>
      <c r="F266" s="6"/>
      <c r="G266" s="6">
        <v>1.25</v>
      </c>
      <c r="H266" s="6">
        <v>1.25</v>
      </c>
      <c r="I266" s="6">
        <v>1.25</v>
      </c>
      <c r="J266" s="6">
        <v>2.5</v>
      </c>
      <c r="K266" s="6">
        <v>2.5</v>
      </c>
      <c r="L266" s="6">
        <v>0</v>
      </c>
      <c r="M266" s="6">
        <v>0</v>
      </c>
      <c r="N266" s="6">
        <v>0</v>
      </c>
      <c r="O266" s="6">
        <v>8.75</v>
      </c>
      <c r="P266" s="30">
        <f t="shared" si="8"/>
        <v>8.75</v>
      </c>
      <c r="Q266" s="29">
        <f>SUMIF(Dangerous!$A:$A,'Q-Score'!$B266,Dangerous!$N:$N)</f>
        <v>0</v>
      </c>
      <c r="R266" s="29">
        <f>SUMIF(Manual!$A:$A,'Q-Score'!$B266,Manual!$N:$N)</f>
        <v>0</v>
      </c>
      <c r="S266" s="31">
        <f t="shared" si="9"/>
        <v>8.75</v>
      </c>
    </row>
    <row r="267" spans="1:19" x14ac:dyDescent="0.6">
      <c r="A267" s="4" t="s">
        <v>48</v>
      </c>
      <c r="B267" s="12" t="s">
        <v>532</v>
      </c>
      <c r="C267" s="12" t="s">
        <v>533</v>
      </c>
      <c r="D267" s="17"/>
      <c r="E267" s="6"/>
      <c r="F267" s="6"/>
      <c r="G267" s="6">
        <v>1.25</v>
      </c>
      <c r="H267" s="6">
        <v>1.25</v>
      </c>
      <c r="I267" s="6">
        <v>1.25</v>
      </c>
      <c r="J267" s="6">
        <v>0</v>
      </c>
      <c r="K267" s="6">
        <v>1.25</v>
      </c>
      <c r="L267" s="6">
        <v>0</v>
      </c>
      <c r="M267" s="6">
        <v>0</v>
      </c>
      <c r="N267" s="6">
        <v>0</v>
      </c>
      <c r="O267" s="6">
        <v>5</v>
      </c>
      <c r="P267" s="30">
        <f t="shared" si="8"/>
        <v>5</v>
      </c>
      <c r="Q267" s="29">
        <f>SUMIF(Dangerous!$A:$A,'Q-Score'!$B267,Dangerous!$N:$N)</f>
        <v>0</v>
      </c>
      <c r="R267" s="29">
        <f>SUMIF(Manual!$A:$A,'Q-Score'!$B267,Manual!$N:$N)</f>
        <v>0</v>
      </c>
      <c r="S267" s="31">
        <f t="shared" si="9"/>
        <v>5</v>
      </c>
    </row>
    <row r="268" spans="1:19" x14ac:dyDescent="0.6">
      <c r="A268" s="4" t="s">
        <v>48</v>
      </c>
      <c r="B268" s="12" t="s">
        <v>534</v>
      </c>
      <c r="C268" s="12" t="s">
        <v>535</v>
      </c>
      <c r="D268" s="17"/>
      <c r="E268" s="6"/>
      <c r="F268" s="6"/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30">
        <f t="shared" si="8"/>
        <v>0</v>
      </c>
      <c r="Q268" s="29">
        <f>SUMIF(Dangerous!$A:$A,'Q-Score'!$B268,Dangerous!$N:$N)</f>
        <v>-2.5</v>
      </c>
      <c r="R268" s="29">
        <f>SUMIF(Manual!$A:$A,'Q-Score'!$B268,Manual!$N:$N)</f>
        <v>0</v>
      </c>
      <c r="S268" s="31">
        <f t="shared" si="9"/>
        <v>-2.5</v>
      </c>
    </row>
    <row r="269" spans="1:19" x14ac:dyDescent="0.6">
      <c r="A269" s="4" t="s">
        <v>48</v>
      </c>
      <c r="B269" s="12" t="s">
        <v>516</v>
      </c>
      <c r="C269" s="12" t="s">
        <v>517</v>
      </c>
      <c r="D269" s="17"/>
      <c r="E269" s="6"/>
      <c r="F269" s="6"/>
      <c r="G269" s="6">
        <v>1.25</v>
      </c>
      <c r="H269" s="6">
        <v>0</v>
      </c>
      <c r="I269" s="6">
        <v>0</v>
      </c>
      <c r="J269" s="6">
        <v>0</v>
      </c>
      <c r="K269" s="6">
        <v>1.25</v>
      </c>
      <c r="L269" s="6">
        <v>0</v>
      </c>
      <c r="M269" s="6">
        <v>0</v>
      </c>
      <c r="N269" s="6">
        <v>0</v>
      </c>
      <c r="O269" s="6">
        <v>2.5</v>
      </c>
      <c r="P269" s="30">
        <f t="shared" si="8"/>
        <v>2.5</v>
      </c>
      <c r="Q269" s="29">
        <f>SUMIF(Dangerous!$A:$A,'Q-Score'!$B269,Dangerous!$N:$N)</f>
        <v>0</v>
      </c>
      <c r="R269" s="29">
        <f>SUMIF(Manual!$A:$A,'Q-Score'!$B269,Manual!$N:$N)</f>
        <v>0</v>
      </c>
      <c r="S269" s="31">
        <f t="shared" si="9"/>
        <v>2.5</v>
      </c>
    </row>
    <row r="270" spans="1:19" x14ac:dyDescent="0.6">
      <c r="A270" s="4" t="s">
        <v>48</v>
      </c>
      <c r="B270" s="12" t="s">
        <v>518</v>
      </c>
      <c r="C270" s="12" t="s">
        <v>519</v>
      </c>
      <c r="D270" s="17"/>
      <c r="E270" s="6"/>
      <c r="F270" s="6"/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30">
        <f t="shared" si="8"/>
        <v>0</v>
      </c>
      <c r="Q270" s="29">
        <f>SUMIF(Dangerous!$A:$A,'Q-Score'!$B270,Dangerous!$N:$N)</f>
        <v>0</v>
      </c>
      <c r="R270" s="29">
        <f>SUMIF(Manual!$A:$A,'Q-Score'!$B270,Manual!$N:$N)</f>
        <v>0</v>
      </c>
      <c r="S270" s="31">
        <f t="shared" si="9"/>
        <v>0</v>
      </c>
    </row>
    <row r="271" spans="1:19" x14ac:dyDescent="0.6">
      <c r="A271" s="4" t="s">
        <v>48</v>
      </c>
      <c r="B271" s="12" t="s">
        <v>520</v>
      </c>
      <c r="C271" s="12" t="s">
        <v>521</v>
      </c>
      <c r="D271" s="17"/>
      <c r="E271" s="6"/>
      <c r="F271" s="6"/>
      <c r="G271" s="6">
        <v>0</v>
      </c>
      <c r="H271" s="6">
        <v>1.25</v>
      </c>
      <c r="I271" s="6">
        <v>1.25</v>
      </c>
      <c r="J271" s="6">
        <v>2.5</v>
      </c>
      <c r="K271" s="6">
        <v>0</v>
      </c>
      <c r="L271" s="6">
        <v>0</v>
      </c>
      <c r="M271" s="6">
        <v>0</v>
      </c>
      <c r="N271" s="6">
        <v>0</v>
      </c>
      <c r="O271" s="6">
        <v>5</v>
      </c>
      <c r="P271" s="30">
        <f t="shared" si="8"/>
        <v>5</v>
      </c>
      <c r="Q271" s="29">
        <f>SUMIF(Dangerous!$A:$A,'Q-Score'!$B271,Dangerous!$N:$N)</f>
        <v>0</v>
      </c>
      <c r="R271" s="29">
        <f>SUMIF(Manual!$A:$A,'Q-Score'!$B271,Manual!$N:$N)</f>
        <v>0</v>
      </c>
      <c r="S271" s="31">
        <f t="shared" si="9"/>
        <v>5</v>
      </c>
    </row>
    <row r="272" spans="1:19" x14ac:dyDescent="0.6">
      <c r="A272" s="4" t="s">
        <v>48</v>
      </c>
      <c r="B272" s="12" t="s">
        <v>522</v>
      </c>
      <c r="C272" s="12" t="s">
        <v>523</v>
      </c>
      <c r="D272" s="17"/>
      <c r="E272" s="6"/>
      <c r="F272" s="6"/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30">
        <f t="shared" si="8"/>
        <v>0</v>
      </c>
      <c r="Q272" s="29">
        <f>SUMIF(Dangerous!$A:$A,'Q-Score'!$B272,Dangerous!$N:$N)</f>
        <v>0</v>
      </c>
      <c r="R272" s="29">
        <f>SUMIF(Manual!$A:$A,'Q-Score'!$B272,Manual!$N:$N)</f>
        <v>0</v>
      </c>
      <c r="S272" s="31">
        <f t="shared" si="9"/>
        <v>0</v>
      </c>
    </row>
    <row r="273" spans="1:19" x14ac:dyDescent="0.6">
      <c r="A273" s="4" t="s">
        <v>48</v>
      </c>
      <c r="B273" s="12" t="s">
        <v>524</v>
      </c>
      <c r="C273" s="12" t="s">
        <v>525</v>
      </c>
      <c r="D273" s="17"/>
      <c r="E273" s="6"/>
      <c r="F273" s="6"/>
      <c r="G273" s="6">
        <v>1.25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1.25</v>
      </c>
      <c r="P273" s="30">
        <f t="shared" si="8"/>
        <v>1.25</v>
      </c>
      <c r="Q273" s="29">
        <f>SUMIF(Dangerous!$A:$A,'Q-Score'!$B273,Dangerous!$N:$N)</f>
        <v>0</v>
      </c>
      <c r="R273" s="29">
        <f>SUMIF(Manual!$A:$A,'Q-Score'!$B273,Manual!$N:$N)</f>
        <v>0</v>
      </c>
      <c r="S273" s="31">
        <f t="shared" si="9"/>
        <v>1.25</v>
      </c>
    </row>
    <row r="274" spans="1:19" x14ac:dyDescent="0.6">
      <c r="A274" s="4" t="s">
        <v>48</v>
      </c>
      <c r="B274" s="12" t="s">
        <v>526</v>
      </c>
      <c r="C274" s="12" t="s">
        <v>527</v>
      </c>
      <c r="D274" s="17"/>
      <c r="E274" s="6"/>
      <c r="F274" s="6"/>
      <c r="G274" s="6">
        <v>0</v>
      </c>
      <c r="H274" s="6">
        <v>1.25</v>
      </c>
      <c r="I274" s="6">
        <v>1.25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2.5</v>
      </c>
      <c r="P274" s="30">
        <f t="shared" si="8"/>
        <v>2.5</v>
      </c>
      <c r="Q274" s="29">
        <f>SUMIF(Dangerous!$A:$A,'Q-Score'!$B274,Dangerous!$N:$N)</f>
        <v>0</v>
      </c>
      <c r="R274" s="29">
        <f>SUMIF(Manual!$A:$A,'Q-Score'!$B274,Manual!$N:$N)</f>
        <v>0</v>
      </c>
      <c r="S274" s="31">
        <f t="shared" si="9"/>
        <v>2.5</v>
      </c>
    </row>
    <row r="275" spans="1:19" x14ac:dyDescent="0.6">
      <c r="A275" s="4" t="s">
        <v>48</v>
      </c>
      <c r="B275" s="12" t="s">
        <v>528</v>
      </c>
      <c r="C275" s="12" t="s">
        <v>529</v>
      </c>
      <c r="D275" s="17"/>
      <c r="E275" s="6"/>
      <c r="F275" s="6"/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30">
        <f t="shared" si="8"/>
        <v>0</v>
      </c>
      <c r="Q275" s="29">
        <f>SUMIF(Dangerous!$A:$A,'Q-Score'!$B275,Dangerous!$N:$N)</f>
        <v>0</v>
      </c>
      <c r="R275" s="29">
        <f>SUMIF(Manual!$A:$A,'Q-Score'!$B275,Manual!$N:$N)</f>
        <v>0</v>
      </c>
      <c r="S275" s="31">
        <f t="shared" si="9"/>
        <v>0</v>
      </c>
    </row>
    <row r="276" spans="1:19" x14ac:dyDescent="0.6">
      <c r="A276" s="4" t="s">
        <v>48</v>
      </c>
      <c r="B276" s="12" t="s">
        <v>530</v>
      </c>
      <c r="C276" s="12" t="s">
        <v>531</v>
      </c>
      <c r="D276" s="17"/>
      <c r="E276" s="6"/>
      <c r="F276" s="6"/>
      <c r="G276" s="6">
        <v>0</v>
      </c>
      <c r="H276" s="6">
        <v>1.25</v>
      </c>
      <c r="I276" s="6">
        <v>1.25</v>
      </c>
      <c r="J276" s="6">
        <v>1.25</v>
      </c>
      <c r="K276" s="6">
        <v>2.5</v>
      </c>
      <c r="L276" s="6">
        <v>0</v>
      </c>
      <c r="M276" s="6">
        <v>0</v>
      </c>
      <c r="N276" s="6">
        <v>0</v>
      </c>
      <c r="O276" s="6">
        <v>6.25</v>
      </c>
      <c r="P276" s="30">
        <f t="shared" si="8"/>
        <v>6.25</v>
      </c>
      <c r="Q276" s="29">
        <f>SUMIF(Dangerous!$A:$A,'Q-Score'!$B276,Dangerous!$N:$N)</f>
        <v>0</v>
      </c>
      <c r="R276" s="29">
        <f>SUMIF(Manual!$A:$A,'Q-Score'!$B276,Manual!$N:$N)</f>
        <v>0</v>
      </c>
      <c r="S276" s="31">
        <f t="shared" si="9"/>
        <v>6.25</v>
      </c>
    </row>
    <row r="277" spans="1:19" x14ac:dyDescent="0.6">
      <c r="A277" s="4" t="s">
        <v>48</v>
      </c>
      <c r="B277" s="12" t="s">
        <v>10</v>
      </c>
      <c r="C277" s="12" t="s">
        <v>11</v>
      </c>
      <c r="D277" s="17"/>
      <c r="E277" s="6"/>
      <c r="F277" s="6"/>
      <c r="G277" s="6">
        <v>2.5</v>
      </c>
      <c r="H277" s="6">
        <v>1.25</v>
      </c>
      <c r="I277" s="6">
        <v>1.25</v>
      </c>
      <c r="J277" s="6">
        <v>1.25</v>
      </c>
      <c r="K277" s="6">
        <v>1.25</v>
      </c>
      <c r="L277" s="6">
        <v>0</v>
      </c>
      <c r="M277" s="6">
        <v>0</v>
      </c>
      <c r="N277" s="6">
        <v>0</v>
      </c>
      <c r="O277" s="6">
        <v>7.5</v>
      </c>
      <c r="P277" s="30">
        <f t="shared" si="8"/>
        <v>7.5</v>
      </c>
      <c r="Q277" s="29">
        <f>SUMIF(Dangerous!$A:$A,'Q-Score'!$B277,Dangerous!$N:$N)</f>
        <v>0</v>
      </c>
      <c r="R277" s="29">
        <f>SUMIF(Manual!$A:$A,'Q-Score'!$B277,Manual!$N:$N)</f>
        <v>0</v>
      </c>
      <c r="S277" s="31">
        <f t="shared" si="9"/>
        <v>7.5</v>
      </c>
    </row>
    <row r="278" spans="1:19" x14ac:dyDescent="0.6">
      <c r="A278" s="4" t="s">
        <v>48</v>
      </c>
      <c r="B278" s="12" t="s">
        <v>570</v>
      </c>
      <c r="C278" s="12" t="s">
        <v>571</v>
      </c>
      <c r="D278" s="17"/>
      <c r="E278" s="6"/>
      <c r="F278" s="6"/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30">
        <f t="shared" si="8"/>
        <v>0</v>
      </c>
      <c r="Q278" s="29">
        <f>SUMIF(Dangerous!$A:$A,'Q-Score'!$B278,Dangerous!$N:$N)</f>
        <v>0</v>
      </c>
      <c r="R278" s="29">
        <f>SUMIF(Manual!$A:$A,'Q-Score'!$B278,Manual!$N:$N)</f>
        <v>0</v>
      </c>
      <c r="S278" s="31">
        <f t="shared" si="9"/>
        <v>0</v>
      </c>
    </row>
    <row r="279" spans="1:19" x14ac:dyDescent="0.6">
      <c r="A279" s="4" t="s">
        <v>48</v>
      </c>
      <c r="B279" s="12" t="s">
        <v>12</v>
      </c>
      <c r="C279" s="12" t="s">
        <v>13</v>
      </c>
      <c r="D279" s="17"/>
      <c r="E279" s="6"/>
      <c r="F279" s="6"/>
      <c r="G279" s="6">
        <v>1.25</v>
      </c>
      <c r="H279" s="6">
        <v>1.25</v>
      </c>
      <c r="I279" s="6">
        <v>1.25</v>
      </c>
      <c r="J279" s="6">
        <v>0</v>
      </c>
      <c r="K279" s="6">
        <v>1.25</v>
      </c>
      <c r="L279" s="6">
        <v>0</v>
      </c>
      <c r="M279" s="6">
        <v>0</v>
      </c>
      <c r="N279" s="6">
        <v>0</v>
      </c>
      <c r="O279" s="6">
        <v>5</v>
      </c>
      <c r="P279" s="30">
        <f t="shared" si="8"/>
        <v>5</v>
      </c>
      <c r="Q279" s="29">
        <f>SUMIF(Dangerous!$A:$A,'Q-Score'!$B279,Dangerous!$N:$N)</f>
        <v>0</v>
      </c>
      <c r="R279" s="29">
        <f>SUMIF(Manual!$A:$A,'Q-Score'!$B279,Manual!$N:$N)</f>
        <v>0</v>
      </c>
      <c r="S279" s="31">
        <f t="shared" si="9"/>
        <v>5</v>
      </c>
    </row>
    <row r="280" spans="1:19" x14ac:dyDescent="0.6">
      <c r="A280" s="4" t="s">
        <v>48</v>
      </c>
      <c r="B280" s="12" t="s">
        <v>14</v>
      </c>
      <c r="C280" s="12" t="s">
        <v>15</v>
      </c>
      <c r="D280" s="17"/>
      <c r="E280" s="6"/>
      <c r="F280" s="6"/>
      <c r="G280" s="6">
        <v>1.25</v>
      </c>
      <c r="H280" s="6">
        <v>2.5</v>
      </c>
      <c r="I280" s="6">
        <v>0</v>
      </c>
      <c r="J280" s="6">
        <v>1.25</v>
      </c>
      <c r="K280" s="6">
        <v>1.25</v>
      </c>
      <c r="L280" s="6">
        <v>0</v>
      </c>
      <c r="M280" s="6">
        <v>0</v>
      </c>
      <c r="N280" s="6">
        <v>0</v>
      </c>
      <c r="O280" s="6">
        <v>6.25</v>
      </c>
      <c r="P280" s="30">
        <f t="shared" si="8"/>
        <v>6.25</v>
      </c>
      <c r="Q280" s="29">
        <f>SUMIF(Dangerous!$A:$A,'Q-Score'!$B280,Dangerous!$N:$N)</f>
        <v>0</v>
      </c>
      <c r="R280" s="29">
        <f>SUMIF(Manual!$A:$A,'Q-Score'!$B280,Manual!$N:$N)</f>
        <v>0</v>
      </c>
      <c r="S280" s="31">
        <f t="shared" si="9"/>
        <v>6.25</v>
      </c>
    </row>
    <row r="281" spans="1:19" x14ac:dyDescent="0.6">
      <c r="A281" s="4" t="s">
        <v>48</v>
      </c>
      <c r="B281" s="12" t="s">
        <v>8</v>
      </c>
      <c r="C281" s="12" t="s">
        <v>9</v>
      </c>
      <c r="D281" s="17"/>
      <c r="E281" s="6"/>
      <c r="F281" s="6"/>
      <c r="G281" s="6">
        <v>1.25</v>
      </c>
      <c r="H281" s="6">
        <v>1.25</v>
      </c>
      <c r="I281" s="6">
        <v>1.25</v>
      </c>
      <c r="J281" s="6">
        <v>2.5</v>
      </c>
      <c r="K281" s="6">
        <v>2.5</v>
      </c>
      <c r="L281" s="6">
        <v>0</v>
      </c>
      <c r="M281" s="6">
        <v>0</v>
      </c>
      <c r="N281" s="6">
        <v>0</v>
      </c>
      <c r="O281" s="6">
        <v>8.75</v>
      </c>
      <c r="P281" s="30">
        <f t="shared" si="8"/>
        <v>8.75</v>
      </c>
      <c r="Q281" s="29">
        <f>SUMIF(Dangerous!$A:$A,'Q-Score'!$B281,Dangerous!$N:$N)</f>
        <v>0</v>
      </c>
      <c r="R281" s="29">
        <f>SUMIF(Manual!$A:$A,'Q-Score'!$B281,Manual!$N:$N)</f>
        <v>0</v>
      </c>
      <c r="S281" s="31">
        <f t="shared" si="9"/>
        <v>8.75</v>
      </c>
    </row>
    <row r="282" spans="1:19" x14ac:dyDescent="0.6">
      <c r="A282" s="4" t="s">
        <v>48</v>
      </c>
      <c r="B282" s="12" t="s">
        <v>554</v>
      </c>
      <c r="C282" s="12" t="s">
        <v>555</v>
      </c>
      <c r="D282" s="17"/>
      <c r="E282" s="6"/>
      <c r="F282" s="6"/>
      <c r="G282" s="6">
        <v>1.25</v>
      </c>
      <c r="H282" s="6">
        <v>1.25</v>
      </c>
      <c r="I282" s="6">
        <v>1.25</v>
      </c>
      <c r="J282" s="6">
        <v>2.5</v>
      </c>
      <c r="K282" s="6">
        <v>1.25</v>
      </c>
      <c r="L282" s="6">
        <v>0</v>
      </c>
      <c r="M282" s="6">
        <v>0</v>
      </c>
      <c r="N282" s="6">
        <v>0</v>
      </c>
      <c r="O282" s="6">
        <v>7.5</v>
      </c>
      <c r="P282" s="30">
        <f t="shared" si="8"/>
        <v>7.5</v>
      </c>
      <c r="Q282" s="29">
        <f>SUMIF(Dangerous!$A:$A,'Q-Score'!$B282,Dangerous!$N:$N)</f>
        <v>0</v>
      </c>
      <c r="R282" s="29">
        <f>SUMIF(Manual!$A:$A,'Q-Score'!$B282,Manual!$N:$N)</f>
        <v>0</v>
      </c>
      <c r="S282" s="31">
        <f t="shared" si="9"/>
        <v>7.5</v>
      </c>
    </row>
    <row r="283" spans="1:19" x14ac:dyDescent="0.6">
      <c r="A283" s="4" t="s">
        <v>48</v>
      </c>
      <c r="B283" s="12" t="s">
        <v>550</v>
      </c>
      <c r="C283" s="12" t="s">
        <v>551</v>
      </c>
      <c r="D283" s="17"/>
      <c r="E283" s="6"/>
      <c r="F283" s="6"/>
      <c r="G283" s="6">
        <v>2.5</v>
      </c>
      <c r="H283" s="6">
        <v>1.25</v>
      </c>
      <c r="I283" s="6">
        <v>1.25</v>
      </c>
      <c r="J283" s="6">
        <v>0</v>
      </c>
      <c r="K283" s="6">
        <v>2.5</v>
      </c>
      <c r="L283" s="6">
        <v>0</v>
      </c>
      <c r="M283" s="6">
        <v>0</v>
      </c>
      <c r="N283" s="6">
        <v>0</v>
      </c>
      <c r="O283" s="6">
        <v>7.5</v>
      </c>
      <c r="P283" s="30">
        <f t="shared" si="8"/>
        <v>7.5</v>
      </c>
      <c r="Q283" s="29">
        <f>SUMIF(Dangerous!$A:$A,'Q-Score'!$B283,Dangerous!$N:$N)</f>
        <v>0</v>
      </c>
      <c r="R283" s="29">
        <f>SUMIF(Manual!$A:$A,'Q-Score'!$B283,Manual!$N:$N)</f>
        <v>0</v>
      </c>
      <c r="S283" s="31">
        <f t="shared" si="9"/>
        <v>7.5</v>
      </c>
    </row>
    <row r="284" spans="1:19" x14ac:dyDescent="0.6">
      <c r="A284" s="4" t="s">
        <v>48</v>
      </c>
      <c r="B284" s="12" t="s">
        <v>552</v>
      </c>
      <c r="C284" s="12" t="s">
        <v>553</v>
      </c>
      <c r="D284" s="17"/>
      <c r="E284" s="6"/>
      <c r="F284" s="6"/>
      <c r="G284" s="6">
        <v>1.25</v>
      </c>
      <c r="H284" s="6">
        <v>1.25</v>
      </c>
      <c r="I284" s="6">
        <v>1.25</v>
      </c>
      <c r="J284" s="6">
        <v>1.25</v>
      </c>
      <c r="K284" s="6">
        <v>1.25</v>
      </c>
      <c r="L284" s="6">
        <v>0</v>
      </c>
      <c r="M284" s="6">
        <v>0</v>
      </c>
      <c r="N284" s="6">
        <v>0</v>
      </c>
      <c r="O284" s="6">
        <v>6.25</v>
      </c>
      <c r="P284" s="30">
        <f t="shared" si="8"/>
        <v>6.25</v>
      </c>
      <c r="Q284" s="29">
        <f>SUMIF(Dangerous!$A:$A,'Q-Score'!$B284,Dangerous!$N:$N)</f>
        <v>0</v>
      </c>
      <c r="R284" s="29">
        <f>SUMIF(Manual!$A:$A,'Q-Score'!$B284,Manual!$N:$N)</f>
        <v>0</v>
      </c>
      <c r="S284" s="31">
        <f t="shared" si="9"/>
        <v>6.25</v>
      </c>
    </row>
    <row r="285" spans="1:19" x14ac:dyDescent="0.6">
      <c r="A285" s="4" t="s">
        <v>48</v>
      </c>
      <c r="B285" s="12" t="s">
        <v>574</v>
      </c>
      <c r="C285" s="12" t="s">
        <v>575</v>
      </c>
      <c r="D285" s="17"/>
      <c r="E285" s="6"/>
      <c r="F285" s="6"/>
      <c r="G285" s="6">
        <v>0</v>
      </c>
      <c r="H285" s="6">
        <v>1.25</v>
      </c>
      <c r="I285" s="6">
        <v>1.25</v>
      </c>
      <c r="J285" s="6">
        <v>1.25</v>
      </c>
      <c r="K285" s="6">
        <v>0</v>
      </c>
      <c r="L285" s="6">
        <v>0</v>
      </c>
      <c r="M285" s="6">
        <v>0</v>
      </c>
      <c r="N285" s="6">
        <v>0</v>
      </c>
      <c r="O285" s="6">
        <v>3.75</v>
      </c>
      <c r="P285" s="30">
        <f t="shared" si="8"/>
        <v>3.75</v>
      </c>
      <c r="Q285" s="29">
        <f>SUMIF(Dangerous!$A:$A,'Q-Score'!$B285,Dangerous!$N:$N)</f>
        <v>0</v>
      </c>
      <c r="R285" s="29">
        <f>SUMIF(Manual!$A:$A,'Q-Score'!$B285,Manual!$N:$N)</f>
        <v>0</v>
      </c>
      <c r="S285" s="31">
        <f t="shared" si="9"/>
        <v>3.75</v>
      </c>
    </row>
    <row r="286" spans="1:19" x14ac:dyDescent="0.6">
      <c r="A286" s="4" t="s">
        <v>48</v>
      </c>
      <c r="B286" s="12" t="s">
        <v>544</v>
      </c>
      <c r="C286" s="12" t="s">
        <v>969</v>
      </c>
      <c r="D286" s="17"/>
      <c r="E286" s="6"/>
      <c r="F286" s="6"/>
      <c r="G286" s="6">
        <v>1.25</v>
      </c>
      <c r="H286" s="6">
        <v>1.25</v>
      </c>
      <c r="I286" s="6">
        <v>1.25</v>
      </c>
      <c r="J286" s="6">
        <v>1.25</v>
      </c>
      <c r="K286" s="6">
        <v>1.25</v>
      </c>
      <c r="L286" s="6">
        <v>0</v>
      </c>
      <c r="M286" s="6">
        <v>0</v>
      </c>
      <c r="N286" s="6">
        <v>0</v>
      </c>
      <c r="O286" s="6">
        <v>6.25</v>
      </c>
      <c r="P286" s="30">
        <f t="shared" si="8"/>
        <v>6.25</v>
      </c>
      <c r="Q286" s="29">
        <f>SUMIF(Dangerous!$A:$A,'Q-Score'!$B286,Dangerous!$N:$N)</f>
        <v>0</v>
      </c>
      <c r="R286" s="29">
        <f>SUMIF(Manual!$A:$A,'Q-Score'!$B286,Manual!$N:$N)</f>
        <v>0</v>
      </c>
      <c r="S286" s="31">
        <f t="shared" si="9"/>
        <v>6.25</v>
      </c>
    </row>
    <row r="287" spans="1:19" x14ac:dyDescent="0.6">
      <c r="A287" s="4" t="s">
        <v>48</v>
      </c>
      <c r="B287" s="12" t="s">
        <v>556</v>
      </c>
      <c r="C287" s="12" t="s">
        <v>557</v>
      </c>
      <c r="D287" s="17"/>
      <c r="E287" s="6"/>
      <c r="F287" s="6"/>
      <c r="G287" s="6">
        <v>1.25</v>
      </c>
      <c r="H287" s="6">
        <v>2.5</v>
      </c>
      <c r="I287" s="6">
        <v>1.25</v>
      </c>
      <c r="J287" s="6">
        <v>0</v>
      </c>
      <c r="K287" s="6">
        <v>1.25</v>
      </c>
      <c r="L287" s="6">
        <v>0</v>
      </c>
      <c r="M287" s="6">
        <v>0</v>
      </c>
      <c r="N287" s="6">
        <v>0</v>
      </c>
      <c r="O287" s="6">
        <v>6.25</v>
      </c>
      <c r="P287" s="30">
        <f t="shared" si="8"/>
        <v>6.25</v>
      </c>
      <c r="Q287" s="29">
        <f>SUMIF(Dangerous!$A:$A,'Q-Score'!$B287,Dangerous!$N:$N)</f>
        <v>0</v>
      </c>
      <c r="R287" s="29">
        <f>SUMIF(Manual!$A:$A,'Q-Score'!$B287,Manual!$N:$N)</f>
        <v>0</v>
      </c>
      <c r="S287" s="31">
        <f t="shared" ref="S287" si="10">SUM(P287:R287)</f>
        <v>6.25</v>
      </c>
    </row>
    <row r="288" spans="1:19" x14ac:dyDescent="0.6">
      <c r="A288" s="12" t="s">
        <v>48</v>
      </c>
      <c r="B288" s="32" t="s">
        <v>546</v>
      </c>
      <c r="C288" s="32" t="s">
        <v>547</v>
      </c>
      <c r="D288" s="17"/>
      <c r="E288" s="17"/>
      <c r="F288" s="17"/>
      <c r="G288" s="17">
        <v>1.25</v>
      </c>
      <c r="H288" s="17">
        <v>1.25</v>
      </c>
      <c r="I288" s="17">
        <v>1.25</v>
      </c>
      <c r="J288" s="17">
        <v>0</v>
      </c>
      <c r="K288" s="17">
        <v>1.25</v>
      </c>
      <c r="L288" s="17">
        <v>0</v>
      </c>
      <c r="M288" s="17">
        <v>0</v>
      </c>
      <c r="N288" s="17">
        <v>0</v>
      </c>
      <c r="O288" s="17">
        <v>5</v>
      </c>
      <c r="P288" s="29">
        <f t="shared" si="8"/>
        <v>5</v>
      </c>
      <c r="Q288" s="29">
        <f>SUMIF(Dangerous!$A:$A,'Q-Score'!$B288,Dangerous!$N:$N)</f>
        <v>0</v>
      </c>
      <c r="R288" s="29">
        <f>SUMIF(Manual!$A:$A,'Q-Score'!$B288,Manual!$N:$N)</f>
        <v>0</v>
      </c>
      <c r="S288" s="31">
        <f t="shared" ref="S288:S292" si="11">SUM(P288:R288)</f>
        <v>5</v>
      </c>
    </row>
    <row r="289" spans="1:19" x14ac:dyDescent="0.6">
      <c r="A289" s="12" t="s">
        <v>48</v>
      </c>
      <c r="B289" s="32" t="s">
        <v>548</v>
      </c>
      <c r="C289" s="32" t="s">
        <v>970</v>
      </c>
      <c r="D289" s="17"/>
      <c r="E289" s="17"/>
      <c r="F289" s="17"/>
      <c r="G289" s="17">
        <v>0</v>
      </c>
      <c r="H289" s="17">
        <v>1.25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1.25</v>
      </c>
      <c r="P289" s="29">
        <f t="shared" si="8"/>
        <v>1.25</v>
      </c>
      <c r="Q289" s="29">
        <f>SUMIF(Dangerous!$A:$A,'Q-Score'!$B289,Dangerous!$N:$N)</f>
        <v>0</v>
      </c>
      <c r="R289" s="29">
        <f>SUMIF(Manual!$A:$A,'Q-Score'!$B289,Manual!$N:$N)</f>
        <v>0</v>
      </c>
      <c r="S289" s="31">
        <f t="shared" si="11"/>
        <v>1.25</v>
      </c>
    </row>
    <row r="290" spans="1:19" x14ac:dyDescent="0.6">
      <c r="A290" s="12" t="s">
        <v>48</v>
      </c>
      <c r="B290" s="32" t="s">
        <v>558</v>
      </c>
      <c r="C290" s="32" t="s">
        <v>559</v>
      </c>
      <c r="D290" s="17"/>
      <c r="E290" s="17"/>
      <c r="F290" s="17"/>
      <c r="G290" s="17">
        <v>2.5</v>
      </c>
      <c r="H290" s="17">
        <v>1.25</v>
      </c>
      <c r="I290" s="17">
        <v>0</v>
      </c>
      <c r="J290" s="17">
        <v>1.25</v>
      </c>
      <c r="K290" s="17">
        <v>1.25</v>
      </c>
      <c r="L290" s="17">
        <v>0</v>
      </c>
      <c r="M290" s="17">
        <v>0</v>
      </c>
      <c r="N290" s="17">
        <v>0</v>
      </c>
      <c r="O290" s="17">
        <v>6.25</v>
      </c>
      <c r="P290" s="29">
        <f t="shared" si="8"/>
        <v>6.25</v>
      </c>
      <c r="Q290" s="29">
        <f>SUMIF(Dangerous!$A:$A,'Q-Score'!$B290,Dangerous!$N:$N)</f>
        <v>0</v>
      </c>
      <c r="R290" s="29">
        <f>SUMIF(Manual!$A:$A,'Q-Score'!$B290,Manual!$N:$N)</f>
        <v>0</v>
      </c>
      <c r="S290" s="31">
        <f t="shared" si="11"/>
        <v>6.25</v>
      </c>
    </row>
    <row r="291" spans="1:19" x14ac:dyDescent="0.6">
      <c r="A291" s="12" t="s">
        <v>48</v>
      </c>
      <c r="B291" s="32" t="s">
        <v>572</v>
      </c>
      <c r="C291" s="32" t="s">
        <v>573</v>
      </c>
      <c r="D291" s="17"/>
      <c r="E291" s="17"/>
      <c r="F291" s="17"/>
      <c r="G291" s="17">
        <v>1.25</v>
      </c>
      <c r="H291" s="17">
        <v>0</v>
      </c>
      <c r="I291" s="17">
        <v>1.25</v>
      </c>
      <c r="J291" s="17">
        <v>1.25</v>
      </c>
      <c r="K291" s="17">
        <v>1.25</v>
      </c>
      <c r="L291" s="17">
        <v>0</v>
      </c>
      <c r="M291" s="17">
        <v>0</v>
      </c>
      <c r="N291" s="17">
        <v>0</v>
      </c>
      <c r="O291" s="17">
        <v>5</v>
      </c>
      <c r="P291" s="29">
        <f t="shared" si="8"/>
        <v>5</v>
      </c>
      <c r="Q291" s="29">
        <f>SUMIF(Dangerous!$A:$A,'Q-Score'!$B291,Dangerous!$N:$N)</f>
        <v>0</v>
      </c>
      <c r="R291" s="29">
        <f>SUMIF(Manual!$A:$A,'Q-Score'!$B291,Manual!$N:$N)</f>
        <v>0</v>
      </c>
      <c r="S291" s="31">
        <f t="shared" si="11"/>
        <v>5</v>
      </c>
    </row>
    <row r="292" spans="1:19" x14ac:dyDescent="0.6">
      <c r="A292" s="12" t="s">
        <v>48</v>
      </c>
      <c r="B292" s="32" t="s">
        <v>971</v>
      </c>
      <c r="C292" s="32" t="s">
        <v>972</v>
      </c>
      <c r="D292" s="17"/>
      <c r="E292" s="17"/>
      <c r="F292" s="17"/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29">
        <f t="shared" si="8"/>
        <v>0</v>
      </c>
      <c r="Q292" s="29">
        <f>SUMIF(Dangerous!$A:$A,'Q-Score'!$B292,Dangerous!$N:$N)</f>
        <v>0</v>
      </c>
      <c r="R292" s="29">
        <f>SUMIF(Manual!$A:$A,'Q-Score'!$B292,Manual!$N:$N)</f>
        <v>0</v>
      </c>
      <c r="S292" s="31">
        <f t="shared" si="11"/>
        <v>0</v>
      </c>
    </row>
  </sheetData>
  <autoFilter ref="A1:S292" xr:uid="{F842C06B-732A-4C8F-AF4C-77852CE1F2C1}"/>
  <conditionalFormatting sqref="E2:O217 E219:O287">
    <cfRule type="cellIs" dxfId="1" priority="2" operator="lessThan">
      <formula>0.55</formula>
    </cfRule>
  </conditionalFormatting>
  <conditionalFormatting sqref="E218:O218">
    <cfRule type="cellIs" dxfId="0" priority="1" operator="lessThan">
      <formula>0.55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59C15-C79A-4ECE-86A8-D0C919B26464}">
  <dimension ref="A1:N2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4" sqref="N4"/>
    </sheetView>
  </sheetViews>
  <sheetFormatPr defaultRowHeight="17" x14ac:dyDescent="0.6"/>
  <cols>
    <col min="1" max="1" width="7" style="9" bestFit="1" customWidth="1"/>
    <col min="2" max="2" width="16.90625" style="9" customWidth="1"/>
    <col min="3" max="13" width="8.7265625" style="28"/>
  </cols>
  <sheetData>
    <row r="1" spans="1:14" x14ac:dyDescent="0.6">
      <c r="A1" s="2" t="s">
        <v>586</v>
      </c>
      <c r="B1" s="19" t="s">
        <v>1</v>
      </c>
      <c r="C1" s="20" t="s">
        <v>33</v>
      </c>
      <c r="D1" s="20" t="s">
        <v>34</v>
      </c>
      <c r="E1" s="20" t="s">
        <v>35</v>
      </c>
      <c r="F1" s="20" t="s">
        <v>36</v>
      </c>
      <c r="G1" s="20" t="s">
        <v>37</v>
      </c>
      <c r="H1" s="20" t="s">
        <v>38</v>
      </c>
      <c r="I1" s="20" t="s">
        <v>39</v>
      </c>
      <c r="J1" s="20" t="s">
        <v>40</v>
      </c>
      <c r="K1" s="20" t="s">
        <v>41</v>
      </c>
      <c r="L1" s="20" t="s">
        <v>42</v>
      </c>
      <c r="M1" s="20" t="s">
        <v>43</v>
      </c>
      <c r="N1" s="20" t="s">
        <v>878</v>
      </c>
    </row>
    <row r="2" spans="1:14" x14ac:dyDescent="0.6">
      <c r="A2" s="5" t="s">
        <v>49</v>
      </c>
      <c r="B2" s="21" t="s">
        <v>50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>
        <f>SUM(C2:M2)</f>
        <v>0</v>
      </c>
    </row>
    <row r="3" spans="1:14" x14ac:dyDescent="0.6">
      <c r="A3" s="7" t="s">
        <v>51</v>
      </c>
      <c r="B3" s="24" t="s">
        <v>52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3">
        <f t="shared" ref="N3:N66" si="0">SUM(C3:M3)</f>
        <v>0</v>
      </c>
    </row>
    <row r="4" spans="1:14" x14ac:dyDescent="0.6">
      <c r="A4" s="7" t="s">
        <v>16</v>
      </c>
      <c r="B4" s="24" t="s">
        <v>53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>
        <f t="shared" si="0"/>
        <v>0</v>
      </c>
    </row>
    <row r="5" spans="1:14" x14ac:dyDescent="0.6">
      <c r="A5" s="7" t="s">
        <v>17</v>
      </c>
      <c r="B5" s="24" t="s">
        <v>54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>
        <f t="shared" si="0"/>
        <v>0</v>
      </c>
    </row>
    <row r="6" spans="1:14" x14ac:dyDescent="0.6">
      <c r="A6" s="7" t="s">
        <v>55</v>
      </c>
      <c r="B6" s="24" t="s">
        <v>56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>
        <f t="shared" si="0"/>
        <v>0</v>
      </c>
    </row>
    <row r="7" spans="1:14" x14ac:dyDescent="0.6">
      <c r="A7" s="7" t="s">
        <v>57</v>
      </c>
      <c r="B7" s="24" t="s">
        <v>58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>
        <f t="shared" si="0"/>
        <v>0</v>
      </c>
    </row>
    <row r="8" spans="1:14" x14ac:dyDescent="0.6">
      <c r="A8" s="7" t="s">
        <v>59</v>
      </c>
      <c r="B8" s="24" t="s">
        <v>60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3">
        <f t="shared" si="0"/>
        <v>0</v>
      </c>
    </row>
    <row r="9" spans="1:14" x14ac:dyDescent="0.6">
      <c r="A9" s="7" t="s">
        <v>61</v>
      </c>
      <c r="B9" s="24" t="s">
        <v>62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>
        <f t="shared" si="0"/>
        <v>0</v>
      </c>
    </row>
    <row r="10" spans="1:14" x14ac:dyDescent="0.6">
      <c r="A10" s="7" t="s">
        <v>63</v>
      </c>
      <c r="B10" s="24" t="s">
        <v>64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>
        <f t="shared" si="0"/>
        <v>0</v>
      </c>
    </row>
    <row r="11" spans="1:14" x14ac:dyDescent="0.6">
      <c r="A11" s="7" t="s">
        <v>65</v>
      </c>
      <c r="B11" s="24" t="s">
        <v>66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>
        <f t="shared" si="0"/>
        <v>0</v>
      </c>
    </row>
    <row r="12" spans="1:14" x14ac:dyDescent="0.6">
      <c r="A12" s="7" t="s">
        <v>67</v>
      </c>
      <c r="B12" s="24" t="s">
        <v>68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x14ac:dyDescent="0.6">
      <c r="A13" s="7" t="s">
        <v>69</v>
      </c>
      <c r="B13" s="24" t="s">
        <v>70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>
        <f t="shared" si="0"/>
        <v>0</v>
      </c>
    </row>
    <row r="14" spans="1:14" x14ac:dyDescent="0.6">
      <c r="A14" s="7" t="s">
        <v>71</v>
      </c>
      <c r="B14" s="24" t="s">
        <v>72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>
        <f t="shared" si="0"/>
        <v>0</v>
      </c>
    </row>
    <row r="15" spans="1:14" x14ac:dyDescent="0.6">
      <c r="A15" s="7" t="s">
        <v>73</v>
      </c>
      <c r="B15" s="24" t="s">
        <v>74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>
        <f t="shared" si="0"/>
        <v>0</v>
      </c>
    </row>
    <row r="16" spans="1:14" x14ac:dyDescent="0.6">
      <c r="A16" s="7" t="s">
        <v>75</v>
      </c>
      <c r="B16" s="24" t="s">
        <v>76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>
        <f t="shared" si="0"/>
        <v>0</v>
      </c>
    </row>
    <row r="17" spans="1:14" x14ac:dyDescent="0.6">
      <c r="A17" s="7" t="s">
        <v>77</v>
      </c>
      <c r="B17" s="24" t="s">
        <v>78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>
        <f t="shared" si="0"/>
        <v>0</v>
      </c>
    </row>
    <row r="18" spans="1:14" x14ac:dyDescent="0.6">
      <c r="A18" s="7" t="s">
        <v>79</v>
      </c>
      <c r="B18" s="24" t="s">
        <v>80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x14ac:dyDescent="0.6">
      <c r="A19" s="7" t="s">
        <v>81</v>
      </c>
      <c r="B19" s="24" t="s">
        <v>82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>
        <f t="shared" si="0"/>
        <v>0</v>
      </c>
    </row>
    <row r="20" spans="1:14" x14ac:dyDescent="0.6">
      <c r="A20" s="7" t="s">
        <v>83</v>
      </c>
      <c r="B20" s="24" t="s">
        <v>84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>
        <f t="shared" si="0"/>
        <v>0</v>
      </c>
    </row>
    <row r="21" spans="1:14" x14ac:dyDescent="0.6">
      <c r="A21" s="7" t="s">
        <v>85</v>
      </c>
      <c r="B21" s="24" t="s">
        <v>86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x14ac:dyDescent="0.6">
      <c r="A22" s="7" t="s">
        <v>87</v>
      </c>
      <c r="B22" s="24" t="s">
        <v>88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x14ac:dyDescent="0.6">
      <c r="A23" s="7" t="s">
        <v>89</v>
      </c>
      <c r="B23" s="24" t="s">
        <v>90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>
        <f t="shared" si="0"/>
        <v>0</v>
      </c>
    </row>
    <row r="24" spans="1:14" x14ac:dyDescent="0.6">
      <c r="A24" s="7" t="s">
        <v>91</v>
      </c>
      <c r="B24" s="24" t="s">
        <v>92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si="0"/>
        <v>0</v>
      </c>
    </row>
    <row r="25" spans="1:14" x14ac:dyDescent="0.6">
      <c r="A25" s="7" t="s">
        <v>93</v>
      </c>
      <c r="B25" s="24" t="s">
        <v>94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>
        <f t="shared" si="0"/>
        <v>0</v>
      </c>
    </row>
    <row r="26" spans="1:14" x14ac:dyDescent="0.6">
      <c r="A26" s="7" t="s">
        <v>95</v>
      </c>
      <c r="B26" s="24" t="s">
        <v>96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>
        <f t="shared" si="0"/>
        <v>0</v>
      </c>
    </row>
    <row r="27" spans="1:14" x14ac:dyDescent="0.6">
      <c r="A27" s="7" t="s">
        <v>97</v>
      </c>
      <c r="B27" s="24" t="s">
        <v>98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>
        <f t="shared" si="0"/>
        <v>0</v>
      </c>
    </row>
    <row r="28" spans="1:14" x14ac:dyDescent="0.6">
      <c r="A28" s="5" t="s">
        <v>99</v>
      </c>
      <c r="B28" s="21" t="s">
        <v>100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>
        <f t="shared" si="0"/>
        <v>0</v>
      </c>
    </row>
    <row r="29" spans="1:14" x14ac:dyDescent="0.6">
      <c r="A29" s="5" t="s">
        <v>101</v>
      </c>
      <c r="B29" s="21" t="s">
        <v>102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>
        <f t="shared" si="0"/>
        <v>0</v>
      </c>
    </row>
    <row r="30" spans="1:14" x14ac:dyDescent="0.6">
      <c r="A30" s="7" t="s">
        <v>103</v>
      </c>
      <c r="B30" s="24" t="s">
        <v>104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>
        <f t="shared" si="0"/>
        <v>0</v>
      </c>
    </row>
    <row r="31" spans="1:14" x14ac:dyDescent="0.6">
      <c r="A31" s="7" t="s">
        <v>105</v>
      </c>
      <c r="B31" s="24" t="s">
        <v>106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3">
        <f t="shared" si="0"/>
        <v>0</v>
      </c>
    </row>
    <row r="32" spans="1:14" x14ac:dyDescent="0.6">
      <c r="A32" s="7" t="s">
        <v>22</v>
      </c>
      <c r="B32" s="24" t="s">
        <v>23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>
        <f t="shared" si="0"/>
        <v>0</v>
      </c>
    </row>
    <row r="33" spans="1:14" x14ac:dyDescent="0.6">
      <c r="A33" s="7" t="s">
        <v>24</v>
      </c>
      <c r="B33" s="24" t="s">
        <v>25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>
        <f t="shared" si="0"/>
        <v>0</v>
      </c>
    </row>
    <row r="34" spans="1:14" x14ac:dyDescent="0.6">
      <c r="A34" s="7" t="s">
        <v>107</v>
      </c>
      <c r="B34" s="24" t="s">
        <v>108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3">
        <f t="shared" si="0"/>
        <v>0</v>
      </c>
    </row>
    <row r="35" spans="1:14" x14ac:dyDescent="0.6">
      <c r="A35" s="7" t="s">
        <v>109</v>
      </c>
      <c r="B35" s="24" t="s">
        <v>110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>
        <f t="shared" si="0"/>
        <v>0</v>
      </c>
    </row>
    <row r="36" spans="1:14" x14ac:dyDescent="0.6">
      <c r="A36" s="7" t="s">
        <v>111</v>
      </c>
      <c r="B36" s="24" t="s">
        <v>112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>
        <f t="shared" si="0"/>
        <v>0</v>
      </c>
    </row>
    <row r="37" spans="1:14" x14ac:dyDescent="0.6">
      <c r="A37" s="7" t="s">
        <v>113</v>
      </c>
      <c r="B37" s="24" t="s">
        <v>114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>
        <f t="shared" si="0"/>
        <v>0</v>
      </c>
    </row>
    <row r="38" spans="1:14" x14ac:dyDescent="0.6">
      <c r="A38" s="7" t="s">
        <v>115</v>
      </c>
      <c r="B38" s="24" t="s">
        <v>116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>
        <f t="shared" si="0"/>
        <v>0</v>
      </c>
    </row>
    <row r="39" spans="1:14" x14ac:dyDescent="0.6">
      <c r="A39" s="7" t="s">
        <v>117</v>
      </c>
      <c r="B39" s="24" t="s">
        <v>118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>
        <f t="shared" si="0"/>
        <v>0</v>
      </c>
    </row>
    <row r="40" spans="1:14" x14ac:dyDescent="0.6">
      <c r="A40" s="7" t="s">
        <v>119</v>
      </c>
      <c r="B40" s="24" t="s">
        <v>120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3">
        <f t="shared" si="0"/>
        <v>0</v>
      </c>
    </row>
    <row r="41" spans="1:14" x14ac:dyDescent="0.6">
      <c r="A41" s="7" t="s">
        <v>121</v>
      </c>
      <c r="B41" s="24" t="s">
        <v>122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3">
        <f t="shared" si="0"/>
        <v>0</v>
      </c>
    </row>
    <row r="42" spans="1:14" x14ac:dyDescent="0.6">
      <c r="A42" s="7" t="s">
        <v>123</v>
      </c>
      <c r="B42" s="24" t="s">
        <v>124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>
        <f t="shared" si="0"/>
        <v>0</v>
      </c>
    </row>
    <row r="43" spans="1:14" x14ac:dyDescent="0.6">
      <c r="A43" s="7" t="s">
        <v>125</v>
      </c>
      <c r="B43" s="24" t="s">
        <v>126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3">
        <f t="shared" si="0"/>
        <v>0</v>
      </c>
    </row>
    <row r="44" spans="1:14" x14ac:dyDescent="0.6">
      <c r="A44" s="7" t="s">
        <v>127</v>
      </c>
      <c r="B44" s="24" t="s">
        <v>128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>
        <f t="shared" si="0"/>
        <v>0</v>
      </c>
    </row>
    <row r="45" spans="1:14" x14ac:dyDescent="0.6">
      <c r="A45" s="7" t="s">
        <v>129</v>
      </c>
      <c r="B45" s="24" t="s">
        <v>130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>
        <f t="shared" si="0"/>
        <v>0</v>
      </c>
    </row>
    <row r="46" spans="1:14" x14ac:dyDescent="0.6">
      <c r="A46" s="7" t="s">
        <v>131</v>
      </c>
      <c r="B46" s="24" t="s">
        <v>132</v>
      </c>
      <c r="C46" s="22"/>
      <c r="D46" s="22"/>
      <c r="E46" s="22"/>
      <c r="F46" s="22">
        <v>-2.5</v>
      </c>
      <c r="G46" s="22"/>
      <c r="H46" s="22"/>
      <c r="I46" s="22"/>
      <c r="J46" s="22"/>
      <c r="K46" s="22"/>
      <c r="L46" s="22"/>
      <c r="M46" s="22"/>
      <c r="N46" s="23">
        <f t="shared" si="0"/>
        <v>-2.5</v>
      </c>
    </row>
    <row r="47" spans="1:14" x14ac:dyDescent="0.6">
      <c r="A47" s="7" t="s">
        <v>133</v>
      </c>
      <c r="B47" s="24" t="s">
        <v>134</v>
      </c>
      <c r="C47" s="22"/>
      <c r="D47" s="22"/>
      <c r="E47" s="22"/>
      <c r="F47" s="22"/>
      <c r="G47" s="22"/>
      <c r="H47" s="22"/>
      <c r="I47" s="22">
        <v>-2.5</v>
      </c>
      <c r="J47" s="22">
        <v>-2.5</v>
      </c>
      <c r="K47" s="22"/>
      <c r="L47" s="22"/>
      <c r="M47" s="22"/>
      <c r="N47" s="23">
        <f t="shared" si="0"/>
        <v>-5</v>
      </c>
    </row>
    <row r="48" spans="1:14" x14ac:dyDescent="0.6">
      <c r="A48" s="7" t="s">
        <v>135</v>
      </c>
      <c r="B48" s="24" t="s">
        <v>136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3">
        <f t="shared" si="0"/>
        <v>0</v>
      </c>
    </row>
    <row r="49" spans="1:14" x14ac:dyDescent="0.6">
      <c r="A49" s="7" t="s">
        <v>137</v>
      </c>
      <c r="B49" s="24" t="s">
        <v>138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3">
        <f t="shared" si="0"/>
        <v>0</v>
      </c>
    </row>
    <row r="50" spans="1:14" x14ac:dyDescent="0.6">
      <c r="A50" s="7" t="s">
        <v>139</v>
      </c>
      <c r="B50" s="24" t="s">
        <v>140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3">
        <f t="shared" si="0"/>
        <v>0</v>
      </c>
    </row>
    <row r="51" spans="1:14" x14ac:dyDescent="0.6">
      <c r="A51" s="7" t="s">
        <v>141</v>
      </c>
      <c r="B51" s="24" t="s">
        <v>142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3">
        <f t="shared" si="0"/>
        <v>0</v>
      </c>
    </row>
    <row r="52" spans="1:14" x14ac:dyDescent="0.6">
      <c r="A52" s="7" t="s">
        <v>143</v>
      </c>
      <c r="B52" s="24" t="s">
        <v>144</v>
      </c>
      <c r="C52" s="22"/>
      <c r="D52" s="22"/>
      <c r="E52" s="22"/>
      <c r="F52" s="22"/>
      <c r="G52" s="22"/>
      <c r="H52" s="22">
        <v>-2.5</v>
      </c>
      <c r="I52" s="22"/>
      <c r="J52" s="22">
        <v>-2.5</v>
      </c>
      <c r="K52" s="22"/>
      <c r="L52" s="22"/>
      <c r="M52" s="22"/>
      <c r="N52" s="23">
        <f t="shared" si="0"/>
        <v>-5</v>
      </c>
    </row>
    <row r="53" spans="1:14" x14ac:dyDescent="0.6">
      <c r="A53" s="7" t="s">
        <v>145</v>
      </c>
      <c r="B53" s="24" t="s">
        <v>146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3">
        <f t="shared" si="0"/>
        <v>0</v>
      </c>
    </row>
    <row r="54" spans="1:14" x14ac:dyDescent="0.6">
      <c r="A54" s="7" t="s">
        <v>147</v>
      </c>
      <c r="B54" s="24" t="s">
        <v>148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3">
        <f t="shared" si="0"/>
        <v>0</v>
      </c>
    </row>
    <row r="55" spans="1:14" x14ac:dyDescent="0.6">
      <c r="A55" s="7" t="s">
        <v>149</v>
      </c>
      <c r="B55" s="24" t="s">
        <v>150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3">
        <f t="shared" si="0"/>
        <v>0</v>
      </c>
    </row>
    <row r="56" spans="1:14" x14ac:dyDescent="0.6">
      <c r="A56" s="7" t="s">
        <v>151</v>
      </c>
      <c r="B56" s="24" t="s">
        <v>152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3">
        <f t="shared" si="0"/>
        <v>0</v>
      </c>
    </row>
    <row r="57" spans="1:14" x14ac:dyDescent="0.6">
      <c r="A57" s="7" t="s">
        <v>18</v>
      </c>
      <c r="B57" s="24" t="s">
        <v>887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3">
        <f t="shared" si="0"/>
        <v>0</v>
      </c>
    </row>
    <row r="58" spans="1:14" x14ac:dyDescent="0.6">
      <c r="A58" s="7" t="s">
        <v>19</v>
      </c>
      <c r="B58" s="24" t="s">
        <v>20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3">
        <f t="shared" si="0"/>
        <v>0</v>
      </c>
    </row>
    <row r="59" spans="1:14" x14ac:dyDescent="0.6">
      <c r="A59" s="7" t="s">
        <v>21</v>
      </c>
      <c r="B59" s="24" t="s">
        <v>886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3">
        <f t="shared" si="0"/>
        <v>0</v>
      </c>
    </row>
    <row r="60" spans="1:14" x14ac:dyDescent="0.6">
      <c r="A60" s="7" t="s">
        <v>153</v>
      </c>
      <c r="B60" s="24" t="s">
        <v>154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3">
        <f t="shared" si="0"/>
        <v>0</v>
      </c>
    </row>
    <row r="61" spans="1:14" x14ac:dyDescent="0.6">
      <c r="A61" s="4" t="s">
        <v>155</v>
      </c>
      <c r="B61" s="25" t="s">
        <v>156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3">
        <f t="shared" si="0"/>
        <v>0</v>
      </c>
    </row>
    <row r="62" spans="1:14" x14ac:dyDescent="0.6">
      <c r="A62" s="7" t="s">
        <v>157</v>
      </c>
      <c r="B62" s="24" t="s">
        <v>158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3">
        <f t="shared" si="0"/>
        <v>0</v>
      </c>
    </row>
    <row r="63" spans="1:14" x14ac:dyDescent="0.6">
      <c r="A63" s="7" t="s">
        <v>159</v>
      </c>
      <c r="B63" s="24" t="s">
        <v>160</v>
      </c>
      <c r="C63" s="22"/>
      <c r="D63" s="22"/>
      <c r="E63" s="22"/>
      <c r="F63" s="22"/>
      <c r="G63" s="22">
        <v>-2.5</v>
      </c>
      <c r="H63" s="22"/>
      <c r="I63" s="22"/>
      <c r="J63" s="22"/>
      <c r="K63" s="22"/>
      <c r="L63" s="22"/>
      <c r="M63" s="22"/>
      <c r="N63" s="23">
        <f t="shared" si="0"/>
        <v>-2.5</v>
      </c>
    </row>
    <row r="64" spans="1:14" x14ac:dyDescent="0.6">
      <c r="A64" s="7" t="s">
        <v>161</v>
      </c>
      <c r="B64" s="24" t="s">
        <v>162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3">
        <f t="shared" si="0"/>
        <v>0</v>
      </c>
    </row>
    <row r="65" spans="1:14" x14ac:dyDescent="0.6">
      <c r="A65" s="10" t="s">
        <v>163</v>
      </c>
      <c r="B65" s="26" t="s">
        <v>164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3">
        <f t="shared" si="0"/>
        <v>0</v>
      </c>
    </row>
    <row r="66" spans="1:14" x14ac:dyDescent="0.6">
      <c r="A66" s="7" t="s">
        <v>165</v>
      </c>
      <c r="B66" s="24" t="s">
        <v>166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3">
        <f t="shared" si="0"/>
        <v>0</v>
      </c>
    </row>
    <row r="67" spans="1:14" x14ac:dyDescent="0.6">
      <c r="A67" s="7" t="s">
        <v>167</v>
      </c>
      <c r="B67" s="24" t="s">
        <v>168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3">
        <f t="shared" ref="N67:N130" si="1">SUM(C67:M67)</f>
        <v>0</v>
      </c>
    </row>
    <row r="68" spans="1:14" x14ac:dyDescent="0.6">
      <c r="A68" s="7" t="s">
        <v>169</v>
      </c>
      <c r="B68" s="24" t="s">
        <v>170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3">
        <f t="shared" si="1"/>
        <v>0</v>
      </c>
    </row>
    <row r="69" spans="1:14" x14ac:dyDescent="0.6">
      <c r="A69" s="7" t="s">
        <v>171</v>
      </c>
      <c r="B69" s="24" t="s">
        <v>172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3">
        <f t="shared" si="1"/>
        <v>0</v>
      </c>
    </row>
    <row r="70" spans="1:14" x14ac:dyDescent="0.6">
      <c r="A70" s="10" t="s">
        <v>173</v>
      </c>
      <c r="B70" s="26" t="s">
        <v>174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>
        <f t="shared" si="1"/>
        <v>0</v>
      </c>
    </row>
    <row r="71" spans="1:14" x14ac:dyDescent="0.6">
      <c r="A71" s="10" t="s">
        <v>175</v>
      </c>
      <c r="B71" s="26" t="s">
        <v>176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3">
        <f t="shared" si="1"/>
        <v>0</v>
      </c>
    </row>
    <row r="72" spans="1:14" x14ac:dyDescent="0.6">
      <c r="A72" s="10" t="s">
        <v>177</v>
      </c>
      <c r="B72" s="26" t="s">
        <v>178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3">
        <f t="shared" si="1"/>
        <v>0</v>
      </c>
    </row>
    <row r="73" spans="1:14" x14ac:dyDescent="0.6">
      <c r="A73" s="10" t="s">
        <v>179</v>
      </c>
      <c r="B73" s="26" t="s">
        <v>180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3">
        <f t="shared" si="1"/>
        <v>0</v>
      </c>
    </row>
    <row r="74" spans="1:14" x14ac:dyDescent="0.6">
      <c r="A74" s="7" t="s">
        <v>181</v>
      </c>
      <c r="B74" s="24" t="s">
        <v>182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3">
        <f t="shared" si="1"/>
        <v>0</v>
      </c>
    </row>
    <row r="75" spans="1:14" x14ac:dyDescent="0.6">
      <c r="A75" s="11" t="s">
        <v>183</v>
      </c>
      <c r="B75" s="26" t="s">
        <v>184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3">
        <f t="shared" si="1"/>
        <v>0</v>
      </c>
    </row>
    <row r="76" spans="1:14" x14ac:dyDescent="0.6">
      <c r="A76" s="7" t="s">
        <v>185</v>
      </c>
      <c r="B76" s="24" t="s">
        <v>186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3">
        <f t="shared" si="1"/>
        <v>0</v>
      </c>
    </row>
    <row r="77" spans="1:14" x14ac:dyDescent="0.6">
      <c r="A77" s="7" t="s">
        <v>187</v>
      </c>
      <c r="B77" s="24" t="s">
        <v>188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3">
        <f t="shared" si="1"/>
        <v>0</v>
      </c>
    </row>
    <row r="78" spans="1:14" x14ac:dyDescent="0.6">
      <c r="A78" s="7" t="s">
        <v>189</v>
      </c>
      <c r="B78" s="24" t="s">
        <v>190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3">
        <f t="shared" si="1"/>
        <v>0</v>
      </c>
    </row>
    <row r="79" spans="1:14" x14ac:dyDescent="0.6">
      <c r="A79" s="7" t="s">
        <v>191</v>
      </c>
      <c r="B79" s="24" t="s">
        <v>192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3">
        <f t="shared" si="1"/>
        <v>0</v>
      </c>
    </row>
    <row r="80" spans="1:14" x14ac:dyDescent="0.6">
      <c r="A80" s="7" t="s">
        <v>193</v>
      </c>
      <c r="B80" s="24" t="s">
        <v>194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3">
        <f t="shared" si="1"/>
        <v>0</v>
      </c>
    </row>
    <row r="81" spans="1:14" x14ac:dyDescent="0.6">
      <c r="A81" s="7" t="s">
        <v>195</v>
      </c>
      <c r="B81" s="24" t="s">
        <v>196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3">
        <f t="shared" si="1"/>
        <v>0</v>
      </c>
    </row>
    <row r="82" spans="1:14" x14ac:dyDescent="0.6">
      <c r="A82" s="7" t="s">
        <v>197</v>
      </c>
      <c r="B82" s="24" t="s">
        <v>198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3">
        <f t="shared" si="1"/>
        <v>0</v>
      </c>
    </row>
    <row r="83" spans="1:14" x14ac:dyDescent="0.6">
      <c r="A83" s="7" t="s">
        <v>199</v>
      </c>
      <c r="B83" s="24" t="s">
        <v>200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3">
        <f t="shared" si="1"/>
        <v>0</v>
      </c>
    </row>
    <row r="84" spans="1:14" x14ac:dyDescent="0.6">
      <c r="A84" s="7" t="s">
        <v>201</v>
      </c>
      <c r="B84" s="24" t="s">
        <v>202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3">
        <f t="shared" si="1"/>
        <v>0</v>
      </c>
    </row>
    <row r="85" spans="1:14" x14ac:dyDescent="0.6">
      <c r="A85" s="7" t="s">
        <v>203</v>
      </c>
      <c r="B85" s="24" t="s">
        <v>204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3">
        <f t="shared" si="1"/>
        <v>0</v>
      </c>
    </row>
    <row r="86" spans="1:14" x14ac:dyDescent="0.6">
      <c r="A86" s="7" t="s">
        <v>205</v>
      </c>
      <c r="B86" s="24" t="s">
        <v>206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3">
        <f t="shared" si="1"/>
        <v>0</v>
      </c>
    </row>
    <row r="87" spans="1:14" x14ac:dyDescent="0.6">
      <c r="A87" s="7" t="s">
        <v>207</v>
      </c>
      <c r="B87" s="24" t="s">
        <v>208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3">
        <f t="shared" si="1"/>
        <v>0</v>
      </c>
    </row>
    <row r="88" spans="1:14" x14ac:dyDescent="0.6">
      <c r="A88" s="7" t="s">
        <v>209</v>
      </c>
      <c r="B88" s="24" t="s">
        <v>210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3">
        <f t="shared" si="1"/>
        <v>0</v>
      </c>
    </row>
    <row r="89" spans="1:14" x14ac:dyDescent="0.6">
      <c r="A89" s="10" t="s">
        <v>211</v>
      </c>
      <c r="B89" s="26" t="s">
        <v>212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3">
        <f t="shared" si="1"/>
        <v>0</v>
      </c>
    </row>
    <row r="90" spans="1:14" x14ac:dyDescent="0.6">
      <c r="A90" s="10" t="s">
        <v>213</v>
      </c>
      <c r="B90" s="26" t="s">
        <v>214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3">
        <f t="shared" si="1"/>
        <v>0</v>
      </c>
    </row>
    <row r="91" spans="1:14" x14ac:dyDescent="0.6">
      <c r="A91" s="7" t="s">
        <v>215</v>
      </c>
      <c r="B91" s="24" t="s">
        <v>216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3">
        <f t="shared" si="1"/>
        <v>0</v>
      </c>
    </row>
    <row r="92" spans="1:14" x14ac:dyDescent="0.6">
      <c r="A92" s="7" t="s">
        <v>217</v>
      </c>
      <c r="B92" s="24" t="s">
        <v>218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3">
        <f t="shared" si="1"/>
        <v>0</v>
      </c>
    </row>
    <row r="93" spans="1:14" x14ac:dyDescent="0.6">
      <c r="A93" s="10" t="s">
        <v>219</v>
      </c>
      <c r="B93" s="26" t="s">
        <v>220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3">
        <f t="shared" si="1"/>
        <v>0</v>
      </c>
    </row>
    <row r="94" spans="1:14" x14ac:dyDescent="0.6">
      <c r="A94" s="7" t="s">
        <v>221</v>
      </c>
      <c r="B94" s="24" t="s">
        <v>222</v>
      </c>
      <c r="C94" s="22"/>
      <c r="D94" s="22"/>
      <c r="E94" s="22"/>
      <c r="F94" s="22"/>
      <c r="G94" s="22"/>
      <c r="H94" s="22">
        <v>-2.5</v>
      </c>
      <c r="I94" s="22"/>
      <c r="J94" s="22"/>
      <c r="K94" s="22"/>
      <c r="L94" s="22"/>
      <c r="M94" s="22"/>
      <c r="N94" s="23">
        <f t="shared" si="1"/>
        <v>-2.5</v>
      </c>
    </row>
    <row r="95" spans="1:14" x14ac:dyDescent="0.6">
      <c r="A95" s="7" t="s">
        <v>223</v>
      </c>
      <c r="B95" s="24" t="s">
        <v>224</v>
      </c>
      <c r="C95" s="22"/>
      <c r="D95" s="22"/>
      <c r="E95" s="22"/>
      <c r="F95" s="22"/>
      <c r="G95" s="22"/>
      <c r="H95" s="22"/>
      <c r="I95" s="22">
        <v>-2.5</v>
      </c>
      <c r="J95" s="22"/>
      <c r="K95" s="22"/>
      <c r="L95" s="22"/>
      <c r="M95" s="22"/>
      <c r="N95" s="23">
        <f t="shared" si="1"/>
        <v>-2.5</v>
      </c>
    </row>
    <row r="96" spans="1:14" x14ac:dyDescent="0.6">
      <c r="A96" s="7" t="s">
        <v>225</v>
      </c>
      <c r="B96" s="24" t="s">
        <v>226</v>
      </c>
      <c r="C96" s="22"/>
      <c r="D96" s="22"/>
      <c r="E96" s="22"/>
      <c r="F96" s="22">
        <v>-2.5</v>
      </c>
      <c r="G96" s="22"/>
      <c r="H96" s="22"/>
      <c r="I96" s="22"/>
      <c r="J96" s="22"/>
      <c r="K96" s="22"/>
      <c r="L96" s="22"/>
      <c r="M96" s="22"/>
      <c r="N96" s="23">
        <f t="shared" si="1"/>
        <v>-2.5</v>
      </c>
    </row>
    <row r="97" spans="1:14" x14ac:dyDescent="0.6">
      <c r="A97" s="7" t="s">
        <v>227</v>
      </c>
      <c r="B97" s="24" t="s">
        <v>228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3">
        <f t="shared" si="1"/>
        <v>0</v>
      </c>
    </row>
    <row r="98" spans="1:14" x14ac:dyDescent="0.6">
      <c r="A98" s="7" t="s">
        <v>229</v>
      </c>
      <c r="B98" s="24" t="s">
        <v>230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3">
        <f t="shared" si="1"/>
        <v>0</v>
      </c>
    </row>
    <row r="99" spans="1:14" x14ac:dyDescent="0.6">
      <c r="A99" s="7" t="s">
        <v>231</v>
      </c>
      <c r="B99" s="24" t="s">
        <v>232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>
        <f t="shared" si="1"/>
        <v>0</v>
      </c>
    </row>
    <row r="100" spans="1:14" x14ac:dyDescent="0.6">
      <c r="A100" s="7" t="s">
        <v>233</v>
      </c>
      <c r="B100" s="24" t="s">
        <v>234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3">
        <f t="shared" si="1"/>
        <v>0</v>
      </c>
    </row>
    <row r="101" spans="1:14" x14ac:dyDescent="0.6">
      <c r="A101" s="12" t="s">
        <v>235</v>
      </c>
      <c r="B101" s="27" t="s">
        <v>236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3">
        <f t="shared" si="1"/>
        <v>0</v>
      </c>
    </row>
    <row r="102" spans="1:14" x14ac:dyDescent="0.6">
      <c r="A102" s="7" t="s">
        <v>237</v>
      </c>
      <c r="B102" s="24" t="s">
        <v>238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3">
        <f t="shared" si="1"/>
        <v>0</v>
      </c>
    </row>
    <row r="103" spans="1:14" x14ac:dyDescent="0.6">
      <c r="A103" s="12" t="s">
        <v>239</v>
      </c>
      <c r="B103" s="27" t="s">
        <v>240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3">
        <f t="shared" si="1"/>
        <v>0</v>
      </c>
    </row>
    <row r="104" spans="1:14" x14ac:dyDescent="0.6">
      <c r="A104" s="12" t="s">
        <v>241</v>
      </c>
      <c r="B104" s="27" t="s">
        <v>242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3">
        <f t="shared" si="1"/>
        <v>0</v>
      </c>
    </row>
    <row r="105" spans="1:14" x14ac:dyDescent="0.6">
      <c r="A105" s="7" t="s">
        <v>243</v>
      </c>
      <c r="B105" s="24" t="s">
        <v>244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3">
        <f t="shared" si="1"/>
        <v>0</v>
      </c>
    </row>
    <row r="106" spans="1:14" x14ac:dyDescent="0.6">
      <c r="A106" s="7" t="s">
        <v>245</v>
      </c>
      <c r="B106" s="24" t="s">
        <v>246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3">
        <f t="shared" si="1"/>
        <v>0</v>
      </c>
    </row>
    <row r="107" spans="1:14" x14ac:dyDescent="0.6">
      <c r="A107" s="7" t="s">
        <v>247</v>
      </c>
      <c r="B107" s="24" t="s">
        <v>248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3">
        <f t="shared" si="1"/>
        <v>0</v>
      </c>
    </row>
    <row r="108" spans="1:14" x14ac:dyDescent="0.6">
      <c r="A108" s="7" t="s">
        <v>249</v>
      </c>
      <c r="B108" s="24" t="s">
        <v>250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3">
        <f t="shared" si="1"/>
        <v>0</v>
      </c>
    </row>
    <row r="109" spans="1:14" x14ac:dyDescent="0.6">
      <c r="A109" s="7" t="s">
        <v>251</v>
      </c>
      <c r="B109" s="24" t="s">
        <v>252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3">
        <f t="shared" si="1"/>
        <v>0</v>
      </c>
    </row>
    <row r="110" spans="1:14" x14ac:dyDescent="0.6">
      <c r="A110" s="7" t="s">
        <v>253</v>
      </c>
      <c r="B110" s="24" t="s">
        <v>254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3">
        <f t="shared" si="1"/>
        <v>0</v>
      </c>
    </row>
    <row r="111" spans="1:14" x14ac:dyDescent="0.6">
      <c r="A111" s="7" t="s">
        <v>255</v>
      </c>
      <c r="B111" s="24" t="s">
        <v>256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3">
        <f t="shared" si="1"/>
        <v>0</v>
      </c>
    </row>
    <row r="112" spans="1:14" x14ac:dyDescent="0.6">
      <c r="A112" s="7" t="s">
        <v>257</v>
      </c>
      <c r="B112" s="24" t="s">
        <v>258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3">
        <f t="shared" si="1"/>
        <v>0</v>
      </c>
    </row>
    <row r="113" spans="1:14" x14ac:dyDescent="0.6">
      <c r="A113" s="12" t="s">
        <v>259</v>
      </c>
      <c r="B113" s="27" t="s">
        <v>260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3">
        <f t="shared" si="1"/>
        <v>0</v>
      </c>
    </row>
    <row r="114" spans="1:14" x14ac:dyDescent="0.6">
      <c r="A114" s="12" t="s">
        <v>261</v>
      </c>
      <c r="B114" s="27" t="s">
        <v>262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3">
        <f t="shared" si="1"/>
        <v>0</v>
      </c>
    </row>
    <row r="115" spans="1:14" x14ac:dyDescent="0.6">
      <c r="A115" s="7" t="s">
        <v>263</v>
      </c>
      <c r="B115" s="24" t="s">
        <v>264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3">
        <f t="shared" si="1"/>
        <v>0</v>
      </c>
    </row>
    <row r="116" spans="1:14" x14ac:dyDescent="0.6">
      <c r="A116" s="12" t="s">
        <v>265</v>
      </c>
      <c r="B116" s="27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3">
        <f t="shared" si="1"/>
        <v>0</v>
      </c>
    </row>
    <row r="117" spans="1:14" x14ac:dyDescent="0.6">
      <c r="A117" s="7" t="s">
        <v>267</v>
      </c>
      <c r="B117" s="24" t="s">
        <v>268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3">
        <f t="shared" si="1"/>
        <v>0</v>
      </c>
    </row>
    <row r="118" spans="1:14" x14ac:dyDescent="0.6">
      <c r="A118" s="7" t="s">
        <v>269</v>
      </c>
      <c r="B118" s="24" t="s">
        <v>270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3">
        <f t="shared" si="1"/>
        <v>0</v>
      </c>
    </row>
    <row r="119" spans="1:14" x14ac:dyDescent="0.6">
      <c r="A119" s="7" t="s">
        <v>271</v>
      </c>
      <c r="B119" s="24" t="s">
        <v>272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3">
        <f t="shared" si="1"/>
        <v>0</v>
      </c>
    </row>
    <row r="120" spans="1:14" x14ac:dyDescent="0.6">
      <c r="A120" s="12" t="s">
        <v>273</v>
      </c>
      <c r="B120" s="27" t="s">
        <v>274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3">
        <f t="shared" si="1"/>
        <v>0</v>
      </c>
    </row>
    <row r="121" spans="1:14" x14ac:dyDescent="0.6">
      <c r="A121" s="7" t="s">
        <v>275</v>
      </c>
      <c r="B121" s="24" t="s">
        <v>276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3">
        <f t="shared" si="1"/>
        <v>0</v>
      </c>
    </row>
    <row r="122" spans="1:14" x14ac:dyDescent="0.6">
      <c r="A122" s="7" t="s">
        <v>277</v>
      </c>
      <c r="B122" s="24" t="s">
        <v>278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3">
        <f t="shared" si="1"/>
        <v>0</v>
      </c>
    </row>
    <row r="123" spans="1:14" x14ac:dyDescent="0.6">
      <c r="A123" s="7" t="s">
        <v>279</v>
      </c>
      <c r="B123" s="24" t="s">
        <v>280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3">
        <f t="shared" si="1"/>
        <v>0</v>
      </c>
    </row>
    <row r="124" spans="1:14" x14ac:dyDescent="0.6">
      <c r="A124" s="7" t="s">
        <v>281</v>
      </c>
      <c r="B124" s="24" t="s">
        <v>282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3">
        <f t="shared" si="1"/>
        <v>0</v>
      </c>
    </row>
    <row r="125" spans="1:14" x14ac:dyDescent="0.6">
      <c r="A125" s="7" t="s">
        <v>283</v>
      </c>
      <c r="B125" s="24" t="s">
        <v>284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3">
        <f t="shared" si="1"/>
        <v>0</v>
      </c>
    </row>
    <row r="126" spans="1:14" x14ac:dyDescent="0.6">
      <c r="A126" s="7" t="s">
        <v>285</v>
      </c>
      <c r="B126" s="24" t="s">
        <v>286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3">
        <f t="shared" si="1"/>
        <v>0</v>
      </c>
    </row>
    <row r="127" spans="1:14" x14ac:dyDescent="0.6">
      <c r="A127" s="7" t="s">
        <v>287</v>
      </c>
      <c r="B127" s="24" t="s">
        <v>288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3">
        <f t="shared" si="1"/>
        <v>0</v>
      </c>
    </row>
    <row r="128" spans="1:14" x14ac:dyDescent="0.6">
      <c r="A128" s="7" t="s">
        <v>289</v>
      </c>
      <c r="B128" s="24" t="s">
        <v>290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3">
        <f t="shared" si="1"/>
        <v>0</v>
      </c>
    </row>
    <row r="129" spans="1:14" x14ac:dyDescent="0.6">
      <c r="A129" s="7" t="s">
        <v>2</v>
      </c>
      <c r="B129" s="24" t="s">
        <v>3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3">
        <f t="shared" si="1"/>
        <v>0</v>
      </c>
    </row>
    <row r="130" spans="1:14" x14ac:dyDescent="0.6">
      <c r="A130" s="7" t="s">
        <v>291</v>
      </c>
      <c r="B130" s="24" t="s">
        <v>292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3">
        <f t="shared" si="1"/>
        <v>0</v>
      </c>
    </row>
    <row r="131" spans="1:14" x14ac:dyDescent="0.6">
      <c r="A131" s="7" t="s">
        <v>293</v>
      </c>
      <c r="B131" s="24" t="s">
        <v>294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3">
        <f t="shared" ref="N131:N194" si="2">SUM(C131:M131)</f>
        <v>0</v>
      </c>
    </row>
    <row r="132" spans="1:14" x14ac:dyDescent="0.6">
      <c r="A132" s="7" t="s">
        <v>6</v>
      </c>
      <c r="B132" s="24" t="s">
        <v>7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3">
        <f t="shared" si="2"/>
        <v>0</v>
      </c>
    </row>
    <row r="133" spans="1:14" x14ac:dyDescent="0.6">
      <c r="A133" s="7" t="s">
        <v>295</v>
      </c>
      <c r="B133" s="24" t="s">
        <v>296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3">
        <f t="shared" si="2"/>
        <v>0</v>
      </c>
    </row>
    <row r="134" spans="1:14" x14ac:dyDescent="0.6">
      <c r="A134" s="12" t="s">
        <v>4</v>
      </c>
      <c r="B134" s="27" t="s">
        <v>5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3">
        <f t="shared" si="2"/>
        <v>0</v>
      </c>
    </row>
    <row r="135" spans="1:14" x14ac:dyDescent="0.6">
      <c r="A135" s="7" t="s">
        <v>297</v>
      </c>
      <c r="B135" s="24" t="s">
        <v>298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3">
        <f t="shared" si="2"/>
        <v>0</v>
      </c>
    </row>
    <row r="136" spans="1:14" x14ac:dyDescent="0.6">
      <c r="A136" s="7" t="s">
        <v>299</v>
      </c>
      <c r="B136" s="24" t="s">
        <v>300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3">
        <f t="shared" si="2"/>
        <v>0</v>
      </c>
    </row>
    <row r="137" spans="1:14" x14ac:dyDescent="0.6">
      <c r="A137" s="12" t="s">
        <v>301</v>
      </c>
      <c r="B137" s="27" t="s">
        <v>302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3">
        <f t="shared" si="2"/>
        <v>0</v>
      </c>
    </row>
    <row r="138" spans="1:14" x14ac:dyDescent="0.6">
      <c r="A138" s="7" t="s">
        <v>303</v>
      </c>
      <c r="B138" s="24" t="s">
        <v>304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3">
        <f t="shared" si="2"/>
        <v>0</v>
      </c>
    </row>
    <row r="139" spans="1:14" x14ac:dyDescent="0.6">
      <c r="A139" s="7" t="s">
        <v>305</v>
      </c>
      <c r="B139" s="24" t="s">
        <v>306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3">
        <f t="shared" si="2"/>
        <v>0</v>
      </c>
    </row>
    <row r="140" spans="1:14" x14ac:dyDescent="0.6">
      <c r="A140" s="7" t="s">
        <v>307</v>
      </c>
      <c r="B140" s="24" t="s">
        <v>308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3">
        <f t="shared" si="2"/>
        <v>0</v>
      </c>
    </row>
    <row r="141" spans="1:14" x14ac:dyDescent="0.6">
      <c r="A141" s="7" t="s">
        <v>309</v>
      </c>
      <c r="B141" s="24" t="s">
        <v>310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3">
        <f t="shared" si="2"/>
        <v>0</v>
      </c>
    </row>
    <row r="142" spans="1:14" x14ac:dyDescent="0.6">
      <c r="A142" s="7" t="s">
        <v>311</v>
      </c>
      <c r="B142" s="24" t="s">
        <v>312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3">
        <f t="shared" si="2"/>
        <v>0</v>
      </c>
    </row>
    <row r="143" spans="1:14" x14ac:dyDescent="0.6">
      <c r="A143" s="12" t="s">
        <v>313</v>
      </c>
      <c r="B143" s="27" t="s">
        <v>314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3">
        <f t="shared" si="2"/>
        <v>0</v>
      </c>
    </row>
    <row r="144" spans="1:14" x14ac:dyDescent="0.6">
      <c r="A144" s="7" t="s">
        <v>315</v>
      </c>
      <c r="B144" s="24" t="s">
        <v>316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3">
        <f t="shared" si="2"/>
        <v>0</v>
      </c>
    </row>
    <row r="145" spans="1:14" x14ac:dyDescent="0.6">
      <c r="A145" s="7" t="s">
        <v>317</v>
      </c>
      <c r="B145" s="24" t="s">
        <v>318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3">
        <f t="shared" si="2"/>
        <v>0</v>
      </c>
    </row>
    <row r="146" spans="1:14" x14ac:dyDescent="0.6">
      <c r="A146" s="7" t="s">
        <v>319</v>
      </c>
      <c r="B146" s="24" t="s">
        <v>320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3">
        <f t="shared" si="2"/>
        <v>0</v>
      </c>
    </row>
    <row r="147" spans="1:14" x14ac:dyDescent="0.6">
      <c r="A147" s="7" t="s">
        <v>321</v>
      </c>
      <c r="B147" s="24" t="s">
        <v>322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3">
        <f t="shared" si="2"/>
        <v>0</v>
      </c>
    </row>
    <row r="148" spans="1:14" x14ac:dyDescent="0.6">
      <c r="A148" s="7" t="s">
        <v>32</v>
      </c>
      <c r="B148" s="24" t="s">
        <v>323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3">
        <f t="shared" si="2"/>
        <v>0</v>
      </c>
    </row>
    <row r="149" spans="1:14" x14ac:dyDescent="0.6">
      <c r="A149" s="7" t="s">
        <v>324</v>
      </c>
      <c r="B149" s="24" t="s">
        <v>325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3">
        <f t="shared" si="2"/>
        <v>0</v>
      </c>
    </row>
    <row r="150" spans="1:14" x14ac:dyDescent="0.6">
      <c r="A150" s="7" t="s">
        <v>326</v>
      </c>
      <c r="B150" s="24" t="s">
        <v>327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3">
        <f t="shared" si="2"/>
        <v>0</v>
      </c>
    </row>
    <row r="151" spans="1:14" x14ac:dyDescent="0.6">
      <c r="A151" s="7" t="s">
        <v>328</v>
      </c>
      <c r="B151" s="24" t="s">
        <v>329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3">
        <f t="shared" si="2"/>
        <v>0</v>
      </c>
    </row>
    <row r="152" spans="1:14" x14ac:dyDescent="0.6">
      <c r="A152" s="7" t="s">
        <v>330</v>
      </c>
      <c r="B152" s="24" t="s">
        <v>331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3">
        <f t="shared" si="2"/>
        <v>0</v>
      </c>
    </row>
    <row r="153" spans="1:14" x14ac:dyDescent="0.6">
      <c r="A153" s="7" t="s">
        <v>332</v>
      </c>
      <c r="B153" s="24" t="s">
        <v>333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3">
        <f t="shared" si="2"/>
        <v>0</v>
      </c>
    </row>
    <row r="154" spans="1:14" x14ac:dyDescent="0.6">
      <c r="A154" s="7" t="s">
        <v>334</v>
      </c>
      <c r="B154" s="24" t="s">
        <v>335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3">
        <f t="shared" si="2"/>
        <v>0</v>
      </c>
    </row>
    <row r="155" spans="1:14" x14ac:dyDescent="0.6">
      <c r="A155" s="7" t="s">
        <v>336</v>
      </c>
      <c r="B155" s="24" t="s">
        <v>337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3">
        <f t="shared" si="2"/>
        <v>0</v>
      </c>
    </row>
    <row r="156" spans="1:14" x14ac:dyDescent="0.6">
      <c r="A156" s="7" t="s">
        <v>338</v>
      </c>
      <c r="B156" s="24" t="s">
        <v>339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3">
        <f t="shared" si="2"/>
        <v>0</v>
      </c>
    </row>
    <row r="157" spans="1:14" x14ac:dyDescent="0.6">
      <c r="A157" s="7" t="s">
        <v>340</v>
      </c>
      <c r="B157" s="24" t="s">
        <v>341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3">
        <f t="shared" si="2"/>
        <v>0</v>
      </c>
    </row>
    <row r="158" spans="1:14" x14ac:dyDescent="0.6">
      <c r="A158" s="7" t="s">
        <v>342</v>
      </c>
      <c r="B158" s="24" t="s">
        <v>343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3">
        <f t="shared" si="2"/>
        <v>0</v>
      </c>
    </row>
    <row r="159" spans="1:14" x14ac:dyDescent="0.6">
      <c r="A159" s="7" t="s">
        <v>30</v>
      </c>
      <c r="B159" s="24" t="s">
        <v>31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3">
        <f t="shared" si="2"/>
        <v>0</v>
      </c>
    </row>
    <row r="160" spans="1:14" x14ac:dyDescent="0.6">
      <c r="A160" s="7" t="s">
        <v>344</v>
      </c>
      <c r="B160" s="24" t="s">
        <v>345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3">
        <f t="shared" si="2"/>
        <v>0</v>
      </c>
    </row>
    <row r="161" spans="1:14" x14ac:dyDescent="0.6">
      <c r="A161" s="7" t="s">
        <v>346</v>
      </c>
      <c r="B161" s="24" t="s">
        <v>347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3">
        <f t="shared" si="2"/>
        <v>0</v>
      </c>
    </row>
    <row r="162" spans="1:14" x14ac:dyDescent="0.6">
      <c r="A162" s="7" t="s">
        <v>348</v>
      </c>
      <c r="B162" s="24" t="s">
        <v>349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3">
        <f t="shared" si="2"/>
        <v>0</v>
      </c>
    </row>
    <row r="163" spans="1:14" x14ac:dyDescent="0.6">
      <c r="A163" s="7" t="s">
        <v>350</v>
      </c>
      <c r="B163" s="24" t="s">
        <v>351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3">
        <f t="shared" si="2"/>
        <v>0</v>
      </c>
    </row>
    <row r="164" spans="1:14" x14ac:dyDescent="0.6">
      <c r="A164" s="7" t="s">
        <v>352</v>
      </c>
      <c r="B164" s="24" t="s">
        <v>353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3">
        <f t="shared" si="2"/>
        <v>0</v>
      </c>
    </row>
    <row r="165" spans="1:14" x14ac:dyDescent="0.6">
      <c r="A165" s="7" t="s">
        <v>354</v>
      </c>
      <c r="B165" s="24" t="s">
        <v>355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3">
        <f t="shared" si="2"/>
        <v>0</v>
      </c>
    </row>
    <row r="166" spans="1:14" x14ac:dyDescent="0.6">
      <c r="A166" s="7" t="s">
        <v>356</v>
      </c>
      <c r="B166" s="24" t="s">
        <v>357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3">
        <f t="shared" si="2"/>
        <v>0</v>
      </c>
    </row>
    <row r="167" spans="1:14" x14ac:dyDescent="0.6">
      <c r="A167" s="7" t="s">
        <v>358</v>
      </c>
      <c r="B167" s="24" t="s">
        <v>359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3">
        <f t="shared" si="2"/>
        <v>0</v>
      </c>
    </row>
    <row r="168" spans="1:14" x14ac:dyDescent="0.6">
      <c r="A168" s="7" t="s">
        <v>360</v>
      </c>
      <c r="B168" s="24" t="s">
        <v>361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3">
        <f t="shared" si="2"/>
        <v>0</v>
      </c>
    </row>
    <row r="169" spans="1:14" x14ac:dyDescent="0.6">
      <c r="A169" s="7" t="s">
        <v>362</v>
      </c>
      <c r="B169" s="24" t="s">
        <v>363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3">
        <f t="shared" si="2"/>
        <v>0</v>
      </c>
    </row>
    <row r="170" spans="1:14" x14ac:dyDescent="0.6">
      <c r="A170" s="7" t="s">
        <v>364</v>
      </c>
      <c r="B170" s="24" t="s">
        <v>365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3">
        <f t="shared" si="2"/>
        <v>0</v>
      </c>
    </row>
    <row r="171" spans="1:14" x14ac:dyDescent="0.6">
      <c r="A171" s="7" t="s">
        <v>366</v>
      </c>
      <c r="B171" s="24" t="s">
        <v>367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3">
        <f t="shared" si="2"/>
        <v>0</v>
      </c>
    </row>
    <row r="172" spans="1:14" x14ac:dyDescent="0.6">
      <c r="A172" s="7" t="s">
        <v>368</v>
      </c>
      <c r="B172" s="24" t="s">
        <v>369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3">
        <f t="shared" si="2"/>
        <v>0</v>
      </c>
    </row>
    <row r="173" spans="1:14" x14ac:dyDescent="0.6">
      <c r="A173" s="7" t="s">
        <v>370</v>
      </c>
      <c r="B173" s="24" t="s">
        <v>371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3">
        <f t="shared" si="2"/>
        <v>0</v>
      </c>
    </row>
    <row r="174" spans="1:14" x14ac:dyDescent="0.6">
      <c r="A174" s="7" t="s">
        <v>26</v>
      </c>
      <c r="B174" s="24" t="s">
        <v>27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3">
        <f t="shared" si="2"/>
        <v>0</v>
      </c>
    </row>
    <row r="175" spans="1:14" x14ac:dyDescent="0.6">
      <c r="A175" s="7" t="s">
        <v>28</v>
      </c>
      <c r="B175" s="24" t="s">
        <v>29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3">
        <f t="shared" si="2"/>
        <v>0</v>
      </c>
    </row>
    <row r="176" spans="1:14" x14ac:dyDescent="0.6">
      <c r="A176" s="7" t="s">
        <v>372</v>
      </c>
      <c r="B176" s="24" t="s">
        <v>373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3">
        <f t="shared" si="2"/>
        <v>0</v>
      </c>
    </row>
    <row r="177" spans="1:14" x14ac:dyDescent="0.6">
      <c r="A177" s="7" t="s">
        <v>374</v>
      </c>
      <c r="B177" s="24" t="s">
        <v>375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3">
        <f t="shared" si="2"/>
        <v>0</v>
      </c>
    </row>
    <row r="178" spans="1:14" x14ac:dyDescent="0.6">
      <c r="A178" s="4" t="s">
        <v>376</v>
      </c>
      <c r="B178" s="25" t="s">
        <v>377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3">
        <f t="shared" si="2"/>
        <v>0</v>
      </c>
    </row>
    <row r="179" spans="1:14" x14ac:dyDescent="0.6">
      <c r="A179" s="7" t="s">
        <v>378</v>
      </c>
      <c r="B179" s="24" t="s">
        <v>379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3">
        <f t="shared" si="2"/>
        <v>0</v>
      </c>
    </row>
    <row r="180" spans="1:14" x14ac:dyDescent="0.6">
      <c r="A180" s="7" t="s">
        <v>380</v>
      </c>
      <c r="B180" s="24" t="s">
        <v>381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3">
        <f t="shared" si="2"/>
        <v>0</v>
      </c>
    </row>
    <row r="181" spans="1:14" x14ac:dyDescent="0.6">
      <c r="A181" s="7" t="s">
        <v>382</v>
      </c>
      <c r="B181" s="24" t="s">
        <v>383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3">
        <f t="shared" si="2"/>
        <v>0</v>
      </c>
    </row>
    <row r="182" spans="1:14" x14ac:dyDescent="0.6">
      <c r="A182" s="7" t="s">
        <v>384</v>
      </c>
      <c r="B182" s="24" t="s">
        <v>385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3">
        <f t="shared" si="2"/>
        <v>0</v>
      </c>
    </row>
    <row r="183" spans="1:14" x14ac:dyDescent="0.6">
      <c r="A183" s="7" t="s">
        <v>386</v>
      </c>
      <c r="B183" s="24" t="s">
        <v>387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3">
        <f t="shared" si="2"/>
        <v>0</v>
      </c>
    </row>
    <row r="184" spans="1:14" x14ac:dyDescent="0.6">
      <c r="A184" s="7" t="s">
        <v>388</v>
      </c>
      <c r="B184" s="24" t="s">
        <v>389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3">
        <f t="shared" si="2"/>
        <v>0</v>
      </c>
    </row>
    <row r="185" spans="1:14" x14ac:dyDescent="0.6">
      <c r="A185" s="7" t="s">
        <v>390</v>
      </c>
      <c r="B185" s="24" t="s">
        <v>391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3">
        <f t="shared" si="2"/>
        <v>0</v>
      </c>
    </row>
    <row r="186" spans="1:14" x14ac:dyDescent="0.6">
      <c r="A186" s="7" t="s">
        <v>392</v>
      </c>
      <c r="B186" s="24" t="s">
        <v>393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3">
        <f t="shared" si="2"/>
        <v>0</v>
      </c>
    </row>
    <row r="187" spans="1:14" x14ac:dyDescent="0.6">
      <c r="A187" s="7" t="s">
        <v>394</v>
      </c>
      <c r="B187" s="24" t="s">
        <v>395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3">
        <f t="shared" si="2"/>
        <v>0</v>
      </c>
    </row>
    <row r="188" spans="1:14" x14ac:dyDescent="0.6">
      <c r="A188" s="7" t="s">
        <v>396</v>
      </c>
      <c r="B188" s="24" t="s">
        <v>397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3">
        <f t="shared" si="2"/>
        <v>0</v>
      </c>
    </row>
    <row r="189" spans="1:14" x14ac:dyDescent="0.6">
      <c r="A189" s="7" t="s">
        <v>398</v>
      </c>
      <c r="B189" s="24" t="s">
        <v>399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3">
        <f t="shared" si="2"/>
        <v>0</v>
      </c>
    </row>
    <row r="190" spans="1:14" x14ac:dyDescent="0.6">
      <c r="A190" s="7" t="s">
        <v>400</v>
      </c>
      <c r="B190" s="24" t="s">
        <v>401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3">
        <f t="shared" si="2"/>
        <v>0</v>
      </c>
    </row>
    <row r="191" spans="1:14" x14ac:dyDescent="0.6">
      <c r="A191" s="7" t="s">
        <v>402</v>
      </c>
      <c r="B191" s="24" t="s">
        <v>403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3">
        <f t="shared" si="2"/>
        <v>0</v>
      </c>
    </row>
    <row r="192" spans="1:14" x14ac:dyDescent="0.6">
      <c r="A192" s="7" t="s">
        <v>404</v>
      </c>
      <c r="B192" s="24" t="s">
        <v>405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3">
        <f t="shared" si="2"/>
        <v>0</v>
      </c>
    </row>
    <row r="193" spans="1:14" x14ac:dyDescent="0.6">
      <c r="A193" s="7" t="s">
        <v>406</v>
      </c>
      <c r="B193" s="24" t="s">
        <v>407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3">
        <f t="shared" si="2"/>
        <v>0</v>
      </c>
    </row>
    <row r="194" spans="1:14" x14ac:dyDescent="0.6">
      <c r="A194" s="7" t="s">
        <v>408</v>
      </c>
      <c r="B194" s="24" t="s">
        <v>409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3">
        <f t="shared" si="2"/>
        <v>0</v>
      </c>
    </row>
    <row r="195" spans="1:14" x14ac:dyDescent="0.6">
      <c r="A195" s="7" t="s">
        <v>410</v>
      </c>
      <c r="B195" s="24" t="s">
        <v>411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3">
        <f t="shared" ref="N195:N258" si="3">SUM(C195:M195)</f>
        <v>0</v>
      </c>
    </row>
    <row r="196" spans="1:14" x14ac:dyDescent="0.6">
      <c r="A196" s="7" t="s">
        <v>412</v>
      </c>
      <c r="B196" s="24" t="s">
        <v>413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3">
        <f t="shared" si="3"/>
        <v>0</v>
      </c>
    </row>
    <row r="197" spans="1:14" x14ac:dyDescent="0.6">
      <c r="A197" s="7" t="s">
        <v>414</v>
      </c>
      <c r="B197" s="24" t="s">
        <v>415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3">
        <f t="shared" si="3"/>
        <v>0</v>
      </c>
    </row>
    <row r="198" spans="1:14" x14ac:dyDescent="0.6">
      <c r="A198" s="7" t="s">
        <v>416</v>
      </c>
      <c r="B198" s="24" t="s">
        <v>417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3">
        <f t="shared" si="3"/>
        <v>0</v>
      </c>
    </row>
    <row r="199" spans="1:14" x14ac:dyDescent="0.6">
      <c r="A199" s="7" t="s">
        <v>418</v>
      </c>
      <c r="B199" s="24" t="s">
        <v>419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3">
        <f t="shared" si="3"/>
        <v>0</v>
      </c>
    </row>
    <row r="200" spans="1:14" x14ac:dyDescent="0.6">
      <c r="A200" s="7" t="s">
        <v>420</v>
      </c>
      <c r="B200" s="24" t="s">
        <v>421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3">
        <f t="shared" si="3"/>
        <v>0</v>
      </c>
    </row>
    <row r="201" spans="1:14" x14ac:dyDescent="0.6">
      <c r="A201" s="7" t="s">
        <v>422</v>
      </c>
      <c r="B201" s="24" t="s">
        <v>423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3">
        <f t="shared" si="3"/>
        <v>0</v>
      </c>
    </row>
    <row r="202" spans="1:14" x14ac:dyDescent="0.6">
      <c r="A202" s="7" t="s">
        <v>424</v>
      </c>
      <c r="B202" s="24" t="s">
        <v>425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3">
        <f t="shared" si="3"/>
        <v>0</v>
      </c>
    </row>
    <row r="203" spans="1:14" x14ac:dyDescent="0.6">
      <c r="A203" s="7" t="s">
        <v>426</v>
      </c>
      <c r="B203" s="24" t="s">
        <v>427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3">
        <f t="shared" si="3"/>
        <v>0</v>
      </c>
    </row>
    <row r="204" spans="1:14" x14ac:dyDescent="0.6">
      <c r="A204" s="7" t="s">
        <v>428</v>
      </c>
      <c r="B204" s="24" t="s">
        <v>429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3">
        <f t="shared" si="3"/>
        <v>0</v>
      </c>
    </row>
    <row r="205" spans="1:14" x14ac:dyDescent="0.6">
      <c r="A205" s="7" t="s">
        <v>430</v>
      </c>
      <c r="B205" s="24" t="s">
        <v>431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3">
        <f t="shared" si="3"/>
        <v>0</v>
      </c>
    </row>
    <row r="206" spans="1:14" x14ac:dyDescent="0.6">
      <c r="A206" s="7" t="s">
        <v>432</v>
      </c>
      <c r="B206" s="24" t="s">
        <v>433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3">
        <f t="shared" si="3"/>
        <v>0</v>
      </c>
    </row>
    <row r="207" spans="1:14" x14ac:dyDescent="0.6">
      <c r="A207" s="7" t="s">
        <v>434</v>
      </c>
      <c r="B207" s="24" t="s">
        <v>435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3">
        <f t="shared" si="3"/>
        <v>0</v>
      </c>
    </row>
    <row r="208" spans="1:14" x14ac:dyDescent="0.6">
      <c r="A208" s="7" t="s">
        <v>436</v>
      </c>
      <c r="B208" s="24" t="s">
        <v>437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3">
        <f t="shared" si="3"/>
        <v>0</v>
      </c>
    </row>
    <row r="209" spans="1:14" x14ac:dyDescent="0.6">
      <c r="A209" s="7" t="s">
        <v>438</v>
      </c>
      <c r="B209" s="24" t="s">
        <v>439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3">
        <f t="shared" si="3"/>
        <v>0</v>
      </c>
    </row>
    <row r="210" spans="1:14" x14ac:dyDescent="0.6">
      <c r="A210" s="7" t="s">
        <v>440</v>
      </c>
      <c r="B210" s="24" t="s">
        <v>441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3">
        <f t="shared" si="3"/>
        <v>0</v>
      </c>
    </row>
    <row r="211" spans="1:14" x14ac:dyDescent="0.6">
      <c r="A211" s="7" t="s">
        <v>442</v>
      </c>
      <c r="B211" s="24" t="s">
        <v>443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3">
        <f t="shared" si="3"/>
        <v>0</v>
      </c>
    </row>
    <row r="212" spans="1:14" x14ac:dyDescent="0.6">
      <c r="A212" s="7" t="s">
        <v>444</v>
      </c>
      <c r="B212" s="24" t="s">
        <v>445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3">
        <f t="shared" si="3"/>
        <v>0</v>
      </c>
    </row>
    <row r="213" spans="1:14" x14ac:dyDescent="0.6">
      <c r="A213" s="7" t="s">
        <v>446</v>
      </c>
      <c r="B213" s="24" t="s">
        <v>447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3">
        <f t="shared" si="3"/>
        <v>0</v>
      </c>
    </row>
    <row r="214" spans="1:14" x14ac:dyDescent="0.6">
      <c r="A214" s="7" t="s">
        <v>448</v>
      </c>
      <c r="B214" s="24" t="s">
        <v>449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3">
        <f t="shared" si="3"/>
        <v>0</v>
      </c>
    </row>
    <row r="215" spans="1:14" x14ac:dyDescent="0.6">
      <c r="A215" s="7" t="s">
        <v>450</v>
      </c>
      <c r="B215" s="24" t="s">
        <v>451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3">
        <f t="shared" si="3"/>
        <v>0</v>
      </c>
    </row>
    <row r="216" spans="1:14" x14ac:dyDescent="0.6">
      <c r="A216" s="7" t="s">
        <v>452</v>
      </c>
      <c r="B216" s="24" t="s">
        <v>453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3">
        <f t="shared" si="3"/>
        <v>0</v>
      </c>
    </row>
    <row r="217" spans="1:14" x14ac:dyDescent="0.6">
      <c r="A217" s="7" t="s">
        <v>454</v>
      </c>
      <c r="B217" s="24" t="s">
        <v>455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3">
        <f t="shared" si="3"/>
        <v>0</v>
      </c>
    </row>
    <row r="218" spans="1:14" x14ac:dyDescent="0.6">
      <c r="A218" s="7" t="s">
        <v>456</v>
      </c>
      <c r="B218" s="24" t="s">
        <v>457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3">
        <f t="shared" si="3"/>
        <v>0</v>
      </c>
    </row>
    <row r="219" spans="1:14" x14ac:dyDescent="0.6">
      <c r="A219" s="7" t="s">
        <v>458</v>
      </c>
      <c r="B219" s="24" t="s">
        <v>459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3">
        <f t="shared" si="3"/>
        <v>0</v>
      </c>
    </row>
    <row r="220" spans="1:14" x14ac:dyDescent="0.6">
      <c r="A220" s="7" t="s">
        <v>460</v>
      </c>
      <c r="B220" s="24" t="s">
        <v>461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3">
        <f t="shared" si="3"/>
        <v>0</v>
      </c>
    </row>
    <row r="221" spans="1:14" x14ac:dyDescent="0.6">
      <c r="A221" s="7" t="s">
        <v>462</v>
      </c>
      <c r="B221" s="24" t="s">
        <v>463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3">
        <f t="shared" si="3"/>
        <v>0</v>
      </c>
    </row>
    <row r="222" spans="1:14" x14ac:dyDescent="0.6">
      <c r="A222" s="7" t="s">
        <v>464</v>
      </c>
      <c r="B222" s="24" t="s">
        <v>465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3">
        <f t="shared" si="3"/>
        <v>0</v>
      </c>
    </row>
    <row r="223" spans="1:14" x14ac:dyDescent="0.6">
      <c r="A223" s="7" t="s">
        <v>466</v>
      </c>
      <c r="B223" s="24" t="s">
        <v>467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3">
        <f t="shared" si="3"/>
        <v>0</v>
      </c>
    </row>
    <row r="224" spans="1:14" x14ac:dyDescent="0.6">
      <c r="A224" s="7" t="s">
        <v>468</v>
      </c>
      <c r="B224" s="24" t="s">
        <v>469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3">
        <f t="shared" si="3"/>
        <v>0</v>
      </c>
    </row>
    <row r="225" spans="1:14" x14ac:dyDescent="0.6">
      <c r="A225" s="7" t="s">
        <v>470</v>
      </c>
      <c r="B225" s="24" t="s">
        <v>471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3">
        <f t="shared" si="3"/>
        <v>0</v>
      </c>
    </row>
    <row r="226" spans="1:14" x14ac:dyDescent="0.6">
      <c r="A226" s="7" t="s">
        <v>472</v>
      </c>
      <c r="B226" s="24" t="s">
        <v>473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3">
        <f t="shared" si="3"/>
        <v>0</v>
      </c>
    </row>
    <row r="227" spans="1:14" x14ac:dyDescent="0.6">
      <c r="A227" s="7" t="s">
        <v>474</v>
      </c>
      <c r="B227" s="24" t="s">
        <v>475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3">
        <f t="shared" si="3"/>
        <v>0</v>
      </c>
    </row>
    <row r="228" spans="1:14" x14ac:dyDescent="0.6">
      <c r="A228" s="7" t="s">
        <v>476</v>
      </c>
      <c r="B228" s="24" t="s">
        <v>477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3">
        <f t="shared" si="3"/>
        <v>0</v>
      </c>
    </row>
    <row r="229" spans="1:14" x14ac:dyDescent="0.6">
      <c r="A229" s="7" t="s">
        <v>478</v>
      </c>
      <c r="B229" s="24" t="s">
        <v>479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3">
        <f t="shared" si="3"/>
        <v>0</v>
      </c>
    </row>
    <row r="230" spans="1:14" x14ac:dyDescent="0.6">
      <c r="A230" s="7" t="s">
        <v>480</v>
      </c>
      <c r="B230" s="24" t="s">
        <v>481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3">
        <f t="shared" si="3"/>
        <v>0</v>
      </c>
    </row>
    <row r="231" spans="1:14" x14ac:dyDescent="0.6">
      <c r="A231" s="7" t="s">
        <v>482</v>
      </c>
      <c r="B231" s="24" t="s">
        <v>483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3">
        <f t="shared" si="3"/>
        <v>0</v>
      </c>
    </row>
    <row r="232" spans="1:14" x14ac:dyDescent="0.6">
      <c r="A232" s="7" t="s">
        <v>484</v>
      </c>
      <c r="B232" s="24" t="s">
        <v>485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3">
        <f t="shared" si="3"/>
        <v>0</v>
      </c>
    </row>
    <row r="233" spans="1:14" x14ac:dyDescent="0.6">
      <c r="A233" s="7" t="s">
        <v>486</v>
      </c>
      <c r="B233" s="24" t="s">
        <v>487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3">
        <f t="shared" si="3"/>
        <v>0</v>
      </c>
    </row>
    <row r="234" spans="1:14" x14ac:dyDescent="0.6">
      <c r="A234" s="7" t="s">
        <v>488</v>
      </c>
      <c r="B234" s="24" t="s">
        <v>489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3">
        <f t="shared" si="3"/>
        <v>0</v>
      </c>
    </row>
    <row r="235" spans="1:14" x14ac:dyDescent="0.6">
      <c r="A235" s="7" t="s">
        <v>490</v>
      </c>
      <c r="B235" s="24" t="s">
        <v>491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3">
        <f t="shared" si="3"/>
        <v>0</v>
      </c>
    </row>
    <row r="236" spans="1:14" x14ac:dyDescent="0.6">
      <c r="A236" s="7" t="s">
        <v>492</v>
      </c>
      <c r="B236" s="24" t="s">
        <v>493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3">
        <f t="shared" si="3"/>
        <v>0</v>
      </c>
    </row>
    <row r="237" spans="1:14" x14ac:dyDescent="0.6">
      <c r="A237" s="7" t="s">
        <v>494</v>
      </c>
      <c r="B237" s="24" t="s">
        <v>495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3">
        <f t="shared" si="3"/>
        <v>0</v>
      </c>
    </row>
    <row r="238" spans="1:14" x14ac:dyDescent="0.6">
      <c r="A238" s="7" t="s">
        <v>496</v>
      </c>
      <c r="B238" s="24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3">
        <f t="shared" si="3"/>
        <v>0</v>
      </c>
    </row>
    <row r="239" spans="1:14" x14ac:dyDescent="0.6">
      <c r="A239" s="12" t="s">
        <v>498</v>
      </c>
      <c r="B239" s="27" t="s">
        <v>499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3">
        <f t="shared" si="3"/>
        <v>0</v>
      </c>
    </row>
    <row r="240" spans="1:14" x14ac:dyDescent="0.6">
      <c r="A240" s="12" t="s">
        <v>500</v>
      </c>
      <c r="B240" s="27" t="s">
        <v>501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3">
        <f t="shared" si="3"/>
        <v>0</v>
      </c>
    </row>
    <row r="241" spans="1:14" x14ac:dyDescent="0.6">
      <c r="A241" s="12" t="s">
        <v>502</v>
      </c>
      <c r="B241" s="27" t="s">
        <v>503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3">
        <f t="shared" si="3"/>
        <v>0</v>
      </c>
    </row>
    <row r="242" spans="1:14" x14ac:dyDescent="0.6">
      <c r="A242" s="7" t="s">
        <v>504</v>
      </c>
      <c r="B242" s="24" t="s">
        <v>505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3">
        <f t="shared" si="3"/>
        <v>0</v>
      </c>
    </row>
    <row r="243" spans="1:14" x14ac:dyDescent="0.6">
      <c r="A243" s="7" t="s">
        <v>506</v>
      </c>
      <c r="B243" s="24" t="s">
        <v>507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3">
        <f t="shared" si="3"/>
        <v>0</v>
      </c>
    </row>
    <row r="244" spans="1:14" x14ac:dyDescent="0.6">
      <c r="A244" s="7" t="s">
        <v>508</v>
      </c>
      <c r="B244" s="24" t="s">
        <v>509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3">
        <f t="shared" si="3"/>
        <v>0</v>
      </c>
    </row>
    <row r="245" spans="1:14" x14ac:dyDescent="0.6">
      <c r="A245" s="12" t="s">
        <v>510</v>
      </c>
      <c r="B245" s="27" t="s">
        <v>511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3">
        <f t="shared" si="3"/>
        <v>0</v>
      </c>
    </row>
    <row r="246" spans="1:14" x14ac:dyDescent="0.6">
      <c r="A246" s="12" t="s">
        <v>884</v>
      </c>
      <c r="B246" s="27" t="s">
        <v>885</v>
      </c>
      <c r="C246" s="22"/>
      <c r="D246" s="22"/>
      <c r="E246" s="22"/>
      <c r="F246" s="22"/>
      <c r="G246" s="22"/>
      <c r="H246" s="22"/>
      <c r="I246" s="22">
        <v>-2.5</v>
      </c>
      <c r="J246" s="22"/>
      <c r="K246" s="22"/>
      <c r="L246" s="22"/>
      <c r="M246" s="22"/>
      <c r="N246" s="23">
        <f t="shared" si="3"/>
        <v>-2.5</v>
      </c>
    </row>
    <row r="247" spans="1:14" x14ac:dyDescent="0.6">
      <c r="A247" s="12" t="s">
        <v>512</v>
      </c>
      <c r="B247" s="27" t="s">
        <v>513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3">
        <f t="shared" si="3"/>
        <v>0</v>
      </c>
    </row>
    <row r="248" spans="1:14" x14ac:dyDescent="0.6">
      <c r="A248" s="12" t="s">
        <v>514</v>
      </c>
      <c r="B248" s="27" t="s">
        <v>515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3">
        <f t="shared" si="3"/>
        <v>0</v>
      </c>
    </row>
    <row r="249" spans="1:14" x14ac:dyDescent="0.6">
      <c r="A249" s="12" t="s">
        <v>516</v>
      </c>
      <c r="B249" s="27" t="s">
        <v>517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3">
        <f t="shared" si="3"/>
        <v>0</v>
      </c>
    </row>
    <row r="250" spans="1:14" x14ac:dyDescent="0.6">
      <c r="A250" s="12" t="s">
        <v>518</v>
      </c>
      <c r="B250" s="27" t="s">
        <v>519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3">
        <f t="shared" si="3"/>
        <v>0</v>
      </c>
    </row>
    <row r="251" spans="1:14" x14ac:dyDescent="0.6">
      <c r="A251" s="12" t="s">
        <v>520</v>
      </c>
      <c r="B251" s="27" t="s">
        <v>521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3">
        <f t="shared" si="3"/>
        <v>0</v>
      </c>
    </row>
    <row r="252" spans="1:14" x14ac:dyDescent="0.6">
      <c r="A252" s="12" t="s">
        <v>522</v>
      </c>
      <c r="B252" s="27" t="s">
        <v>523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3">
        <f t="shared" si="3"/>
        <v>0</v>
      </c>
    </row>
    <row r="253" spans="1:14" x14ac:dyDescent="0.6">
      <c r="A253" s="12" t="s">
        <v>524</v>
      </c>
      <c r="B253" s="27" t="s">
        <v>525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3">
        <f t="shared" si="3"/>
        <v>0</v>
      </c>
    </row>
    <row r="254" spans="1:14" x14ac:dyDescent="0.6">
      <c r="A254" s="12" t="s">
        <v>526</v>
      </c>
      <c r="B254" s="27" t="s">
        <v>527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3">
        <f t="shared" si="3"/>
        <v>0</v>
      </c>
    </row>
    <row r="255" spans="1:14" x14ac:dyDescent="0.6">
      <c r="A255" s="12" t="s">
        <v>528</v>
      </c>
      <c r="B255" s="27" t="s">
        <v>529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3">
        <f t="shared" si="3"/>
        <v>0</v>
      </c>
    </row>
    <row r="256" spans="1:14" x14ac:dyDescent="0.6">
      <c r="A256" s="12" t="s">
        <v>530</v>
      </c>
      <c r="B256" s="27" t="s">
        <v>531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3">
        <f t="shared" si="3"/>
        <v>0</v>
      </c>
    </row>
    <row r="257" spans="1:14" x14ac:dyDescent="0.6">
      <c r="A257" s="12" t="s">
        <v>532</v>
      </c>
      <c r="B257" s="27" t="s">
        <v>533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3">
        <f t="shared" si="3"/>
        <v>0</v>
      </c>
    </row>
    <row r="258" spans="1:14" x14ac:dyDescent="0.6">
      <c r="A258" s="12" t="s">
        <v>534</v>
      </c>
      <c r="B258" s="27" t="s">
        <v>535</v>
      </c>
      <c r="C258" s="22"/>
      <c r="D258" s="22"/>
      <c r="E258" s="22"/>
      <c r="F258" s="22"/>
      <c r="G258" s="22"/>
      <c r="H258" s="22"/>
      <c r="I258" s="22">
        <v>-2.5</v>
      </c>
      <c r="J258" s="22"/>
      <c r="K258" s="22"/>
      <c r="L258" s="22"/>
      <c r="M258" s="22"/>
      <c r="N258" s="23">
        <f t="shared" si="3"/>
        <v>-2.5</v>
      </c>
    </row>
    <row r="259" spans="1:14" x14ac:dyDescent="0.6">
      <c r="A259" s="12" t="s">
        <v>536</v>
      </c>
      <c r="B259" s="27" t="s">
        <v>537</v>
      </c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3">
        <f t="shared" ref="N259:N286" si="4">SUM(C259:M259)</f>
        <v>0</v>
      </c>
    </row>
    <row r="260" spans="1:14" x14ac:dyDescent="0.6">
      <c r="A260" s="12" t="s">
        <v>538</v>
      </c>
      <c r="B260" s="27" t="s">
        <v>539</v>
      </c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3">
        <f t="shared" si="4"/>
        <v>0</v>
      </c>
    </row>
    <row r="261" spans="1:14" x14ac:dyDescent="0.6">
      <c r="A261" s="12" t="s">
        <v>540</v>
      </c>
      <c r="B261" s="27" t="s">
        <v>541</v>
      </c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3">
        <f t="shared" si="4"/>
        <v>0</v>
      </c>
    </row>
    <row r="262" spans="1:14" x14ac:dyDescent="0.6">
      <c r="A262" s="12" t="s">
        <v>542</v>
      </c>
      <c r="B262" s="27" t="s">
        <v>543</v>
      </c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3">
        <f t="shared" si="4"/>
        <v>0</v>
      </c>
    </row>
    <row r="263" spans="1:14" x14ac:dyDescent="0.6">
      <c r="A263" s="12" t="s">
        <v>544</v>
      </c>
      <c r="B263" s="27" t="s">
        <v>545</v>
      </c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3">
        <f t="shared" si="4"/>
        <v>0</v>
      </c>
    </row>
    <row r="264" spans="1:14" x14ac:dyDescent="0.6">
      <c r="A264" s="12" t="s">
        <v>546</v>
      </c>
      <c r="B264" s="27" t="s">
        <v>547</v>
      </c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3">
        <f t="shared" si="4"/>
        <v>0</v>
      </c>
    </row>
    <row r="265" spans="1:14" x14ac:dyDescent="0.6">
      <c r="A265" s="12" t="s">
        <v>548</v>
      </c>
      <c r="B265" s="27" t="s">
        <v>549</v>
      </c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3">
        <f t="shared" si="4"/>
        <v>0</v>
      </c>
    </row>
    <row r="266" spans="1:14" x14ac:dyDescent="0.6">
      <c r="A266" s="12" t="s">
        <v>550</v>
      </c>
      <c r="B266" s="27" t="s">
        <v>551</v>
      </c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3">
        <f t="shared" si="4"/>
        <v>0</v>
      </c>
    </row>
    <row r="267" spans="1:14" x14ac:dyDescent="0.6">
      <c r="A267" s="12" t="s">
        <v>552</v>
      </c>
      <c r="B267" s="27" t="s">
        <v>553</v>
      </c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3">
        <f t="shared" si="4"/>
        <v>0</v>
      </c>
    </row>
    <row r="268" spans="1:14" x14ac:dyDescent="0.6">
      <c r="A268" s="12" t="s">
        <v>8</v>
      </c>
      <c r="B268" s="27" t="s">
        <v>9</v>
      </c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3">
        <f t="shared" si="4"/>
        <v>0</v>
      </c>
    </row>
    <row r="269" spans="1:14" x14ac:dyDescent="0.6">
      <c r="A269" s="12" t="s">
        <v>554</v>
      </c>
      <c r="B269" s="27" t="s">
        <v>555</v>
      </c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3">
        <f t="shared" si="4"/>
        <v>0</v>
      </c>
    </row>
    <row r="270" spans="1:14" x14ac:dyDescent="0.6">
      <c r="A270" s="12" t="s">
        <v>556</v>
      </c>
      <c r="B270" s="27" t="s">
        <v>557</v>
      </c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3">
        <f t="shared" si="4"/>
        <v>0</v>
      </c>
    </row>
    <row r="271" spans="1:14" x14ac:dyDescent="0.6">
      <c r="A271" s="12" t="s">
        <v>558</v>
      </c>
      <c r="B271" s="27" t="s">
        <v>559</v>
      </c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3">
        <f t="shared" si="4"/>
        <v>0</v>
      </c>
    </row>
    <row r="272" spans="1:14" x14ac:dyDescent="0.6">
      <c r="A272" s="12" t="s">
        <v>560</v>
      </c>
      <c r="B272" s="27" t="s">
        <v>561</v>
      </c>
      <c r="C272" s="22"/>
      <c r="D272" s="22"/>
      <c r="E272" s="22"/>
      <c r="F272" s="22">
        <v>-2.5</v>
      </c>
      <c r="G272" s="22"/>
      <c r="H272" s="22"/>
      <c r="I272" s="22"/>
      <c r="J272" s="22"/>
      <c r="K272" s="22"/>
      <c r="L272" s="22"/>
      <c r="M272" s="22"/>
      <c r="N272" s="23">
        <f t="shared" si="4"/>
        <v>-2.5</v>
      </c>
    </row>
    <row r="273" spans="1:14" x14ac:dyDescent="0.6">
      <c r="A273" s="12" t="s">
        <v>562</v>
      </c>
      <c r="B273" s="27" t="s">
        <v>563</v>
      </c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3">
        <f t="shared" si="4"/>
        <v>0</v>
      </c>
    </row>
    <row r="274" spans="1:14" x14ac:dyDescent="0.6">
      <c r="A274" s="12" t="s">
        <v>564</v>
      </c>
      <c r="B274" s="27" t="s">
        <v>565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3">
        <f t="shared" si="4"/>
        <v>0</v>
      </c>
    </row>
    <row r="275" spans="1:14" x14ac:dyDescent="0.6">
      <c r="A275" s="12" t="s">
        <v>566</v>
      </c>
      <c r="B275" s="27" t="s">
        <v>567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3">
        <f t="shared" si="4"/>
        <v>0</v>
      </c>
    </row>
    <row r="276" spans="1:14" x14ac:dyDescent="0.6">
      <c r="A276" s="12" t="s">
        <v>568</v>
      </c>
      <c r="B276" s="27" t="s">
        <v>569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3">
        <f t="shared" si="4"/>
        <v>0</v>
      </c>
    </row>
    <row r="277" spans="1:14" x14ac:dyDescent="0.6">
      <c r="A277" s="12" t="s">
        <v>10</v>
      </c>
      <c r="B277" s="27" t="s">
        <v>11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3">
        <f t="shared" si="4"/>
        <v>0</v>
      </c>
    </row>
    <row r="278" spans="1:14" x14ac:dyDescent="0.6">
      <c r="A278" s="12" t="s">
        <v>12</v>
      </c>
      <c r="B278" s="27" t="s">
        <v>13</v>
      </c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3">
        <f t="shared" si="4"/>
        <v>0</v>
      </c>
    </row>
    <row r="279" spans="1:14" x14ac:dyDescent="0.6">
      <c r="A279" s="12" t="s">
        <v>14</v>
      </c>
      <c r="B279" s="27" t="s">
        <v>15</v>
      </c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3">
        <f t="shared" si="4"/>
        <v>0</v>
      </c>
    </row>
    <row r="280" spans="1:14" x14ac:dyDescent="0.6">
      <c r="A280" s="12" t="s">
        <v>570</v>
      </c>
      <c r="B280" s="27" t="s">
        <v>571</v>
      </c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3">
        <f t="shared" si="4"/>
        <v>0</v>
      </c>
    </row>
    <row r="281" spans="1:14" x14ac:dyDescent="0.6">
      <c r="A281" s="12" t="s">
        <v>572</v>
      </c>
      <c r="B281" s="27" t="s">
        <v>573</v>
      </c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3">
        <f t="shared" si="4"/>
        <v>0</v>
      </c>
    </row>
    <row r="282" spans="1:14" x14ac:dyDescent="0.6">
      <c r="A282" s="12" t="s">
        <v>574</v>
      </c>
      <c r="B282" s="27" t="s">
        <v>575</v>
      </c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3">
        <f t="shared" si="4"/>
        <v>0</v>
      </c>
    </row>
    <row r="283" spans="1:14" x14ac:dyDescent="0.6">
      <c r="A283" s="12" t="s">
        <v>576</v>
      </c>
      <c r="B283" s="27" t="s">
        <v>577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3">
        <f t="shared" si="4"/>
        <v>0</v>
      </c>
    </row>
    <row r="284" spans="1:14" x14ac:dyDescent="0.6">
      <c r="A284" s="12" t="s">
        <v>578</v>
      </c>
      <c r="B284" s="27" t="s">
        <v>579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3">
        <f t="shared" si="4"/>
        <v>0</v>
      </c>
    </row>
    <row r="285" spans="1:14" x14ac:dyDescent="0.6">
      <c r="A285" s="12" t="s">
        <v>580</v>
      </c>
      <c r="B285" s="27" t="s">
        <v>581</v>
      </c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3">
        <f t="shared" si="4"/>
        <v>0</v>
      </c>
    </row>
    <row r="286" spans="1:14" x14ac:dyDescent="0.6">
      <c r="A286" s="12" t="s">
        <v>582</v>
      </c>
      <c r="B286" s="27" t="s">
        <v>583</v>
      </c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3">
        <f t="shared" si="4"/>
        <v>0</v>
      </c>
    </row>
    <row r="287" spans="1:14" x14ac:dyDescent="0.6">
      <c r="A287" s="9" t="s">
        <v>584</v>
      </c>
      <c r="B287" s="9" t="s">
        <v>585</v>
      </c>
      <c r="N287">
        <v>0</v>
      </c>
    </row>
  </sheetData>
  <autoFilter ref="A1:N287" xr:uid="{A79528FD-BC0F-4865-9E8B-3AB306CAC36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3AA5-2907-4EDD-B16A-F11E088C956F}">
  <dimension ref="A1:N286"/>
  <sheetViews>
    <sheetView workbookViewId="0">
      <pane xSplit="2" ySplit="1" topLeftCell="C49" activePane="bottomRight" state="frozen"/>
      <selection pane="topRight" activeCell="C1" sqref="C1"/>
      <selection pane="bottomLeft" activeCell="A2" sqref="A2"/>
      <selection pane="bottomRight" activeCell="A57" sqref="A57:B59"/>
    </sheetView>
  </sheetViews>
  <sheetFormatPr defaultRowHeight="17" x14ac:dyDescent="0.6"/>
  <cols>
    <col min="1" max="1" width="7" style="9" bestFit="1" customWidth="1"/>
    <col min="2" max="2" width="16.90625" style="9" customWidth="1"/>
    <col min="3" max="13" width="8.7265625" style="28"/>
  </cols>
  <sheetData>
    <row r="1" spans="1:14" x14ac:dyDescent="0.6">
      <c r="A1" s="2" t="s">
        <v>586</v>
      </c>
      <c r="B1" s="19" t="s">
        <v>1</v>
      </c>
      <c r="C1" s="20" t="s">
        <v>33</v>
      </c>
      <c r="D1" s="20" t="s">
        <v>34</v>
      </c>
      <c r="E1" s="20" t="s">
        <v>35</v>
      </c>
      <c r="F1" s="20" t="s">
        <v>36</v>
      </c>
      <c r="G1" s="20" t="s">
        <v>37</v>
      </c>
      <c r="H1" s="20" t="s">
        <v>38</v>
      </c>
      <c r="I1" s="20" t="s">
        <v>39</v>
      </c>
      <c r="J1" s="20" t="s">
        <v>40</v>
      </c>
      <c r="K1" s="20" t="s">
        <v>41</v>
      </c>
      <c r="L1" s="20" t="s">
        <v>42</v>
      </c>
      <c r="M1" s="20" t="s">
        <v>43</v>
      </c>
      <c r="N1" s="20" t="s">
        <v>878</v>
      </c>
    </row>
    <row r="2" spans="1:14" x14ac:dyDescent="0.6">
      <c r="A2" s="5" t="s">
        <v>49</v>
      </c>
      <c r="B2" s="21" t="s">
        <v>50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3">
        <f>SUM(C2:M2)</f>
        <v>0</v>
      </c>
    </row>
    <row r="3" spans="1:14" x14ac:dyDescent="0.6">
      <c r="A3" s="7" t="s">
        <v>51</v>
      </c>
      <c r="B3" s="24" t="s">
        <v>52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3">
        <f t="shared" ref="N3:N66" si="0">SUM(C3:M3)</f>
        <v>0</v>
      </c>
    </row>
    <row r="4" spans="1:14" x14ac:dyDescent="0.6">
      <c r="A4" s="7" t="s">
        <v>16</v>
      </c>
      <c r="B4" s="24" t="s">
        <v>53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3">
        <f t="shared" si="0"/>
        <v>0</v>
      </c>
    </row>
    <row r="5" spans="1:14" x14ac:dyDescent="0.6">
      <c r="A5" s="7" t="s">
        <v>17</v>
      </c>
      <c r="B5" s="24" t="s">
        <v>54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3">
        <f t="shared" si="0"/>
        <v>0</v>
      </c>
    </row>
    <row r="6" spans="1:14" x14ac:dyDescent="0.6">
      <c r="A6" s="7" t="s">
        <v>55</v>
      </c>
      <c r="B6" s="24" t="s">
        <v>56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>
        <f t="shared" si="0"/>
        <v>0</v>
      </c>
    </row>
    <row r="7" spans="1:14" x14ac:dyDescent="0.6">
      <c r="A7" s="7" t="s">
        <v>57</v>
      </c>
      <c r="B7" s="24" t="s">
        <v>58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>
        <f t="shared" si="0"/>
        <v>0</v>
      </c>
    </row>
    <row r="8" spans="1:14" x14ac:dyDescent="0.6">
      <c r="A8" s="7" t="s">
        <v>59</v>
      </c>
      <c r="B8" s="24" t="s">
        <v>60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3">
        <f t="shared" si="0"/>
        <v>0</v>
      </c>
    </row>
    <row r="9" spans="1:14" x14ac:dyDescent="0.6">
      <c r="A9" s="7" t="s">
        <v>61</v>
      </c>
      <c r="B9" s="24" t="s">
        <v>62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>
        <f t="shared" si="0"/>
        <v>0</v>
      </c>
    </row>
    <row r="10" spans="1:14" x14ac:dyDescent="0.6">
      <c r="A10" s="7" t="s">
        <v>63</v>
      </c>
      <c r="B10" s="24" t="s">
        <v>64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>
        <f t="shared" si="0"/>
        <v>0</v>
      </c>
    </row>
    <row r="11" spans="1:14" x14ac:dyDescent="0.6">
      <c r="A11" s="7" t="s">
        <v>65</v>
      </c>
      <c r="B11" s="24" t="s">
        <v>66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>
        <f t="shared" si="0"/>
        <v>0</v>
      </c>
    </row>
    <row r="12" spans="1:14" x14ac:dyDescent="0.6">
      <c r="A12" s="7" t="s">
        <v>67</v>
      </c>
      <c r="B12" s="24" t="s">
        <v>68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>
        <f t="shared" si="0"/>
        <v>0</v>
      </c>
    </row>
    <row r="13" spans="1:14" x14ac:dyDescent="0.6">
      <c r="A13" s="7" t="s">
        <v>69</v>
      </c>
      <c r="B13" s="24" t="s">
        <v>70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>
        <f t="shared" si="0"/>
        <v>0</v>
      </c>
    </row>
    <row r="14" spans="1:14" x14ac:dyDescent="0.6">
      <c r="A14" s="7" t="s">
        <v>71</v>
      </c>
      <c r="B14" s="24" t="s">
        <v>72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>
        <f t="shared" si="0"/>
        <v>0</v>
      </c>
    </row>
    <row r="15" spans="1:14" x14ac:dyDescent="0.6">
      <c r="A15" s="7" t="s">
        <v>73</v>
      </c>
      <c r="B15" s="24" t="s">
        <v>74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>
        <f t="shared" si="0"/>
        <v>0</v>
      </c>
    </row>
    <row r="16" spans="1:14" x14ac:dyDescent="0.6">
      <c r="A16" s="7" t="s">
        <v>75</v>
      </c>
      <c r="B16" s="24" t="s">
        <v>76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>
        <f t="shared" si="0"/>
        <v>0</v>
      </c>
    </row>
    <row r="17" spans="1:14" x14ac:dyDescent="0.6">
      <c r="A17" s="7" t="s">
        <v>77</v>
      </c>
      <c r="B17" s="24" t="s">
        <v>78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>
        <f t="shared" si="0"/>
        <v>0</v>
      </c>
    </row>
    <row r="18" spans="1:14" x14ac:dyDescent="0.6">
      <c r="A18" s="7" t="s">
        <v>79</v>
      </c>
      <c r="B18" s="24" t="s">
        <v>80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>
        <f t="shared" si="0"/>
        <v>0</v>
      </c>
    </row>
    <row r="19" spans="1:14" x14ac:dyDescent="0.6">
      <c r="A19" s="7" t="s">
        <v>81</v>
      </c>
      <c r="B19" s="24" t="s">
        <v>82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3">
        <f t="shared" si="0"/>
        <v>0</v>
      </c>
    </row>
    <row r="20" spans="1:14" x14ac:dyDescent="0.6">
      <c r="A20" s="7" t="s">
        <v>83</v>
      </c>
      <c r="B20" s="24" t="s">
        <v>84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3">
        <f t="shared" si="0"/>
        <v>0</v>
      </c>
    </row>
    <row r="21" spans="1:14" x14ac:dyDescent="0.6">
      <c r="A21" s="7" t="s">
        <v>85</v>
      </c>
      <c r="B21" s="24" t="s">
        <v>86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3">
        <f t="shared" si="0"/>
        <v>0</v>
      </c>
    </row>
    <row r="22" spans="1:14" x14ac:dyDescent="0.6">
      <c r="A22" s="7" t="s">
        <v>87</v>
      </c>
      <c r="B22" s="24" t="s">
        <v>88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3">
        <f t="shared" si="0"/>
        <v>0</v>
      </c>
    </row>
    <row r="23" spans="1:14" x14ac:dyDescent="0.6">
      <c r="A23" s="7" t="s">
        <v>89</v>
      </c>
      <c r="B23" s="24" t="s">
        <v>90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3">
        <f t="shared" si="0"/>
        <v>0</v>
      </c>
    </row>
    <row r="24" spans="1:14" x14ac:dyDescent="0.6">
      <c r="A24" s="7" t="s">
        <v>91</v>
      </c>
      <c r="B24" s="24" t="s">
        <v>92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3">
        <f t="shared" si="0"/>
        <v>0</v>
      </c>
    </row>
    <row r="25" spans="1:14" x14ac:dyDescent="0.6">
      <c r="A25" s="7" t="s">
        <v>93</v>
      </c>
      <c r="B25" s="24" t="s">
        <v>94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3">
        <f t="shared" si="0"/>
        <v>0</v>
      </c>
    </row>
    <row r="26" spans="1:14" x14ac:dyDescent="0.6">
      <c r="A26" s="7" t="s">
        <v>95</v>
      </c>
      <c r="B26" s="24" t="s">
        <v>96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3">
        <f t="shared" si="0"/>
        <v>0</v>
      </c>
    </row>
    <row r="27" spans="1:14" x14ac:dyDescent="0.6">
      <c r="A27" s="7" t="s">
        <v>97</v>
      </c>
      <c r="B27" s="24" t="s">
        <v>98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3">
        <f t="shared" si="0"/>
        <v>0</v>
      </c>
    </row>
    <row r="28" spans="1:14" x14ac:dyDescent="0.6">
      <c r="A28" s="5" t="s">
        <v>99</v>
      </c>
      <c r="B28" s="21" t="s">
        <v>100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>
        <f t="shared" si="0"/>
        <v>0</v>
      </c>
    </row>
    <row r="29" spans="1:14" x14ac:dyDescent="0.6">
      <c r="A29" s="5" t="s">
        <v>101</v>
      </c>
      <c r="B29" s="21" t="s">
        <v>102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3">
        <f t="shared" si="0"/>
        <v>0</v>
      </c>
    </row>
    <row r="30" spans="1:14" x14ac:dyDescent="0.6">
      <c r="A30" s="7" t="s">
        <v>103</v>
      </c>
      <c r="B30" s="24" t="s">
        <v>104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3">
        <f t="shared" si="0"/>
        <v>0</v>
      </c>
    </row>
    <row r="31" spans="1:14" x14ac:dyDescent="0.6">
      <c r="A31" s="7" t="s">
        <v>105</v>
      </c>
      <c r="B31" s="24" t="s">
        <v>106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3">
        <f t="shared" si="0"/>
        <v>0</v>
      </c>
    </row>
    <row r="32" spans="1:14" x14ac:dyDescent="0.6">
      <c r="A32" s="7" t="s">
        <v>22</v>
      </c>
      <c r="B32" s="24" t="s">
        <v>23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3">
        <f t="shared" si="0"/>
        <v>0</v>
      </c>
    </row>
    <row r="33" spans="1:14" x14ac:dyDescent="0.6">
      <c r="A33" s="7" t="s">
        <v>24</v>
      </c>
      <c r="B33" s="24" t="s">
        <v>25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3">
        <f t="shared" si="0"/>
        <v>0</v>
      </c>
    </row>
    <row r="34" spans="1:14" x14ac:dyDescent="0.6">
      <c r="A34" s="7" t="s">
        <v>107</v>
      </c>
      <c r="B34" s="24" t="s">
        <v>108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3">
        <f t="shared" si="0"/>
        <v>0</v>
      </c>
    </row>
    <row r="35" spans="1:14" x14ac:dyDescent="0.6">
      <c r="A35" s="7" t="s">
        <v>109</v>
      </c>
      <c r="B35" s="24" t="s">
        <v>110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3">
        <f t="shared" si="0"/>
        <v>0</v>
      </c>
    </row>
    <row r="36" spans="1:14" x14ac:dyDescent="0.6">
      <c r="A36" s="7" t="s">
        <v>111</v>
      </c>
      <c r="B36" s="24" t="s">
        <v>112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3">
        <f t="shared" si="0"/>
        <v>0</v>
      </c>
    </row>
    <row r="37" spans="1:14" x14ac:dyDescent="0.6">
      <c r="A37" s="7" t="s">
        <v>113</v>
      </c>
      <c r="B37" s="24" t="s">
        <v>114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3">
        <f t="shared" si="0"/>
        <v>0</v>
      </c>
    </row>
    <row r="38" spans="1:14" x14ac:dyDescent="0.6">
      <c r="A38" s="7" t="s">
        <v>115</v>
      </c>
      <c r="B38" s="24" t="s">
        <v>116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3">
        <f t="shared" si="0"/>
        <v>0</v>
      </c>
    </row>
    <row r="39" spans="1:14" x14ac:dyDescent="0.6">
      <c r="A39" s="7" t="s">
        <v>117</v>
      </c>
      <c r="B39" s="24" t="s">
        <v>118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3">
        <f t="shared" si="0"/>
        <v>0</v>
      </c>
    </row>
    <row r="40" spans="1:14" x14ac:dyDescent="0.6">
      <c r="A40" s="7" t="s">
        <v>119</v>
      </c>
      <c r="B40" s="24" t="s">
        <v>120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3">
        <f t="shared" si="0"/>
        <v>0</v>
      </c>
    </row>
    <row r="41" spans="1:14" x14ac:dyDescent="0.6">
      <c r="A41" s="7" t="s">
        <v>121</v>
      </c>
      <c r="B41" s="24" t="s">
        <v>122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3">
        <f t="shared" si="0"/>
        <v>0</v>
      </c>
    </row>
    <row r="42" spans="1:14" x14ac:dyDescent="0.6">
      <c r="A42" s="7" t="s">
        <v>123</v>
      </c>
      <c r="B42" s="24" t="s">
        <v>124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3">
        <f t="shared" si="0"/>
        <v>0</v>
      </c>
    </row>
    <row r="43" spans="1:14" x14ac:dyDescent="0.6">
      <c r="A43" s="7" t="s">
        <v>125</v>
      </c>
      <c r="B43" s="24" t="s">
        <v>126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3">
        <f t="shared" si="0"/>
        <v>0</v>
      </c>
    </row>
    <row r="44" spans="1:14" x14ac:dyDescent="0.6">
      <c r="A44" s="7" t="s">
        <v>127</v>
      </c>
      <c r="B44" s="24" t="s">
        <v>128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3">
        <f t="shared" si="0"/>
        <v>0</v>
      </c>
    </row>
    <row r="45" spans="1:14" x14ac:dyDescent="0.6">
      <c r="A45" s="7" t="s">
        <v>129</v>
      </c>
      <c r="B45" s="24" t="s">
        <v>130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3">
        <f t="shared" si="0"/>
        <v>0</v>
      </c>
    </row>
    <row r="46" spans="1:14" x14ac:dyDescent="0.6">
      <c r="A46" s="7" t="s">
        <v>131</v>
      </c>
      <c r="B46" s="24" t="s">
        <v>132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3">
        <f t="shared" si="0"/>
        <v>0</v>
      </c>
    </row>
    <row r="47" spans="1:14" x14ac:dyDescent="0.6">
      <c r="A47" s="7" t="s">
        <v>133</v>
      </c>
      <c r="B47" s="24" t="s">
        <v>134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3">
        <f t="shared" si="0"/>
        <v>0</v>
      </c>
    </row>
    <row r="48" spans="1:14" x14ac:dyDescent="0.6">
      <c r="A48" s="7" t="s">
        <v>135</v>
      </c>
      <c r="B48" s="24" t="s">
        <v>136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3">
        <f t="shared" si="0"/>
        <v>0</v>
      </c>
    </row>
    <row r="49" spans="1:14" x14ac:dyDescent="0.6">
      <c r="A49" s="7" t="s">
        <v>137</v>
      </c>
      <c r="B49" s="24" t="s">
        <v>138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3">
        <f t="shared" si="0"/>
        <v>0</v>
      </c>
    </row>
    <row r="50" spans="1:14" x14ac:dyDescent="0.6">
      <c r="A50" s="7" t="s">
        <v>139</v>
      </c>
      <c r="B50" s="24" t="s">
        <v>140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3">
        <f t="shared" si="0"/>
        <v>0</v>
      </c>
    </row>
    <row r="51" spans="1:14" x14ac:dyDescent="0.6">
      <c r="A51" s="7" t="s">
        <v>141</v>
      </c>
      <c r="B51" s="24" t="s">
        <v>142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3">
        <f t="shared" si="0"/>
        <v>0</v>
      </c>
    </row>
    <row r="52" spans="1:14" x14ac:dyDescent="0.6">
      <c r="A52" s="7" t="s">
        <v>143</v>
      </c>
      <c r="B52" s="24" t="s">
        <v>144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3">
        <f t="shared" si="0"/>
        <v>0</v>
      </c>
    </row>
    <row r="53" spans="1:14" x14ac:dyDescent="0.6">
      <c r="A53" s="7" t="s">
        <v>145</v>
      </c>
      <c r="B53" s="24" t="s">
        <v>146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3">
        <f t="shared" si="0"/>
        <v>0</v>
      </c>
    </row>
    <row r="54" spans="1:14" x14ac:dyDescent="0.6">
      <c r="A54" s="7" t="s">
        <v>147</v>
      </c>
      <c r="B54" s="24" t="s">
        <v>148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3">
        <f t="shared" si="0"/>
        <v>0</v>
      </c>
    </row>
    <row r="55" spans="1:14" x14ac:dyDescent="0.6">
      <c r="A55" s="7" t="s">
        <v>149</v>
      </c>
      <c r="B55" s="24" t="s">
        <v>150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3">
        <f t="shared" si="0"/>
        <v>0</v>
      </c>
    </row>
    <row r="56" spans="1:14" x14ac:dyDescent="0.6">
      <c r="A56" s="7" t="s">
        <v>151</v>
      </c>
      <c r="B56" s="24" t="s">
        <v>152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3">
        <f t="shared" si="0"/>
        <v>0</v>
      </c>
    </row>
    <row r="57" spans="1:14" x14ac:dyDescent="0.6">
      <c r="A57" s="7" t="s">
        <v>18</v>
      </c>
      <c r="B57" s="24" t="s">
        <v>887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3">
        <f t="shared" si="0"/>
        <v>0</v>
      </c>
    </row>
    <row r="58" spans="1:14" x14ac:dyDescent="0.6">
      <c r="A58" s="7" t="s">
        <v>19</v>
      </c>
      <c r="B58" s="24" t="s">
        <v>20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3">
        <f t="shared" si="0"/>
        <v>0</v>
      </c>
    </row>
    <row r="59" spans="1:14" x14ac:dyDescent="0.6">
      <c r="A59" s="7" t="s">
        <v>21</v>
      </c>
      <c r="B59" s="24" t="s">
        <v>886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3">
        <f t="shared" si="0"/>
        <v>0</v>
      </c>
    </row>
    <row r="60" spans="1:14" x14ac:dyDescent="0.6">
      <c r="A60" s="7" t="s">
        <v>153</v>
      </c>
      <c r="B60" s="24" t="s">
        <v>154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3">
        <f t="shared" si="0"/>
        <v>0</v>
      </c>
    </row>
    <row r="61" spans="1:14" x14ac:dyDescent="0.6">
      <c r="A61" s="4" t="s">
        <v>155</v>
      </c>
      <c r="B61" s="25" t="s">
        <v>156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3">
        <f t="shared" si="0"/>
        <v>0</v>
      </c>
    </row>
    <row r="62" spans="1:14" x14ac:dyDescent="0.6">
      <c r="A62" s="7" t="s">
        <v>157</v>
      </c>
      <c r="B62" s="24" t="s">
        <v>158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3">
        <f t="shared" si="0"/>
        <v>0</v>
      </c>
    </row>
    <row r="63" spans="1:14" x14ac:dyDescent="0.6">
      <c r="A63" s="7" t="s">
        <v>159</v>
      </c>
      <c r="B63" s="24" t="s">
        <v>160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3">
        <f t="shared" si="0"/>
        <v>0</v>
      </c>
    </row>
    <row r="64" spans="1:14" x14ac:dyDescent="0.6">
      <c r="A64" s="7" t="s">
        <v>161</v>
      </c>
      <c r="B64" s="24" t="s">
        <v>162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3">
        <f t="shared" si="0"/>
        <v>0</v>
      </c>
    </row>
    <row r="65" spans="1:14" x14ac:dyDescent="0.6">
      <c r="A65" s="10" t="s">
        <v>163</v>
      </c>
      <c r="B65" s="26" t="s">
        <v>164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3">
        <f t="shared" si="0"/>
        <v>0</v>
      </c>
    </row>
    <row r="66" spans="1:14" x14ac:dyDescent="0.6">
      <c r="A66" s="7" t="s">
        <v>165</v>
      </c>
      <c r="B66" s="24" t="s">
        <v>166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3">
        <f t="shared" si="0"/>
        <v>0</v>
      </c>
    </row>
    <row r="67" spans="1:14" x14ac:dyDescent="0.6">
      <c r="A67" s="7" t="s">
        <v>167</v>
      </c>
      <c r="B67" s="24" t="s">
        <v>168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3">
        <f t="shared" ref="N67:N130" si="1">SUM(C67:M67)</f>
        <v>0</v>
      </c>
    </row>
    <row r="68" spans="1:14" x14ac:dyDescent="0.6">
      <c r="A68" s="7" t="s">
        <v>169</v>
      </c>
      <c r="B68" s="24" t="s">
        <v>170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3">
        <f t="shared" si="1"/>
        <v>0</v>
      </c>
    </row>
    <row r="69" spans="1:14" x14ac:dyDescent="0.6">
      <c r="A69" s="7" t="s">
        <v>171</v>
      </c>
      <c r="B69" s="24" t="s">
        <v>172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3">
        <f t="shared" si="1"/>
        <v>0</v>
      </c>
    </row>
    <row r="70" spans="1:14" x14ac:dyDescent="0.6">
      <c r="A70" s="10" t="s">
        <v>173</v>
      </c>
      <c r="B70" s="26" t="s">
        <v>174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3">
        <f t="shared" si="1"/>
        <v>0</v>
      </c>
    </row>
    <row r="71" spans="1:14" x14ac:dyDescent="0.6">
      <c r="A71" s="10" t="s">
        <v>175</v>
      </c>
      <c r="B71" s="26" t="s">
        <v>176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3">
        <f t="shared" si="1"/>
        <v>0</v>
      </c>
    </row>
    <row r="72" spans="1:14" x14ac:dyDescent="0.6">
      <c r="A72" s="10" t="s">
        <v>177</v>
      </c>
      <c r="B72" s="26" t="s">
        <v>178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3">
        <f t="shared" si="1"/>
        <v>0</v>
      </c>
    </row>
    <row r="73" spans="1:14" x14ac:dyDescent="0.6">
      <c r="A73" s="10" t="s">
        <v>179</v>
      </c>
      <c r="B73" s="26" t="s">
        <v>180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3">
        <f t="shared" si="1"/>
        <v>0</v>
      </c>
    </row>
    <row r="74" spans="1:14" x14ac:dyDescent="0.6">
      <c r="A74" s="7" t="s">
        <v>181</v>
      </c>
      <c r="B74" s="24" t="s">
        <v>182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3">
        <f t="shared" si="1"/>
        <v>0</v>
      </c>
    </row>
    <row r="75" spans="1:14" x14ac:dyDescent="0.6">
      <c r="A75" s="11" t="s">
        <v>183</v>
      </c>
      <c r="B75" s="26" t="s">
        <v>184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3">
        <f t="shared" si="1"/>
        <v>0</v>
      </c>
    </row>
    <row r="76" spans="1:14" x14ac:dyDescent="0.6">
      <c r="A76" s="7" t="s">
        <v>185</v>
      </c>
      <c r="B76" s="24" t="s">
        <v>186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3">
        <f t="shared" si="1"/>
        <v>0</v>
      </c>
    </row>
    <row r="77" spans="1:14" x14ac:dyDescent="0.6">
      <c r="A77" s="7" t="s">
        <v>187</v>
      </c>
      <c r="B77" s="24" t="s">
        <v>188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3">
        <f t="shared" si="1"/>
        <v>0</v>
      </c>
    </row>
    <row r="78" spans="1:14" x14ac:dyDescent="0.6">
      <c r="A78" s="7" t="s">
        <v>189</v>
      </c>
      <c r="B78" s="24" t="s">
        <v>190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3">
        <f t="shared" si="1"/>
        <v>0</v>
      </c>
    </row>
    <row r="79" spans="1:14" x14ac:dyDescent="0.6">
      <c r="A79" s="7" t="s">
        <v>191</v>
      </c>
      <c r="B79" s="24" t="s">
        <v>192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3">
        <f t="shared" si="1"/>
        <v>0</v>
      </c>
    </row>
    <row r="80" spans="1:14" x14ac:dyDescent="0.6">
      <c r="A80" s="7" t="s">
        <v>193</v>
      </c>
      <c r="B80" s="24" t="s">
        <v>194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3">
        <f t="shared" si="1"/>
        <v>0</v>
      </c>
    </row>
    <row r="81" spans="1:14" x14ac:dyDescent="0.6">
      <c r="A81" s="7" t="s">
        <v>195</v>
      </c>
      <c r="B81" s="24" t="s">
        <v>196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3">
        <f t="shared" si="1"/>
        <v>0</v>
      </c>
    </row>
    <row r="82" spans="1:14" x14ac:dyDescent="0.6">
      <c r="A82" s="7" t="s">
        <v>197</v>
      </c>
      <c r="B82" s="24" t="s">
        <v>198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3">
        <f t="shared" si="1"/>
        <v>0</v>
      </c>
    </row>
    <row r="83" spans="1:14" x14ac:dyDescent="0.6">
      <c r="A83" s="7" t="s">
        <v>199</v>
      </c>
      <c r="B83" s="24" t="s">
        <v>200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3">
        <f t="shared" si="1"/>
        <v>0</v>
      </c>
    </row>
    <row r="84" spans="1:14" x14ac:dyDescent="0.6">
      <c r="A84" s="7" t="s">
        <v>201</v>
      </c>
      <c r="B84" s="24" t="s">
        <v>202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3">
        <f t="shared" si="1"/>
        <v>0</v>
      </c>
    </row>
    <row r="85" spans="1:14" x14ac:dyDescent="0.6">
      <c r="A85" s="7" t="s">
        <v>203</v>
      </c>
      <c r="B85" s="24" t="s">
        <v>204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3">
        <f t="shared" si="1"/>
        <v>0</v>
      </c>
    </row>
    <row r="86" spans="1:14" x14ac:dyDescent="0.6">
      <c r="A86" s="7" t="s">
        <v>205</v>
      </c>
      <c r="B86" s="24" t="s">
        <v>206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3">
        <f t="shared" si="1"/>
        <v>0</v>
      </c>
    </row>
    <row r="87" spans="1:14" x14ac:dyDescent="0.6">
      <c r="A87" s="7" t="s">
        <v>207</v>
      </c>
      <c r="B87" s="24" t="s">
        <v>208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3">
        <f t="shared" si="1"/>
        <v>0</v>
      </c>
    </row>
    <row r="88" spans="1:14" x14ac:dyDescent="0.6">
      <c r="A88" s="7" t="s">
        <v>209</v>
      </c>
      <c r="B88" s="24" t="s">
        <v>210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3">
        <f t="shared" si="1"/>
        <v>0</v>
      </c>
    </row>
    <row r="89" spans="1:14" x14ac:dyDescent="0.6">
      <c r="A89" s="10" t="s">
        <v>211</v>
      </c>
      <c r="B89" s="26" t="s">
        <v>212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3">
        <f t="shared" si="1"/>
        <v>0</v>
      </c>
    </row>
    <row r="90" spans="1:14" x14ac:dyDescent="0.6">
      <c r="A90" s="10" t="s">
        <v>213</v>
      </c>
      <c r="B90" s="26" t="s">
        <v>214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3">
        <f t="shared" si="1"/>
        <v>0</v>
      </c>
    </row>
    <row r="91" spans="1:14" x14ac:dyDescent="0.6">
      <c r="A91" s="7" t="s">
        <v>215</v>
      </c>
      <c r="B91" s="24" t="s">
        <v>216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3">
        <f t="shared" si="1"/>
        <v>0</v>
      </c>
    </row>
    <row r="92" spans="1:14" x14ac:dyDescent="0.6">
      <c r="A92" s="7" t="s">
        <v>217</v>
      </c>
      <c r="B92" s="24" t="s">
        <v>218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3">
        <f t="shared" si="1"/>
        <v>0</v>
      </c>
    </row>
    <row r="93" spans="1:14" x14ac:dyDescent="0.6">
      <c r="A93" s="10" t="s">
        <v>219</v>
      </c>
      <c r="B93" s="26" t="s">
        <v>220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3">
        <f t="shared" si="1"/>
        <v>0</v>
      </c>
    </row>
    <row r="94" spans="1:14" x14ac:dyDescent="0.6">
      <c r="A94" s="7" t="s">
        <v>221</v>
      </c>
      <c r="B94" s="24" t="s">
        <v>222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3">
        <f t="shared" si="1"/>
        <v>0</v>
      </c>
    </row>
    <row r="95" spans="1:14" x14ac:dyDescent="0.6">
      <c r="A95" s="7" t="s">
        <v>223</v>
      </c>
      <c r="B95" s="24" t="s">
        <v>224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3">
        <f t="shared" si="1"/>
        <v>0</v>
      </c>
    </row>
    <row r="96" spans="1:14" x14ac:dyDescent="0.6">
      <c r="A96" s="7" t="s">
        <v>225</v>
      </c>
      <c r="B96" s="24" t="s">
        <v>226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3">
        <f t="shared" si="1"/>
        <v>0</v>
      </c>
    </row>
    <row r="97" spans="1:14" x14ac:dyDescent="0.6">
      <c r="A97" s="7" t="s">
        <v>227</v>
      </c>
      <c r="B97" s="24" t="s">
        <v>228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3">
        <f t="shared" si="1"/>
        <v>0</v>
      </c>
    </row>
    <row r="98" spans="1:14" x14ac:dyDescent="0.6">
      <c r="A98" s="7" t="s">
        <v>229</v>
      </c>
      <c r="B98" s="24" t="s">
        <v>230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3">
        <f t="shared" si="1"/>
        <v>0</v>
      </c>
    </row>
    <row r="99" spans="1:14" x14ac:dyDescent="0.6">
      <c r="A99" s="7" t="s">
        <v>231</v>
      </c>
      <c r="B99" s="24" t="s">
        <v>232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>
        <f t="shared" si="1"/>
        <v>0</v>
      </c>
    </row>
    <row r="100" spans="1:14" x14ac:dyDescent="0.6">
      <c r="A100" s="7" t="s">
        <v>233</v>
      </c>
      <c r="B100" s="24" t="s">
        <v>234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3">
        <f t="shared" si="1"/>
        <v>0</v>
      </c>
    </row>
    <row r="101" spans="1:14" x14ac:dyDescent="0.6">
      <c r="A101" s="12" t="s">
        <v>235</v>
      </c>
      <c r="B101" s="27" t="s">
        <v>236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3">
        <f t="shared" si="1"/>
        <v>0</v>
      </c>
    </row>
    <row r="102" spans="1:14" x14ac:dyDescent="0.6">
      <c r="A102" s="7" t="s">
        <v>237</v>
      </c>
      <c r="B102" s="24" t="s">
        <v>238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3">
        <f t="shared" si="1"/>
        <v>0</v>
      </c>
    </row>
    <row r="103" spans="1:14" x14ac:dyDescent="0.6">
      <c r="A103" s="12" t="s">
        <v>239</v>
      </c>
      <c r="B103" s="27" t="s">
        <v>240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3">
        <f t="shared" si="1"/>
        <v>0</v>
      </c>
    </row>
    <row r="104" spans="1:14" x14ac:dyDescent="0.6">
      <c r="A104" s="12" t="s">
        <v>241</v>
      </c>
      <c r="B104" s="27" t="s">
        <v>242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3">
        <f t="shared" si="1"/>
        <v>0</v>
      </c>
    </row>
    <row r="105" spans="1:14" x14ac:dyDescent="0.6">
      <c r="A105" s="7" t="s">
        <v>243</v>
      </c>
      <c r="B105" s="24" t="s">
        <v>244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3">
        <f t="shared" si="1"/>
        <v>0</v>
      </c>
    </row>
    <row r="106" spans="1:14" x14ac:dyDescent="0.6">
      <c r="A106" s="7" t="s">
        <v>245</v>
      </c>
      <c r="B106" s="24" t="s">
        <v>246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3">
        <f t="shared" si="1"/>
        <v>0</v>
      </c>
    </row>
    <row r="107" spans="1:14" x14ac:dyDescent="0.6">
      <c r="A107" s="7" t="s">
        <v>247</v>
      </c>
      <c r="B107" s="24" t="s">
        <v>248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3">
        <f t="shared" si="1"/>
        <v>0</v>
      </c>
    </row>
    <row r="108" spans="1:14" x14ac:dyDescent="0.6">
      <c r="A108" s="7" t="s">
        <v>249</v>
      </c>
      <c r="B108" s="24" t="s">
        <v>250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3">
        <f t="shared" si="1"/>
        <v>0</v>
      </c>
    </row>
    <row r="109" spans="1:14" x14ac:dyDescent="0.6">
      <c r="A109" s="7" t="s">
        <v>251</v>
      </c>
      <c r="B109" s="24" t="s">
        <v>252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3">
        <f t="shared" si="1"/>
        <v>0</v>
      </c>
    </row>
    <row r="110" spans="1:14" x14ac:dyDescent="0.6">
      <c r="A110" s="7" t="s">
        <v>253</v>
      </c>
      <c r="B110" s="24" t="s">
        <v>254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3">
        <f t="shared" si="1"/>
        <v>0</v>
      </c>
    </row>
    <row r="111" spans="1:14" x14ac:dyDescent="0.6">
      <c r="A111" s="7" t="s">
        <v>255</v>
      </c>
      <c r="B111" s="24" t="s">
        <v>256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3">
        <f t="shared" si="1"/>
        <v>0</v>
      </c>
    </row>
    <row r="112" spans="1:14" x14ac:dyDescent="0.6">
      <c r="A112" s="7" t="s">
        <v>257</v>
      </c>
      <c r="B112" s="24" t="s">
        <v>258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3">
        <f t="shared" si="1"/>
        <v>0</v>
      </c>
    </row>
    <row r="113" spans="1:14" x14ac:dyDescent="0.6">
      <c r="A113" s="12" t="s">
        <v>259</v>
      </c>
      <c r="B113" s="27" t="s">
        <v>260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3">
        <f t="shared" si="1"/>
        <v>0</v>
      </c>
    </row>
    <row r="114" spans="1:14" x14ac:dyDescent="0.6">
      <c r="A114" s="12" t="s">
        <v>261</v>
      </c>
      <c r="B114" s="27" t="s">
        <v>262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3">
        <f t="shared" si="1"/>
        <v>0</v>
      </c>
    </row>
    <row r="115" spans="1:14" x14ac:dyDescent="0.6">
      <c r="A115" s="7" t="s">
        <v>263</v>
      </c>
      <c r="B115" s="24" t="s">
        <v>264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3">
        <f t="shared" si="1"/>
        <v>0</v>
      </c>
    </row>
    <row r="116" spans="1:14" x14ac:dyDescent="0.6">
      <c r="A116" s="12" t="s">
        <v>265</v>
      </c>
      <c r="B116" s="27" t="s">
        <v>266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3">
        <f t="shared" si="1"/>
        <v>0</v>
      </c>
    </row>
    <row r="117" spans="1:14" x14ac:dyDescent="0.6">
      <c r="A117" s="7" t="s">
        <v>267</v>
      </c>
      <c r="B117" s="24" t="s">
        <v>268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3">
        <f t="shared" si="1"/>
        <v>0</v>
      </c>
    </row>
    <row r="118" spans="1:14" x14ac:dyDescent="0.6">
      <c r="A118" s="7" t="s">
        <v>269</v>
      </c>
      <c r="B118" s="24" t="s">
        <v>270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3">
        <f t="shared" si="1"/>
        <v>0</v>
      </c>
    </row>
    <row r="119" spans="1:14" x14ac:dyDescent="0.6">
      <c r="A119" s="7" t="s">
        <v>271</v>
      </c>
      <c r="B119" s="24" t="s">
        <v>272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3">
        <f t="shared" si="1"/>
        <v>0</v>
      </c>
    </row>
    <row r="120" spans="1:14" x14ac:dyDescent="0.6">
      <c r="A120" s="12" t="s">
        <v>273</v>
      </c>
      <c r="B120" s="27" t="s">
        <v>274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3">
        <f t="shared" si="1"/>
        <v>0</v>
      </c>
    </row>
    <row r="121" spans="1:14" x14ac:dyDescent="0.6">
      <c r="A121" s="7" t="s">
        <v>275</v>
      </c>
      <c r="B121" s="24" t="s">
        <v>276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3">
        <f t="shared" si="1"/>
        <v>0</v>
      </c>
    </row>
    <row r="122" spans="1:14" x14ac:dyDescent="0.6">
      <c r="A122" s="7" t="s">
        <v>277</v>
      </c>
      <c r="B122" s="24" t="s">
        <v>278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3">
        <f t="shared" si="1"/>
        <v>0</v>
      </c>
    </row>
    <row r="123" spans="1:14" x14ac:dyDescent="0.6">
      <c r="A123" s="7" t="s">
        <v>279</v>
      </c>
      <c r="B123" s="24" t="s">
        <v>280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3">
        <f t="shared" si="1"/>
        <v>0</v>
      </c>
    </row>
    <row r="124" spans="1:14" x14ac:dyDescent="0.6">
      <c r="A124" s="7" t="s">
        <v>281</v>
      </c>
      <c r="B124" s="24" t="s">
        <v>282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3">
        <f t="shared" si="1"/>
        <v>0</v>
      </c>
    </row>
    <row r="125" spans="1:14" x14ac:dyDescent="0.6">
      <c r="A125" s="7" t="s">
        <v>283</v>
      </c>
      <c r="B125" s="24" t="s">
        <v>284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3">
        <f t="shared" si="1"/>
        <v>0</v>
      </c>
    </row>
    <row r="126" spans="1:14" x14ac:dyDescent="0.6">
      <c r="A126" s="7" t="s">
        <v>285</v>
      </c>
      <c r="B126" s="24" t="s">
        <v>286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3">
        <f t="shared" si="1"/>
        <v>0</v>
      </c>
    </row>
    <row r="127" spans="1:14" x14ac:dyDescent="0.6">
      <c r="A127" s="7" t="s">
        <v>287</v>
      </c>
      <c r="B127" s="24" t="s">
        <v>288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3">
        <f t="shared" si="1"/>
        <v>0</v>
      </c>
    </row>
    <row r="128" spans="1:14" x14ac:dyDescent="0.6">
      <c r="A128" s="7" t="s">
        <v>289</v>
      </c>
      <c r="B128" s="24" t="s">
        <v>290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3">
        <f t="shared" si="1"/>
        <v>0</v>
      </c>
    </row>
    <row r="129" spans="1:14" x14ac:dyDescent="0.6">
      <c r="A129" s="7" t="s">
        <v>2</v>
      </c>
      <c r="B129" s="24" t="s">
        <v>3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3">
        <f t="shared" si="1"/>
        <v>0</v>
      </c>
    </row>
    <row r="130" spans="1:14" x14ac:dyDescent="0.6">
      <c r="A130" s="7" t="s">
        <v>291</v>
      </c>
      <c r="B130" s="24" t="s">
        <v>292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3">
        <f t="shared" si="1"/>
        <v>0</v>
      </c>
    </row>
    <row r="131" spans="1:14" x14ac:dyDescent="0.6">
      <c r="A131" s="7" t="s">
        <v>293</v>
      </c>
      <c r="B131" s="24" t="s">
        <v>294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3">
        <f t="shared" ref="N131:N194" si="2">SUM(C131:M131)</f>
        <v>0</v>
      </c>
    </row>
    <row r="132" spans="1:14" x14ac:dyDescent="0.6">
      <c r="A132" s="7" t="s">
        <v>6</v>
      </c>
      <c r="B132" s="24" t="s">
        <v>7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3">
        <f t="shared" si="2"/>
        <v>0</v>
      </c>
    </row>
    <row r="133" spans="1:14" x14ac:dyDescent="0.6">
      <c r="A133" s="7" t="s">
        <v>295</v>
      </c>
      <c r="B133" s="24" t="s">
        <v>296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3">
        <f t="shared" si="2"/>
        <v>0</v>
      </c>
    </row>
    <row r="134" spans="1:14" x14ac:dyDescent="0.6">
      <c r="A134" s="12" t="s">
        <v>4</v>
      </c>
      <c r="B134" s="27" t="s">
        <v>5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3">
        <f t="shared" si="2"/>
        <v>0</v>
      </c>
    </row>
    <row r="135" spans="1:14" x14ac:dyDescent="0.6">
      <c r="A135" s="7" t="s">
        <v>297</v>
      </c>
      <c r="B135" s="24" t="s">
        <v>298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3">
        <f t="shared" si="2"/>
        <v>0</v>
      </c>
    </row>
    <row r="136" spans="1:14" x14ac:dyDescent="0.6">
      <c r="A136" s="7" t="s">
        <v>299</v>
      </c>
      <c r="B136" s="24" t="s">
        <v>300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3">
        <f t="shared" si="2"/>
        <v>0</v>
      </c>
    </row>
    <row r="137" spans="1:14" x14ac:dyDescent="0.6">
      <c r="A137" s="12" t="s">
        <v>301</v>
      </c>
      <c r="B137" s="27" t="s">
        <v>302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3">
        <f t="shared" si="2"/>
        <v>0</v>
      </c>
    </row>
    <row r="138" spans="1:14" x14ac:dyDescent="0.6">
      <c r="A138" s="7" t="s">
        <v>303</v>
      </c>
      <c r="B138" s="24" t="s">
        <v>304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3">
        <f t="shared" si="2"/>
        <v>0</v>
      </c>
    </row>
    <row r="139" spans="1:14" x14ac:dyDescent="0.6">
      <c r="A139" s="7" t="s">
        <v>305</v>
      </c>
      <c r="B139" s="24" t="s">
        <v>306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3">
        <f t="shared" si="2"/>
        <v>0</v>
      </c>
    </row>
    <row r="140" spans="1:14" x14ac:dyDescent="0.6">
      <c r="A140" s="7" t="s">
        <v>307</v>
      </c>
      <c r="B140" s="24" t="s">
        <v>308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3">
        <f t="shared" si="2"/>
        <v>0</v>
      </c>
    </row>
    <row r="141" spans="1:14" x14ac:dyDescent="0.6">
      <c r="A141" s="7" t="s">
        <v>309</v>
      </c>
      <c r="B141" s="24" t="s">
        <v>310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3">
        <f t="shared" si="2"/>
        <v>0</v>
      </c>
    </row>
    <row r="142" spans="1:14" x14ac:dyDescent="0.6">
      <c r="A142" s="7" t="s">
        <v>311</v>
      </c>
      <c r="B142" s="24" t="s">
        <v>312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3">
        <f t="shared" si="2"/>
        <v>0</v>
      </c>
    </row>
    <row r="143" spans="1:14" x14ac:dyDescent="0.6">
      <c r="A143" s="12" t="s">
        <v>313</v>
      </c>
      <c r="B143" s="27" t="s">
        <v>314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3">
        <f t="shared" si="2"/>
        <v>0</v>
      </c>
    </row>
    <row r="144" spans="1:14" x14ac:dyDescent="0.6">
      <c r="A144" s="7" t="s">
        <v>315</v>
      </c>
      <c r="B144" s="24" t="s">
        <v>316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3">
        <f t="shared" si="2"/>
        <v>0</v>
      </c>
    </row>
    <row r="145" spans="1:14" x14ac:dyDescent="0.6">
      <c r="A145" s="7" t="s">
        <v>317</v>
      </c>
      <c r="B145" s="24" t="s">
        <v>318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3">
        <f t="shared" si="2"/>
        <v>0</v>
      </c>
    </row>
    <row r="146" spans="1:14" x14ac:dyDescent="0.6">
      <c r="A146" s="7" t="s">
        <v>319</v>
      </c>
      <c r="B146" s="24" t="s">
        <v>320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3">
        <f t="shared" si="2"/>
        <v>0</v>
      </c>
    </row>
    <row r="147" spans="1:14" x14ac:dyDescent="0.6">
      <c r="A147" s="7" t="s">
        <v>321</v>
      </c>
      <c r="B147" s="24" t="s">
        <v>322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3">
        <f t="shared" si="2"/>
        <v>0</v>
      </c>
    </row>
    <row r="148" spans="1:14" x14ac:dyDescent="0.6">
      <c r="A148" s="7" t="s">
        <v>32</v>
      </c>
      <c r="B148" s="24" t="s">
        <v>323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3">
        <f t="shared" si="2"/>
        <v>0</v>
      </c>
    </row>
    <row r="149" spans="1:14" x14ac:dyDescent="0.6">
      <c r="A149" s="7" t="s">
        <v>324</v>
      </c>
      <c r="B149" s="24" t="s">
        <v>325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3">
        <f t="shared" si="2"/>
        <v>0</v>
      </c>
    </row>
    <row r="150" spans="1:14" x14ac:dyDescent="0.6">
      <c r="A150" s="7" t="s">
        <v>326</v>
      </c>
      <c r="B150" s="24" t="s">
        <v>327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3">
        <f t="shared" si="2"/>
        <v>0</v>
      </c>
    </row>
    <row r="151" spans="1:14" x14ac:dyDescent="0.6">
      <c r="A151" s="7" t="s">
        <v>328</v>
      </c>
      <c r="B151" s="24" t="s">
        <v>329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3">
        <f t="shared" si="2"/>
        <v>0</v>
      </c>
    </row>
    <row r="152" spans="1:14" x14ac:dyDescent="0.6">
      <c r="A152" s="7" t="s">
        <v>330</v>
      </c>
      <c r="B152" s="24" t="s">
        <v>331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3">
        <f t="shared" si="2"/>
        <v>0</v>
      </c>
    </row>
    <row r="153" spans="1:14" x14ac:dyDescent="0.6">
      <c r="A153" s="7" t="s">
        <v>332</v>
      </c>
      <c r="B153" s="24" t="s">
        <v>333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3">
        <f t="shared" si="2"/>
        <v>0</v>
      </c>
    </row>
    <row r="154" spans="1:14" x14ac:dyDescent="0.6">
      <c r="A154" s="7" t="s">
        <v>334</v>
      </c>
      <c r="B154" s="24" t="s">
        <v>335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3">
        <f t="shared" si="2"/>
        <v>0</v>
      </c>
    </row>
    <row r="155" spans="1:14" x14ac:dyDescent="0.6">
      <c r="A155" s="7" t="s">
        <v>336</v>
      </c>
      <c r="B155" s="24" t="s">
        <v>337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3">
        <f t="shared" si="2"/>
        <v>0</v>
      </c>
    </row>
    <row r="156" spans="1:14" x14ac:dyDescent="0.6">
      <c r="A156" s="7" t="s">
        <v>338</v>
      </c>
      <c r="B156" s="24" t="s">
        <v>339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3">
        <f t="shared" si="2"/>
        <v>0</v>
      </c>
    </row>
    <row r="157" spans="1:14" x14ac:dyDescent="0.6">
      <c r="A157" s="7" t="s">
        <v>340</v>
      </c>
      <c r="B157" s="24" t="s">
        <v>341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3">
        <f t="shared" si="2"/>
        <v>0</v>
      </c>
    </row>
    <row r="158" spans="1:14" x14ac:dyDescent="0.6">
      <c r="A158" s="7" t="s">
        <v>342</v>
      </c>
      <c r="B158" s="24" t="s">
        <v>343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3">
        <f t="shared" si="2"/>
        <v>0</v>
      </c>
    </row>
    <row r="159" spans="1:14" x14ac:dyDescent="0.6">
      <c r="A159" s="7" t="s">
        <v>30</v>
      </c>
      <c r="B159" s="24" t="s">
        <v>31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3">
        <f t="shared" si="2"/>
        <v>0</v>
      </c>
    </row>
    <row r="160" spans="1:14" x14ac:dyDescent="0.6">
      <c r="A160" s="7" t="s">
        <v>344</v>
      </c>
      <c r="B160" s="24" t="s">
        <v>345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3">
        <f t="shared" si="2"/>
        <v>0</v>
      </c>
    </row>
    <row r="161" spans="1:14" x14ac:dyDescent="0.6">
      <c r="A161" s="7" t="s">
        <v>346</v>
      </c>
      <c r="B161" s="24" t="s">
        <v>347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3">
        <f t="shared" si="2"/>
        <v>0</v>
      </c>
    </row>
    <row r="162" spans="1:14" x14ac:dyDescent="0.6">
      <c r="A162" s="7" t="s">
        <v>348</v>
      </c>
      <c r="B162" s="24" t="s">
        <v>349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3">
        <f t="shared" si="2"/>
        <v>0</v>
      </c>
    </row>
    <row r="163" spans="1:14" x14ac:dyDescent="0.6">
      <c r="A163" s="7" t="s">
        <v>350</v>
      </c>
      <c r="B163" s="24" t="s">
        <v>351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3">
        <f t="shared" si="2"/>
        <v>0</v>
      </c>
    </row>
    <row r="164" spans="1:14" x14ac:dyDescent="0.6">
      <c r="A164" s="7" t="s">
        <v>352</v>
      </c>
      <c r="B164" s="24" t="s">
        <v>353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3">
        <f t="shared" si="2"/>
        <v>0</v>
      </c>
    </row>
    <row r="165" spans="1:14" x14ac:dyDescent="0.6">
      <c r="A165" s="7" t="s">
        <v>354</v>
      </c>
      <c r="B165" s="24" t="s">
        <v>355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3">
        <f t="shared" si="2"/>
        <v>0</v>
      </c>
    </row>
    <row r="166" spans="1:14" x14ac:dyDescent="0.6">
      <c r="A166" s="7" t="s">
        <v>356</v>
      </c>
      <c r="B166" s="24" t="s">
        <v>357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3">
        <f t="shared" si="2"/>
        <v>0</v>
      </c>
    </row>
    <row r="167" spans="1:14" x14ac:dyDescent="0.6">
      <c r="A167" s="7" t="s">
        <v>358</v>
      </c>
      <c r="B167" s="24" t="s">
        <v>359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3">
        <f t="shared" si="2"/>
        <v>0</v>
      </c>
    </row>
    <row r="168" spans="1:14" x14ac:dyDescent="0.6">
      <c r="A168" s="7" t="s">
        <v>360</v>
      </c>
      <c r="B168" s="24" t="s">
        <v>361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3">
        <f t="shared" si="2"/>
        <v>0</v>
      </c>
    </row>
    <row r="169" spans="1:14" x14ac:dyDescent="0.6">
      <c r="A169" s="7" t="s">
        <v>362</v>
      </c>
      <c r="B169" s="24" t="s">
        <v>363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3">
        <f t="shared" si="2"/>
        <v>0</v>
      </c>
    </row>
    <row r="170" spans="1:14" x14ac:dyDescent="0.6">
      <c r="A170" s="7" t="s">
        <v>364</v>
      </c>
      <c r="B170" s="24" t="s">
        <v>365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3">
        <f t="shared" si="2"/>
        <v>0</v>
      </c>
    </row>
    <row r="171" spans="1:14" x14ac:dyDescent="0.6">
      <c r="A171" s="7" t="s">
        <v>366</v>
      </c>
      <c r="B171" s="24" t="s">
        <v>367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3">
        <f t="shared" si="2"/>
        <v>0</v>
      </c>
    </row>
    <row r="172" spans="1:14" x14ac:dyDescent="0.6">
      <c r="A172" s="7" t="s">
        <v>368</v>
      </c>
      <c r="B172" s="24" t="s">
        <v>369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3">
        <f t="shared" si="2"/>
        <v>0</v>
      </c>
    </row>
    <row r="173" spans="1:14" x14ac:dyDescent="0.6">
      <c r="A173" s="7" t="s">
        <v>370</v>
      </c>
      <c r="B173" s="24" t="s">
        <v>371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3">
        <f t="shared" si="2"/>
        <v>0</v>
      </c>
    </row>
    <row r="174" spans="1:14" x14ac:dyDescent="0.6">
      <c r="A174" s="7" t="s">
        <v>26</v>
      </c>
      <c r="B174" s="24" t="s">
        <v>27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3">
        <f t="shared" si="2"/>
        <v>0</v>
      </c>
    </row>
    <row r="175" spans="1:14" x14ac:dyDescent="0.6">
      <c r="A175" s="7" t="s">
        <v>28</v>
      </c>
      <c r="B175" s="24" t="s">
        <v>29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3">
        <f t="shared" si="2"/>
        <v>0</v>
      </c>
    </row>
    <row r="176" spans="1:14" x14ac:dyDescent="0.6">
      <c r="A176" s="7" t="s">
        <v>372</v>
      </c>
      <c r="B176" s="24" t="s">
        <v>373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3">
        <f t="shared" si="2"/>
        <v>0</v>
      </c>
    </row>
    <row r="177" spans="1:14" x14ac:dyDescent="0.6">
      <c r="A177" s="7" t="s">
        <v>374</v>
      </c>
      <c r="B177" s="24" t="s">
        <v>375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3">
        <f t="shared" si="2"/>
        <v>0</v>
      </c>
    </row>
    <row r="178" spans="1:14" x14ac:dyDescent="0.6">
      <c r="A178" s="4" t="s">
        <v>376</v>
      </c>
      <c r="B178" s="25" t="s">
        <v>377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3">
        <f t="shared" si="2"/>
        <v>0</v>
      </c>
    </row>
    <row r="179" spans="1:14" x14ac:dyDescent="0.6">
      <c r="A179" s="7" t="s">
        <v>378</v>
      </c>
      <c r="B179" s="24" t="s">
        <v>379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3">
        <f t="shared" si="2"/>
        <v>0</v>
      </c>
    </row>
    <row r="180" spans="1:14" x14ac:dyDescent="0.6">
      <c r="A180" s="7" t="s">
        <v>380</v>
      </c>
      <c r="B180" s="24" t="s">
        <v>381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3">
        <f t="shared" si="2"/>
        <v>0</v>
      </c>
    </row>
    <row r="181" spans="1:14" x14ac:dyDescent="0.6">
      <c r="A181" s="7" t="s">
        <v>382</v>
      </c>
      <c r="B181" s="24" t="s">
        <v>383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3">
        <f t="shared" si="2"/>
        <v>0</v>
      </c>
    </row>
    <row r="182" spans="1:14" x14ac:dyDescent="0.6">
      <c r="A182" s="7" t="s">
        <v>384</v>
      </c>
      <c r="B182" s="24" t="s">
        <v>385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3">
        <f t="shared" si="2"/>
        <v>0</v>
      </c>
    </row>
    <row r="183" spans="1:14" x14ac:dyDescent="0.6">
      <c r="A183" s="7" t="s">
        <v>386</v>
      </c>
      <c r="B183" s="24" t="s">
        <v>387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3">
        <f t="shared" si="2"/>
        <v>0</v>
      </c>
    </row>
    <row r="184" spans="1:14" x14ac:dyDescent="0.6">
      <c r="A184" s="7" t="s">
        <v>388</v>
      </c>
      <c r="B184" s="24" t="s">
        <v>389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3">
        <f t="shared" si="2"/>
        <v>0</v>
      </c>
    </row>
    <row r="185" spans="1:14" x14ac:dyDescent="0.6">
      <c r="A185" s="7" t="s">
        <v>390</v>
      </c>
      <c r="B185" s="24" t="s">
        <v>391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3">
        <f t="shared" si="2"/>
        <v>0</v>
      </c>
    </row>
    <row r="186" spans="1:14" x14ac:dyDescent="0.6">
      <c r="A186" s="7" t="s">
        <v>392</v>
      </c>
      <c r="B186" s="24" t="s">
        <v>393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3">
        <f t="shared" si="2"/>
        <v>0</v>
      </c>
    </row>
    <row r="187" spans="1:14" x14ac:dyDescent="0.6">
      <c r="A187" s="7" t="s">
        <v>394</v>
      </c>
      <c r="B187" s="24" t="s">
        <v>395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3">
        <f t="shared" si="2"/>
        <v>0</v>
      </c>
    </row>
    <row r="188" spans="1:14" x14ac:dyDescent="0.6">
      <c r="A188" s="7" t="s">
        <v>396</v>
      </c>
      <c r="B188" s="24" t="s">
        <v>397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3">
        <f t="shared" si="2"/>
        <v>0</v>
      </c>
    </row>
    <row r="189" spans="1:14" x14ac:dyDescent="0.6">
      <c r="A189" s="7" t="s">
        <v>398</v>
      </c>
      <c r="B189" s="24" t="s">
        <v>399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3">
        <f t="shared" si="2"/>
        <v>0</v>
      </c>
    </row>
    <row r="190" spans="1:14" x14ac:dyDescent="0.6">
      <c r="A190" s="7" t="s">
        <v>400</v>
      </c>
      <c r="B190" s="24" t="s">
        <v>401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3">
        <f t="shared" si="2"/>
        <v>0</v>
      </c>
    </row>
    <row r="191" spans="1:14" x14ac:dyDescent="0.6">
      <c r="A191" s="7" t="s">
        <v>402</v>
      </c>
      <c r="B191" s="24" t="s">
        <v>403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3">
        <f t="shared" si="2"/>
        <v>0</v>
      </c>
    </row>
    <row r="192" spans="1:14" x14ac:dyDescent="0.6">
      <c r="A192" s="7" t="s">
        <v>404</v>
      </c>
      <c r="B192" s="24" t="s">
        <v>405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3">
        <f t="shared" si="2"/>
        <v>0</v>
      </c>
    </row>
    <row r="193" spans="1:14" x14ac:dyDescent="0.6">
      <c r="A193" s="7" t="s">
        <v>406</v>
      </c>
      <c r="B193" s="24" t="s">
        <v>407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3">
        <f t="shared" si="2"/>
        <v>0</v>
      </c>
    </row>
    <row r="194" spans="1:14" x14ac:dyDescent="0.6">
      <c r="A194" s="7" t="s">
        <v>408</v>
      </c>
      <c r="B194" s="24" t="s">
        <v>409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3">
        <f t="shared" si="2"/>
        <v>0</v>
      </c>
    </row>
    <row r="195" spans="1:14" x14ac:dyDescent="0.6">
      <c r="A195" s="7" t="s">
        <v>410</v>
      </c>
      <c r="B195" s="24" t="s">
        <v>411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3">
        <f t="shared" ref="N195:N258" si="3">SUM(C195:M195)</f>
        <v>0</v>
      </c>
    </row>
    <row r="196" spans="1:14" x14ac:dyDescent="0.6">
      <c r="A196" s="7" t="s">
        <v>412</v>
      </c>
      <c r="B196" s="24" t="s">
        <v>413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3">
        <f t="shared" si="3"/>
        <v>0</v>
      </c>
    </row>
    <row r="197" spans="1:14" x14ac:dyDescent="0.6">
      <c r="A197" s="7" t="s">
        <v>414</v>
      </c>
      <c r="B197" s="24" t="s">
        <v>415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3">
        <f t="shared" si="3"/>
        <v>0</v>
      </c>
    </row>
    <row r="198" spans="1:14" x14ac:dyDescent="0.6">
      <c r="A198" s="7" t="s">
        <v>416</v>
      </c>
      <c r="B198" s="24" t="s">
        <v>417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3">
        <f t="shared" si="3"/>
        <v>0</v>
      </c>
    </row>
    <row r="199" spans="1:14" x14ac:dyDescent="0.6">
      <c r="A199" s="7" t="s">
        <v>418</v>
      </c>
      <c r="B199" s="24" t="s">
        <v>419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3">
        <f t="shared" si="3"/>
        <v>0</v>
      </c>
    </row>
    <row r="200" spans="1:14" x14ac:dyDescent="0.6">
      <c r="A200" s="7" t="s">
        <v>420</v>
      </c>
      <c r="B200" s="24" t="s">
        <v>421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3">
        <f t="shared" si="3"/>
        <v>0</v>
      </c>
    </row>
    <row r="201" spans="1:14" x14ac:dyDescent="0.6">
      <c r="A201" s="7" t="s">
        <v>422</v>
      </c>
      <c r="B201" s="24" t="s">
        <v>423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3">
        <f t="shared" si="3"/>
        <v>0</v>
      </c>
    </row>
    <row r="202" spans="1:14" x14ac:dyDescent="0.6">
      <c r="A202" s="7" t="s">
        <v>424</v>
      </c>
      <c r="B202" s="24" t="s">
        <v>425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3">
        <f t="shared" si="3"/>
        <v>0</v>
      </c>
    </row>
    <row r="203" spans="1:14" x14ac:dyDescent="0.6">
      <c r="A203" s="7" t="s">
        <v>426</v>
      </c>
      <c r="B203" s="24" t="s">
        <v>427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3">
        <f t="shared" si="3"/>
        <v>0</v>
      </c>
    </row>
    <row r="204" spans="1:14" x14ac:dyDescent="0.6">
      <c r="A204" s="7" t="s">
        <v>428</v>
      </c>
      <c r="B204" s="24" t="s">
        <v>429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3">
        <f t="shared" si="3"/>
        <v>0</v>
      </c>
    </row>
    <row r="205" spans="1:14" x14ac:dyDescent="0.6">
      <c r="A205" s="7" t="s">
        <v>430</v>
      </c>
      <c r="B205" s="24" t="s">
        <v>431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3">
        <f t="shared" si="3"/>
        <v>0</v>
      </c>
    </row>
    <row r="206" spans="1:14" x14ac:dyDescent="0.6">
      <c r="A206" s="7" t="s">
        <v>432</v>
      </c>
      <c r="B206" s="24" t="s">
        <v>433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3">
        <f t="shared" si="3"/>
        <v>0</v>
      </c>
    </row>
    <row r="207" spans="1:14" x14ac:dyDescent="0.6">
      <c r="A207" s="7" t="s">
        <v>434</v>
      </c>
      <c r="B207" s="24" t="s">
        <v>435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3">
        <f t="shared" si="3"/>
        <v>0</v>
      </c>
    </row>
    <row r="208" spans="1:14" x14ac:dyDescent="0.6">
      <c r="A208" s="7" t="s">
        <v>436</v>
      </c>
      <c r="B208" s="24" t="s">
        <v>437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3">
        <f t="shared" si="3"/>
        <v>0</v>
      </c>
    </row>
    <row r="209" spans="1:14" x14ac:dyDescent="0.6">
      <c r="A209" s="7" t="s">
        <v>438</v>
      </c>
      <c r="B209" s="24" t="s">
        <v>439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3">
        <f t="shared" si="3"/>
        <v>0</v>
      </c>
    </row>
    <row r="210" spans="1:14" x14ac:dyDescent="0.6">
      <c r="A210" s="7" t="s">
        <v>440</v>
      </c>
      <c r="B210" s="24" t="s">
        <v>441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3">
        <f t="shared" si="3"/>
        <v>0</v>
      </c>
    </row>
    <row r="211" spans="1:14" x14ac:dyDescent="0.6">
      <c r="A211" s="7" t="s">
        <v>442</v>
      </c>
      <c r="B211" s="24" t="s">
        <v>443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3">
        <f t="shared" si="3"/>
        <v>0</v>
      </c>
    </row>
    <row r="212" spans="1:14" x14ac:dyDescent="0.6">
      <c r="A212" s="7" t="s">
        <v>444</v>
      </c>
      <c r="B212" s="24" t="s">
        <v>445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3">
        <f t="shared" si="3"/>
        <v>0</v>
      </c>
    </row>
    <row r="213" spans="1:14" x14ac:dyDescent="0.6">
      <c r="A213" s="7" t="s">
        <v>446</v>
      </c>
      <c r="B213" s="24" t="s">
        <v>447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3">
        <f t="shared" si="3"/>
        <v>0</v>
      </c>
    </row>
    <row r="214" spans="1:14" x14ac:dyDescent="0.6">
      <c r="A214" s="7" t="s">
        <v>448</v>
      </c>
      <c r="B214" s="24" t="s">
        <v>449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3">
        <f t="shared" si="3"/>
        <v>0</v>
      </c>
    </row>
    <row r="215" spans="1:14" x14ac:dyDescent="0.6">
      <c r="A215" s="7" t="s">
        <v>450</v>
      </c>
      <c r="B215" s="24" t="s">
        <v>451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3">
        <f t="shared" si="3"/>
        <v>0</v>
      </c>
    </row>
    <row r="216" spans="1:14" x14ac:dyDescent="0.6">
      <c r="A216" s="7" t="s">
        <v>452</v>
      </c>
      <c r="B216" s="24" t="s">
        <v>453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3">
        <f t="shared" si="3"/>
        <v>0</v>
      </c>
    </row>
    <row r="217" spans="1:14" x14ac:dyDescent="0.6">
      <c r="A217" s="7" t="s">
        <v>454</v>
      </c>
      <c r="B217" s="24" t="s">
        <v>455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3">
        <f t="shared" si="3"/>
        <v>0</v>
      </c>
    </row>
    <row r="218" spans="1:14" x14ac:dyDescent="0.6">
      <c r="A218" s="7" t="s">
        <v>456</v>
      </c>
      <c r="B218" s="24" t="s">
        <v>457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3">
        <f t="shared" si="3"/>
        <v>0</v>
      </c>
    </row>
    <row r="219" spans="1:14" x14ac:dyDescent="0.6">
      <c r="A219" s="7" t="s">
        <v>458</v>
      </c>
      <c r="B219" s="24" t="s">
        <v>459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3">
        <f t="shared" si="3"/>
        <v>0</v>
      </c>
    </row>
    <row r="220" spans="1:14" x14ac:dyDescent="0.6">
      <c r="A220" s="7" t="s">
        <v>460</v>
      </c>
      <c r="B220" s="24" t="s">
        <v>461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3">
        <f t="shared" si="3"/>
        <v>0</v>
      </c>
    </row>
    <row r="221" spans="1:14" x14ac:dyDescent="0.6">
      <c r="A221" s="7" t="s">
        <v>462</v>
      </c>
      <c r="B221" s="24" t="s">
        <v>463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3">
        <f t="shared" si="3"/>
        <v>0</v>
      </c>
    </row>
    <row r="222" spans="1:14" x14ac:dyDescent="0.6">
      <c r="A222" s="7" t="s">
        <v>464</v>
      </c>
      <c r="B222" s="24" t="s">
        <v>465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3">
        <f t="shared" si="3"/>
        <v>0</v>
      </c>
    </row>
    <row r="223" spans="1:14" x14ac:dyDescent="0.6">
      <c r="A223" s="7" t="s">
        <v>466</v>
      </c>
      <c r="B223" s="24" t="s">
        <v>467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3">
        <f t="shared" si="3"/>
        <v>0</v>
      </c>
    </row>
    <row r="224" spans="1:14" x14ac:dyDescent="0.6">
      <c r="A224" s="7" t="s">
        <v>468</v>
      </c>
      <c r="B224" s="24" t="s">
        <v>469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3">
        <f t="shared" si="3"/>
        <v>0</v>
      </c>
    </row>
    <row r="225" spans="1:14" x14ac:dyDescent="0.6">
      <c r="A225" s="7" t="s">
        <v>470</v>
      </c>
      <c r="B225" s="24" t="s">
        <v>471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3">
        <f t="shared" si="3"/>
        <v>0</v>
      </c>
    </row>
    <row r="226" spans="1:14" x14ac:dyDescent="0.6">
      <c r="A226" s="7" t="s">
        <v>472</v>
      </c>
      <c r="B226" s="24" t="s">
        <v>473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3">
        <f t="shared" si="3"/>
        <v>0</v>
      </c>
    </row>
    <row r="227" spans="1:14" x14ac:dyDescent="0.6">
      <c r="A227" s="7" t="s">
        <v>474</v>
      </c>
      <c r="B227" s="24" t="s">
        <v>475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3">
        <f t="shared" si="3"/>
        <v>0</v>
      </c>
    </row>
    <row r="228" spans="1:14" x14ac:dyDescent="0.6">
      <c r="A228" s="7" t="s">
        <v>476</v>
      </c>
      <c r="B228" s="24" t="s">
        <v>477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3">
        <f t="shared" si="3"/>
        <v>0</v>
      </c>
    </row>
    <row r="229" spans="1:14" x14ac:dyDescent="0.6">
      <c r="A229" s="7" t="s">
        <v>478</v>
      </c>
      <c r="B229" s="24" t="s">
        <v>479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3">
        <f t="shared" si="3"/>
        <v>0</v>
      </c>
    </row>
    <row r="230" spans="1:14" x14ac:dyDescent="0.6">
      <c r="A230" s="7" t="s">
        <v>480</v>
      </c>
      <c r="B230" s="24" t="s">
        <v>481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3">
        <f t="shared" si="3"/>
        <v>0</v>
      </c>
    </row>
    <row r="231" spans="1:14" x14ac:dyDescent="0.6">
      <c r="A231" s="7" t="s">
        <v>482</v>
      </c>
      <c r="B231" s="24" t="s">
        <v>483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3">
        <f t="shared" si="3"/>
        <v>0</v>
      </c>
    </row>
    <row r="232" spans="1:14" x14ac:dyDescent="0.6">
      <c r="A232" s="7" t="s">
        <v>484</v>
      </c>
      <c r="B232" s="24" t="s">
        <v>485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3">
        <f t="shared" si="3"/>
        <v>0</v>
      </c>
    </row>
    <row r="233" spans="1:14" x14ac:dyDescent="0.6">
      <c r="A233" s="7" t="s">
        <v>486</v>
      </c>
      <c r="B233" s="24" t="s">
        <v>487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3">
        <f t="shared" si="3"/>
        <v>0</v>
      </c>
    </row>
    <row r="234" spans="1:14" x14ac:dyDescent="0.6">
      <c r="A234" s="7" t="s">
        <v>488</v>
      </c>
      <c r="B234" s="24" t="s">
        <v>489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3">
        <f t="shared" si="3"/>
        <v>0</v>
      </c>
    </row>
    <row r="235" spans="1:14" x14ac:dyDescent="0.6">
      <c r="A235" s="7" t="s">
        <v>490</v>
      </c>
      <c r="B235" s="24" t="s">
        <v>491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3">
        <f t="shared" si="3"/>
        <v>0</v>
      </c>
    </row>
    <row r="236" spans="1:14" x14ac:dyDescent="0.6">
      <c r="A236" s="7" t="s">
        <v>492</v>
      </c>
      <c r="B236" s="24" t="s">
        <v>493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3">
        <f t="shared" si="3"/>
        <v>0</v>
      </c>
    </row>
    <row r="237" spans="1:14" x14ac:dyDescent="0.6">
      <c r="A237" s="7" t="s">
        <v>494</v>
      </c>
      <c r="B237" s="24" t="s">
        <v>495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3">
        <f t="shared" si="3"/>
        <v>0</v>
      </c>
    </row>
    <row r="238" spans="1:14" x14ac:dyDescent="0.6">
      <c r="A238" s="7" t="s">
        <v>496</v>
      </c>
      <c r="B238" s="24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3">
        <f t="shared" si="3"/>
        <v>0</v>
      </c>
    </row>
    <row r="239" spans="1:14" x14ac:dyDescent="0.6">
      <c r="A239" s="12" t="s">
        <v>498</v>
      </c>
      <c r="B239" s="27" t="s">
        <v>499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3">
        <f t="shared" si="3"/>
        <v>0</v>
      </c>
    </row>
    <row r="240" spans="1:14" x14ac:dyDescent="0.6">
      <c r="A240" s="12" t="s">
        <v>500</v>
      </c>
      <c r="B240" s="27" t="s">
        <v>501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3">
        <f t="shared" si="3"/>
        <v>0</v>
      </c>
    </row>
    <row r="241" spans="1:14" x14ac:dyDescent="0.6">
      <c r="A241" s="12" t="s">
        <v>502</v>
      </c>
      <c r="B241" s="27" t="s">
        <v>503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3">
        <f t="shared" si="3"/>
        <v>0</v>
      </c>
    </row>
    <row r="242" spans="1:14" x14ac:dyDescent="0.6">
      <c r="A242" s="7" t="s">
        <v>504</v>
      </c>
      <c r="B242" s="24" t="s">
        <v>505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3">
        <f t="shared" si="3"/>
        <v>0</v>
      </c>
    </row>
    <row r="243" spans="1:14" x14ac:dyDescent="0.6">
      <c r="A243" s="7" t="s">
        <v>506</v>
      </c>
      <c r="B243" s="24" t="s">
        <v>507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3">
        <f t="shared" si="3"/>
        <v>0</v>
      </c>
    </row>
    <row r="244" spans="1:14" x14ac:dyDescent="0.6">
      <c r="A244" s="7" t="s">
        <v>508</v>
      </c>
      <c r="B244" s="24" t="s">
        <v>509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3">
        <f t="shared" si="3"/>
        <v>0</v>
      </c>
    </row>
    <row r="245" spans="1:14" x14ac:dyDescent="0.6">
      <c r="A245" s="12" t="s">
        <v>510</v>
      </c>
      <c r="B245" s="27" t="s">
        <v>511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3">
        <f t="shared" si="3"/>
        <v>0</v>
      </c>
    </row>
    <row r="246" spans="1:14" x14ac:dyDescent="0.6">
      <c r="A246" s="12" t="s">
        <v>512</v>
      </c>
      <c r="B246" s="27" t="s">
        <v>513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3">
        <f t="shared" si="3"/>
        <v>0</v>
      </c>
    </row>
    <row r="247" spans="1:14" x14ac:dyDescent="0.6">
      <c r="A247" s="12" t="s">
        <v>514</v>
      </c>
      <c r="B247" s="27" t="s">
        <v>515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3">
        <f t="shared" si="3"/>
        <v>0</v>
      </c>
    </row>
    <row r="248" spans="1:14" x14ac:dyDescent="0.6">
      <c r="A248" s="12" t="s">
        <v>516</v>
      </c>
      <c r="B248" s="27" t="s">
        <v>517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3">
        <f t="shared" si="3"/>
        <v>0</v>
      </c>
    </row>
    <row r="249" spans="1:14" x14ac:dyDescent="0.6">
      <c r="A249" s="12" t="s">
        <v>518</v>
      </c>
      <c r="B249" s="27" t="s">
        <v>519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3">
        <f t="shared" si="3"/>
        <v>0</v>
      </c>
    </row>
    <row r="250" spans="1:14" x14ac:dyDescent="0.6">
      <c r="A250" s="12" t="s">
        <v>520</v>
      </c>
      <c r="B250" s="27" t="s">
        <v>521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3">
        <f t="shared" si="3"/>
        <v>0</v>
      </c>
    </row>
    <row r="251" spans="1:14" x14ac:dyDescent="0.6">
      <c r="A251" s="12" t="s">
        <v>522</v>
      </c>
      <c r="B251" s="27" t="s">
        <v>523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3">
        <f t="shared" si="3"/>
        <v>0</v>
      </c>
    </row>
    <row r="252" spans="1:14" x14ac:dyDescent="0.6">
      <c r="A252" s="12" t="s">
        <v>524</v>
      </c>
      <c r="B252" s="27" t="s">
        <v>525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3">
        <f t="shared" si="3"/>
        <v>0</v>
      </c>
    </row>
    <row r="253" spans="1:14" x14ac:dyDescent="0.6">
      <c r="A253" s="12" t="s">
        <v>526</v>
      </c>
      <c r="B253" s="27" t="s">
        <v>527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3">
        <f t="shared" si="3"/>
        <v>0</v>
      </c>
    </row>
    <row r="254" spans="1:14" x14ac:dyDescent="0.6">
      <c r="A254" s="12" t="s">
        <v>528</v>
      </c>
      <c r="B254" s="27" t="s">
        <v>529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3">
        <f t="shared" si="3"/>
        <v>0</v>
      </c>
    </row>
    <row r="255" spans="1:14" x14ac:dyDescent="0.6">
      <c r="A255" s="12" t="s">
        <v>530</v>
      </c>
      <c r="B255" s="27" t="s">
        <v>531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3">
        <f t="shared" si="3"/>
        <v>0</v>
      </c>
    </row>
    <row r="256" spans="1:14" x14ac:dyDescent="0.6">
      <c r="A256" s="12" t="s">
        <v>532</v>
      </c>
      <c r="B256" s="27" t="s">
        <v>533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3">
        <f t="shared" si="3"/>
        <v>0</v>
      </c>
    </row>
    <row r="257" spans="1:14" x14ac:dyDescent="0.6">
      <c r="A257" s="12" t="s">
        <v>534</v>
      </c>
      <c r="B257" s="27" t="s">
        <v>535</v>
      </c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3">
        <f t="shared" si="3"/>
        <v>0</v>
      </c>
    </row>
    <row r="258" spans="1:14" x14ac:dyDescent="0.6">
      <c r="A258" s="12" t="s">
        <v>536</v>
      </c>
      <c r="B258" s="27" t="s">
        <v>537</v>
      </c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3">
        <f t="shared" si="3"/>
        <v>0</v>
      </c>
    </row>
    <row r="259" spans="1:14" x14ac:dyDescent="0.6">
      <c r="A259" s="12" t="s">
        <v>538</v>
      </c>
      <c r="B259" s="27" t="s">
        <v>539</v>
      </c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3">
        <f t="shared" ref="N259:N286" si="4">SUM(C259:M259)</f>
        <v>0</v>
      </c>
    </row>
    <row r="260" spans="1:14" x14ac:dyDescent="0.6">
      <c r="A260" s="12" t="s">
        <v>540</v>
      </c>
      <c r="B260" s="27" t="s">
        <v>541</v>
      </c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3">
        <f t="shared" si="4"/>
        <v>0</v>
      </c>
    </row>
    <row r="261" spans="1:14" x14ac:dyDescent="0.6">
      <c r="A261" s="12" t="s">
        <v>542</v>
      </c>
      <c r="B261" s="27" t="s">
        <v>543</v>
      </c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3">
        <f t="shared" si="4"/>
        <v>0</v>
      </c>
    </row>
    <row r="262" spans="1:14" x14ac:dyDescent="0.6">
      <c r="A262" s="12" t="s">
        <v>544</v>
      </c>
      <c r="B262" s="27" t="s">
        <v>545</v>
      </c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3">
        <f t="shared" si="4"/>
        <v>0</v>
      </c>
    </row>
    <row r="263" spans="1:14" x14ac:dyDescent="0.6">
      <c r="A263" s="12" t="s">
        <v>546</v>
      </c>
      <c r="B263" s="27" t="s">
        <v>547</v>
      </c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3">
        <f t="shared" si="4"/>
        <v>0</v>
      </c>
    </row>
    <row r="264" spans="1:14" x14ac:dyDescent="0.6">
      <c r="A264" s="12" t="s">
        <v>548</v>
      </c>
      <c r="B264" s="27" t="s">
        <v>549</v>
      </c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3">
        <f t="shared" si="4"/>
        <v>0</v>
      </c>
    </row>
    <row r="265" spans="1:14" x14ac:dyDescent="0.6">
      <c r="A265" s="12" t="s">
        <v>550</v>
      </c>
      <c r="B265" s="27" t="s">
        <v>551</v>
      </c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3">
        <f t="shared" si="4"/>
        <v>0</v>
      </c>
    </row>
    <row r="266" spans="1:14" x14ac:dyDescent="0.6">
      <c r="A266" s="12" t="s">
        <v>552</v>
      </c>
      <c r="B266" s="27" t="s">
        <v>553</v>
      </c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3">
        <f t="shared" si="4"/>
        <v>0</v>
      </c>
    </row>
    <row r="267" spans="1:14" x14ac:dyDescent="0.6">
      <c r="A267" s="12" t="s">
        <v>8</v>
      </c>
      <c r="B267" s="27" t="s">
        <v>9</v>
      </c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3">
        <f t="shared" si="4"/>
        <v>0</v>
      </c>
    </row>
    <row r="268" spans="1:14" x14ac:dyDescent="0.6">
      <c r="A268" s="12" t="s">
        <v>554</v>
      </c>
      <c r="B268" s="27" t="s">
        <v>555</v>
      </c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3">
        <f t="shared" si="4"/>
        <v>0</v>
      </c>
    </row>
    <row r="269" spans="1:14" x14ac:dyDescent="0.6">
      <c r="A269" s="12" t="s">
        <v>556</v>
      </c>
      <c r="B269" s="27" t="s">
        <v>557</v>
      </c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3">
        <f t="shared" si="4"/>
        <v>0</v>
      </c>
    </row>
    <row r="270" spans="1:14" x14ac:dyDescent="0.6">
      <c r="A270" s="12" t="s">
        <v>558</v>
      </c>
      <c r="B270" s="27" t="s">
        <v>559</v>
      </c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3">
        <f t="shared" si="4"/>
        <v>0</v>
      </c>
    </row>
    <row r="271" spans="1:14" x14ac:dyDescent="0.6">
      <c r="A271" s="12" t="s">
        <v>560</v>
      </c>
      <c r="B271" s="27" t="s">
        <v>561</v>
      </c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3">
        <f t="shared" si="4"/>
        <v>0</v>
      </c>
    </row>
    <row r="272" spans="1:14" x14ac:dyDescent="0.6">
      <c r="A272" s="12" t="s">
        <v>562</v>
      </c>
      <c r="B272" s="27" t="s">
        <v>563</v>
      </c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3">
        <f t="shared" si="4"/>
        <v>0</v>
      </c>
    </row>
    <row r="273" spans="1:14" x14ac:dyDescent="0.6">
      <c r="A273" s="12" t="s">
        <v>564</v>
      </c>
      <c r="B273" s="27" t="s">
        <v>565</v>
      </c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3">
        <f t="shared" si="4"/>
        <v>0</v>
      </c>
    </row>
    <row r="274" spans="1:14" x14ac:dyDescent="0.6">
      <c r="A274" s="12" t="s">
        <v>566</v>
      </c>
      <c r="B274" s="27" t="s">
        <v>567</v>
      </c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3">
        <f t="shared" si="4"/>
        <v>0</v>
      </c>
    </row>
    <row r="275" spans="1:14" x14ac:dyDescent="0.6">
      <c r="A275" s="12" t="s">
        <v>568</v>
      </c>
      <c r="B275" s="27" t="s">
        <v>569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3">
        <f t="shared" si="4"/>
        <v>0</v>
      </c>
    </row>
    <row r="276" spans="1:14" x14ac:dyDescent="0.6">
      <c r="A276" s="12" t="s">
        <v>10</v>
      </c>
      <c r="B276" s="27" t="s">
        <v>11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3">
        <f t="shared" si="4"/>
        <v>0</v>
      </c>
    </row>
    <row r="277" spans="1:14" x14ac:dyDescent="0.6">
      <c r="A277" s="12" t="s">
        <v>12</v>
      </c>
      <c r="B277" s="27" t="s">
        <v>13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3">
        <f t="shared" si="4"/>
        <v>0</v>
      </c>
    </row>
    <row r="278" spans="1:14" x14ac:dyDescent="0.6">
      <c r="A278" s="12" t="s">
        <v>14</v>
      </c>
      <c r="B278" s="27" t="s">
        <v>15</v>
      </c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3">
        <f t="shared" si="4"/>
        <v>0</v>
      </c>
    </row>
    <row r="279" spans="1:14" x14ac:dyDescent="0.6">
      <c r="A279" s="12" t="s">
        <v>570</v>
      </c>
      <c r="B279" s="27" t="s">
        <v>571</v>
      </c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3">
        <f t="shared" si="4"/>
        <v>0</v>
      </c>
    </row>
    <row r="280" spans="1:14" x14ac:dyDescent="0.6">
      <c r="A280" s="12" t="s">
        <v>572</v>
      </c>
      <c r="B280" s="27" t="s">
        <v>573</v>
      </c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3">
        <f t="shared" si="4"/>
        <v>0</v>
      </c>
    </row>
    <row r="281" spans="1:14" x14ac:dyDescent="0.6">
      <c r="A281" s="12" t="s">
        <v>574</v>
      </c>
      <c r="B281" s="27" t="s">
        <v>575</v>
      </c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3">
        <f t="shared" si="4"/>
        <v>0</v>
      </c>
    </row>
    <row r="282" spans="1:14" x14ac:dyDescent="0.6">
      <c r="A282" s="12" t="s">
        <v>576</v>
      </c>
      <c r="B282" s="27" t="s">
        <v>577</v>
      </c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3">
        <f t="shared" si="4"/>
        <v>0</v>
      </c>
    </row>
    <row r="283" spans="1:14" x14ac:dyDescent="0.6">
      <c r="A283" s="12" t="s">
        <v>578</v>
      </c>
      <c r="B283" s="27" t="s">
        <v>579</v>
      </c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3">
        <f t="shared" si="4"/>
        <v>0</v>
      </c>
    </row>
    <row r="284" spans="1:14" x14ac:dyDescent="0.6">
      <c r="A284" s="12" t="s">
        <v>580</v>
      </c>
      <c r="B284" s="27" t="s">
        <v>581</v>
      </c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3">
        <f t="shared" si="4"/>
        <v>0</v>
      </c>
    </row>
    <row r="285" spans="1:14" x14ac:dyDescent="0.6">
      <c r="A285" s="12" t="s">
        <v>582</v>
      </c>
      <c r="B285" s="27" t="s">
        <v>583</v>
      </c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3">
        <f t="shared" si="4"/>
        <v>0</v>
      </c>
    </row>
    <row r="286" spans="1:14" x14ac:dyDescent="0.6">
      <c r="A286" s="12" t="s">
        <v>584</v>
      </c>
      <c r="B286" s="27" t="s">
        <v>585</v>
      </c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3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</vt:lpstr>
      <vt:lpstr>Q-Score</vt:lpstr>
      <vt:lpstr>Dangerous</vt:lpstr>
      <vt:lpstr>Manual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Prayut Puttummarin</dc:creator>
  <cp:lastModifiedBy>Prayut Puttummarin</cp:lastModifiedBy>
  <dcterms:created xsi:type="dcterms:W3CDTF">2026-02-24T06:08:17Z</dcterms:created>
  <dcterms:modified xsi:type="dcterms:W3CDTF">2026-10-14T04:20:24Z</dcterms:modified>
</cp:coreProperties>
</file>