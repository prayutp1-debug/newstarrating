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รายงานการจัดระดับ\newstarrating\source-excel\"/>
    </mc:Choice>
  </mc:AlternateContent>
  <xr:revisionPtr revIDLastSave="0" documentId="13_ncr:1_{D25DC85C-4067-4933-B084-BBBD70D06F54}" xr6:coauthVersionLast="36" xr6:coauthVersionMax="36" xr10:uidLastSave="{00000000-0000-0000-0000-000000000000}"/>
  <bookViews>
    <workbookView xWindow="0" yWindow="0" windowWidth="19200" windowHeight="8130" activeTab="1" xr2:uid="{5FA2FF11-DEAD-479A-BBC7-1C4C4477CC4E}"/>
  </bookViews>
  <sheets>
    <sheet name="รายชื่อจบส." sheetId="1" r:id="rId1"/>
    <sheet name="จบส.-Score" sheetId="2" r:id="rId2"/>
    <sheet name="จบส.ไม่มี" sheetId="3" r:id="rId3"/>
  </sheets>
  <definedNames>
    <definedName name="_xlnm._FilterDatabase" localSheetId="1" hidden="1">'จบส.-Score'!$B$1:$H$288</definedName>
    <definedName name="_xlnm._FilterDatabase" localSheetId="0" hidden="1">รายชื่อจบส.!$A$1:$L$1480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H3" i="2"/>
  <c r="E4" i="2"/>
  <c r="H4" i="2"/>
  <c r="E5" i="2"/>
  <c r="H5" i="2"/>
  <c r="E6" i="2"/>
  <c r="H6" i="2"/>
  <c r="E7" i="2"/>
  <c r="H7" i="2"/>
  <c r="E8" i="2"/>
  <c r="H8" i="2"/>
  <c r="E9" i="2"/>
  <c r="H9" i="2"/>
  <c r="E10" i="2"/>
  <c r="H10" i="2"/>
  <c r="E11" i="2"/>
  <c r="H11" i="2"/>
  <c r="E12" i="2"/>
  <c r="H12" i="2"/>
  <c r="E13" i="2"/>
  <c r="H13" i="2"/>
  <c r="E14" i="2"/>
  <c r="H14" i="2"/>
  <c r="E15" i="2"/>
  <c r="H15" i="2"/>
  <c r="E16" i="2"/>
  <c r="H16" i="2"/>
  <c r="E17" i="2"/>
  <c r="H17" i="2"/>
  <c r="E18" i="2"/>
  <c r="H18" i="2"/>
  <c r="E19" i="2"/>
  <c r="H19" i="2"/>
  <c r="E20" i="2"/>
  <c r="H20" i="2"/>
  <c r="E21" i="2"/>
  <c r="H21" i="2"/>
  <c r="E22" i="2"/>
  <c r="H22" i="2"/>
  <c r="E23" i="2"/>
  <c r="H23" i="2"/>
  <c r="E24" i="2"/>
  <c r="H24" i="2"/>
  <c r="E25" i="2"/>
  <c r="H25" i="2"/>
  <c r="E26" i="2"/>
  <c r="H26" i="2"/>
  <c r="E27" i="2"/>
  <c r="H27" i="2"/>
  <c r="E28" i="2"/>
  <c r="H28" i="2"/>
  <c r="E29" i="2"/>
  <c r="H29" i="2"/>
  <c r="E30" i="2"/>
  <c r="H30" i="2"/>
  <c r="E31" i="2"/>
  <c r="H31" i="2"/>
  <c r="E32" i="2"/>
  <c r="H32" i="2"/>
  <c r="E33" i="2"/>
  <c r="H33" i="2"/>
  <c r="E34" i="2"/>
  <c r="H34" i="2"/>
  <c r="E35" i="2"/>
  <c r="H35" i="2"/>
  <c r="E36" i="2"/>
  <c r="H36" i="2"/>
  <c r="E37" i="2"/>
  <c r="H37" i="2"/>
  <c r="E38" i="2"/>
  <c r="H38" i="2"/>
  <c r="E39" i="2"/>
  <c r="H39" i="2"/>
  <c r="E40" i="2"/>
  <c r="H40" i="2"/>
  <c r="E41" i="2"/>
  <c r="H41" i="2"/>
  <c r="E42" i="2"/>
  <c r="H42" i="2"/>
  <c r="E43" i="2"/>
  <c r="H43" i="2"/>
  <c r="E44" i="2"/>
  <c r="H44" i="2"/>
  <c r="E45" i="2"/>
  <c r="H45" i="2"/>
  <c r="E46" i="2"/>
  <c r="H46" i="2"/>
  <c r="E47" i="2"/>
  <c r="H47" i="2"/>
  <c r="E48" i="2"/>
  <c r="H48" i="2"/>
  <c r="E49" i="2"/>
  <c r="H49" i="2"/>
  <c r="E50" i="2"/>
  <c r="H50" i="2"/>
  <c r="E51" i="2"/>
  <c r="H51" i="2"/>
  <c r="E52" i="2"/>
  <c r="H52" i="2"/>
  <c r="E53" i="2"/>
  <c r="H53" i="2"/>
  <c r="E54" i="2"/>
  <c r="H54" i="2"/>
  <c r="E55" i="2"/>
  <c r="H55" i="2"/>
  <c r="E56" i="2"/>
  <c r="H56" i="2"/>
  <c r="E57" i="2"/>
  <c r="H57" i="2"/>
  <c r="E58" i="2"/>
  <c r="H58" i="2"/>
  <c r="E59" i="2"/>
  <c r="H59" i="2"/>
  <c r="E60" i="2"/>
  <c r="H60" i="2"/>
  <c r="E61" i="2"/>
  <c r="H61" i="2"/>
  <c r="E62" i="2"/>
  <c r="H62" i="2"/>
  <c r="E63" i="2"/>
  <c r="H63" i="2"/>
  <c r="E64" i="2"/>
  <c r="H64" i="2"/>
  <c r="E65" i="2"/>
  <c r="H65" i="2"/>
  <c r="E66" i="2"/>
  <c r="H66" i="2"/>
  <c r="E67" i="2"/>
  <c r="H67" i="2"/>
  <c r="E68" i="2"/>
  <c r="H68" i="2"/>
  <c r="E69" i="2"/>
  <c r="H69" i="2"/>
  <c r="E70" i="2"/>
  <c r="H70" i="2"/>
  <c r="E71" i="2"/>
  <c r="H71" i="2"/>
  <c r="E72" i="2"/>
  <c r="H72" i="2"/>
  <c r="E73" i="2"/>
  <c r="H73" i="2"/>
  <c r="E74" i="2"/>
  <c r="H74" i="2"/>
  <c r="E75" i="2"/>
  <c r="H75" i="2"/>
  <c r="E76" i="2"/>
  <c r="H76" i="2"/>
  <c r="E77" i="2"/>
  <c r="H77" i="2"/>
  <c r="E78" i="2"/>
  <c r="H78" i="2"/>
  <c r="E79" i="2"/>
  <c r="H79" i="2"/>
  <c r="E80" i="2"/>
  <c r="H80" i="2"/>
  <c r="E81" i="2"/>
  <c r="H81" i="2"/>
  <c r="E82" i="2"/>
  <c r="H82" i="2"/>
  <c r="E83" i="2"/>
  <c r="H83" i="2"/>
  <c r="E84" i="2"/>
  <c r="H84" i="2"/>
  <c r="E85" i="2"/>
  <c r="H85" i="2"/>
  <c r="E86" i="2"/>
  <c r="H86" i="2"/>
  <c r="E87" i="2"/>
  <c r="H87" i="2"/>
  <c r="E88" i="2"/>
  <c r="H88" i="2"/>
  <c r="E89" i="2"/>
  <c r="H89" i="2"/>
  <c r="E90" i="2"/>
  <c r="H90" i="2"/>
  <c r="E91" i="2"/>
  <c r="H91" i="2"/>
  <c r="E92" i="2"/>
  <c r="H92" i="2"/>
  <c r="E93" i="2"/>
  <c r="H93" i="2"/>
  <c r="E94" i="2"/>
  <c r="H94" i="2"/>
  <c r="E95" i="2"/>
  <c r="H95" i="2"/>
  <c r="E96" i="2"/>
  <c r="H96" i="2"/>
  <c r="E97" i="2"/>
  <c r="H97" i="2"/>
  <c r="E98" i="2"/>
  <c r="H98" i="2"/>
  <c r="E99" i="2"/>
  <c r="H99" i="2"/>
  <c r="E100" i="2"/>
  <c r="H100" i="2"/>
  <c r="E101" i="2"/>
  <c r="H101" i="2"/>
  <c r="E102" i="2"/>
  <c r="H102" i="2"/>
  <c r="E103" i="2"/>
  <c r="H103" i="2"/>
  <c r="E104" i="2"/>
  <c r="H104" i="2"/>
  <c r="E105" i="2"/>
  <c r="H105" i="2"/>
  <c r="E106" i="2"/>
  <c r="H106" i="2"/>
  <c r="E107" i="2"/>
  <c r="H107" i="2"/>
  <c r="E108" i="2"/>
  <c r="H108" i="2"/>
  <c r="E109" i="2"/>
  <c r="H109" i="2"/>
  <c r="E110" i="2"/>
  <c r="H110" i="2"/>
  <c r="E111" i="2"/>
  <c r="H111" i="2"/>
  <c r="E112" i="2"/>
  <c r="H112" i="2"/>
  <c r="E113" i="2"/>
  <c r="H113" i="2"/>
  <c r="E114" i="2"/>
  <c r="H114" i="2"/>
  <c r="E115" i="2"/>
  <c r="H115" i="2"/>
  <c r="E116" i="2"/>
  <c r="H116" i="2"/>
  <c r="E117" i="2"/>
  <c r="H117" i="2"/>
  <c r="E118" i="2"/>
  <c r="H118" i="2"/>
  <c r="E119" i="2"/>
  <c r="H119" i="2"/>
  <c r="E120" i="2"/>
  <c r="H120" i="2"/>
  <c r="E121" i="2"/>
  <c r="H121" i="2"/>
  <c r="E122" i="2"/>
  <c r="H122" i="2"/>
  <c r="E123" i="2"/>
  <c r="H123" i="2"/>
  <c r="E124" i="2"/>
  <c r="H124" i="2"/>
  <c r="E125" i="2"/>
  <c r="H125" i="2"/>
  <c r="E126" i="2"/>
  <c r="H126" i="2"/>
  <c r="E127" i="2"/>
  <c r="H127" i="2"/>
  <c r="E128" i="2"/>
  <c r="H128" i="2"/>
  <c r="E129" i="2"/>
  <c r="H129" i="2"/>
  <c r="E130" i="2"/>
  <c r="H130" i="2"/>
  <c r="E131" i="2"/>
  <c r="H131" i="2"/>
  <c r="E132" i="2"/>
  <c r="H132" i="2"/>
  <c r="E133" i="2"/>
  <c r="H133" i="2"/>
  <c r="E134" i="2"/>
  <c r="H134" i="2"/>
  <c r="E135" i="2"/>
  <c r="H135" i="2"/>
  <c r="E136" i="2"/>
  <c r="H136" i="2"/>
  <c r="E137" i="2"/>
  <c r="H137" i="2"/>
  <c r="E138" i="2"/>
  <c r="H138" i="2"/>
  <c r="E139" i="2"/>
  <c r="H139" i="2"/>
  <c r="E140" i="2"/>
  <c r="H140" i="2"/>
  <c r="E141" i="2"/>
  <c r="H141" i="2"/>
  <c r="E142" i="2"/>
  <c r="H142" i="2"/>
  <c r="E143" i="2"/>
  <c r="H143" i="2"/>
  <c r="E144" i="2"/>
  <c r="H144" i="2"/>
  <c r="E145" i="2"/>
  <c r="H145" i="2"/>
  <c r="E146" i="2"/>
  <c r="H146" i="2"/>
  <c r="E147" i="2"/>
  <c r="H147" i="2"/>
  <c r="E148" i="2"/>
  <c r="H148" i="2"/>
  <c r="E149" i="2"/>
  <c r="H149" i="2"/>
  <c r="E150" i="2"/>
  <c r="H150" i="2"/>
  <c r="E151" i="2"/>
  <c r="H151" i="2"/>
  <c r="E152" i="2"/>
  <c r="H152" i="2"/>
  <c r="E153" i="2"/>
  <c r="H153" i="2"/>
  <c r="E154" i="2"/>
  <c r="H154" i="2"/>
  <c r="E155" i="2"/>
  <c r="H155" i="2"/>
  <c r="E156" i="2"/>
  <c r="H156" i="2"/>
  <c r="E157" i="2"/>
  <c r="H157" i="2"/>
  <c r="E158" i="2"/>
  <c r="H158" i="2"/>
  <c r="E159" i="2"/>
  <c r="H159" i="2"/>
  <c r="E160" i="2"/>
  <c r="H160" i="2"/>
  <c r="E161" i="2"/>
  <c r="H161" i="2"/>
  <c r="E162" i="2"/>
  <c r="H162" i="2"/>
  <c r="E163" i="2"/>
  <c r="H163" i="2"/>
  <c r="E164" i="2"/>
  <c r="H164" i="2"/>
  <c r="E165" i="2"/>
  <c r="H165" i="2"/>
  <c r="E166" i="2"/>
  <c r="H166" i="2"/>
  <c r="E167" i="2"/>
  <c r="H167" i="2"/>
  <c r="E168" i="2"/>
  <c r="H168" i="2"/>
  <c r="E169" i="2"/>
  <c r="H169" i="2"/>
  <c r="E170" i="2"/>
  <c r="H170" i="2"/>
  <c r="E171" i="2"/>
  <c r="H171" i="2"/>
  <c r="E172" i="2"/>
  <c r="H172" i="2"/>
  <c r="E173" i="2"/>
  <c r="H173" i="2"/>
  <c r="E174" i="2"/>
  <c r="H174" i="2"/>
  <c r="E175" i="2"/>
  <c r="H175" i="2"/>
  <c r="E176" i="2"/>
  <c r="H176" i="2"/>
  <c r="E177" i="2"/>
  <c r="H177" i="2"/>
  <c r="E178" i="2"/>
  <c r="H178" i="2"/>
  <c r="E179" i="2"/>
  <c r="H179" i="2"/>
  <c r="E180" i="2"/>
  <c r="H180" i="2"/>
  <c r="E181" i="2"/>
  <c r="H181" i="2"/>
  <c r="E182" i="2"/>
  <c r="H182" i="2"/>
  <c r="E183" i="2"/>
  <c r="H183" i="2"/>
  <c r="E184" i="2"/>
  <c r="H184" i="2"/>
  <c r="E185" i="2"/>
  <c r="H185" i="2"/>
  <c r="E186" i="2"/>
  <c r="H186" i="2"/>
  <c r="E187" i="2"/>
  <c r="H187" i="2"/>
  <c r="E188" i="2"/>
  <c r="H188" i="2"/>
  <c r="E189" i="2"/>
  <c r="H189" i="2"/>
  <c r="E190" i="2"/>
  <c r="H190" i="2"/>
  <c r="E191" i="2"/>
  <c r="H191" i="2"/>
  <c r="E192" i="2"/>
  <c r="H192" i="2"/>
  <c r="E193" i="2"/>
  <c r="H193" i="2"/>
  <c r="E194" i="2"/>
  <c r="H194" i="2"/>
  <c r="E195" i="2"/>
  <c r="H195" i="2"/>
  <c r="E196" i="2"/>
  <c r="H196" i="2"/>
  <c r="E197" i="2"/>
  <c r="H197" i="2"/>
  <c r="E198" i="2"/>
  <c r="H198" i="2"/>
  <c r="E199" i="2"/>
  <c r="H199" i="2"/>
  <c r="E200" i="2"/>
  <c r="H200" i="2"/>
  <c r="E201" i="2"/>
  <c r="H201" i="2"/>
  <c r="E202" i="2"/>
  <c r="H202" i="2"/>
  <c r="E203" i="2"/>
  <c r="H203" i="2"/>
  <c r="E204" i="2"/>
  <c r="H204" i="2"/>
  <c r="E205" i="2"/>
  <c r="H205" i="2"/>
  <c r="E206" i="2"/>
  <c r="H206" i="2"/>
  <c r="E207" i="2"/>
  <c r="H207" i="2"/>
  <c r="E208" i="2"/>
  <c r="H208" i="2"/>
  <c r="E209" i="2"/>
  <c r="H209" i="2"/>
  <c r="E210" i="2"/>
  <c r="H210" i="2"/>
  <c r="E211" i="2"/>
  <c r="H211" i="2"/>
  <c r="E212" i="2"/>
  <c r="H212" i="2"/>
  <c r="E213" i="2"/>
  <c r="H213" i="2"/>
  <c r="E214" i="2"/>
  <c r="H214" i="2"/>
  <c r="E215" i="2"/>
  <c r="H215" i="2"/>
  <c r="E216" i="2"/>
  <c r="H216" i="2"/>
  <c r="E217" i="2"/>
  <c r="H217" i="2"/>
  <c r="E218" i="2"/>
  <c r="H218" i="2"/>
  <c r="E219" i="2"/>
  <c r="H219" i="2"/>
  <c r="E220" i="2"/>
  <c r="H220" i="2"/>
  <c r="E221" i="2"/>
  <c r="H221" i="2"/>
  <c r="E222" i="2"/>
  <c r="H222" i="2"/>
  <c r="E223" i="2"/>
  <c r="H223" i="2"/>
  <c r="E224" i="2"/>
  <c r="H224" i="2"/>
  <c r="E225" i="2"/>
  <c r="H225" i="2"/>
  <c r="E226" i="2"/>
  <c r="H226" i="2"/>
  <c r="E227" i="2"/>
  <c r="H227" i="2"/>
  <c r="E228" i="2"/>
  <c r="H228" i="2"/>
  <c r="E229" i="2"/>
  <c r="H229" i="2"/>
  <c r="E230" i="2"/>
  <c r="H230" i="2"/>
  <c r="E231" i="2"/>
  <c r="H231" i="2"/>
  <c r="E232" i="2"/>
  <c r="H232" i="2"/>
  <c r="E233" i="2"/>
  <c r="H233" i="2"/>
  <c r="E234" i="2"/>
  <c r="H234" i="2"/>
  <c r="E235" i="2"/>
  <c r="H235" i="2"/>
  <c r="E236" i="2"/>
  <c r="H236" i="2"/>
  <c r="E237" i="2"/>
  <c r="H237" i="2"/>
  <c r="E238" i="2"/>
  <c r="H238" i="2"/>
  <c r="E239" i="2"/>
  <c r="H239" i="2"/>
  <c r="E240" i="2"/>
  <c r="H240" i="2"/>
  <c r="E241" i="2"/>
  <c r="H241" i="2"/>
  <c r="E242" i="2"/>
  <c r="H242" i="2"/>
  <c r="E243" i="2"/>
  <c r="H243" i="2"/>
  <c r="E244" i="2"/>
  <c r="H244" i="2"/>
  <c r="E245" i="2"/>
  <c r="H245" i="2"/>
  <c r="E246" i="2"/>
  <c r="H246" i="2"/>
  <c r="E247" i="2"/>
  <c r="H247" i="2"/>
  <c r="E248" i="2"/>
  <c r="H248" i="2"/>
  <c r="E249" i="2"/>
  <c r="H249" i="2"/>
  <c r="E250" i="2"/>
  <c r="H250" i="2"/>
  <c r="E251" i="2"/>
  <c r="H251" i="2"/>
  <c r="E252" i="2"/>
  <c r="H252" i="2"/>
  <c r="E253" i="2"/>
  <c r="H253" i="2"/>
  <c r="E254" i="2"/>
  <c r="H254" i="2"/>
  <c r="E255" i="2"/>
  <c r="H255" i="2"/>
  <c r="E256" i="2"/>
  <c r="H256" i="2"/>
  <c r="E257" i="2"/>
  <c r="H257" i="2"/>
  <c r="E258" i="2"/>
  <c r="H258" i="2"/>
  <c r="E259" i="2"/>
  <c r="H259" i="2"/>
  <c r="E260" i="2"/>
  <c r="H260" i="2"/>
  <c r="E261" i="2"/>
  <c r="H261" i="2"/>
  <c r="E262" i="2"/>
  <c r="H262" i="2"/>
  <c r="E263" i="2"/>
  <c r="H263" i="2"/>
  <c r="E264" i="2"/>
  <c r="H264" i="2"/>
  <c r="E265" i="2"/>
  <c r="H265" i="2"/>
  <c r="E266" i="2"/>
  <c r="H266" i="2"/>
  <c r="E267" i="2"/>
  <c r="H267" i="2"/>
  <c r="E268" i="2"/>
  <c r="H268" i="2"/>
  <c r="E269" i="2"/>
  <c r="H269" i="2"/>
  <c r="E270" i="2"/>
  <c r="H270" i="2"/>
  <c r="E271" i="2"/>
  <c r="H271" i="2"/>
  <c r="E272" i="2"/>
  <c r="H272" i="2"/>
  <c r="E273" i="2"/>
  <c r="H273" i="2"/>
  <c r="E274" i="2"/>
  <c r="H274" i="2"/>
  <c r="E275" i="2"/>
  <c r="H275" i="2"/>
  <c r="E276" i="2"/>
  <c r="H276" i="2"/>
  <c r="E277" i="2"/>
  <c r="H277" i="2"/>
  <c r="E278" i="2"/>
  <c r="H278" i="2"/>
  <c r="E279" i="2"/>
  <c r="H279" i="2"/>
  <c r="E280" i="2"/>
  <c r="H280" i="2"/>
  <c r="E281" i="2"/>
  <c r="H281" i="2"/>
  <c r="E282" i="2"/>
  <c r="H282" i="2"/>
  <c r="E283" i="2"/>
  <c r="H283" i="2"/>
  <c r="E284" i="2"/>
  <c r="H284" i="2"/>
  <c r="E285" i="2"/>
  <c r="H285" i="2"/>
  <c r="E286" i="2"/>
  <c r="H286" i="2"/>
  <c r="E287" i="2"/>
  <c r="H287" i="2"/>
  <c r="E288" i="2"/>
  <c r="H288" i="2"/>
  <c r="H2" i="2"/>
  <c r="E2" i="2"/>
  <c r="D3" i="2" l="1"/>
  <c r="D4" i="2"/>
  <c r="F4" i="2" s="1"/>
  <c r="G4" i="2" s="1"/>
  <c r="D5" i="2"/>
  <c r="F5" i="2" s="1"/>
  <c r="G5" i="2" s="1"/>
  <c r="D6" i="2"/>
  <c r="F6" i="2" s="1"/>
  <c r="G6" i="2" s="1"/>
  <c r="D7" i="2"/>
  <c r="F7" i="2" s="1"/>
  <c r="G7" i="2" s="1"/>
  <c r="D8" i="2"/>
  <c r="F8" i="2" s="1"/>
  <c r="G8" i="2" s="1"/>
  <c r="D9" i="2"/>
  <c r="F9" i="2" s="1"/>
  <c r="G9" i="2" s="1"/>
  <c r="D10" i="2"/>
  <c r="F10" i="2" s="1"/>
  <c r="G10" i="2" s="1"/>
  <c r="D11" i="2"/>
  <c r="F11" i="2" s="1"/>
  <c r="G11" i="2" s="1"/>
  <c r="D12" i="2"/>
  <c r="F12" i="2" s="1"/>
  <c r="G12" i="2" s="1"/>
  <c r="D13" i="2"/>
  <c r="F13" i="2" s="1"/>
  <c r="G13" i="2" s="1"/>
  <c r="D14" i="2"/>
  <c r="F14" i="2" s="1"/>
  <c r="G14" i="2" s="1"/>
  <c r="D15" i="2"/>
  <c r="F15" i="2" s="1"/>
  <c r="G15" i="2" s="1"/>
  <c r="D16" i="2"/>
  <c r="F16" i="2" s="1"/>
  <c r="G16" i="2" s="1"/>
  <c r="D17" i="2"/>
  <c r="F17" i="2" s="1"/>
  <c r="G17" i="2" s="1"/>
  <c r="D18" i="2"/>
  <c r="F18" i="2" s="1"/>
  <c r="G18" i="2" s="1"/>
  <c r="D19" i="2"/>
  <c r="F19" i="2" s="1"/>
  <c r="G19" i="2" s="1"/>
  <c r="D20" i="2"/>
  <c r="F20" i="2" s="1"/>
  <c r="G20" i="2" s="1"/>
  <c r="D21" i="2"/>
  <c r="F21" i="2" s="1"/>
  <c r="G21" i="2" s="1"/>
  <c r="D22" i="2"/>
  <c r="F22" i="2" s="1"/>
  <c r="G22" i="2" s="1"/>
  <c r="D23" i="2"/>
  <c r="F23" i="2" s="1"/>
  <c r="G23" i="2" s="1"/>
  <c r="D24" i="2"/>
  <c r="F24" i="2" s="1"/>
  <c r="G24" i="2" s="1"/>
  <c r="D25" i="2"/>
  <c r="F25" i="2" s="1"/>
  <c r="G25" i="2" s="1"/>
  <c r="D26" i="2"/>
  <c r="F26" i="2" s="1"/>
  <c r="G26" i="2" s="1"/>
  <c r="D27" i="2"/>
  <c r="F27" i="2" s="1"/>
  <c r="G27" i="2" s="1"/>
  <c r="D28" i="2"/>
  <c r="F28" i="2" s="1"/>
  <c r="G28" i="2" s="1"/>
  <c r="D29" i="2"/>
  <c r="F29" i="2" s="1"/>
  <c r="G29" i="2" s="1"/>
  <c r="D30" i="2"/>
  <c r="F30" i="2" s="1"/>
  <c r="G30" i="2" s="1"/>
  <c r="D31" i="2"/>
  <c r="F31" i="2" s="1"/>
  <c r="G31" i="2" s="1"/>
  <c r="D32" i="2"/>
  <c r="F32" i="2" s="1"/>
  <c r="G32" i="2" s="1"/>
  <c r="D33" i="2"/>
  <c r="F33" i="2" s="1"/>
  <c r="G33" i="2" s="1"/>
  <c r="D34" i="2"/>
  <c r="F34" i="2" s="1"/>
  <c r="G34" i="2" s="1"/>
  <c r="D35" i="2"/>
  <c r="F35" i="2" s="1"/>
  <c r="G35" i="2" s="1"/>
  <c r="D36" i="2"/>
  <c r="F36" i="2" s="1"/>
  <c r="G36" i="2" s="1"/>
  <c r="D37" i="2"/>
  <c r="F37" i="2" s="1"/>
  <c r="G37" i="2" s="1"/>
  <c r="D38" i="2"/>
  <c r="F38" i="2" s="1"/>
  <c r="G38" i="2" s="1"/>
  <c r="D39" i="2"/>
  <c r="F39" i="2" s="1"/>
  <c r="G39" i="2" s="1"/>
  <c r="D40" i="2"/>
  <c r="F40" i="2" s="1"/>
  <c r="G40" i="2" s="1"/>
  <c r="D41" i="2"/>
  <c r="F41" i="2" s="1"/>
  <c r="G41" i="2" s="1"/>
  <c r="D42" i="2"/>
  <c r="F42" i="2" s="1"/>
  <c r="G42" i="2" s="1"/>
  <c r="D43" i="2"/>
  <c r="F43" i="2" s="1"/>
  <c r="G43" i="2" s="1"/>
  <c r="D44" i="2"/>
  <c r="F44" i="2" s="1"/>
  <c r="G44" i="2" s="1"/>
  <c r="D45" i="2"/>
  <c r="F45" i="2" s="1"/>
  <c r="G45" i="2" s="1"/>
  <c r="D46" i="2"/>
  <c r="F46" i="2" s="1"/>
  <c r="G46" i="2" s="1"/>
  <c r="D47" i="2"/>
  <c r="F47" i="2" s="1"/>
  <c r="G47" i="2" s="1"/>
  <c r="D48" i="2"/>
  <c r="F48" i="2" s="1"/>
  <c r="G48" i="2" s="1"/>
  <c r="D49" i="2"/>
  <c r="F49" i="2" s="1"/>
  <c r="G49" i="2" s="1"/>
  <c r="D50" i="2"/>
  <c r="F50" i="2" s="1"/>
  <c r="G50" i="2" s="1"/>
  <c r="D51" i="2"/>
  <c r="F51" i="2" s="1"/>
  <c r="G51" i="2" s="1"/>
  <c r="D52" i="2"/>
  <c r="F52" i="2" s="1"/>
  <c r="G52" i="2" s="1"/>
  <c r="D53" i="2"/>
  <c r="F53" i="2" s="1"/>
  <c r="G53" i="2" s="1"/>
  <c r="D54" i="2"/>
  <c r="F54" i="2" s="1"/>
  <c r="G54" i="2" s="1"/>
  <c r="D55" i="2"/>
  <c r="F55" i="2" s="1"/>
  <c r="G55" i="2" s="1"/>
  <c r="D56" i="2"/>
  <c r="F56" i="2" s="1"/>
  <c r="G56" i="2" s="1"/>
  <c r="D57" i="2"/>
  <c r="F57" i="2" s="1"/>
  <c r="G57" i="2" s="1"/>
  <c r="D58" i="2"/>
  <c r="F58" i="2" s="1"/>
  <c r="G58" i="2" s="1"/>
  <c r="D59" i="2"/>
  <c r="F59" i="2" s="1"/>
  <c r="G59" i="2" s="1"/>
  <c r="D60" i="2"/>
  <c r="F60" i="2" s="1"/>
  <c r="G60" i="2" s="1"/>
  <c r="D61" i="2"/>
  <c r="F61" i="2" s="1"/>
  <c r="G61" i="2" s="1"/>
  <c r="D62" i="2"/>
  <c r="F62" i="2" s="1"/>
  <c r="G62" i="2" s="1"/>
  <c r="D63" i="2"/>
  <c r="F63" i="2" s="1"/>
  <c r="G63" i="2" s="1"/>
  <c r="D64" i="2"/>
  <c r="F64" i="2" s="1"/>
  <c r="G64" i="2" s="1"/>
  <c r="D65" i="2"/>
  <c r="F65" i="2" s="1"/>
  <c r="G65" i="2" s="1"/>
  <c r="D66" i="2"/>
  <c r="F66" i="2" s="1"/>
  <c r="G66" i="2" s="1"/>
  <c r="D67" i="2"/>
  <c r="F67" i="2" s="1"/>
  <c r="G67" i="2" s="1"/>
  <c r="D68" i="2"/>
  <c r="F68" i="2" s="1"/>
  <c r="G68" i="2" s="1"/>
  <c r="D69" i="2"/>
  <c r="F69" i="2" s="1"/>
  <c r="G69" i="2" s="1"/>
  <c r="D70" i="2"/>
  <c r="F70" i="2" s="1"/>
  <c r="G70" i="2" s="1"/>
  <c r="D71" i="2"/>
  <c r="F71" i="2" s="1"/>
  <c r="G71" i="2" s="1"/>
  <c r="D72" i="2"/>
  <c r="F72" i="2" s="1"/>
  <c r="G72" i="2" s="1"/>
  <c r="D73" i="2"/>
  <c r="F73" i="2" s="1"/>
  <c r="G73" i="2" s="1"/>
  <c r="D74" i="2"/>
  <c r="F74" i="2" s="1"/>
  <c r="G74" i="2" s="1"/>
  <c r="D75" i="2"/>
  <c r="F75" i="2" s="1"/>
  <c r="G75" i="2" s="1"/>
  <c r="D76" i="2"/>
  <c r="F76" i="2" s="1"/>
  <c r="G76" i="2" s="1"/>
  <c r="D77" i="2"/>
  <c r="F77" i="2" s="1"/>
  <c r="G77" i="2" s="1"/>
  <c r="D78" i="2"/>
  <c r="F78" i="2" s="1"/>
  <c r="G78" i="2" s="1"/>
  <c r="D79" i="2"/>
  <c r="F79" i="2" s="1"/>
  <c r="G79" i="2" s="1"/>
  <c r="D80" i="2"/>
  <c r="F80" i="2" s="1"/>
  <c r="G80" i="2" s="1"/>
  <c r="D81" i="2"/>
  <c r="F81" i="2" s="1"/>
  <c r="G81" i="2" s="1"/>
  <c r="D82" i="2"/>
  <c r="F82" i="2" s="1"/>
  <c r="G82" i="2" s="1"/>
  <c r="D83" i="2"/>
  <c r="F83" i="2" s="1"/>
  <c r="G83" i="2" s="1"/>
  <c r="D84" i="2"/>
  <c r="F84" i="2" s="1"/>
  <c r="G84" i="2" s="1"/>
  <c r="D85" i="2"/>
  <c r="F85" i="2" s="1"/>
  <c r="G85" i="2" s="1"/>
  <c r="D86" i="2"/>
  <c r="F86" i="2" s="1"/>
  <c r="G86" i="2" s="1"/>
  <c r="D87" i="2"/>
  <c r="F87" i="2" s="1"/>
  <c r="G87" i="2" s="1"/>
  <c r="D88" i="2"/>
  <c r="F88" i="2" s="1"/>
  <c r="G88" i="2" s="1"/>
  <c r="D89" i="2"/>
  <c r="F89" i="2" s="1"/>
  <c r="G89" i="2" s="1"/>
  <c r="D90" i="2"/>
  <c r="F90" i="2" s="1"/>
  <c r="G90" i="2" s="1"/>
  <c r="D91" i="2"/>
  <c r="F91" i="2" s="1"/>
  <c r="G91" i="2" s="1"/>
  <c r="D92" i="2"/>
  <c r="F92" i="2" s="1"/>
  <c r="G92" i="2" s="1"/>
  <c r="D93" i="2"/>
  <c r="F93" i="2" s="1"/>
  <c r="G93" i="2" s="1"/>
  <c r="D94" i="2"/>
  <c r="F94" i="2" s="1"/>
  <c r="G94" i="2" s="1"/>
  <c r="D95" i="2"/>
  <c r="F95" i="2" s="1"/>
  <c r="G95" i="2" s="1"/>
  <c r="D96" i="2"/>
  <c r="F96" i="2" s="1"/>
  <c r="G96" i="2" s="1"/>
  <c r="D97" i="2"/>
  <c r="F97" i="2" s="1"/>
  <c r="G97" i="2" s="1"/>
  <c r="D98" i="2"/>
  <c r="F98" i="2" s="1"/>
  <c r="G98" i="2" s="1"/>
  <c r="D99" i="2"/>
  <c r="F99" i="2" s="1"/>
  <c r="G99" i="2" s="1"/>
  <c r="D100" i="2"/>
  <c r="F100" i="2" s="1"/>
  <c r="G100" i="2" s="1"/>
  <c r="D101" i="2"/>
  <c r="F101" i="2" s="1"/>
  <c r="G101" i="2" s="1"/>
  <c r="D102" i="2"/>
  <c r="F102" i="2" s="1"/>
  <c r="G102" i="2" s="1"/>
  <c r="D103" i="2"/>
  <c r="D104" i="2"/>
  <c r="F104" i="2" s="1"/>
  <c r="G104" i="2" s="1"/>
  <c r="D105" i="2"/>
  <c r="F105" i="2" s="1"/>
  <c r="G105" i="2" s="1"/>
  <c r="D106" i="2"/>
  <c r="F106" i="2" s="1"/>
  <c r="G106" i="2" s="1"/>
  <c r="D107" i="2"/>
  <c r="F107" i="2" s="1"/>
  <c r="G107" i="2" s="1"/>
  <c r="D108" i="2"/>
  <c r="F108" i="2" s="1"/>
  <c r="G108" i="2" s="1"/>
  <c r="D109" i="2"/>
  <c r="F109" i="2" s="1"/>
  <c r="D110" i="2"/>
  <c r="F110" i="2" s="1"/>
  <c r="G110" i="2" s="1"/>
  <c r="D111" i="2"/>
  <c r="F111" i="2" s="1"/>
  <c r="G111" i="2" s="1"/>
  <c r="D112" i="2"/>
  <c r="F112" i="2" s="1"/>
  <c r="G112" i="2" s="1"/>
  <c r="D113" i="2"/>
  <c r="F113" i="2" s="1"/>
  <c r="G113" i="2" s="1"/>
  <c r="D114" i="2"/>
  <c r="F114" i="2" s="1"/>
  <c r="G114" i="2" s="1"/>
  <c r="D115" i="2"/>
  <c r="D116" i="2"/>
  <c r="F116" i="2" s="1"/>
  <c r="G116" i="2" s="1"/>
  <c r="D117" i="2"/>
  <c r="F117" i="2" s="1"/>
  <c r="G117" i="2" s="1"/>
  <c r="D118" i="2"/>
  <c r="F118" i="2" s="1"/>
  <c r="G118" i="2" s="1"/>
  <c r="D119" i="2"/>
  <c r="F119" i="2" s="1"/>
  <c r="G119" i="2" s="1"/>
  <c r="D120" i="2"/>
  <c r="F120" i="2" s="1"/>
  <c r="G120" i="2" s="1"/>
  <c r="D121" i="2"/>
  <c r="F121" i="2" s="1"/>
  <c r="D122" i="2"/>
  <c r="F122" i="2" s="1"/>
  <c r="G122" i="2" s="1"/>
  <c r="D123" i="2"/>
  <c r="F123" i="2" s="1"/>
  <c r="G123" i="2" s="1"/>
  <c r="D124" i="2"/>
  <c r="F124" i="2" s="1"/>
  <c r="G124" i="2" s="1"/>
  <c r="D125" i="2"/>
  <c r="F125" i="2" s="1"/>
  <c r="G125" i="2" s="1"/>
  <c r="D126" i="2"/>
  <c r="F126" i="2" s="1"/>
  <c r="G126" i="2" s="1"/>
  <c r="D127" i="2"/>
  <c r="D128" i="2"/>
  <c r="F128" i="2" s="1"/>
  <c r="G128" i="2" s="1"/>
  <c r="D129" i="2"/>
  <c r="F129" i="2" s="1"/>
  <c r="G129" i="2" s="1"/>
  <c r="D130" i="2"/>
  <c r="F130" i="2" s="1"/>
  <c r="G130" i="2" s="1"/>
  <c r="D131" i="2"/>
  <c r="F131" i="2" s="1"/>
  <c r="G131" i="2" s="1"/>
  <c r="D132" i="2"/>
  <c r="F132" i="2" s="1"/>
  <c r="G132" i="2" s="1"/>
  <c r="D133" i="2"/>
  <c r="F133" i="2" s="1"/>
  <c r="D134" i="2"/>
  <c r="F134" i="2" s="1"/>
  <c r="G134" i="2" s="1"/>
  <c r="D135" i="2"/>
  <c r="F135" i="2" s="1"/>
  <c r="G135" i="2" s="1"/>
  <c r="D136" i="2"/>
  <c r="F136" i="2" s="1"/>
  <c r="G136" i="2" s="1"/>
  <c r="D137" i="2"/>
  <c r="F137" i="2" s="1"/>
  <c r="G137" i="2" s="1"/>
  <c r="D138" i="2"/>
  <c r="F138" i="2" s="1"/>
  <c r="G138" i="2" s="1"/>
  <c r="D139" i="2"/>
  <c r="D140" i="2"/>
  <c r="F140" i="2" s="1"/>
  <c r="G140" i="2" s="1"/>
  <c r="D141" i="2"/>
  <c r="F141" i="2" s="1"/>
  <c r="G141" i="2" s="1"/>
  <c r="D142" i="2"/>
  <c r="F142" i="2" s="1"/>
  <c r="G142" i="2" s="1"/>
  <c r="D143" i="2"/>
  <c r="F143" i="2" s="1"/>
  <c r="G143" i="2" s="1"/>
  <c r="D144" i="2"/>
  <c r="F144" i="2" s="1"/>
  <c r="G144" i="2" s="1"/>
  <c r="D145" i="2"/>
  <c r="F145" i="2" s="1"/>
  <c r="D146" i="2"/>
  <c r="F146" i="2" s="1"/>
  <c r="G146" i="2" s="1"/>
  <c r="D147" i="2"/>
  <c r="F147" i="2" s="1"/>
  <c r="G147" i="2" s="1"/>
  <c r="D148" i="2"/>
  <c r="F148" i="2" s="1"/>
  <c r="G148" i="2" s="1"/>
  <c r="D149" i="2"/>
  <c r="F149" i="2" s="1"/>
  <c r="G149" i="2" s="1"/>
  <c r="D150" i="2"/>
  <c r="F150" i="2" s="1"/>
  <c r="G150" i="2" s="1"/>
  <c r="D151" i="2"/>
  <c r="F151" i="2" s="1"/>
  <c r="D152" i="2"/>
  <c r="F152" i="2" s="1"/>
  <c r="G152" i="2" s="1"/>
  <c r="D153" i="2"/>
  <c r="F153" i="2" s="1"/>
  <c r="G153" i="2" s="1"/>
  <c r="D154" i="2"/>
  <c r="F154" i="2" s="1"/>
  <c r="G154" i="2" s="1"/>
  <c r="D155" i="2"/>
  <c r="F155" i="2" s="1"/>
  <c r="G155" i="2" s="1"/>
  <c r="D156" i="2"/>
  <c r="F156" i="2" s="1"/>
  <c r="G156" i="2" s="1"/>
  <c r="D157" i="2"/>
  <c r="F157" i="2" s="1"/>
  <c r="D158" i="2"/>
  <c r="F158" i="2" s="1"/>
  <c r="G158" i="2" s="1"/>
  <c r="D159" i="2"/>
  <c r="F159" i="2" s="1"/>
  <c r="G159" i="2" s="1"/>
  <c r="D160" i="2"/>
  <c r="F160" i="2" s="1"/>
  <c r="G160" i="2" s="1"/>
  <c r="D161" i="2"/>
  <c r="F161" i="2" s="1"/>
  <c r="G161" i="2" s="1"/>
  <c r="D162" i="2"/>
  <c r="F162" i="2" s="1"/>
  <c r="G162" i="2" s="1"/>
  <c r="D163" i="2"/>
  <c r="D164" i="2"/>
  <c r="F164" i="2" s="1"/>
  <c r="G164" i="2" s="1"/>
  <c r="D165" i="2"/>
  <c r="F165" i="2" s="1"/>
  <c r="G165" i="2" s="1"/>
  <c r="D166" i="2"/>
  <c r="F166" i="2" s="1"/>
  <c r="G166" i="2" s="1"/>
  <c r="D167" i="2"/>
  <c r="F167" i="2" s="1"/>
  <c r="G167" i="2" s="1"/>
  <c r="D168" i="2"/>
  <c r="F168" i="2" s="1"/>
  <c r="G168" i="2" s="1"/>
  <c r="D169" i="2"/>
  <c r="F169" i="2" s="1"/>
  <c r="D170" i="2"/>
  <c r="F170" i="2" s="1"/>
  <c r="G170" i="2" s="1"/>
  <c r="D171" i="2"/>
  <c r="F171" i="2" s="1"/>
  <c r="G171" i="2" s="1"/>
  <c r="D172" i="2"/>
  <c r="F172" i="2" s="1"/>
  <c r="G172" i="2" s="1"/>
  <c r="D173" i="2"/>
  <c r="F173" i="2" s="1"/>
  <c r="G173" i="2" s="1"/>
  <c r="D174" i="2"/>
  <c r="F174" i="2" s="1"/>
  <c r="G174" i="2" s="1"/>
  <c r="D175" i="2"/>
  <c r="F175" i="2" s="1"/>
  <c r="D176" i="2"/>
  <c r="F176" i="2" s="1"/>
  <c r="G176" i="2" s="1"/>
  <c r="D177" i="2"/>
  <c r="F177" i="2" s="1"/>
  <c r="G177" i="2" s="1"/>
  <c r="D178" i="2"/>
  <c r="F178" i="2" s="1"/>
  <c r="G178" i="2" s="1"/>
  <c r="D179" i="2"/>
  <c r="F179" i="2" s="1"/>
  <c r="G179" i="2" s="1"/>
  <c r="D180" i="2"/>
  <c r="F180" i="2" s="1"/>
  <c r="G180" i="2" s="1"/>
  <c r="D181" i="2"/>
  <c r="F181" i="2" s="1"/>
  <c r="D182" i="2"/>
  <c r="F182" i="2" s="1"/>
  <c r="G182" i="2" s="1"/>
  <c r="D183" i="2"/>
  <c r="F183" i="2" s="1"/>
  <c r="G183" i="2" s="1"/>
  <c r="D184" i="2"/>
  <c r="F184" i="2" s="1"/>
  <c r="G184" i="2" s="1"/>
  <c r="D185" i="2"/>
  <c r="F185" i="2" s="1"/>
  <c r="G185" i="2" s="1"/>
  <c r="D186" i="2"/>
  <c r="F186" i="2" s="1"/>
  <c r="G186" i="2" s="1"/>
  <c r="D187" i="2"/>
  <c r="D188" i="2"/>
  <c r="F188" i="2" s="1"/>
  <c r="G188" i="2" s="1"/>
  <c r="D189" i="2"/>
  <c r="F189" i="2" s="1"/>
  <c r="G189" i="2" s="1"/>
  <c r="D190" i="2"/>
  <c r="F190" i="2" s="1"/>
  <c r="G190" i="2" s="1"/>
  <c r="D191" i="2"/>
  <c r="F191" i="2" s="1"/>
  <c r="G191" i="2" s="1"/>
  <c r="D192" i="2"/>
  <c r="F192" i="2" s="1"/>
  <c r="G192" i="2" s="1"/>
  <c r="D193" i="2"/>
  <c r="F193" i="2" s="1"/>
  <c r="D194" i="2"/>
  <c r="F194" i="2" s="1"/>
  <c r="G194" i="2" s="1"/>
  <c r="D195" i="2"/>
  <c r="F195" i="2" s="1"/>
  <c r="G195" i="2" s="1"/>
  <c r="D196" i="2"/>
  <c r="F196" i="2" s="1"/>
  <c r="G196" i="2" s="1"/>
  <c r="D197" i="2"/>
  <c r="F197" i="2" s="1"/>
  <c r="G197" i="2" s="1"/>
  <c r="D198" i="2"/>
  <c r="F198" i="2" s="1"/>
  <c r="G198" i="2" s="1"/>
  <c r="D199" i="2"/>
  <c r="D200" i="2"/>
  <c r="F200" i="2" s="1"/>
  <c r="G200" i="2" s="1"/>
  <c r="D201" i="2"/>
  <c r="F201" i="2" s="1"/>
  <c r="G201" i="2" s="1"/>
  <c r="D202" i="2"/>
  <c r="F202" i="2" s="1"/>
  <c r="G202" i="2" s="1"/>
  <c r="D203" i="2"/>
  <c r="F203" i="2" s="1"/>
  <c r="G203" i="2" s="1"/>
  <c r="D204" i="2"/>
  <c r="F204" i="2" s="1"/>
  <c r="G204" i="2" s="1"/>
  <c r="D205" i="2"/>
  <c r="F205" i="2" s="1"/>
  <c r="D206" i="2"/>
  <c r="F206" i="2" s="1"/>
  <c r="G206" i="2" s="1"/>
  <c r="D207" i="2"/>
  <c r="F207" i="2" s="1"/>
  <c r="G207" i="2" s="1"/>
  <c r="D208" i="2"/>
  <c r="F208" i="2" s="1"/>
  <c r="G208" i="2" s="1"/>
  <c r="D209" i="2"/>
  <c r="F209" i="2" s="1"/>
  <c r="G209" i="2" s="1"/>
  <c r="D210" i="2"/>
  <c r="F210" i="2" s="1"/>
  <c r="G210" i="2" s="1"/>
  <c r="D211" i="2"/>
  <c r="D212" i="2"/>
  <c r="F212" i="2" s="1"/>
  <c r="G212" i="2" s="1"/>
  <c r="D213" i="2"/>
  <c r="F213" i="2" s="1"/>
  <c r="G213" i="2" s="1"/>
  <c r="D214" i="2"/>
  <c r="F214" i="2" s="1"/>
  <c r="G214" i="2" s="1"/>
  <c r="D215" i="2"/>
  <c r="F215" i="2" s="1"/>
  <c r="G215" i="2" s="1"/>
  <c r="D216" i="2"/>
  <c r="F216" i="2" s="1"/>
  <c r="G216" i="2" s="1"/>
  <c r="D217" i="2"/>
  <c r="F217" i="2" s="1"/>
  <c r="D218" i="2"/>
  <c r="F218" i="2" s="1"/>
  <c r="G218" i="2" s="1"/>
  <c r="D219" i="2"/>
  <c r="F219" i="2" s="1"/>
  <c r="G219" i="2" s="1"/>
  <c r="D220" i="2"/>
  <c r="F220" i="2" s="1"/>
  <c r="G220" i="2" s="1"/>
  <c r="D221" i="2"/>
  <c r="F221" i="2" s="1"/>
  <c r="G221" i="2" s="1"/>
  <c r="D222" i="2"/>
  <c r="F222" i="2" s="1"/>
  <c r="G222" i="2" s="1"/>
  <c r="D223" i="2"/>
  <c r="D224" i="2"/>
  <c r="D225" i="2"/>
  <c r="F225" i="2" s="1"/>
  <c r="G225" i="2" s="1"/>
  <c r="D226" i="2"/>
  <c r="F226" i="2" s="1"/>
  <c r="G226" i="2" s="1"/>
  <c r="D227" i="2"/>
  <c r="F227" i="2" s="1"/>
  <c r="D228" i="2"/>
  <c r="F228" i="2" s="1"/>
  <c r="G228" i="2" s="1"/>
  <c r="D229" i="2"/>
  <c r="F229" i="2" s="1"/>
  <c r="D230" i="2"/>
  <c r="F230" i="2" s="1"/>
  <c r="G230" i="2" s="1"/>
  <c r="D231" i="2"/>
  <c r="F231" i="2" s="1"/>
  <c r="G231" i="2" s="1"/>
  <c r="D232" i="2"/>
  <c r="F232" i="2" s="1"/>
  <c r="G232" i="2" s="1"/>
  <c r="D233" i="2"/>
  <c r="F233" i="2" s="1"/>
  <c r="G233" i="2" s="1"/>
  <c r="D234" i="2"/>
  <c r="F234" i="2" s="1"/>
  <c r="G234" i="2" s="1"/>
  <c r="D235" i="2"/>
  <c r="F235" i="2" s="1"/>
  <c r="D236" i="2"/>
  <c r="F236" i="2" s="1"/>
  <c r="G236" i="2" s="1"/>
  <c r="D237" i="2"/>
  <c r="D238" i="2"/>
  <c r="F238" i="2" s="1"/>
  <c r="G238" i="2" s="1"/>
  <c r="D239" i="2"/>
  <c r="F239" i="2" s="1"/>
  <c r="G239" i="2" s="1"/>
  <c r="D240" i="2"/>
  <c r="D241" i="2"/>
  <c r="F241" i="2" s="1"/>
  <c r="D242" i="2"/>
  <c r="F242" i="2" s="1"/>
  <c r="G242" i="2" s="1"/>
  <c r="D243" i="2"/>
  <c r="F243" i="2" s="1"/>
  <c r="G243" i="2" s="1"/>
  <c r="D244" i="2"/>
  <c r="F244" i="2" s="1"/>
  <c r="G244" i="2" s="1"/>
  <c r="D245" i="2"/>
  <c r="F245" i="2" s="1"/>
  <c r="G245" i="2" s="1"/>
  <c r="D246" i="2"/>
  <c r="F246" i="2" s="1"/>
  <c r="G246" i="2" s="1"/>
  <c r="D247" i="2"/>
  <c r="D248" i="2"/>
  <c r="F248" i="2" s="1"/>
  <c r="G248" i="2" s="1"/>
  <c r="D249" i="2"/>
  <c r="F249" i="2" s="1"/>
  <c r="G249" i="2" s="1"/>
  <c r="D250" i="2"/>
  <c r="D251" i="2"/>
  <c r="F251" i="2" s="1"/>
  <c r="G251" i="2" s="1"/>
  <c r="D252" i="2"/>
  <c r="F252" i="2" s="1"/>
  <c r="G252" i="2" s="1"/>
  <c r="D253" i="2"/>
  <c r="D254" i="2"/>
  <c r="F254" i="2" s="1"/>
  <c r="G254" i="2" s="1"/>
  <c r="D255" i="2"/>
  <c r="F255" i="2" s="1"/>
  <c r="G255" i="2" s="1"/>
  <c r="D256" i="2"/>
  <c r="F256" i="2" s="1"/>
  <c r="G256" i="2" s="1"/>
  <c r="D257" i="2"/>
  <c r="F257" i="2" s="1"/>
  <c r="G257" i="2" s="1"/>
  <c r="D258" i="2"/>
  <c r="F258" i="2" s="1"/>
  <c r="G258" i="2" s="1"/>
  <c r="D259" i="2"/>
  <c r="F259" i="2" s="1"/>
  <c r="G259" i="2" s="1"/>
  <c r="D260" i="2"/>
  <c r="F260" i="2" s="1"/>
  <c r="G260" i="2" s="1"/>
  <c r="D261" i="2"/>
  <c r="F261" i="2" s="1"/>
  <c r="G261" i="2" s="1"/>
  <c r="D262" i="2"/>
  <c r="F262" i="2" s="1"/>
  <c r="G262" i="2" s="1"/>
  <c r="D263" i="2"/>
  <c r="F263" i="2" s="1"/>
  <c r="G263" i="2" s="1"/>
  <c r="D264" i="2"/>
  <c r="F264" i="2" s="1"/>
  <c r="G264" i="2" s="1"/>
  <c r="D265" i="2"/>
  <c r="F265" i="2" s="1"/>
  <c r="G265" i="2" s="1"/>
  <c r="D266" i="2"/>
  <c r="F266" i="2" s="1"/>
  <c r="G266" i="2" s="1"/>
  <c r="D267" i="2"/>
  <c r="F267" i="2" s="1"/>
  <c r="G267" i="2" s="1"/>
  <c r="D268" i="2"/>
  <c r="F268" i="2" s="1"/>
  <c r="G268" i="2" s="1"/>
  <c r="D269" i="2"/>
  <c r="F269" i="2" s="1"/>
  <c r="G269" i="2" s="1"/>
  <c r="D270" i="2"/>
  <c r="F270" i="2" s="1"/>
  <c r="G270" i="2" s="1"/>
  <c r="D271" i="2"/>
  <c r="F271" i="2" s="1"/>
  <c r="G271" i="2" s="1"/>
  <c r="D272" i="2"/>
  <c r="F272" i="2" s="1"/>
  <c r="G272" i="2" s="1"/>
  <c r="D273" i="2"/>
  <c r="F273" i="2" s="1"/>
  <c r="G273" i="2" s="1"/>
  <c r="D274" i="2"/>
  <c r="F274" i="2" s="1"/>
  <c r="G274" i="2" s="1"/>
  <c r="D275" i="2"/>
  <c r="F275" i="2" s="1"/>
  <c r="G275" i="2" s="1"/>
  <c r="D276" i="2"/>
  <c r="F276" i="2" s="1"/>
  <c r="G276" i="2" s="1"/>
  <c r="D277" i="2"/>
  <c r="F277" i="2" s="1"/>
  <c r="G277" i="2" s="1"/>
  <c r="D278" i="2"/>
  <c r="F278" i="2" s="1"/>
  <c r="G278" i="2" s="1"/>
  <c r="D279" i="2"/>
  <c r="F279" i="2" s="1"/>
  <c r="G279" i="2" s="1"/>
  <c r="D280" i="2"/>
  <c r="F280" i="2" s="1"/>
  <c r="G280" i="2" s="1"/>
  <c r="D281" i="2"/>
  <c r="F281" i="2" s="1"/>
  <c r="G281" i="2" s="1"/>
  <c r="D282" i="2"/>
  <c r="F282" i="2" s="1"/>
  <c r="G282" i="2" s="1"/>
  <c r="D283" i="2"/>
  <c r="F283" i="2" s="1"/>
  <c r="G283" i="2" s="1"/>
  <c r="D284" i="2"/>
  <c r="F284" i="2" s="1"/>
  <c r="G284" i="2" s="1"/>
  <c r="D285" i="2"/>
  <c r="F285" i="2" s="1"/>
  <c r="G285" i="2" s="1"/>
  <c r="D286" i="2"/>
  <c r="F286" i="2" s="1"/>
  <c r="G286" i="2" s="1"/>
  <c r="D287" i="2"/>
  <c r="F287" i="2" s="1"/>
  <c r="G287" i="2" s="1"/>
  <c r="D288" i="2"/>
  <c r="F288" i="2" s="1"/>
  <c r="G288" i="2" s="1"/>
  <c r="D2" i="2"/>
  <c r="F3" i="2" l="1"/>
  <c r="G3" i="2" s="1"/>
  <c r="F250" i="2"/>
  <c r="G250" i="2" s="1"/>
  <c r="F237" i="2"/>
  <c r="G237" i="2" s="1"/>
  <c r="G227" i="2"/>
  <c r="G235" i="2"/>
  <c r="G175" i="2"/>
  <c r="G151" i="2"/>
  <c r="F253" i="2"/>
  <c r="G253" i="2" s="1"/>
  <c r="F115" i="2"/>
  <c r="G115" i="2" s="1"/>
  <c r="F103" i="2"/>
  <c r="G103" i="2" s="1"/>
  <c r="F240" i="2"/>
  <c r="G240" i="2" s="1"/>
  <c r="F199" i="2"/>
  <c r="G199" i="2" s="1"/>
  <c r="F139" i="2"/>
  <c r="G139" i="2" s="1"/>
  <c r="F223" i="2"/>
  <c r="G223" i="2" s="1"/>
  <c r="F127" i="2"/>
  <c r="G127" i="2" s="1"/>
  <c r="F247" i="2"/>
  <c r="G247" i="2" s="1"/>
  <c r="F163" i="2"/>
  <c r="G163" i="2" s="1"/>
  <c r="F187" i="2"/>
  <c r="G187" i="2" s="1"/>
  <c r="F211" i="2"/>
  <c r="G211" i="2" s="1"/>
  <c r="F224" i="2"/>
  <c r="G224" i="2" s="1"/>
  <c r="G241" i="2"/>
  <c r="G217" i="2"/>
  <c r="G193" i="2"/>
  <c r="G181" i="2"/>
  <c r="G169" i="2"/>
  <c r="G157" i="2"/>
  <c r="G145" i="2"/>
  <c r="G133" i="2"/>
  <c r="G121" i="2"/>
  <c r="G109" i="2"/>
  <c r="G229" i="2"/>
  <c r="G205" i="2"/>
  <c r="F2" i="2"/>
  <c r="G2" i="2" s="1"/>
</calcChain>
</file>

<file path=xl/sharedStrings.xml><?xml version="1.0" encoding="utf-8"?>
<sst xmlns="http://schemas.openxmlformats.org/spreadsheetml/2006/main" count="17734" uniqueCount="6253">
  <si>
    <t>ลำดับ</t>
  </si>
  <si>
    <t>รหัส</t>
  </si>
  <si>
    <t>ชื่อภาษาไทย</t>
  </si>
  <si>
    <t>นามสกุลภาษาไทย</t>
  </si>
  <si>
    <t>โรงงาน</t>
  </si>
  <si>
    <t>5A0101</t>
  </si>
  <si>
    <t>เกรียงไกร</t>
  </si>
  <si>
    <t>บุญมา</t>
  </si>
  <si>
    <t>5A0102</t>
  </si>
  <si>
    <t>ระวี</t>
  </si>
  <si>
    <t>โชติพินิจ</t>
  </si>
  <si>
    <t>5A0103</t>
  </si>
  <si>
    <t>เผด็จ</t>
  </si>
  <si>
    <t>พาที</t>
  </si>
  <si>
    <t>5A0104</t>
  </si>
  <si>
    <t>อุราญ</t>
  </si>
  <si>
    <t>จันทร์ละคร</t>
  </si>
  <si>
    <t>5A0105</t>
  </si>
  <si>
    <t>สมศักดิ์</t>
  </si>
  <si>
    <t>สุเทพ</t>
  </si>
  <si>
    <t>5T0001</t>
  </si>
  <si>
    <t>วีรพันธ์</t>
  </si>
  <si>
    <t>พิกขุนทด</t>
  </si>
  <si>
    <t>หจก.สยาม เค กรุ๊ป</t>
  </si>
  <si>
    <t>5T0004</t>
  </si>
  <si>
    <t>อานนท์</t>
  </si>
  <si>
    <t>คำเมือง</t>
  </si>
  <si>
    <t>5T0005</t>
  </si>
  <si>
    <t>ภริทัต</t>
  </si>
  <si>
    <t>ขอนสัก</t>
  </si>
  <si>
    <t>พรชัย</t>
  </si>
  <si>
    <t>อริยภูมิสวรรค์</t>
  </si>
  <si>
    <t>7I0001</t>
  </si>
  <si>
    <t>นายสมควร</t>
  </si>
  <si>
    <t>ปะริกาถานัง</t>
  </si>
  <si>
    <t>7I0002</t>
  </si>
  <si>
    <t>นายพินิจ</t>
  </si>
  <si>
    <t>วิมลสัย</t>
  </si>
  <si>
    <t>7I0003</t>
  </si>
  <si>
    <t>นายสมชาย</t>
  </si>
  <si>
    <t>เทียบพิมพ์</t>
  </si>
  <si>
    <t>7I0004</t>
  </si>
  <si>
    <t>นายบุญเรือง</t>
  </si>
  <si>
    <t>ฝ่ายพลแสน</t>
  </si>
  <si>
    <t>7I0006</t>
  </si>
  <si>
    <t>นายประมวล</t>
  </si>
  <si>
    <t>อำภาผล</t>
  </si>
  <si>
    <t>7I0007</t>
  </si>
  <si>
    <t>นายอำนวย</t>
  </si>
  <si>
    <t>ปะทุมโช</t>
  </si>
  <si>
    <t>7I0009</t>
  </si>
  <si>
    <t>นายถนอม</t>
  </si>
  <si>
    <t>ปิดตาละโพธิ์</t>
  </si>
  <si>
    <t>7I0010</t>
  </si>
  <si>
    <t>นายธวัช</t>
  </si>
  <si>
    <t>สมลักษณ์</t>
  </si>
  <si>
    <t>7J0001</t>
  </si>
  <si>
    <t>นายอั๋น</t>
  </si>
  <si>
    <t>แก้วศิริ</t>
  </si>
  <si>
    <t>7J0002</t>
  </si>
  <si>
    <t>7J0004</t>
  </si>
  <si>
    <t>นายสุบรรณ</t>
  </si>
  <si>
    <t>เลิศศิริ</t>
  </si>
  <si>
    <t>7J0005</t>
  </si>
  <si>
    <t>นายขูลู</t>
  </si>
  <si>
    <t>ประยูรคำ</t>
  </si>
  <si>
    <t>นายณรงค์</t>
  </si>
  <si>
    <t>นายเกรียงไกร</t>
  </si>
  <si>
    <t>7J0013</t>
  </si>
  <si>
    <t>ฤทธิ์ประดิษฐ์</t>
  </si>
  <si>
    <t>7J0016</t>
  </si>
  <si>
    <t>ปลูกไธงสง</t>
  </si>
  <si>
    <t>7J0018</t>
  </si>
  <si>
    <t>ดาวเรือง</t>
  </si>
  <si>
    <t>สืบสิงคาร</t>
  </si>
  <si>
    <t>7J0019</t>
  </si>
  <si>
    <t>7J0021</t>
  </si>
  <si>
    <t>วิทวัส</t>
  </si>
  <si>
    <t>เตียวพิพัฒน์พงษ์</t>
  </si>
  <si>
    <t>7K0001</t>
  </si>
  <si>
    <t>จั่นขุนทด</t>
  </si>
  <si>
    <t>7K0002</t>
  </si>
  <si>
    <t>นายอาทิตย์</t>
  </si>
  <si>
    <t>นาบำรุง</t>
  </si>
  <si>
    <t>7K0005</t>
  </si>
  <si>
    <t>นายอดินันท์</t>
  </si>
  <si>
    <t>นาคำ</t>
  </si>
  <si>
    <t>7K0006</t>
  </si>
  <si>
    <t>เจริญ</t>
  </si>
  <si>
    <t>7R0001</t>
  </si>
  <si>
    <t>สิริภพ</t>
  </si>
  <si>
    <t>ใจบาล</t>
  </si>
  <si>
    <t>หจก.ดับเบิ้ลยูซี คอนกรีต</t>
  </si>
  <si>
    <t>7R0002</t>
  </si>
  <si>
    <t>คมสัน</t>
  </si>
  <si>
    <t>กันธะเอ้ย</t>
  </si>
  <si>
    <t>7R0004</t>
  </si>
  <si>
    <t>นิติธร</t>
  </si>
  <si>
    <t>ใจปัน</t>
  </si>
  <si>
    <t>7R0005</t>
  </si>
  <si>
    <t>ประสิทธิ์</t>
  </si>
  <si>
    <t>อุ่นเอ้ย</t>
  </si>
  <si>
    <t>ปริญญา</t>
  </si>
  <si>
    <t>7R0007</t>
  </si>
  <si>
    <t>ทวี</t>
  </si>
  <si>
    <t>ปัฐวี</t>
  </si>
  <si>
    <t>7S0002</t>
  </si>
  <si>
    <t>สุริเยนทร์</t>
  </si>
  <si>
    <t>นวนแตง</t>
  </si>
  <si>
    <t>ชลธาร</t>
  </si>
  <si>
    <t>สุวรรณน้อย</t>
  </si>
  <si>
    <t>นิรันดร</t>
  </si>
  <si>
    <t>บุญมาก</t>
  </si>
  <si>
    <t>อำนาจ</t>
  </si>
  <si>
    <t>วงศรี</t>
  </si>
  <si>
    <t>หจก.บุญทวีคอนกรีต</t>
  </si>
  <si>
    <t>เปรมวิทย์</t>
  </si>
  <si>
    <t>ภักดี</t>
  </si>
  <si>
    <t>ราชันย์</t>
  </si>
  <si>
    <t>วัชรศักดิ์</t>
  </si>
  <si>
    <t>ตุ้ยชัย</t>
  </si>
  <si>
    <t>สราวุฒิ</t>
  </si>
  <si>
    <t>อินแก้ว</t>
  </si>
  <si>
    <t>AM0067</t>
  </si>
  <si>
    <t>สรชัช</t>
  </si>
  <si>
    <t>ช่วยสัตว์</t>
  </si>
  <si>
    <t>AM0068</t>
  </si>
  <si>
    <t>สราวุธ</t>
  </si>
  <si>
    <t>วรกำพล</t>
  </si>
  <si>
    <t>AM0069</t>
  </si>
  <si>
    <t>ประมวล</t>
  </si>
  <si>
    <t>ด้วงตะกั่ว</t>
  </si>
  <si>
    <t>AM0070</t>
  </si>
  <si>
    <t>โชคอนันต์</t>
  </si>
  <si>
    <t>บุญนงค์</t>
  </si>
  <si>
    <t>AM0071</t>
  </si>
  <si>
    <t>ศุภชัย</t>
  </si>
  <si>
    <t>พิชัย</t>
  </si>
  <si>
    <t>AM0072</t>
  </si>
  <si>
    <t>พิทักษ์</t>
  </si>
  <si>
    <t>พันธ์เพ็ง</t>
  </si>
  <si>
    <t>AM0073</t>
  </si>
  <si>
    <t>โกวิต</t>
  </si>
  <si>
    <t>เมรัตน์</t>
  </si>
  <si>
    <t>AM0074</t>
  </si>
  <si>
    <t>วิวัตน์</t>
  </si>
  <si>
    <t>บุญเวียง</t>
  </si>
  <si>
    <t>สมชาย</t>
  </si>
  <si>
    <t>AM0077</t>
  </si>
  <si>
    <t>บรรลือศักดิ์</t>
  </si>
  <si>
    <t>บุญเสริม</t>
  </si>
  <si>
    <t>AM0078</t>
  </si>
  <si>
    <t>ประเดิม</t>
  </si>
  <si>
    <t>ขาวดี</t>
  </si>
  <si>
    <t>DC0019</t>
  </si>
  <si>
    <t>สมบูรณ์</t>
  </si>
  <si>
    <t>ปาละ</t>
  </si>
  <si>
    <t>หจก.สุเกียวคอนกรีต</t>
  </si>
  <si>
    <t>DC0021</t>
  </si>
  <si>
    <t>ชัยวุฒิ</t>
  </si>
  <si>
    <t>สีตบุตร</t>
  </si>
  <si>
    <t>วิโรจน์</t>
  </si>
  <si>
    <t>DC0031</t>
  </si>
  <si>
    <t>ณัฐพิพีฒน์</t>
  </si>
  <si>
    <t>ผ่องเมืองปัก</t>
  </si>
  <si>
    <t>สุรินทร์</t>
  </si>
  <si>
    <t>วรรณภพ</t>
  </si>
  <si>
    <t>DC0033</t>
  </si>
  <si>
    <t>ทวีศักดิ์</t>
  </si>
  <si>
    <t>นาย</t>
  </si>
  <si>
    <t>DE0004</t>
  </si>
  <si>
    <t>อำไพ</t>
  </si>
  <si>
    <t>ตามบุญ</t>
  </si>
  <si>
    <t>DE0008</t>
  </si>
  <si>
    <t>ศรีนวล</t>
  </si>
  <si>
    <t>แสงสุวรรณ</t>
  </si>
  <si>
    <t>DE0011</t>
  </si>
  <si>
    <t>ถวิล</t>
  </si>
  <si>
    <t>กองเขียว</t>
  </si>
  <si>
    <t>DE0019</t>
  </si>
  <si>
    <t>พิพัฒน์</t>
  </si>
  <si>
    <t>จันทร์หงษ์สกุล</t>
  </si>
  <si>
    <t>DE0051</t>
  </si>
  <si>
    <t>ปรีชา</t>
  </si>
  <si>
    <t>วังเวช</t>
  </si>
  <si>
    <t>DE0052</t>
  </si>
  <si>
    <t>ชรินทร์</t>
  </si>
  <si>
    <t>ดวงสุวรรณ์</t>
  </si>
  <si>
    <t>DE0059</t>
  </si>
  <si>
    <t>วีรพงษ์</t>
  </si>
  <si>
    <t>ผลงาม</t>
  </si>
  <si>
    <t>DE0060</t>
  </si>
  <si>
    <t>ทนงศักดิ์</t>
  </si>
  <si>
    <t>อุดคำ</t>
  </si>
  <si>
    <t>DE0062</t>
  </si>
  <si>
    <t>ฉลอง</t>
  </si>
  <si>
    <t>ดวงดอกมูล</t>
  </si>
  <si>
    <t>DE0068</t>
  </si>
  <si>
    <t>ยงยุทธ</t>
  </si>
  <si>
    <t>DE0069</t>
  </si>
  <si>
    <t>วิเศษ</t>
  </si>
  <si>
    <t>จันต๊ะคาด</t>
  </si>
  <si>
    <t>DE0071</t>
  </si>
  <si>
    <t>พรประสิทธ์</t>
  </si>
  <si>
    <t>สีลารักษ์</t>
  </si>
  <si>
    <t>DE0074</t>
  </si>
  <si>
    <t>ปรีชาวิ</t>
  </si>
  <si>
    <t>บุตรโคตร์</t>
  </si>
  <si>
    <t>DE0078</t>
  </si>
  <si>
    <t>ขจร</t>
  </si>
  <si>
    <t>นางแล</t>
  </si>
  <si>
    <t>DE0079</t>
  </si>
  <si>
    <t>ภาณุวิชญ์</t>
  </si>
  <si>
    <t>จันทาพูน</t>
  </si>
  <si>
    <t>อนุชา</t>
  </si>
  <si>
    <t>DE0083</t>
  </si>
  <si>
    <t>วัลลภ</t>
  </si>
  <si>
    <t>สุวรรณ์ภา</t>
  </si>
  <si>
    <t>DE0084</t>
  </si>
  <si>
    <t>ชวลิต</t>
  </si>
  <si>
    <t>ลี้แสน</t>
  </si>
  <si>
    <t>DE0085</t>
  </si>
  <si>
    <t>องค์อาจ</t>
  </si>
  <si>
    <t>ราวิชัย</t>
  </si>
  <si>
    <t>EJ0022</t>
  </si>
  <si>
    <t>สุพจน์</t>
  </si>
  <si>
    <t>เส็งแดง</t>
  </si>
  <si>
    <t>EJ0026</t>
  </si>
  <si>
    <t>เกียรติประวุฒิ</t>
  </si>
  <si>
    <t>สงวนศรี</t>
  </si>
  <si>
    <t>EJ0027</t>
  </si>
  <si>
    <t>จำรัส</t>
  </si>
  <si>
    <t>ศรีผดุง</t>
  </si>
  <si>
    <t>EJ0035</t>
  </si>
  <si>
    <t>ชิงรัมย์</t>
  </si>
  <si>
    <t>EJ0044</t>
  </si>
  <si>
    <t>สมัย</t>
  </si>
  <si>
    <t>โสดรัมย์</t>
  </si>
  <si>
    <t>EJ0045</t>
  </si>
  <si>
    <t>นายทวี</t>
  </si>
  <si>
    <t>ใหญ่สมพงษ์</t>
  </si>
  <si>
    <t>อภิชาติ</t>
  </si>
  <si>
    <t>EJ0070</t>
  </si>
  <si>
    <t>ธงชัย</t>
  </si>
  <si>
    <t>EJ0074</t>
  </si>
  <si>
    <t>ศักดิ์ชัย</t>
  </si>
  <si>
    <t>เดชราช</t>
  </si>
  <si>
    <t>EJ0075</t>
  </si>
  <si>
    <t>ธารทอง</t>
  </si>
  <si>
    <t>พิมพ์สาร</t>
  </si>
  <si>
    <t>จรัญ</t>
  </si>
  <si>
    <t>EJ0077</t>
  </si>
  <si>
    <t>สุทัศน์</t>
  </si>
  <si>
    <t>แซงอุ่น</t>
  </si>
  <si>
    <t>สมคิด</t>
  </si>
  <si>
    <t>สมพร</t>
  </si>
  <si>
    <t>EJ0084</t>
  </si>
  <si>
    <t>นัฐพล</t>
  </si>
  <si>
    <t>หวังผล</t>
  </si>
  <si>
    <t>EJ0085</t>
  </si>
  <si>
    <t>เอกชัย</t>
  </si>
  <si>
    <t>EJ0086</t>
  </si>
  <si>
    <t>สุกฤษ์</t>
  </si>
  <si>
    <t>ปาระสูตร</t>
  </si>
  <si>
    <t>EP0041</t>
  </si>
  <si>
    <t>สนอง</t>
  </si>
  <si>
    <t>สมจิตร</t>
  </si>
  <si>
    <t>หจก.ธีระคอนกรีต</t>
  </si>
  <si>
    <t>สาคร</t>
  </si>
  <si>
    <t>มานัส</t>
  </si>
  <si>
    <t>เด่นชัย</t>
  </si>
  <si>
    <t>บุญเลิศ</t>
  </si>
  <si>
    <t>FX0028</t>
  </si>
  <si>
    <t>สุราษฎร์</t>
  </si>
  <si>
    <t>เกลี้ยงตะพงษ์</t>
  </si>
  <si>
    <t>FX0040</t>
  </si>
  <si>
    <t>เอกวัฒน์</t>
  </si>
  <si>
    <t>ชูผล</t>
  </si>
  <si>
    <t>FX0042</t>
  </si>
  <si>
    <t>ศรัญ</t>
  </si>
  <si>
    <t>ปานเดโช</t>
  </si>
  <si>
    <t>FX0043</t>
  </si>
  <si>
    <t>จักรกฤษ</t>
  </si>
  <si>
    <t>มากละม้าย</t>
  </si>
  <si>
    <t>M00008</t>
  </si>
  <si>
    <t>M00013</t>
  </si>
  <si>
    <t>สุรศักดิ์</t>
  </si>
  <si>
    <t>โคกแปะ</t>
  </si>
  <si>
    <t>M00016</t>
  </si>
  <si>
    <t>ศักดิ์ดา</t>
  </si>
  <si>
    <t>แก้วคำรอด</t>
  </si>
  <si>
    <t>สะอาด</t>
  </si>
  <si>
    <t>บุญมี</t>
  </si>
  <si>
    <t>M00026</t>
  </si>
  <si>
    <t>อำพรรณ์</t>
  </si>
  <si>
    <t>วรรณดี</t>
  </si>
  <si>
    <t>N30004</t>
  </si>
  <si>
    <t>วัชรินทร์</t>
  </si>
  <si>
    <t>อินทร์สุวรรณ</t>
  </si>
  <si>
    <t>N30006</t>
  </si>
  <si>
    <t>พุ่มไพจิตร</t>
  </si>
  <si>
    <t>N30010</t>
  </si>
  <si>
    <t>เกิดภพ</t>
  </si>
  <si>
    <t>อารีเอื้อ</t>
  </si>
  <si>
    <t>N30012</t>
  </si>
  <si>
    <t>ทินกร</t>
  </si>
  <si>
    <t>กองสดี</t>
  </si>
  <si>
    <t>N30018</t>
  </si>
  <si>
    <t>ธนพล</t>
  </si>
  <si>
    <t>ถำวาปี</t>
  </si>
  <si>
    <t>N30019</t>
  </si>
  <si>
    <t>ชารี</t>
  </si>
  <si>
    <t>ดวนดี</t>
  </si>
  <si>
    <t>N30021</t>
  </si>
  <si>
    <t>จิรพงศ์</t>
  </si>
  <si>
    <t>ชมชัยรัตน์</t>
  </si>
  <si>
    <t>OZ0006</t>
  </si>
  <si>
    <t>กอง</t>
  </si>
  <si>
    <t>ใจดี</t>
  </si>
  <si>
    <t>OZ0009</t>
  </si>
  <si>
    <t>ขุนแผน</t>
  </si>
  <si>
    <t>นันทจิตร</t>
  </si>
  <si>
    <t>OZ0011</t>
  </si>
  <si>
    <t>สัญญา</t>
  </si>
  <si>
    <t>ครุธเผือก</t>
  </si>
  <si>
    <t>OZ0012</t>
  </si>
  <si>
    <t>เพชร</t>
  </si>
  <si>
    <t>โพธ์งาม</t>
  </si>
  <si>
    <t>PA0002</t>
  </si>
  <si>
    <t>มาลัย</t>
  </si>
  <si>
    <t>เผือกเหลี่ยม</t>
  </si>
  <si>
    <t>PA0007</t>
  </si>
  <si>
    <t>อาษา</t>
  </si>
  <si>
    <t>PA0015</t>
  </si>
  <si>
    <t>เข็มทอง</t>
  </si>
  <si>
    <t>PA0028</t>
  </si>
  <si>
    <t>มะนาวทอง</t>
  </si>
  <si>
    <t>PA0037</t>
  </si>
  <si>
    <t>เอกพล</t>
  </si>
  <si>
    <t>ยิ่งยง</t>
  </si>
  <si>
    <t>PA0038</t>
  </si>
  <si>
    <t>สามารถ</t>
  </si>
  <si>
    <t>เหล่าสำโรง</t>
  </si>
  <si>
    <t>PA0039</t>
  </si>
  <si>
    <t>แฝงสุธา</t>
  </si>
  <si>
    <t>PA0041</t>
  </si>
  <si>
    <t>นายศรศิลป์</t>
  </si>
  <si>
    <t>กาญบุตร</t>
  </si>
  <si>
    <t>PA0042</t>
  </si>
  <si>
    <t>นายไสว</t>
  </si>
  <si>
    <t>องอาจ</t>
  </si>
  <si>
    <t>PA0044</t>
  </si>
  <si>
    <t>นายทูล</t>
  </si>
  <si>
    <t>ศรีสูงเนิน</t>
  </si>
  <si>
    <t>PA0047</t>
  </si>
  <si>
    <t>อดิศร</t>
  </si>
  <si>
    <t>ลาภประดิษฐ</t>
  </si>
  <si>
    <t>PA0048</t>
  </si>
  <si>
    <t>นายเกษม</t>
  </si>
  <si>
    <t>แดงจาด</t>
  </si>
  <si>
    <t>PA0049</t>
  </si>
  <si>
    <t>นายแดง</t>
  </si>
  <si>
    <t>วงษ์ศร</t>
  </si>
  <si>
    <t>PA0062</t>
  </si>
  <si>
    <t>นายเอนก</t>
  </si>
  <si>
    <t>เกษดี</t>
  </si>
  <si>
    <t>PB0002</t>
  </si>
  <si>
    <t>กังวาลย์</t>
  </si>
  <si>
    <t>รอดประเสริฐ(ดำ)</t>
  </si>
  <si>
    <t>PB0004</t>
  </si>
  <si>
    <t>ชาณรงค์</t>
  </si>
  <si>
    <t>ศรีมุกข์(จุก)</t>
  </si>
  <si>
    <t>PB0010</t>
  </si>
  <si>
    <t>นาคศรี(ป๊ก)</t>
  </si>
  <si>
    <t>PB0017</t>
  </si>
  <si>
    <t>สุชาติ</t>
  </si>
  <si>
    <t>แดงสายทอง(ป็อด)</t>
  </si>
  <si>
    <t>PB0023</t>
  </si>
  <si>
    <t>นายนิทัศน์</t>
  </si>
  <si>
    <t>เหล่ามาลา</t>
  </si>
  <si>
    <t>PB0024</t>
  </si>
  <si>
    <t>บรรเจิด</t>
  </si>
  <si>
    <t>โสภา</t>
  </si>
  <si>
    <t>PB0025</t>
  </si>
  <si>
    <t>ประทวน</t>
  </si>
  <si>
    <t>เกตุสมบูรณ์</t>
  </si>
  <si>
    <t>PB0027</t>
  </si>
  <si>
    <t>พลากร</t>
  </si>
  <si>
    <t>ประสิทธิ์พร</t>
  </si>
  <si>
    <t>ถาวร</t>
  </si>
  <si>
    <t>PC0019</t>
  </si>
  <si>
    <t>สายฝัน</t>
  </si>
  <si>
    <t>ปิ่นวิเศษ</t>
  </si>
  <si>
    <t>PC0020</t>
  </si>
  <si>
    <t>แผนจันทึก</t>
  </si>
  <si>
    <t>PC0022</t>
  </si>
  <si>
    <t>นายวิจารย์</t>
  </si>
  <si>
    <t>สิงห์สิทธิ์</t>
  </si>
  <si>
    <t>สมพาน</t>
  </si>
  <si>
    <t>สัมฤทธิ์</t>
  </si>
  <si>
    <t>ทองคำ</t>
  </si>
  <si>
    <t>PF0003</t>
  </si>
  <si>
    <t>ทศพล</t>
  </si>
  <si>
    <t>วิไล</t>
  </si>
  <si>
    <t>PF0005</t>
  </si>
  <si>
    <t>ประยูร</t>
  </si>
  <si>
    <t>ลีแก้ว</t>
  </si>
  <si>
    <t>PF0007</t>
  </si>
  <si>
    <t>ศิริพงษ์</t>
  </si>
  <si>
    <t>จอมแสง</t>
  </si>
  <si>
    <t>PF0012</t>
  </si>
  <si>
    <t>ณรงค์</t>
  </si>
  <si>
    <t>PF0047</t>
  </si>
  <si>
    <t>ทิพย์กรแก้ว</t>
  </si>
  <si>
    <t>PF0056</t>
  </si>
  <si>
    <t>ฝั้นปิมปา</t>
  </si>
  <si>
    <t>PF0064</t>
  </si>
  <si>
    <t>นายทองสุข</t>
  </si>
  <si>
    <t>ผลิปัญญา</t>
  </si>
  <si>
    <t>PF0065</t>
  </si>
  <si>
    <t>อ้าย</t>
  </si>
  <si>
    <t>ปินใจกุล</t>
  </si>
  <si>
    <t>PF0067</t>
  </si>
  <si>
    <t>บูรณพงศ์</t>
  </si>
  <si>
    <t>ตรีภพ</t>
  </si>
  <si>
    <t>PF0070</t>
  </si>
  <si>
    <t>มีเม</t>
  </si>
  <si>
    <t>PF0073</t>
  </si>
  <si>
    <t>มนตรี</t>
  </si>
  <si>
    <t>ขันแก้ว</t>
  </si>
  <si>
    <t>PF0074</t>
  </si>
  <si>
    <t>สวิวงศ์</t>
  </si>
  <si>
    <t>PF0079</t>
  </si>
  <si>
    <t>ทวีวัฒน์</t>
  </si>
  <si>
    <t>วันทิตย์</t>
  </si>
  <si>
    <t>PF0080</t>
  </si>
  <si>
    <t>นันตาระ</t>
  </si>
  <si>
    <t>PG0001</t>
  </si>
  <si>
    <t>ระยอง</t>
  </si>
  <si>
    <t>บุญยานาม</t>
  </si>
  <si>
    <t>PG0002</t>
  </si>
  <si>
    <t>แจ่ม</t>
  </si>
  <si>
    <t>สุขนอก</t>
  </si>
  <si>
    <t>สมหมาย</t>
  </si>
  <si>
    <t>PG0004</t>
  </si>
  <si>
    <t>บัวเรียน</t>
  </si>
  <si>
    <t>แผนลี</t>
  </si>
  <si>
    <t>กันยา</t>
  </si>
  <si>
    <t>PG0011</t>
  </si>
  <si>
    <t>นายจรัญ</t>
  </si>
  <si>
    <t>โกฏิรัมย์</t>
  </si>
  <si>
    <t>PG0013</t>
  </si>
  <si>
    <t>แลโสภา</t>
  </si>
  <si>
    <t>PG0014</t>
  </si>
  <si>
    <t>นายสุวรรณ</t>
  </si>
  <si>
    <t>ยวงกระโทก</t>
  </si>
  <si>
    <t>PG0043</t>
  </si>
  <si>
    <t>นายชุด</t>
  </si>
  <si>
    <t>สาระงาม</t>
  </si>
  <si>
    <t>PG0045</t>
  </si>
  <si>
    <t>สุมิตร</t>
  </si>
  <si>
    <t>จันนทผล</t>
  </si>
  <si>
    <t>PG0058</t>
  </si>
  <si>
    <t>PG0060</t>
  </si>
  <si>
    <t>กองแพง</t>
  </si>
  <si>
    <t>แดนคำสี</t>
  </si>
  <si>
    <t>PG0061</t>
  </si>
  <si>
    <t>รัตน์</t>
  </si>
  <si>
    <t>หาญกล้า</t>
  </si>
  <si>
    <t>PG0064</t>
  </si>
  <si>
    <t>นายสมศักดิ์</t>
  </si>
  <si>
    <t>พิมพ์หอม</t>
  </si>
  <si>
    <t>PG0065</t>
  </si>
  <si>
    <t>วิชัย</t>
  </si>
  <si>
    <t>แวงวรรณ</t>
  </si>
  <si>
    <t>PG0066</t>
  </si>
  <si>
    <t>นายสุทัศน์</t>
  </si>
  <si>
    <t>สุขประเสริฐ</t>
  </si>
  <si>
    <t>PG0074</t>
  </si>
  <si>
    <t>ปริวรรต</t>
  </si>
  <si>
    <t>ทองอุไร</t>
  </si>
  <si>
    <t>PG0088</t>
  </si>
  <si>
    <t>นายจั้น</t>
  </si>
  <si>
    <t>PG0089</t>
  </si>
  <si>
    <t>นายบุญเพชร</t>
  </si>
  <si>
    <t>ระหาร</t>
  </si>
  <si>
    <t>PG0090</t>
  </si>
  <si>
    <t>นายวิรัตน์</t>
  </si>
  <si>
    <t>เศษสุวรรณ์</t>
  </si>
  <si>
    <t>PG0097</t>
  </si>
  <si>
    <t>ประสาททอง</t>
  </si>
  <si>
    <t>PG0099</t>
  </si>
  <si>
    <t>นายรติการ</t>
  </si>
  <si>
    <t>ไชยคำพา</t>
  </si>
  <si>
    <t>PG0103</t>
  </si>
  <si>
    <t>นายทวีศักดิ์</t>
  </si>
  <si>
    <t>จันทนะ</t>
  </si>
  <si>
    <t>PG0110</t>
  </si>
  <si>
    <t>นายชูศักดิ์</t>
  </si>
  <si>
    <t>PG0112</t>
  </si>
  <si>
    <t>นายมิตร</t>
  </si>
  <si>
    <t>PG0113</t>
  </si>
  <si>
    <t>นายนพรัตน์</t>
  </si>
  <si>
    <t>ชนะประเสริฐ</t>
  </si>
  <si>
    <t>PG0114</t>
  </si>
  <si>
    <t>ไชยสุรัตนานนท์</t>
  </si>
  <si>
    <t>PG0116</t>
  </si>
  <si>
    <t>นายเกียรติศักดิ์</t>
  </si>
  <si>
    <t>PG0117</t>
  </si>
  <si>
    <t>แก่นพุทธ</t>
  </si>
  <si>
    <t>PG0119</t>
  </si>
  <si>
    <t>สำรวย</t>
  </si>
  <si>
    <t>ผ่านพลู</t>
  </si>
  <si>
    <t>วีระศักดิ์</t>
  </si>
  <si>
    <t>ยันต์</t>
  </si>
  <si>
    <t>สร้อยเพชร</t>
  </si>
  <si>
    <t>PG0125</t>
  </si>
  <si>
    <t>ภานุพงศ์</t>
  </si>
  <si>
    <t>เชิดสูงเนิน</t>
  </si>
  <si>
    <t>วีระพงษ์</t>
  </si>
  <si>
    <t>PG0128</t>
  </si>
  <si>
    <t>สุรพล</t>
  </si>
  <si>
    <t>ว่องไว</t>
  </si>
  <si>
    <t>PG0132</t>
  </si>
  <si>
    <t>ประมาณ</t>
  </si>
  <si>
    <t>ใจกระสัน</t>
  </si>
  <si>
    <t>PG0133</t>
  </si>
  <si>
    <t>จำนงค์</t>
  </si>
  <si>
    <t>ผุยแพง</t>
  </si>
  <si>
    <t>PG0135</t>
  </si>
  <si>
    <t>ทิมราช</t>
  </si>
  <si>
    <t>PG0137</t>
  </si>
  <si>
    <t>คงกระพัน</t>
  </si>
  <si>
    <t>จันทะผล</t>
  </si>
  <si>
    <t>PG0139</t>
  </si>
  <si>
    <t>สมัชชัย</t>
  </si>
  <si>
    <t>เอกตาแสง</t>
  </si>
  <si>
    <t>PG0141</t>
  </si>
  <si>
    <t>โกสินธุ์</t>
  </si>
  <si>
    <t>ขันทอง</t>
  </si>
  <si>
    <t>PG0145</t>
  </si>
  <si>
    <t>อุเทน</t>
  </si>
  <si>
    <t>PG0146</t>
  </si>
  <si>
    <t>วัชรพงษ์</t>
  </si>
  <si>
    <t>ด้วงไพร</t>
  </si>
  <si>
    <t>บุญเพ็ง</t>
  </si>
  <si>
    <t>PG0148</t>
  </si>
  <si>
    <t>สมชัย</t>
  </si>
  <si>
    <t>ชื่นมะดัน</t>
  </si>
  <si>
    <t>PG0151</t>
  </si>
  <si>
    <t>เปรมชัย</t>
  </si>
  <si>
    <t>หาระสาร</t>
  </si>
  <si>
    <t>PG0153</t>
  </si>
  <si>
    <t>สุจริตต์</t>
  </si>
  <si>
    <t>แซ่บัง</t>
  </si>
  <si>
    <t>แซ่ปัง</t>
  </si>
  <si>
    <t>ไพบูลย์</t>
  </si>
  <si>
    <t>PG0162</t>
  </si>
  <si>
    <t>สุดประเสร็ฐ</t>
  </si>
  <si>
    <t>PG0163</t>
  </si>
  <si>
    <t>เสกสรรค์</t>
  </si>
  <si>
    <t>PG0164</t>
  </si>
  <si>
    <t>ชัยยุทธ</t>
  </si>
  <si>
    <t>PG0167</t>
  </si>
  <si>
    <t>อำนวย</t>
  </si>
  <si>
    <t>ศรีลาวงศ์</t>
  </si>
  <si>
    <t>PG0168</t>
  </si>
  <si>
    <t>สิงขรเขต</t>
  </si>
  <si>
    <t>นิยม</t>
  </si>
  <si>
    <t>PG0171</t>
  </si>
  <si>
    <t>กัมพล</t>
  </si>
  <si>
    <t>คิ้วสูงเนิน</t>
  </si>
  <si>
    <t>PG0172</t>
  </si>
  <si>
    <t>สมพุทธ</t>
  </si>
  <si>
    <t>วุฒิยา</t>
  </si>
  <si>
    <t>PG0173</t>
  </si>
  <si>
    <t>วีระ</t>
  </si>
  <si>
    <t>ศรีแดน</t>
  </si>
  <si>
    <t>PG0174</t>
  </si>
  <si>
    <t>สมชาติ</t>
  </si>
  <si>
    <t>PG0175</t>
  </si>
  <si>
    <t>PG0176</t>
  </si>
  <si>
    <t>ทองดี</t>
  </si>
  <si>
    <t>เทพนวล</t>
  </si>
  <si>
    <t>PH0012</t>
  </si>
  <si>
    <t>วุฒิพงษ์</t>
  </si>
  <si>
    <t>จารุธนกุล</t>
  </si>
  <si>
    <t>หจก.เรืองชัยคอนกรีต</t>
  </si>
  <si>
    <t>PH0014</t>
  </si>
  <si>
    <t>นิวัฒน์</t>
  </si>
  <si>
    <t>เอกจิตร</t>
  </si>
  <si>
    <t>PH0020</t>
  </si>
  <si>
    <t>กันทะวัง</t>
  </si>
  <si>
    <t>PH0022</t>
  </si>
  <si>
    <t>ทิพย์แก้ว</t>
  </si>
  <si>
    <t>PH0036</t>
  </si>
  <si>
    <t>นายประยงค์</t>
  </si>
  <si>
    <t>ฉวีชาติ</t>
  </si>
  <si>
    <t>PH0037</t>
  </si>
  <si>
    <t>นายถวิล</t>
  </si>
  <si>
    <t>ปินวงค์</t>
  </si>
  <si>
    <t>PH0045</t>
  </si>
  <si>
    <t>นายบุญชอบ</t>
  </si>
  <si>
    <t>จันทร์ทิพย์</t>
  </si>
  <si>
    <t>PH0046</t>
  </si>
  <si>
    <t>นายสมบัติ</t>
  </si>
  <si>
    <t>แซ่แต้</t>
  </si>
  <si>
    <t>PH0047</t>
  </si>
  <si>
    <t>นายกิตติราช</t>
  </si>
  <si>
    <t>พันธ์เพชร</t>
  </si>
  <si>
    <t>PH0053</t>
  </si>
  <si>
    <t>ชนาธิป</t>
  </si>
  <si>
    <t>บูราณ</t>
  </si>
  <si>
    <t>PH0054</t>
  </si>
  <si>
    <t>นิรุทธิ์</t>
  </si>
  <si>
    <t>ประวัติ</t>
  </si>
  <si>
    <t>ธันวา</t>
  </si>
  <si>
    <t>PH0057</t>
  </si>
  <si>
    <t>นิรุตติ์</t>
  </si>
  <si>
    <t>คำมา</t>
  </si>
  <si>
    <t>PH0058</t>
  </si>
  <si>
    <t>อนุสิทธฺ์</t>
  </si>
  <si>
    <t>พรมมา</t>
  </si>
  <si>
    <t>PI0005</t>
  </si>
  <si>
    <t>ฟองเมฆ</t>
  </si>
  <si>
    <t>PJ0001</t>
  </si>
  <si>
    <t>มั่นคง</t>
  </si>
  <si>
    <t>หจก.บุญพลกิจ คอนกรีต</t>
  </si>
  <si>
    <t>PJ0002</t>
  </si>
  <si>
    <t>อุบล</t>
  </si>
  <si>
    <t>มงคล</t>
  </si>
  <si>
    <t>PJ0008</t>
  </si>
  <si>
    <t>จักรกฤษณ์</t>
  </si>
  <si>
    <t>ส่างใส</t>
  </si>
  <si>
    <t>PJ0026</t>
  </si>
  <si>
    <t>ณรงค์ฤทธิ์</t>
  </si>
  <si>
    <t>ไฟสิฐธิิศักดิ์</t>
  </si>
  <si>
    <t>PM0001</t>
  </si>
  <si>
    <t>สำราญ</t>
  </si>
  <si>
    <t>หจก.งามยิ่งเจริญคอนกรีต</t>
  </si>
  <si>
    <t>PM0002</t>
  </si>
  <si>
    <t>สมพิศ</t>
  </si>
  <si>
    <t>PM0020</t>
  </si>
  <si>
    <t>พัชรพล</t>
  </si>
  <si>
    <t>บัวเพชร</t>
  </si>
  <si>
    <t>PM0021</t>
  </si>
  <si>
    <t>ชูชัย</t>
  </si>
  <si>
    <t>PM0022</t>
  </si>
  <si>
    <t>ยอดดำเนิน</t>
  </si>
  <si>
    <t>PN0001</t>
  </si>
  <si>
    <t>นิพนธิ์</t>
  </si>
  <si>
    <t>ภู่ชงแก้ว</t>
  </si>
  <si>
    <t>PN0002</t>
  </si>
  <si>
    <t>สุปกิจ</t>
  </si>
  <si>
    <t>PN0003</t>
  </si>
  <si>
    <t>สะกุนา</t>
  </si>
  <si>
    <t>PO0002</t>
  </si>
  <si>
    <t>นามวงษ์</t>
  </si>
  <si>
    <t>หจก.ท.ทวีทรัพย์คอนกรีต</t>
  </si>
  <si>
    <t>PO0006</t>
  </si>
  <si>
    <t>ณชพล</t>
  </si>
  <si>
    <t>ฉิมใหม่</t>
  </si>
  <si>
    <t>PO0009</t>
  </si>
  <si>
    <t>เฉลิม</t>
  </si>
  <si>
    <t>ปัถมัง</t>
  </si>
  <si>
    <t>PO0011</t>
  </si>
  <si>
    <t>คนขับสำรอง</t>
  </si>
  <si>
    <t>ท.ทวีทรัพย์</t>
  </si>
  <si>
    <t>PO0014</t>
  </si>
  <si>
    <t>พนม</t>
  </si>
  <si>
    <t>ตรุษบาง</t>
  </si>
  <si>
    <t>PO0017</t>
  </si>
  <si>
    <t>นายสนอง</t>
  </si>
  <si>
    <t>แก้วลอย</t>
  </si>
  <si>
    <t>PO0018</t>
  </si>
  <si>
    <t>ชุมพล</t>
  </si>
  <si>
    <t>ธีระพงษ์</t>
  </si>
  <si>
    <t>PO0024</t>
  </si>
  <si>
    <t>ทวีพล</t>
  </si>
  <si>
    <t>พิมพ์มณี</t>
  </si>
  <si>
    <t>PO0027</t>
  </si>
  <si>
    <t>ธานินทร์</t>
  </si>
  <si>
    <t>ถึงสุข</t>
  </si>
  <si>
    <t>PO0028</t>
  </si>
  <si>
    <t>วรวิทย์</t>
  </si>
  <si>
    <t>PO0030</t>
  </si>
  <si>
    <t>สุริยา</t>
  </si>
  <si>
    <t>ฝ่ายทะแสง</t>
  </si>
  <si>
    <t>PO0031</t>
  </si>
  <si>
    <t>เสฎฐวุฒิ</t>
  </si>
  <si>
    <t>เคยการ</t>
  </si>
  <si>
    <t>สุวรรณ</t>
  </si>
  <si>
    <t>เสน่ห์</t>
  </si>
  <si>
    <t>อุทัย</t>
  </si>
  <si>
    <t>PQ0018</t>
  </si>
  <si>
    <t>ทองลา</t>
  </si>
  <si>
    <t>ผาแก้ว</t>
  </si>
  <si>
    <t>PQ0019</t>
  </si>
  <si>
    <t>บุญเชิด</t>
  </si>
  <si>
    <t>คำประสพ</t>
  </si>
  <si>
    <t>สุรชัย</t>
  </si>
  <si>
    <t>ศักดิ์สิทธิ์</t>
  </si>
  <si>
    <t>สันติ</t>
  </si>
  <si>
    <t>หจก.เอส พี เค คอนกรีต</t>
  </si>
  <si>
    <t>PU0020</t>
  </si>
  <si>
    <t>จิตธรรม</t>
  </si>
  <si>
    <t>PU0021</t>
  </si>
  <si>
    <t>วรศิลป์</t>
  </si>
  <si>
    <t>กุคำรักษ์</t>
  </si>
  <si>
    <t>ทรงศักดิ์</t>
  </si>
  <si>
    <t>PV0006</t>
  </si>
  <si>
    <t>ป้อมฤกษ์</t>
  </si>
  <si>
    <t>PV0010</t>
  </si>
  <si>
    <t>ส.ต.นิติ</t>
  </si>
  <si>
    <t>บัณฑิตย์</t>
  </si>
  <si>
    <t>PV0018</t>
  </si>
  <si>
    <t>สุรัตน์</t>
  </si>
  <si>
    <t>แก้วมณี</t>
  </si>
  <si>
    <t>PV0021</t>
  </si>
  <si>
    <t>สายชล</t>
  </si>
  <si>
    <t>PV0022</t>
  </si>
  <si>
    <t>ปรีขา</t>
  </si>
  <si>
    <t>ปอทอง</t>
  </si>
  <si>
    <t>PV0023</t>
  </si>
  <si>
    <t>นรินทร์</t>
  </si>
  <si>
    <t>ทรัพย์รอด</t>
  </si>
  <si>
    <t>PV0026</t>
  </si>
  <si>
    <t>รุ่งวิทยา</t>
  </si>
  <si>
    <t>แคว้นคอนฉิม</t>
  </si>
  <si>
    <t>PV0030</t>
  </si>
  <si>
    <t>เชียงภูกอ</t>
  </si>
  <si>
    <t>PV0031</t>
  </si>
  <si>
    <t>กัณหาชาลี</t>
  </si>
  <si>
    <t>PW0002</t>
  </si>
  <si>
    <t>เพลินใจ</t>
  </si>
  <si>
    <t>ยะฝั้น</t>
  </si>
  <si>
    <t>PW0003</t>
  </si>
  <si>
    <t>ไชยทน</t>
  </si>
  <si>
    <t>PW0011</t>
  </si>
  <si>
    <t>ศรีบุญ</t>
  </si>
  <si>
    <t>PW0013</t>
  </si>
  <si>
    <t>นิวัตร์</t>
  </si>
  <si>
    <t>เกิดพงษ์</t>
  </si>
  <si>
    <t>PW0014</t>
  </si>
  <si>
    <t>วงศ์ชัย</t>
  </si>
  <si>
    <t>PW0015</t>
  </si>
  <si>
    <t>ดวงตา</t>
  </si>
  <si>
    <t>PW0016</t>
  </si>
  <si>
    <t>ณรงค์ชัย</t>
  </si>
  <si>
    <t>หงษ์คำ</t>
  </si>
  <si>
    <t>PY0002</t>
  </si>
  <si>
    <t>รุ่ง</t>
  </si>
  <si>
    <t>ใจสัตย์</t>
  </si>
  <si>
    <t>PY0020</t>
  </si>
  <si>
    <t>นิลสลุด</t>
  </si>
  <si>
    <t>PY0049</t>
  </si>
  <si>
    <t>นายรัฐพล</t>
  </si>
  <si>
    <t>แรตทอง</t>
  </si>
  <si>
    <t>PY0057</t>
  </si>
  <si>
    <t>พรหมมินทร์</t>
  </si>
  <si>
    <t>เกสกุสณี</t>
  </si>
  <si>
    <t>PY0082</t>
  </si>
  <si>
    <t>บันเทิง</t>
  </si>
  <si>
    <t>นวลทิม</t>
  </si>
  <si>
    <t>PZ0007</t>
  </si>
  <si>
    <t>PZ0017</t>
  </si>
  <si>
    <t>รินทร์</t>
  </si>
  <si>
    <t>คำอ่องสวย</t>
  </si>
  <si>
    <t>วิลัย</t>
  </si>
  <si>
    <t>ป้องท้าว</t>
  </si>
  <si>
    <t>PZ0020</t>
  </si>
  <si>
    <t>ดีจอม</t>
  </si>
  <si>
    <t>PZ0023</t>
  </si>
  <si>
    <t>บุญทัน</t>
  </si>
  <si>
    <t>บุ้งจันทร์</t>
  </si>
  <si>
    <t>PZ0058</t>
  </si>
  <si>
    <t>ร้อย</t>
  </si>
  <si>
    <t>ตาคำ</t>
  </si>
  <si>
    <t>PZ0061</t>
  </si>
  <si>
    <t>นายพงษ์ศักดิ์</t>
  </si>
  <si>
    <t>คำฟู</t>
  </si>
  <si>
    <t>PZ0062</t>
  </si>
  <si>
    <t>อนุสรณ์</t>
  </si>
  <si>
    <t>จันทร์เพ็ง</t>
  </si>
  <si>
    <t>PZ0063</t>
  </si>
  <si>
    <t>นายภูมิพัฒน์</t>
  </si>
  <si>
    <t>กาบคำ</t>
  </si>
  <si>
    <t>PZ0065</t>
  </si>
  <si>
    <t>ปิดจะดี</t>
  </si>
  <si>
    <t>PZ0069</t>
  </si>
  <si>
    <t>นายประไพ</t>
  </si>
  <si>
    <t>ชัยภูมิ</t>
  </si>
  <si>
    <t>PZ0071</t>
  </si>
  <si>
    <t>ไกรศักดิ์</t>
  </si>
  <si>
    <t>ปลื้มบุญ</t>
  </si>
  <si>
    <t>PZ0073</t>
  </si>
  <si>
    <t>นายทองบ่อ</t>
  </si>
  <si>
    <t>ศรีวิชัย</t>
  </si>
  <si>
    <t>PZ0079</t>
  </si>
  <si>
    <t>ทองจัทร์</t>
  </si>
  <si>
    <t>PZ0085</t>
  </si>
  <si>
    <t>ทรงภพ</t>
  </si>
  <si>
    <t>พิมพา</t>
  </si>
  <si>
    <t>PZ0090</t>
  </si>
  <si>
    <t>จักรจิต</t>
  </si>
  <si>
    <t>คำเถื่อน</t>
  </si>
  <si>
    <t>PZ0091</t>
  </si>
  <si>
    <t>ดำรงค์เดช</t>
  </si>
  <si>
    <t>ทองวัน</t>
  </si>
  <si>
    <t>PZ0093</t>
  </si>
  <si>
    <t>ทองสา</t>
  </si>
  <si>
    <t>ล้วนดี</t>
  </si>
  <si>
    <t>PZ0094</t>
  </si>
  <si>
    <t>คำพัน</t>
  </si>
  <si>
    <t>อินทร์พินิจ</t>
  </si>
  <si>
    <t>PZ0096</t>
  </si>
  <si>
    <t>อิทธิฤทธิ์</t>
  </si>
  <si>
    <t>คำมาตร์</t>
  </si>
  <si>
    <t>PZ0097</t>
  </si>
  <si>
    <t>ผุยเพชรผุ้ย</t>
  </si>
  <si>
    <t>PZ0098</t>
  </si>
  <si>
    <t>สร้อยสาย</t>
  </si>
  <si>
    <t>PZ0099</t>
  </si>
  <si>
    <t>ไชยา</t>
  </si>
  <si>
    <t>วิเศษอุด</t>
  </si>
  <si>
    <t>PZ0103</t>
  </si>
  <si>
    <t>เกียรติศักดิ์</t>
  </si>
  <si>
    <t>ปัญจะ</t>
  </si>
  <si>
    <t>พงษ์ศักดิ์</t>
  </si>
  <si>
    <t>PZ0107</t>
  </si>
  <si>
    <t>มานะ</t>
  </si>
  <si>
    <t>PZ0108</t>
  </si>
  <si>
    <t>พรมดวงสี</t>
  </si>
  <si>
    <t>PZ0110</t>
  </si>
  <si>
    <t>ริศนาเคณ</t>
  </si>
  <si>
    <t>PZ0111</t>
  </si>
  <si>
    <t>เกรียงศักดิ์</t>
  </si>
  <si>
    <t>เเก้วเบี่ยง</t>
  </si>
  <si>
    <t>PZ0118</t>
  </si>
  <si>
    <t>จันทรดี</t>
  </si>
  <si>
    <t>PZ0120</t>
  </si>
  <si>
    <t>ฃนะฃัย</t>
  </si>
  <si>
    <t>ไฃยเเสน</t>
  </si>
  <si>
    <t>PZ0122</t>
  </si>
  <si>
    <t>ธวัชชัย</t>
  </si>
  <si>
    <t>ใบชา</t>
  </si>
  <si>
    <t>PZ0123</t>
  </si>
  <si>
    <t>ชาภูวงษ์</t>
  </si>
  <si>
    <t>PZ0125</t>
  </si>
  <si>
    <t>ยุรนันท์</t>
  </si>
  <si>
    <t>บัวทอง</t>
  </si>
  <si>
    <t>PZ0126</t>
  </si>
  <si>
    <t>เดี่ยว</t>
  </si>
  <si>
    <t>ติดผาย</t>
  </si>
  <si>
    <t>PZ0127</t>
  </si>
  <si>
    <t>ฐสิษฐ์</t>
  </si>
  <si>
    <t>วัชรธนเกียรติ์</t>
  </si>
  <si>
    <t>PZ0128</t>
  </si>
  <si>
    <t>คมกริช</t>
  </si>
  <si>
    <t>เเก้วตา</t>
  </si>
  <si>
    <t>PZ0129</t>
  </si>
  <si>
    <t>ชนะชัย</t>
  </si>
  <si>
    <t>ไชยแสน</t>
  </si>
  <si>
    <t>PZ0132</t>
  </si>
  <si>
    <t>จักรพงค์</t>
  </si>
  <si>
    <t>เจริญรัตน์</t>
  </si>
  <si>
    <t>เพ็ชรขาว</t>
  </si>
  <si>
    <t>หจก.มังกรทองคอนกรีต</t>
  </si>
  <si>
    <t>ยวงนุ่น</t>
  </si>
  <si>
    <t>QA0023</t>
  </si>
  <si>
    <t>วิเชียร</t>
  </si>
  <si>
    <t>สีเสาะ</t>
  </si>
  <si>
    <t>QA0030</t>
  </si>
  <si>
    <t>สายหยุด</t>
  </si>
  <si>
    <t>โพธิ์ศรี</t>
  </si>
  <si>
    <t>QA0031</t>
  </si>
  <si>
    <t>กระสายเเก้ว</t>
  </si>
  <si>
    <t>QA0045</t>
  </si>
  <si>
    <t>นายไพโรจน์</t>
  </si>
  <si>
    <t>มีคำ</t>
  </si>
  <si>
    <t>QA0049</t>
  </si>
  <si>
    <t>นายมาโนช</t>
  </si>
  <si>
    <t>QA0050</t>
  </si>
  <si>
    <t>คันธะคง</t>
  </si>
  <si>
    <t>QA0053</t>
  </si>
  <si>
    <t>นายสมพิศ</t>
  </si>
  <si>
    <t>หลุ่นโพธิ์</t>
  </si>
  <si>
    <t>QA0056</t>
  </si>
  <si>
    <t>จันทร์อินทร์</t>
  </si>
  <si>
    <t>QA0061</t>
  </si>
  <si>
    <t>สังวาลย์</t>
  </si>
  <si>
    <t>จันทวงษ์</t>
  </si>
  <si>
    <t>QA0063</t>
  </si>
  <si>
    <t>QB0007</t>
  </si>
  <si>
    <t>บรรจง</t>
  </si>
  <si>
    <t>คงหนองลาน</t>
  </si>
  <si>
    <t>หจก.ณัฐชูพงศ์คอนกรีต</t>
  </si>
  <si>
    <t>QB0011</t>
  </si>
  <si>
    <t>หนุ่ม</t>
  </si>
  <si>
    <t>แก้วพรม</t>
  </si>
  <si>
    <t>QB0012</t>
  </si>
  <si>
    <t>ธีรศักดิ์</t>
  </si>
  <si>
    <t>พิจารณจิตต์</t>
  </si>
  <si>
    <t>QB0013</t>
  </si>
  <si>
    <t>ภักดีกุล</t>
  </si>
  <si>
    <t>QB0015</t>
  </si>
  <si>
    <t>สุขมามอญ</t>
  </si>
  <si>
    <t>QB0016</t>
  </si>
  <si>
    <t>กันสุทธิ</t>
  </si>
  <si>
    <t>ประวิทย์</t>
  </si>
  <si>
    <t>QD0008</t>
  </si>
  <si>
    <t>ทัตเทพ</t>
  </si>
  <si>
    <t>ชนม์สูงเนิน</t>
  </si>
  <si>
    <t>หจก.เจตนะธรรมค้าไม้</t>
  </si>
  <si>
    <t>QD0010</t>
  </si>
  <si>
    <t>พรมทิง</t>
  </si>
  <si>
    <t>QD0023</t>
  </si>
  <si>
    <t>นายสมพงษ์</t>
  </si>
  <si>
    <t>งอบโคกกรวด</t>
  </si>
  <si>
    <t>QD0029</t>
  </si>
  <si>
    <t>QD0037</t>
  </si>
  <si>
    <t>บุญเรือง</t>
  </si>
  <si>
    <t>ชัยภัคดี</t>
  </si>
  <si>
    <t>หจก.อังครงค์รักษ์พาณิชย์</t>
  </si>
  <si>
    <t>QE0003</t>
  </si>
  <si>
    <t>ณัฐภูมิ</t>
  </si>
  <si>
    <t>ชัยปะปัง</t>
  </si>
  <si>
    <t>QE0006</t>
  </si>
  <si>
    <t>สุริชิด</t>
  </si>
  <si>
    <t>ขวาละคร</t>
  </si>
  <si>
    <t>QE0007</t>
  </si>
  <si>
    <t>ปิดตาฝ้าย</t>
  </si>
  <si>
    <t>QE0013</t>
  </si>
  <si>
    <t>ประกวด</t>
  </si>
  <si>
    <t>แสงแก้วพะเนา</t>
  </si>
  <si>
    <t>QE0016</t>
  </si>
  <si>
    <t>วิรัตน์</t>
  </si>
  <si>
    <t>คิดถูก</t>
  </si>
  <si>
    <t>QE0025</t>
  </si>
  <si>
    <t>ทองสุก</t>
  </si>
  <si>
    <t>นพไธสง</t>
  </si>
  <si>
    <t>QE0045</t>
  </si>
  <si>
    <t>พวน</t>
  </si>
  <si>
    <t>อยู่เย็น</t>
  </si>
  <si>
    <t>QE0053</t>
  </si>
  <si>
    <t>นายจำลอง</t>
  </si>
  <si>
    <t>ประสมสัตย์</t>
  </si>
  <si>
    <t>QE0054</t>
  </si>
  <si>
    <t>จงแอบกลาง</t>
  </si>
  <si>
    <t>สมปอง</t>
  </si>
  <si>
    <t>QE0069</t>
  </si>
  <si>
    <t>นายวีรยุทธ</t>
  </si>
  <si>
    <t>มากมาย</t>
  </si>
  <si>
    <t>QE0072</t>
  </si>
  <si>
    <t>นายชูชีพ</t>
  </si>
  <si>
    <t>แดนสันเทียะ</t>
  </si>
  <si>
    <t>QE0073</t>
  </si>
  <si>
    <t>นายกร</t>
  </si>
  <si>
    <t>เกยกลาง</t>
  </si>
  <si>
    <t>QE0076</t>
  </si>
  <si>
    <t>บุญหลาย</t>
  </si>
  <si>
    <t>พาบุดดา</t>
  </si>
  <si>
    <t>QE0079</t>
  </si>
  <si>
    <t>นายคนอง</t>
  </si>
  <si>
    <t>ชอบชื่น</t>
  </si>
  <si>
    <t>QE0082</t>
  </si>
  <si>
    <t>คลังดี</t>
  </si>
  <si>
    <t>QE0087</t>
  </si>
  <si>
    <t>นายไพรัตน์</t>
  </si>
  <si>
    <t>แก้วเพชร</t>
  </si>
  <si>
    <t>QE0122</t>
  </si>
  <si>
    <t>นายวิชัย</t>
  </si>
  <si>
    <t>บำรุงไร่</t>
  </si>
  <si>
    <t>QE0128</t>
  </si>
  <si>
    <t>ยุทธการ</t>
  </si>
  <si>
    <t>จอยนอก</t>
  </si>
  <si>
    <t>QE0129</t>
  </si>
  <si>
    <t>นายวันชัย</t>
  </si>
  <si>
    <t>บุญเวช</t>
  </si>
  <si>
    <t>QE0133</t>
  </si>
  <si>
    <t>สถาพร</t>
  </si>
  <si>
    <t>เสริมนอก</t>
  </si>
  <si>
    <t>QE0136</t>
  </si>
  <si>
    <t>นายอภิชิต</t>
  </si>
  <si>
    <t>บุญเยี่ยม</t>
  </si>
  <si>
    <t>QE0138</t>
  </si>
  <si>
    <t>นายสุชาติ</t>
  </si>
  <si>
    <t>บุรุษรัมย์</t>
  </si>
  <si>
    <t>QE0141</t>
  </si>
  <si>
    <t>รังสรรค์</t>
  </si>
  <si>
    <t>พลวิเศษ</t>
  </si>
  <si>
    <t>QE0142</t>
  </si>
  <si>
    <t>จงเพ็งกลาง</t>
  </si>
  <si>
    <t>QE0143</t>
  </si>
  <si>
    <t>ศรียางนอก</t>
  </si>
  <si>
    <t>QE0144</t>
  </si>
  <si>
    <t>วิเศษสรรค์</t>
  </si>
  <si>
    <t>แพนไธสง</t>
  </si>
  <si>
    <t>QE0146</t>
  </si>
  <si>
    <t>ปราบมะเริง</t>
  </si>
  <si>
    <t>QE0148</t>
  </si>
  <si>
    <t>นายเสกสรร</t>
  </si>
  <si>
    <t>แก้วพิมาย</t>
  </si>
  <si>
    <t>QE0153</t>
  </si>
  <si>
    <t>บุญยัง</t>
  </si>
  <si>
    <t>นนกระโทก</t>
  </si>
  <si>
    <t>QE0157</t>
  </si>
  <si>
    <t>ศรีตรกูล</t>
  </si>
  <si>
    <t>กลั่นหมอ</t>
  </si>
  <si>
    <t>QE0158</t>
  </si>
  <si>
    <t>อุทิศ</t>
  </si>
  <si>
    <t>บุญเยี่่ยม</t>
  </si>
  <si>
    <t>QE0159</t>
  </si>
  <si>
    <t>รุ่งอรุณ</t>
  </si>
  <si>
    <t>สียางนอก</t>
  </si>
  <si>
    <t>QE0161</t>
  </si>
  <si>
    <t>หินนอก</t>
  </si>
  <si>
    <t>QE0162</t>
  </si>
  <si>
    <t>นนชัย</t>
  </si>
  <si>
    <t>QE0164</t>
  </si>
  <si>
    <t>จันทร์แรม</t>
  </si>
  <si>
    <t>วงศ์สุนา</t>
  </si>
  <si>
    <t>QE0166</t>
  </si>
  <si>
    <t>ธีรภัทร</t>
  </si>
  <si>
    <t>หลงพิมาย</t>
  </si>
  <si>
    <t>QE0167</t>
  </si>
  <si>
    <t>เพ็ชรสุข</t>
  </si>
  <si>
    <t>QE0168</t>
  </si>
  <si>
    <t>สัมพาส</t>
  </si>
  <si>
    <t>อยู่สำราญ</t>
  </si>
  <si>
    <t>QE0169</t>
  </si>
  <si>
    <t>เก็บพิมาย</t>
  </si>
  <si>
    <t>QE0170</t>
  </si>
  <si>
    <t>อรุณรุ่ง</t>
  </si>
  <si>
    <t>แสงศรี</t>
  </si>
  <si>
    <t>QE0171</t>
  </si>
  <si>
    <t>ดิสกุล</t>
  </si>
  <si>
    <t>สีทา</t>
  </si>
  <si>
    <t>QE0173</t>
  </si>
  <si>
    <t>นาวี</t>
  </si>
  <si>
    <t>พุทนา</t>
  </si>
  <si>
    <t>QE0174</t>
  </si>
  <si>
    <t>กชกร</t>
  </si>
  <si>
    <t>แอมพิมาย</t>
  </si>
  <si>
    <t>QE0175</t>
  </si>
  <si>
    <t>ภาณุวัฒน์</t>
  </si>
  <si>
    <t>รัดใหม่</t>
  </si>
  <si>
    <t>QE0176</t>
  </si>
  <si>
    <t>ธวัตชัย</t>
  </si>
  <si>
    <t>ป้องทองหลาง</t>
  </si>
  <si>
    <t>QF0035</t>
  </si>
  <si>
    <t>ธเนศ</t>
  </si>
  <si>
    <t>แก้วสระแสน</t>
  </si>
  <si>
    <t>หจก.เค.ที.เอส.ผลิตภัณฑ์คอนกรีต</t>
  </si>
  <si>
    <t>QF0037</t>
  </si>
  <si>
    <t>นายศักดฺิ์ชาย</t>
  </si>
  <si>
    <t>วงศ์คำเหลา</t>
  </si>
  <si>
    <t>QF0038</t>
  </si>
  <si>
    <t>สุเพ็ญ</t>
  </si>
  <si>
    <t>อุดม</t>
  </si>
  <si>
    <t>QF0045</t>
  </si>
  <si>
    <t>วรรณกระชา</t>
  </si>
  <si>
    <t>QF0046</t>
  </si>
  <si>
    <t>เพชรดี</t>
  </si>
  <si>
    <t>QF0047</t>
  </si>
  <si>
    <t>สุวานิตย์</t>
  </si>
  <si>
    <t>จันสด</t>
  </si>
  <si>
    <t>QG0002</t>
  </si>
  <si>
    <t>สุพิศ</t>
  </si>
  <si>
    <t>อินธิเดช</t>
  </si>
  <si>
    <t>QG0008</t>
  </si>
  <si>
    <t>วินัย</t>
  </si>
  <si>
    <t>ข่อยแก้ว</t>
  </si>
  <si>
    <t>QG0016</t>
  </si>
  <si>
    <t>ชาตรี</t>
  </si>
  <si>
    <t>รัตนา</t>
  </si>
  <si>
    <t>QH0002</t>
  </si>
  <si>
    <t>เสียด</t>
  </si>
  <si>
    <t>จงสูง</t>
  </si>
  <si>
    <t>สุริยัน</t>
  </si>
  <si>
    <t>QH0012</t>
  </si>
  <si>
    <t>บวรเทพ</t>
  </si>
  <si>
    <t>นามเขตต์</t>
  </si>
  <si>
    <t>QH0023</t>
  </si>
  <si>
    <t>กัมปนาท</t>
  </si>
  <si>
    <t>สำราญสุข</t>
  </si>
  <si>
    <t>สมพงษ์</t>
  </si>
  <si>
    <t>QH0031</t>
  </si>
  <si>
    <t>นิรุช</t>
  </si>
  <si>
    <t>QH0035</t>
  </si>
  <si>
    <t>QH0036</t>
  </si>
  <si>
    <t>อภิสร</t>
  </si>
  <si>
    <t>ถาวรชน</t>
  </si>
  <si>
    <t>QI0001</t>
  </si>
  <si>
    <t>วีระพันธ์</t>
  </si>
  <si>
    <t>QI0004</t>
  </si>
  <si>
    <t>แสนสมัคร</t>
  </si>
  <si>
    <t>QI0005</t>
  </si>
  <si>
    <t>ทองใส</t>
  </si>
  <si>
    <t>น้อยเมืองเปลือย</t>
  </si>
  <si>
    <t>QI0006</t>
  </si>
  <si>
    <t>สมเชิศ</t>
  </si>
  <si>
    <t>สิงห์สู่</t>
  </si>
  <si>
    <t>QI0010</t>
  </si>
  <si>
    <t>ชาน้อย</t>
  </si>
  <si>
    <t>QI0011</t>
  </si>
  <si>
    <t>พิชิต</t>
  </si>
  <si>
    <t>มะลิงาม</t>
  </si>
  <si>
    <t>QI0019</t>
  </si>
  <si>
    <t>คำเพ็ง</t>
  </si>
  <si>
    <t>QI0020</t>
  </si>
  <si>
    <t>อติชาต</t>
  </si>
  <si>
    <t>โคตรพันธ์</t>
  </si>
  <si>
    <t>QI0028</t>
  </si>
  <si>
    <t>บัวไข</t>
  </si>
  <si>
    <t>พิมพ์รัตน์</t>
  </si>
  <si>
    <t>QI0031</t>
  </si>
  <si>
    <t>บัญชา</t>
  </si>
  <si>
    <t>ยิ้มแย่มแสง</t>
  </si>
  <si>
    <t>QI0032</t>
  </si>
  <si>
    <t>สมบัติ</t>
  </si>
  <si>
    <t>ดวงมาลา</t>
  </si>
  <si>
    <t>QI0033</t>
  </si>
  <si>
    <t>ชานุราษฐ</t>
  </si>
  <si>
    <t>ศรีคำ</t>
  </si>
  <si>
    <t>QI0035</t>
  </si>
  <si>
    <t>นคร</t>
  </si>
  <si>
    <t>ยั่งยืน</t>
  </si>
  <si>
    <t>QI0036</t>
  </si>
  <si>
    <t>จักรชัย</t>
  </si>
  <si>
    <t>อุ่นวงศ์</t>
  </si>
  <si>
    <t>QI0038</t>
  </si>
  <si>
    <t>บุญสะอาด</t>
  </si>
  <si>
    <t>QI0041</t>
  </si>
  <si>
    <t>วีระกูล</t>
  </si>
  <si>
    <t>QI0044</t>
  </si>
  <si>
    <t>สิริโรจน์</t>
  </si>
  <si>
    <t>สมหวัง</t>
  </si>
  <si>
    <t>QI0045</t>
  </si>
  <si>
    <t>ณัฐพงษ์</t>
  </si>
  <si>
    <t>สะดวกกิจ</t>
  </si>
  <si>
    <t>QI0047</t>
  </si>
  <si>
    <t>ไพฑูรย์</t>
  </si>
  <si>
    <t>อุดมลาภ</t>
  </si>
  <si>
    <t>QI0052</t>
  </si>
  <si>
    <t>อ่อนสา</t>
  </si>
  <si>
    <t>กลิ่นกุหลาบ</t>
  </si>
  <si>
    <t>QI0056</t>
  </si>
  <si>
    <t>ทรงวุฒิ</t>
  </si>
  <si>
    <t>อินตะ</t>
  </si>
  <si>
    <t>QI0059</t>
  </si>
  <si>
    <t>อมรเทพ</t>
  </si>
  <si>
    <t>บุญทาป</t>
  </si>
  <si>
    <t>QI0060</t>
  </si>
  <si>
    <t>อธิพงษ์</t>
  </si>
  <si>
    <t>ปาณะวงศ์</t>
  </si>
  <si>
    <t>QI0061</t>
  </si>
  <si>
    <t>พัฒน์</t>
  </si>
  <si>
    <t>เที่ยงเกตุ</t>
  </si>
  <si>
    <t>QJ0004</t>
  </si>
  <si>
    <t>เหมือน</t>
  </si>
  <si>
    <t>เพ็งเสง</t>
  </si>
  <si>
    <t>QJ0008</t>
  </si>
  <si>
    <t>QJ0015</t>
  </si>
  <si>
    <t>QJ0018</t>
  </si>
  <si>
    <t>อภินันท์</t>
  </si>
  <si>
    <t>บัวพันธ์</t>
  </si>
  <si>
    <t>QL0006</t>
  </si>
  <si>
    <t>นายคะนอง</t>
  </si>
  <si>
    <t>ขวัญรอด</t>
  </si>
  <si>
    <t>QL0009</t>
  </si>
  <si>
    <t>นายเริงฤทธิ์</t>
  </si>
  <si>
    <t>มีมาก</t>
  </si>
  <si>
    <t>หจก.นราธิวาสทักษิณคอนกรีต</t>
  </si>
  <si>
    <t>QM0007</t>
  </si>
  <si>
    <t>มะแอ</t>
  </si>
  <si>
    <t>ฮาแว</t>
  </si>
  <si>
    <t>QM0011</t>
  </si>
  <si>
    <t>รุสมิน</t>
  </si>
  <si>
    <t>เจ๊ะฮะ</t>
  </si>
  <si>
    <t>QM0018</t>
  </si>
  <si>
    <t>รอนิง</t>
  </si>
  <si>
    <t>เจ๊ะบือราเฮง</t>
  </si>
  <si>
    <t>มูหาหมัดอาซัน</t>
  </si>
  <si>
    <t>เจ๊ะสือนิ</t>
  </si>
  <si>
    <t>เจ๊ะอาแซ</t>
  </si>
  <si>
    <t>QM0033</t>
  </si>
  <si>
    <t>บูดีมัน</t>
  </si>
  <si>
    <t>ยาซิง</t>
  </si>
  <si>
    <t>QM0035</t>
  </si>
  <si>
    <t>ตูแวรอเซ็ง</t>
  </si>
  <si>
    <t>ตูแวกือจิ</t>
  </si>
  <si>
    <t>QM0036</t>
  </si>
  <si>
    <t>มะรูเด็ง</t>
  </si>
  <si>
    <t>มะโซะ</t>
  </si>
  <si>
    <t>QM0037</t>
  </si>
  <si>
    <t>รามซู</t>
  </si>
  <si>
    <t>ดือเร๊ะ</t>
  </si>
  <si>
    <t>QM0038</t>
  </si>
  <si>
    <t>อิสมะแอ</t>
  </si>
  <si>
    <t>สอนิ</t>
  </si>
  <si>
    <t>QM0040</t>
  </si>
  <si>
    <t>ไพสรรณ</t>
  </si>
  <si>
    <t>ตีโม</t>
  </si>
  <si>
    <t>QN0001</t>
  </si>
  <si>
    <t>อุดร</t>
  </si>
  <si>
    <t>ศรีนภาชัย</t>
  </si>
  <si>
    <t>QN0002</t>
  </si>
  <si>
    <t>นายยาการียา</t>
  </si>
  <si>
    <t>เปาะเดร์</t>
  </si>
  <si>
    <t>QN0003</t>
  </si>
  <si>
    <t>มะเซ้ง</t>
  </si>
  <si>
    <t>QN0004</t>
  </si>
  <si>
    <t>นายอดิศิกดิ์</t>
  </si>
  <si>
    <t>สาและ</t>
  </si>
  <si>
    <t>QN0005</t>
  </si>
  <si>
    <t>นายตอฟเฟด</t>
  </si>
  <si>
    <t>ฮายีอาแว</t>
  </si>
  <si>
    <t>QN0009</t>
  </si>
  <si>
    <t>นายอะรุบัน</t>
  </si>
  <si>
    <t>มะเซ็ง</t>
  </si>
  <si>
    <t>QN0010</t>
  </si>
  <si>
    <t>สมาน</t>
  </si>
  <si>
    <t>เจะมะ</t>
  </si>
  <si>
    <t>QN0012</t>
  </si>
  <si>
    <t>นายอัลยุฟรี</t>
  </si>
  <si>
    <t>แวฮามะ</t>
  </si>
  <si>
    <t>QN0013</t>
  </si>
  <si>
    <t>QN0015</t>
  </si>
  <si>
    <t>นายสะการียา</t>
  </si>
  <si>
    <t>QN0018</t>
  </si>
  <si>
    <t>นิปอ</t>
  </si>
  <si>
    <t>นิกูโน</t>
  </si>
  <si>
    <t>QN0019</t>
  </si>
  <si>
    <t>นายไซฟู</t>
  </si>
  <si>
    <t>ดอเลาะ</t>
  </si>
  <si>
    <t>QN0024</t>
  </si>
  <si>
    <t>นายอัมฟาล</t>
  </si>
  <si>
    <t>หยังสู</t>
  </si>
  <si>
    <t>QN0027</t>
  </si>
  <si>
    <t>นิแม</t>
  </si>
  <si>
    <t>วิชา</t>
  </si>
  <si>
    <t>QN0028</t>
  </si>
  <si>
    <t>อิสมาแอ</t>
  </si>
  <si>
    <t>ยะหริ่ง</t>
  </si>
  <si>
    <t>QO0002</t>
  </si>
  <si>
    <t>สุริยรังรอง</t>
  </si>
  <si>
    <t>QO0010</t>
  </si>
  <si>
    <t>จอนทอง</t>
  </si>
  <si>
    <t>QO0011</t>
  </si>
  <si>
    <t>ทองรอด</t>
  </si>
  <si>
    <t>QO0014</t>
  </si>
  <si>
    <t>กันภัย</t>
  </si>
  <si>
    <t>QO0015</t>
  </si>
  <si>
    <t>ว่าหาบ</t>
  </si>
  <si>
    <t>เกื้อชาติ</t>
  </si>
  <si>
    <t>QO0016</t>
  </si>
  <si>
    <t>หมาดสาด</t>
  </si>
  <si>
    <t>บรรจบ</t>
  </si>
  <si>
    <t>ประสมกิจ</t>
  </si>
  <si>
    <t>QQ0004</t>
  </si>
  <si>
    <t>ประจวบ</t>
  </si>
  <si>
    <t>ปงรังสี</t>
  </si>
  <si>
    <t>QQ0006</t>
  </si>
  <si>
    <t>QQ0010</t>
  </si>
  <si>
    <t>ศุภโชค</t>
  </si>
  <si>
    <t>แซ่เหลี่ยม</t>
  </si>
  <si>
    <t>QQ0011</t>
  </si>
  <si>
    <t>บรรจงการ</t>
  </si>
  <si>
    <t>QQ0015</t>
  </si>
  <si>
    <t>เสรี</t>
  </si>
  <si>
    <t>สงวนทรัพย์</t>
  </si>
  <si>
    <t>ธีรยุทธ</t>
  </si>
  <si>
    <t>QQ0019</t>
  </si>
  <si>
    <t>อาคม</t>
  </si>
  <si>
    <t>เทพณรงค์</t>
  </si>
  <si>
    <t>QQ0020</t>
  </si>
  <si>
    <t>ทศพร</t>
  </si>
  <si>
    <t>ประสพมิตร</t>
  </si>
  <si>
    <t>QQ0021</t>
  </si>
  <si>
    <t>ถิรวัฒน์</t>
  </si>
  <si>
    <t>ไชยมาตร</t>
  </si>
  <si>
    <t>ชมคำ</t>
  </si>
  <si>
    <t>QQ0026</t>
  </si>
  <si>
    <t>จตุฤทธิ์</t>
  </si>
  <si>
    <t>QQ0027</t>
  </si>
  <si>
    <t>วัชรเกียรติ</t>
  </si>
  <si>
    <t>QQ0028</t>
  </si>
  <si>
    <t>เจม</t>
  </si>
  <si>
    <t>หาญวารี</t>
  </si>
  <si>
    <t>QQ0029</t>
  </si>
  <si>
    <t>กรษณ</t>
  </si>
  <si>
    <t>จูดเมือง</t>
  </si>
  <si>
    <t>QT0002</t>
  </si>
  <si>
    <t>เขียวอุไร</t>
  </si>
  <si>
    <t>หจก.ขนอมคอนกรีต 2000</t>
  </si>
  <si>
    <t>QT0003</t>
  </si>
  <si>
    <t>ธราภรณ์</t>
  </si>
  <si>
    <t>แซ่เตี้ย</t>
  </si>
  <si>
    <t>QT0005</t>
  </si>
  <si>
    <t>เจนณรงค์</t>
  </si>
  <si>
    <t>บุญชากร</t>
  </si>
  <si>
    <t>QT0008</t>
  </si>
  <si>
    <t>สุพร</t>
  </si>
  <si>
    <t>ก๋งหวั๋น</t>
  </si>
  <si>
    <t>QT0011</t>
  </si>
  <si>
    <t>ชาติชาย</t>
  </si>
  <si>
    <t>ขาวใหม่</t>
  </si>
  <si>
    <t>QU0030</t>
  </si>
  <si>
    <t>QU0032</t>
  </si>
  <si>
    <t>รุจน์</t>
  </si>
  <si>
    <t>พูลสวัสด์</t>
  </si>
  <si>
    <t>QU0035</t>
  </si>
  <si>
    <t>ต้อยแก้ว</t>
  </si>
  <si>
    <t>กฤษดา</t>
  </si>
  <si>
    <t>QX0001</t>
  </si>
  <si>
    <t>มานะพงศ์</t>
  </si>
  <si>
    <t>ทองเกลี้ยง</t>
  </si>
  <si>
    <t>QX0002</t>
  </si>
  <si>
    <t>นายชูทวีป</t>
  </si>
  <si>
    <t>ทิพย์ป่าเว</t>
  </si>
  <si>
    <t>QX0003</t>
  </si>
  <si>
    <t>ช่วยเพ็ง</t>
  </si>
  <si>
    <t>QX0004</t>
  </si>
  <si>
    <t>สายกัน</t>
  </si>
  <si>
    <t>QX0005</t>
  </si>
  <si>
    <t>พูลศักดิ์</t>
  </si>
  <si>
    <t>โตขาว</t>
  </si>
  <si>
    <t>QX0006</t>
  </si>
  <si>
    <t>วิโชค</t>
  </si>
  <si>
    <t>แก้วหอด</t>
  </si>
  <si>
    <t>QX0008</t>
  </si>
  <si>
    <t>เอกรินทร์</t>
  </si>
  <si>
    <t>ชุมทับ</t>
  </si>
  <si>
    <t>QX0009</t>
  </si>
  <si>
    <t>ศุภวัฒน์</t>
  </si>
  <si>
    <t>ไชยสิทธิ์</t>
  </si>
  <si>
    <t>QY0001</t>
  </si>
  <si>
    <t>หจก.ลิ้มปิพงษ์ค้าวัสดุก่อสร้างและคอนกรีต</t>
  </si>
  <si>
    <t>QY0002</t>
  </si>
  <si>
    <t>จันทร์พราหมณ์</t>
  </si>
  <si>
    <t>QY0003</t>
  </si>
  <si>
    <t>ประเวช</t>
  </si>
  <si>
    <t>ขาวผ่อง</t>
  </si>
  <si>
    <t>QY0004</t>
  </si>
  <si>
    <t>บัวลอย</t>
  </si>
  <si>
    <t>ภูมิลา</t>
  </si>
  <si>
    <t>QY0005</t>
  </si>
  <si>
    <t>QY0008</t>
  </si>
  <si>
    <t>QZ0033</t>
  </si>
  <si>
    <t>บุญช่วย</t>
  </si>
  <si>
    <t>ขำคม</t>
  </si>
  <si>
    <t>หจก.ทวิภัณฑ์ฮอดคอนกรีต</t>
  </si>
  <si>
    <t>QZ0090</t>
  </si>
  <si>
    <t>ตั๋นเขียว</t>
  </si>
  <si>
    <t>ธนกฤติ</t>
  </si>
  <si>
    <t>ยังธัญญา</t>
  </si>
  <si>
    <t>สวัสดีลาภา</t>
  </si>
  <si>
    <t>นายธีระ</t>
  </si>
  <si>
    <t>RA0074</t>
  </si>
  <si>
    <t>นายสามารถ</t>
  </si>
  <si>
    <t>ศรีเทศ</t>
  </si>
  <si>
    <t>นายอดุลย์</t>
  </si>
  <si>
    <t>โทอ่อน</t>
  </si>
  <si>
    <t>ยืนยง</t>
  </si>
  <si>
    <t>RB0051</t>
  </si>
  <si>
    <t>นิพล</t>
  </si>
  <si>
    <t>พันธ์คำภา</t>
  </si>
  <si>
    <t>RB0052</t>
  </si>
  <si>
    <t>RB0053</t>
  </si>
  <si>
    <t>สุคนธ์</t>
  </si>
  <si>
    <t>ประเสริฐสังข์</t>
  </si>
  <si>
    <t>RB0055</t>
  </si>
  <si>
    <t>RB0056</t>
  </si>
  <si>
    <t>รุ่งวิจิตรชัย</t>
  </si>
  <si>
    <t>RB0057</t>
  </si>
  <si>
    <t>อภิวัฒน์</t>
  </si>
  <si>
    <t>RB0058</t>
  </si>
  <si>
    <t>อดุลย์</t>
  </si>
  <si>
    <t>RD0003</t>
  </si>
  <si>
    <t>ประจักษ์</t>
  </si>
  <si>
    <t>น้ำจันทร์</t>
  </si>
  <si>
    <t>RD0008</t>
  </si>
  <si>
    <t>หอมดอกพุด</t>
  </si>
  <si>
    <t>RD0011</t>
  </si>
  <si>
    <t>สุรสิทธิ์</t>
  </si>
  <si>
    <t>พูลทรัพย์</t>
  </si>
  <si>
    <t>ทับพันธ์</t>
  </si>
  <si>
    <t>RD0020</t>
  </si>
  <si>
    <t>ทับพันธุ์</t>
  </si>
  <si>
    <t>RD0023</t>
  </si>
  <si>
    <t>เกตุแก้ว</t>
  </si>
  <si>
    <t>RE0001</t>
  </si>
  <si>
    <t>อดิศักดิ์</t>
  </si>
  <si>
    <t>ศรีวารินทร์</t>
  </si>
  <si>
    <t>RE0011</t>
  </si>
  <si>
    <t>สินชัย</t>
  </si>
  <si>
    <t>ดำคล้าย</t>
  </si>
  <si>
    <t>RE0012</t>
  </si>
  <si>
    <t>คูหธนเสถียร</t>
  </si>
  <si>
    <t>RE0013</t>
  </si>
  <si>
    <t>สินสัน</t>
  </si>
  <si>
    <t>รักษ์เมือง</t>
  </si>
  <si>
    <t>RE0017</t>
  </si>
  <si>
    <t>วสันต์</t>
  </si>
  <si>
    <t>มิ่งวรรณ</t>
  </si>
  <si>
    <t>RE0020</t>
  </si>
  <si>
    <t>นายบุดจนาจ</t>
  </si>
  <si>
    <t>อนันตะภูมิ</t>
  </si>
  <si>
    <t>RE0021</t>
  </si>
  <si>
    <t>สุวรรรณ</t>
  </si>
  <si>
    <t>ทรัพย์วัฒนากร</t>
  </si>
  <si>
    <t>RE0022</t>
  </si>
  <si>
    <t>ธีระชัย</t>
  </si>
  <si>
    <t>หนูแก้ว</t>
  </si>
  <si>
    <t>RE0023</t>
  </si>
  <si>
    <t>สุบิน</t>
  </si>
  <si>
    <t>อักษรสมบัติ</t>
  </si>
  <si>
    <t>RE0024</t>
  </si>
  <si>
    <t>กิตติศักดิ์</t>
  </si>
  <si>
    <t>พานทอง</t>
  </si>
  <si>
    <t>RE0025</t>
  </si>
  <si>
    <t>สรวิชญ์</t>
  </si>
  <si>
    <t>ทองนอก</t>
  </si>
  <si>
    <t>RF0002</t>
  </si>
  <si>
    <t>สุทิน</t>
  </si>
  <si>
    <t>พุ่มมะลิ</t>
  </si>
  <si>
    <t>RF0019</t>
  </si>
  <si>
    <t>จิตรตารมย์</t>
  </si>
  <si>
    <t>RF0020</t>
  </si>
  <si>
    <t>เกตุผาสุข</t>
  </si>
  <si>
    <t>RF0022</t>
  </si>
  <si>
    <t>วิษณุ</t>
  </si>
  <si>
    <t>คงนา</t>
  </si>
  <si>
    <t>RF0023</t>
  </si>
  <si>
    <t>คงเจริญถิ่น</t>
  </si>
  <si>
    <t>RG0002</t>
  </si>
  <si>
    <t>มาหะมะ</t>
  </si>
  <si>
    <t>มะลี</t>
  </si>
  <si>
    <t>RG0003</t>
  </si>
  <si>
    <t>แวสะรี</t>
  </si>
  <si>
    <t>แวมูซอ</t>
  </si>
  <si>
    <t>RG0004</t>
  </si>
  <si>
    <t>มะหลี</t>
  </si>
  <si>
    <t>RG0005</t>
  </si>
  <si>
    <t>หาลีย๊ะ</t>
  </si>
  <si>
    <t>ยือมิง</t>
  </si>
  <si>
    <t>RG0007</t>
  </si>
  <si>
    <t>ซาวาวี</t>
  </si>
  <si>
    <t>สือแม</t>
  </si>
  <si>
    <t>RG0008</t>
  </si>
  <si>
    <t>มูฮำหมัดฮานาฟี</t>
  </si>
  <si>
    <t>RH0001</t>
  </si>
  <si>
    <t>เฉลิมชาติ</t>
  </si>
  <si>
    <t>เพชรสุวรรณ</t>
  </si>
  <si>
    <t>RH0011</t>
  </si>
  <si>
    <t>วุฒิกล้า</t>
  </si>
  <si>
    <t>กล้ากลางดอน</t>
  </si>
  <si>
    <t>RH0022</t>
  </si>
  <si>
    <t>นายไพศาล</t>
  </si>
  <si>
    <t>เรียนพืช</t>
  </si>
  <si>
    <t>RI0001</t>
  </si>
  <si>
    <t>แดงงาม</t>
  </si>
  <si>
    <t>ดวง</t>
  </si>
  <si>
    <t>RI0017</t>
  </si>
  <si>
    <t>ผันกลาง</t>
  </si>
  <si>
    <t>RI0018</t>
  </si>
  <si>
    <t>สมภพ</t>
  </si>
  <si>
    <t>หงษ์ทอง</t>
  </si>
  <si>
    <t>RI0022</t>
  </si>
  <si>
    <t>รุ่งเรือง</t>
  </si>
  <si>
    <t>เอี่ยมสอาด</t>
  </si>
  <si>
    <t>จันสีดา</t>
  </si>
  <si>
    <t>RI0041</t>
  </si>
  <si>
    <t>นายนิกร</t>
  </si>
  <si>
    <t>ผลจะโปะ</t>
  </si>
  <si>
    <t>RI0042</t>
  </si>
  <si>
    <t>นายราชัญ</t>
  </si>
  <si>
    <t>เริกหริ่ง</t>
  </si>
  <si>
    <t>RI0045</t>
  </si>
  <si>
    <t>นายสมบูรณ์</t>
  </si>
  <si>
    <t>ร้อยมา</t>
  </si>
  <si>
    <t>RI0049</t>
  </si>
  <si>
    <t>ทองอินทร์</t>
  </si>
  <si>
    <t>ห้องมณี</t>
  </si>
  <si>
    <t>วิชิต</t>
  </si>
  <si>
    <t>น้อย</t>
  </si>
  <si>
    <t>RI0054</t>
  </si>
  <si>
    <t>วสวัตติ์</t>
  </si>
  <si>
    <t>พงษ์สกุลรัตน์</t>
  </si>
  <si>
    <t>ชาลี</t>
  </si>
  <si>
    <t>RJ0002</t>
  </si>
  <si>
    <t>นิกร</t>
  </si>
  <si>
    <t>ปัญญาวงค์</t>
  </si>
  <si>
    <t>หจก.จักรภัทรคอนกรีต</t>
  </si>
  <si>
    <t>RJ0007</t>
  </si>
  <si>
    <t>กล้าหาญ</t>
  </si>
  <si>
    <t>RJ0013</t>
  </si>
  <si>
    <t>เลิศพิพีฒน์</t>
  </si>
  <si>
    <t>ฟองจันทร์</t>
  </si>
  <si>
    <t>RK0003</t>
  </si>
  <si>
    <t>สุธรรม</t>
  </si>
  <si>
    <t>หจก.ส.พงษ์เจริญคอนกรีตผสมเสร็จ</t>
  </si>
  <si>
    <t>RK0019</t>
  </si>
  <si>
    <t>เจตริน</t>
  </si>
  <si>
    <t>วะลัยศรี</t>
  </si>
  <si>
    <t>RK0022</t>
  </si>
  <si>
    <t>นายประสิทธิ์</t>
  </si>
  <si>
    <t>ชาติรัมย์</t>
  </si>
  <si>
    <t>RK0025</t>
  </si>
  <si>
    <t>วัฒนา</t>
  </si>
  <si>
    <t>ชนะก่ารี</t>
  </si>
  <si>
    <t>RK0027</t>
  </si>
  <si>
    <t>จิ๋วแหยม</t>
  </si>
  <si>
    <t>RK0028</t>
  </si>
  <si>
    <t>พิษณุ</t>
  </si>
  <si>
    <t>จันทร์เชื้อ</t>
  </si>
  <si>
    <t>RL0021</t>
  </si>
  <si>
    <t>สินาท</t>
  </si>
  <si>
    <t>พึ่งสิทธิ์</t>
  </si>
  <si>
    <t>RL0023</t>
  </si>
  <si>
    <t>วงค์ลำเนาว์</t>
  </si>
  <si>
    <t>RL0024</t>
  </si>
  <si>
    <t>ศรีสำอางค์</t>
  </si>
  <si>
    <t>นิคม</t>
  </si>
  <si>
    <t>ประดิษฐ์</t>
  </si>
  <si>
    <t>RL0046</t>
  </si>
  <si>
    <t>พิทักษ์ภูธร</t>
  </si>
  <si>
    <t>เลิศสันเที๊ยะ</t>
  </si>
  <si>
    <t>RM0019</t>
  </si>
  <si>
    <t>บรรจงปรุ</t>
  </si>
  <si>
    <t>หจก.ศรีเทพคอนกรีตผสมเสร็จ</t>
  </si>
  <si>
    <t>RM0040</t>
  </si>
  <si>
    <t>อินทาสุข</t>
  </si>
  <si>
    <t>RM0065</t>
  </si>
  <si>
    <t>สมประสงค์</t>
  </si>
  <si>
    <t>แสงกล้า</t>
  </si>
  <si>
    <t>RM0066</t>
  </si>
  <si>
    <t>ไพทูล</t>
  </si>
  <si>
    <t>บุญโชติ</t>
  </si>
  <si>
    <t>RM0076</t>
  </si>
  <si>
    <t>คูณ</t>
  </si>
  <si>
    <t>แก้วสง่า</t>
  </si>
  <si>
    <t>RM0078</t>
  </si>
  <si>
    <t>บุญรอด</t>
  </si>
  <si>
    <t>ประเสริฐ</t>
  </si>
  <si>
    <t>RM0079</t>
  </si>
  <si>
    <t>จำลอง</t>
  </si>
  <si>
    <t>ตากิ่มนอก</t>
  </si>
  <si>
    <t>RM0080</t>
  </si>
  <si>
    <t>เชาวลิต</t>
  </si>
  <si>
    <t>เกิดดี</t>
  </si>
  <si>
    <t>RM0082</t>
  </si>
  <si>
    <t>สำเริงฤทธิ์</t>
  </si>
  <si>
    <t>ศรีอาภรณ์</t>
  </si>
  <si>
    <t>RN0015</t>
  </si>
  <si>
    <t>วิชาญ</t>
  </si>
  <si>
    <t>ตรงดี</t>
  </si>
  <si>
    <t>RN0031</t>
  </si>
  <si>
    <t>สำเนาว์</t>
  </si>
  <si>
    <t>แก้วแดง</t>
  </si>
  <si>
    <t>RN0033</t>
  </si>
  <si>
    <t>สนธยา</t>
  </si>
  <si>
    <t>พรหมโชติ</t>
  </si>
  <si>
    <t>RN0038</t>
  </si>
  <si>
    <t>ระเบียบ</t>
  </si>
  <si>
    <t>ปทุมานนท์</t>
  </si>
  <si>
    <t>RN0039</t>
  </si>
  <si>
    <t>นฤทธิ์</t>
  </si>
  <si>
    <t>เพ็งเดือน</t>
  </si>
  <si>
    <t>RN0040</t>
  </si>
  <si>
    <t>RN0041</t>
  </si>
  <si>
    <t>ชัยชาญ</t>
  </si>
  <si>
    <t>เสนา</t>
  </si>
  <si>
    <t>RO0003</t>
  </si>
  <si>
    <t>เฮง</t>
  </si>
  <si>
    <t>พานิชกิจ</t>
  </si>
  <si>
    <t>หจก.ไทยสมบูรณ์ บิ๊กโฮม คอนกรีต</t>
  </si>
  <si>
    <t>RO0004</t>
  </si>
  <si>
    <t>เจ็กอยู่</t>
  </si>
  <si>
    <t>RO0008</t>
  </si>
  <si>
    <t>สนม</t>
  </si>
  <si>
    <t>พึ่งเตง</t>
  </si>
  <si>
    <t>RO0011</t>
  </si>
  <si>
    <t>RO0015</t>
  </si>
  <si>
    <t>นายภูษิต</t>
  </si>
  <si>
    <t>เนียมพา</t>
  </si>
  <si>
    <t>RP0001</t>
  </si>
  <si>
    <t>เจริญศรี</t>
  </si>
  <si>
    <t>RP0002</t>
  </si>
  <si>
    <t>RP0003</t>
  </si>
  <si>
    <t>ชูศักดิ์</t>
  </si>
  <si>
    <t>สาระต่อ</t>
  </si>
  <si>
    <t>RP0004</t>
  </si>
  <si>
    <t>ทองสุข</t>
  </si>
  <si>
    <t>ทองแผ่น</t>
  </si>
  <si>
    <t>RP0005</t>
  </si>
  <si>
    <t>นิมิต</t>
  </si>
  <si>
    <t>เรืองจรูญ</t>
  </si>
  <si>
    <t>RP0008</t>
  </si>
  <si>
    <t>ปราโมทย์</t>
  </si>
  <si>
    <t>สิงขรรักษ์</t>
  </si>
  <si>
    <t>RP0009</t>
  </si>
  <si>
    <t>พิเชษฐ์</t>
  </si>
  <si>
    <t>แม้นเดช</t>
  </si>
  <si>
    <t>RP0013</t>
  </si>
  <si>
    <t>โคมเวียน</t>
  </si>
  <si>
    <t>RP0019</t>
  </si>
  <si>
    <t>ประณิธาณ</t>
  </si>
  <si>
    <t>สว่างเมฆ</t>
  </si>
  <si>
    <t>RP0030</t>
  </si>
  <si>
    <t>ไกรดาว</t>
  </si>
  <si>
    <t>RP0031</t>
  </si>
  <si>
    <t>RP0033</t>
  </si>
  <si>
    <t>วิรัช</t>
  </si>
  <si>
    <t>ลิ้มไพบูลย์</t>
  </si>
  <si>
    <t>RP0042</t>
  </si>
  <si>
    <t>โพธิ์ทอง</t>
  </si>
  <si>
    <t>RP0044</t>
  </si>
  <si>
    <t>เอี่ยมทรัพย์</t>
  </si>
  <si>
    <t>RP0045</t>
  </si>
  <si>
    <t>ฉิมพาลี</t>
  </si>
  <si>
    <t>RP0046</t>
  </si>
  <si>
    <t>ไตรภพ</t>
  </si>
  <si>
    <t>สุริยะ</t>
  </si>
  <si>
    <t>RQ0008</t>
  </si>
  <si>
    <t>นิรุตย์</t>
  </si>
  <si>
    <t>คำแป้น</t>
  </si>
  <si>
    <t>RQ0019</t>
  </si>
  <si>
    <t>เฉลิมพร</t>
  </si>
  <si>
    <t>รักบำรุง</t>
  </si>
  <si>
    <t>RQ0025</t>
  </si>
  <si>
    <t>อนุรักษ์</t>
  </si>
  <si>
    <t>คชเชนทร์</t>
  </si>
  <si>
    <t>RQ0033</t>
  </si>
  <si>
    <t>เค้าดำ</t>
  </si>
  <si>
    <t>RQ0034</t>
  </si>
  <si>
    <t>เจริญสุข</t>
  </si>
  <si>
    <t>RQ0037</t>
  </si>
  <si>
    <t>สุขสันต์</t>
  </si>
  <si>
    <t>ไชยณรงค์</t>
  </si>
  <si>
    <t>RQ0038</t>
  </si>
  <si>
    <t>หยูตุ้ง</t>
  </si>
  <si>
    <t>RQ0039</t>
  </si>
  <si>
    <t>บุญฉิม</t>
  </si>
  <si>
    <t>RQ0040</t>
  </si>
  <si>
    <t>สรรเสริญ</t>
  </si>
  <si>
    <t>หนูมาก</t>
  </si>
  <si>
    <t>RQ0041</t>
  </si>
  <si>
    <t>เฉลิมพงษ์</t>
  </si>
  <si>
    <t>RQ0043</t>
  </si>
  <si>
    <t>สราวิชญ์</t>
  </si>
  <si>
    <t>จงจิตร์</t>
  </si>
  <si>
    <t>RS0010</t>
  </si>
  <si>
    <t>นายวิสูติ</t>
  </si>
  <si>
    <t>ขันธ์แก้ว</t>
  </si>
  <si>
    <t>RS0012</t>
  </si>
  <si>
    <t>เอกสิทธิ์</t>
  </si>
  <si>
    <t>ทองมาก</t>
  </si>
  <si>
    <t>RS0013</t>
  </si>
  <si>
    <t>ภิรมย์</t>
  </si>
  <si>
    <t>ซุ้นสุวรรณ</t>
  </si>
  <si>
    <t>RT0001</t>
  </si>
  <si>
    <t>ธรรมรงค์</t>
  </si>
  <si>
    <t>ใบตาเย็บ</t>
  </si>
  <si>
    <t>RT0013</t>
  </si>
  <si>
    <t>นัมรัตน์</t>
  </si>
  <si>
    <t>RT0014</t>
  </si>
  <si>
    <t>นายอ๊าต</t>
  </si>
  <si>
    <t>สงเคราะห์</t>
  </si>
  <si>
    <t>RT0022</t>
  </si>
  <si>
    <t>วรวุธ</t>
  </si>
  <si>
    <t>แสงมณี</t>
  </si>
  <si>
    <t>RT0024</t>
  </si>
  <si>
    <t>รวงพันธ์</t>
  </si>
  <si>
    <t>RT0026</t>
  </si>
  <si>
    <t>หะยีเส็น</t>
  </si>
  <si>
    <t>RT0028</t>
  </si>
  <si>
    <t>ประพันธ์ศิริ</t>
  </si>
  <si>
    <t>บุญสอน</t>
  </si>
  <si>
    <t>RU0001</t>
  </si>
  <si>
    <t>โครตบุญครอง</t>
  </si>
  <si>
    <t>RU0003</t>
  </si>
  <si>
    <t>ภูบุญแอม</t>
  </si>
  <si>
    <t>RU0005</t>
  </si>
  <si>
    <t>คุณ</t>
  </si>
  <si>
    <t>พุทธ</t>
  </si>
  <si>
    <t>RU0006</t>
  </si>
  <si>
    <t>คุณทูลทองใจ</t>
  </si>
  <si>
    <t>วิชัยชา</t>
  </si>
  <si>
    <t>RU0009</t>
  </si>
  <si>
    <t>คานถวิล</t>
  </si>
  <si>
    <t>วิทยาเวทย์</t>
  </si>
  <si>
    <t>RU0021</t>
  </si>
  <si>
    <t>นายสัญญา</t>
  </si>
  <si>
    <t>พิยะเศษ</t>
  </si>
  <si>
    <t>RU0023</t>
  </si>
  <si>
    <t>ตาวะศรี</t>
  </si>
  <si>
    <t>RU0036</t>
  </si>
  <si>
    <t>สายศรี</t>
  </si>
  <si>
    <t>นายอดิศักดิ์</t>
  </si>
  <si>
    <t>ตาสาโรจน์</t>
  </si>
  <si>
    <t>RU0047</t>
  </si>
  <si>
    <t>ศรีบุรัมย์</t>
  </si>
  <si>
    <t>นายพิสิษฐ์</t>
  </si>
  <si>
    <t>บรรณกิจ</t>
  </si>
  <si>
    <t>นายวัฒนา</t>
  </si>
  <si>
    <t>RU0071</t>
  </si>
  <si>
    <t>ทองใบ</t>
  </si>
  <si>
    <t>วิทยา</t>
  </si>
  <si>
    <t>RU0073</t>
  </si>
  <si>
    <t>เกษม</t>
  </si>
  <si>
    <t>ศิริวิเศษไทย</t>
  </si>
  <si>
    <t>RU0074</t>
  </si>
  <si>
    <t>วัชริน</t>
  </si>
  <si>
    <t>RV0013</t>
  </si>
  <si>
    <t>โสตะวงศ์</t>
  </si>
  <si>
    <t>RZ0001</t>
  </si>
  <si>
    <t>คุ่ยยกสุย</t>
  </si>
  <si>
    <t>RZ0003</t>
  </si>
  <si>
    <t>เจตน์</t>
  </si>
  <si>
    <t>จันทร์ทอง</t>
  </si>
  <si>
    <t>SA0004</t>
  </si>
  <si>
    <t>ขจรศักดิ์</t>
  </si>
  <si>
    <t>คล่องดี</t>
  </si>
  <si>
    <t>SA0030</t>
  </si>
  <si>
    <t>กำพล</t>
  </si>
  <si>
    <t>ชูเกียรติ</t>
  </si>
  <si>
    <t>SA0032</t>
  </si>
  <si>
    <t>สมมาตร</t>
  </si>
  <si>
    <t>จันทมาศ</t>
  </si>
  <si>
    <t>SA0034</t>
  </si>
  <si>
    <t>อนุพงศ์</t>
  </si>
  <si>
    <t>กลิ่นบำรุง</t>
  </si>
  <si>
    <t>SA0036</t>
  </si>
  <si>
    <t>ทัศน์นิยม</t>
  </si>
  <si>
    <t>SB0004</t>
  </si>
  <si>
    <t>สนั่น</t>
  </si>
  <si>
    <t>กันทองสุข</t>
  </si>
  <si>
    <t>SB0008</t>
  </si>
  <si>
    <t>นาคแจ่ม</t>
  </si>
  <si>
    <t>SB0009</t>
  </si>
  <si>
    <t>มานิตย์</t>
  </si>
  <si>
    <t>มาโยธา</t>
  </si>
  <si>
    <t>SC0003</t>
  </si>
  <si>
    <t>อินสุข</t>
  </si>
  <si>
    <t>SC0004</t>
  </si>
  <si>
    <t>ทรายกิ่ง</t>
  </si>
  <si>
    <t>SD0001</t>
  </si>
  <si>
    <t>พรเทพ</t>
  </si>
  <si>
    <t>ท้วมบ้านไทร</t>
  </si>
  <si>
    <t>หจก.ม.บุญทำพานิช</t>
  </si>
  <si>
    <t>SD0003</t>
  </si>
  <si>
    <t>ชายธง</t>
  </si>
  <si>
    <t>SD0005</t>
  </si>
  <si>
    <t>นายสุพจน์</t>
  </si>
  <si>
    <t>เผื่อนจวง</t>
  </si>
  <si>
    <t>SE0003</t>
  </si>
  <si>
    <t>ศรชัย</t>
  </si>
  <si>
    <t>สังข์เที่ยง</t>
  </si>
  <si>
    <t>SE0021</t>
  </si>
  <si>
    <t>ทัศนัย</t>
  </si>
  <si>
    <t>ฉิมทอง</t>
  </si>
  <si>
    <t>SE0025</t>
  </si>
  <si>
    <t>อนันท์</t>
  </si>
  <si>
    <t>มาลีศรี</t>
  </si>
  <si>
    <t>SE0026</t>
  </si>
  <si>
    <t>จันทประดิษฐ์</t>
  </si>
  <si>
    <t>คำจริง</t>
  </si>
  <si>
    <t>SF0003</t>
  </si>
  <si>
    <t>จรูณ</t>
  </si>
  <si>
    <t>อัคศรีวร</t>
  </si>
  <si>
    <t>SF0011</t>
  </si>
  <si>
    <t>ยอด</t>
  </si>
  <si>
    <t>ศรีโชค</t>
  </si>
  <si>
    <t>SF0013</t>
  </si>
  <si>
    <t>สมควร</t>
  </si>
  <si>
    <t>ชัยบุญ</t>
  </si>
  <si>
    <t>SG0001</t>
  </si>
  <si>
    <t>สุขแก้ว</t>
  </si>
  <si>
    <t>SG0002</t>
  </si>
  <si>
    <t>พิชัยยุทธิ์</t>
  </si>
  <si>
    <t>SG0003</t>
  </si>
  <si>
    <t>วังนิคม</t>
  </si>
  <si>
    <t>SG0004</t>
  </si>
  <si>
    <t>พริกสุข</t>
  </si>
  <si>
    <t>SG0007</t>
  </si>
  <si>
    <t>ขวัญคีรี</t>
  </si>
  <si>
    <t>SG0008</t>
  </si>
  <si>
    <t>พรพิรุณ</t>
  </si>
  <si>
    <t>คงแก้ว</t>
  </si>
  <si>
    <t>SG0012</t>
  </si>
  <si>
    <t>แก้วเพ็งกรอ</t>
  </si>
  <si>
    <t>SG0013</t>
  </si>
  <si>
    <t>มณีโชติ</t>
  </si>
  <si>
    <t>SG0014</t>
  </si>
  <si>
    <t>เกิดเกลี้ยง</t>
  </si>
  <si>
    <t>บุญชัย</t>
  </si>
  <si>
    <t>SH0002</t>
  </si>
  <si>
    <t>เสมอ</t>
  </si>
  <si>
    <t>จันทะวงศ์</t>
  </si>
  <si>
    <t>SH0004</t>
  </si>
  <si>
    <t>อาสนานิ</t>
  </si>
  <si>
    <t>SH0005</t>
  </si>
  <si>
    <t>ธนัด</t>
  </si>
  <si>
    <t>บ้านซอง</t>
  </si>
  <si>
    <t>SI0001</t>
  </si>
  <si>
    <t>กฤษณะ</t>
  </si>
  <si>
    <t>ทิมทอง</t>
  </si>
  <si>
    <t>หจก.คณฑาทองการโยธา</t>
  </si>
  <si>
    <t>SI0002</t>
  </si>
  <si>
    <t>กันทะมา</t>
  </si>
  <si>
    <t>SI0009</t>
  </si>
  <si>
    <t>สุวิชัย</t>
  </si>
  <si>
    <t>SL0002</t>
  </si>
  <si>
    <t>เอี่ยมสี</t>
  </si>
  <si>
    <t>หจก.จรูญคอนกรีต</t>
  </si>
  <si>
    <t>SL0003</t>
  </si>
  <si>
    <t>พันธวง</t>
  </si>
  <si>
    <t>สิทธิไกรพงษ์</t>
  </si>
  <si>
    <t>SL0004</t>
  </si>
  <si>
    <t>บุญโชค</t>
  </si>
  <si>
    <t>เพ็งกระจ่าง</t>
  </si>
  <si>
    <t>SL0016</t>
  </si>
  <si>
    <t>สายัณห์</t>
  </si>
  <si>
    <t>รักนาค</t>
  </si>
  <si>
    <t>SL0022</t>
  </si>
  <si>
    <t>ดาดำ</t>
  </si>
  <si>
    <t>SL0023</t>
  </si>
  <si>
    <t>สุขจิน</t>
  </si>
  <si>
    <t>SM0013</t>
  </si>
  <si>
    <t>ลือชัย</t>
  </si>
  <si>
    <t>วิลาวัลย์</t>
  </si>
  <si>
    <t>SM0022</t>
  </si>
  <si>
    <t>พวงมะลิ</t>
  </si>
  <si>
    <t>SO0004</t>
  </si>
  <si>
    <t>อารีย์</t>
  </si>
  <si>
    <t>มะหมีน</t>
  </si>
  <si>
    <t>SO0005</t>
  </si>
  <si>
    <t>นายสหาก</t>
  </si>
  <si>
    <t>หลีดินซุด</t>
  </si>
  <si>
    <t>SO0007</t>
  </si>
  <si>
    <t>อาสัน</t>
  </si>
  <si>
    <t>หมัดหมีน</t>
  </si>
  <si>
    <t>SO0008</t>
  </si>
  <si>
    <t>หมาด</t>
  </si>
  <si>
    <t>ตะกง</t>
  </si>
  <si>
    <t>SO0012</t>
  </si>
  <si>
    <t>เอกณรงค์</t>
  </si>
  <si>
    <t>คงถาวร</t>
  </si>
  <si>
    <t>SO0013</t>
  </si>
  <si>
    <t>ไฟรุส</t>
  </si>
  <si>
    <t>หลงโซะ</t>
  </si>
  <si>
    <t>SO0014</t>
  </si>
  <si>
    <t>มูฮัมหมัดสุกรี</t>
  </si>
  <si>
    <t>แก้วสลำ</t>
  </si>
  <si>
    <t>SO0016</t>
  </si>
  <si>
    <t>นายอรุณ</t>
  </si>
  <si>
    <t>สุหวาหลำ</t>
  </si>
  <si>
    <t>SO0018</t>
  </si>
  <si>
    <t>กูมะสลี</t>
  </si>
  <si>
    <t>นาราวงศ์</t>
  </si>
  <si>
    <t>SO0019</t>
  </si>
  <si>
    <t>ไพศาล</t>
  </si>
  <si>
    <t>นกเพชร</t>
  </si>
  <si>
    <t>SQ0007</t>
  </si>
  <si>
    <t>สุเชษฐ์</t>
  </si>
  <si>
    <t>ทิพย์สังวาลย์</t>
  </si>
  <si>
    <t>SQ0010</t>
  </si>
  <si>
    <t>โคตรอาสา</t>
  </si>
  <si>
    <t>เอกลักษณ์</t>
  </si>
  <si>
    <t>กฤษฏา</t>
  </si>
  <si>
    <t>SS0012</t>
  </si>
  <si>
    <t>ดวงจันทร์</t>
  </si>
  <si>
    <t>ศรีธรรมมา</t>
  </si>
  <si>
    <t>SS0015</t>
  </si>
  <si>
    <t>พรมอารักษ์</t>
  </si>
  <si>
    <t>SS0017</t>
  </si>
  <si>
    <t>นายพลศักดิ์</t>
  </si>
  <si>
    <t>คำมุงคุณ</t>
  </si>
  <si>
    <t>SS0023</t>
  </si>
  <si>
    <t>บุญชู</t>
  </si>
  <si>
    <t>วงค์ศรีงาม</t>
  </si>
  <si>
    <t>SS0032</t>
  </si>
  <si>
    <t>นันทชัย</t>
  </si>
  <si>
    <t>สุวงษ์</t>
  </si>
  <si>
    <t>SS0033</t>
  </si>
  <si>
    <t>ชามาตย์</t>
  </si>
  <si>
    <t>ST0001</t>
  </si>
  <si>
    <t>สมเกียรติ</t>
  </si>
  <si>
    <t>ธงกางกรณ์</t>
  </si>
  <si>
    <t>ST0013</t>
  </si>
  <si>
    <t>โสเพ็ง</t>
  </si>
  <si>
    <t>ST0019</t>
  </si>
  <si>
    <t>นายธงชัย</t>
  </si>
  <si>
    <t>กรุตเจียม</t>
  </si>
  <si>
    <t>ST0026</t>
  </si>
  <si>
    <t>นายลักษ์</t>
  </si>
  <si>
    <t>บุญธรรม</t>
  </si>
  <si>
    <t>ST0031</t>
  </si>
  <si>
    <t>จิรพัฒน์</t>
  </si>
  <si>
    <t>ปั้นนาค</t>
  </si>
  <si>
    <t>ST0032</t>
  </si>
  <si>
    <t>ธวัช</t>
  </si>
  <si>
    <t>บานเย็นงาม</t>
  </si>
  <si>
    <t>ST0048</t>
  </si>
  <si>
    <t>ยอดเพ็ชร์</t>
  </si>
  <si>
    <t>ยาดี</t>
  </si>
  <si>
    <t>ST0061</t>
  </si>
  <si>
    <t>นายนิรันด์</t>
  </si>
  <si>
    <t>ลักษณะสาย</t>
  </si>
  <si>
    <t>ST0074</t>
  </si>
  <si>
    <t>ปานสีลา</t>
  </si>
  <si>
    <t>ST0080</t>
  </si>
  <si>
    <t>บัณฑิต</t>
  </si>
  <si>
    <t>บุญเพ็ชร์</t>
  </si>
  <si>
    <t>SU0001</t>
  </si>
  <si>
    <t>สุเมธ</t>
  </si>
  <si>
    <t>สิงห์คำป้อง</t>
  </si>
  <si>
    <t>หจก.ผาน้ำเที่ยง</t>
  </si>
  <si>
    <t>สายันต์</t>
  </si>
  <si>
    <t>SU0003</t>
  </si>
  <si>
    <t>บุญโฮม</t>
  </si>
  <si>
    <t>หล้าบ้านโพน</t>
  </si>
  <si>
    <t>SU0015</t>
  </si>
  <si>
    <t>วันดี</t>
  </si>
  <si>
    <t>แสงไกร</t>
  </si>
  <si>
    <t>SU0016</t>
  </si>
  <si>
    <t>ฝ้ายปาน</t>
  </si>
  <si>
    <t>SU0017</t>
  </si>
  <si>
    <t>อั้วนา</t>
  </si>
  <si>
    <t>SU0019</t>
  </si>
  <si>
    <t>ชูขันธ์</t>
  </si>
  <si>
    <t>SV0031</t>
  </si>
  <si>
    <t>พรมณีย์</t>
  </si>
  <si>
    <t>หจก.ซีเมนต์ทอง 2543</t>
  </si>
  <si>
    <t>SV0069</t>
  </si>
  <si>
    <t>คมสันต์</t>
  </si>
  <si>
    <t>อินทร์ประจบ</t>
  </si>
  <si>
    <t>SW0022</t>
  </si>
  <si>
    <t>เวียงจันทร์</t>
  </si>
  <si>
    <t>SW0024</t>
  </si>
  <si>
    <t>เสาร์</t>
  </si>
  <si>
    <t>ลายโถ</t>
  </si>
  <si>
    <t>SW0025</t>
  </si>
  <si>
    <t>นิธิพร</t>
  </si>
  <si>
    <t>โคตะ</t>
  </si>
  <si>
    <t>SW0026</t>
  </si>
  <si>
    <t>ซื่อตรง</t>
  </si>
  <si>
    <t>SW0028</t>
  </si>
  <si>
    <t>สุประโชค</t>
  </si>
  <si>
    <t>หนูเกาะเรียง</t>
  </si>
  <si>
    <t>SW0029</t>
  </si>
  <si>
    <t>รัตนาชีวัฒน์</t>
  </si>
  <si>
    <t>SX0001</t>
  </si>
  <si>
    <t>สนธิ์</t>
  </si>
  <si>
    <t>ราชนรินทร์</t>
  </si>
  <si>
    <t>SX0002</t>
  </si>
  <si>
    <t>เล็ก</t>
  </si>
  <si>
    <t>ทานสละ</t>
  </si>
  <si>
    <t>SX0003</t>
  </si>
  <si>
    <t>ทอนสูงเนิน</t>
  </si>
  <si>
    <t>SX0004</t>
  </si>
  <si>
    <t>ฝามงคล</t>
  </si>
  <si>
    <t>SX0005</t>
  </si>
  <si>
    <t>บรรพต</t>
  </si>
  <si>
    <t>ฉ่ำท่วม</t>
  </si>
  <si>
    <t>SX0006</t>
  </si>
  <si>
    <t>ลิ่ม</t>
  </si>
  <si>
    <t>ทานประสิทธิ์</t>
  </si>
  <si>
    <t>ประพันธ์</t>
  </si>
  <si>
    <t>SZ0014</t>
  </si>
  <si>
    <t>อนันต์</t>
  </si>
  <si>
    <t>แสนศรี</t>
  </si>
  <si>
    <t>หจก.ว.รามฤทธิรงค์ เอ็นจิเนียริ่ง</t>
  </si>
  <si>
    <t>SZ0018</t>
  </si>
  <si>
    <t>นายวิฑูรย์</t>
  </si>
  <si>
    <t>อินทริง</t>
  </si>
  <si>
    <t>SZ0020</t>
  </si>
  <si>
    <t>สาบก</t>
  </si>
  <si>
    <t>SZ0021</t>
  </si>
  <si>
    <t>บุตรรักษ์</t>
  </si>
  <si>
    <t>SZ0023</t>
  </si>
  <si>
    <t>แก้วน้ำ</t>
  </si>
  <si>
    <t>SZ0024</t>
  </si>
  <si>
    <t>พัฒนา</t>
  </si>
  <si>
    <t>ทองสี</t>
  </si>
  <si>
    <t>SZ0035</t>
  </si>
  <si>
    <t>SZ0036</t>
  </si>
  <si>
    <t>นายบดินทร์</t>
  </si>
  <si>
    <t>แก้วไชย</t>
  </si>
  <si>
    <t>อดิเรก</t>
  </si>
  <si>
    <t>SZ0039</t>
  </si>
  <si>
    <t>เกษมศานต์</t>
  </si>
  <si>
    <t>โกษาแสง</t>
  </si>
  <si>
    <t>SZ0040</t>
  </si>
  <si>
    <t>ประทุมชาติ</t>
  </si>
  <si>
    <t>TA0016</t>
  </si>
  <si>
    <t>นายฤทธิชัย</t>
  </si>
  <si>
    <t>ชาติไทยสงค์</t>
  </si>
  <si>
    <t>หจก.สมจินตนาวงษ์เจริญ คอนกรีต</t>
  </si>
  <si>
    <t>TA0026</t>
  </si>
  <si>
    <t>นายนิรันทร์</t>
  </si>
  <si>
    <t>ภูพาที</t>
  </si>
  <si>
    <t>TA0037</t>
  </si>
  <si>
    <t>วีรยุทธ</t>
  </si>
  <si>
    <t>หอมอ้ม</t>
  </si>
  <si>
    <t>TA0040</t>
  </si>
  <si>
    <t>โทชาติ</t>
  </si>
  <si>
    <t>TA0042</t>
  </si>
  <si>
    <t>พลชัยมาตย์</t>
  </si>
  <si>
    <t>TA0043</t>
  </si>
  <si>
    <t>สุขอิ่ม</t>
  </si>
  <si>
    <t>TA0046</t>
  </si>
  <si>
    <t>สกล</t>
  </si>
  <si>
    <t>แหล่ป้อง</t>
  </si>
  <si>
    <t>TA0047</t>
  </si>
  <si>
    <t>วีรวัฒน์</t>
  </si>
  <si>
    <t>เรืองรัมย์</t>
  </si>
  <si>
    <t>TA0048</t>
  </si>
  <si>
    <t>สุพรรณ</t>
  </si>
  <si>
    <t>นันทกุล</t>
  </si>
  <si>
    <t>TA0049</t>
  </si>
  <si>
    <t>ศรีสุพัฒน์</t>
  </si>
  <si>
    <t>TA0050</t>
  </si>
  <si>
    <t>ลงกต</t>
  </si>
  <si>
    <t>ธรรมศิริ</t>
  </si>
  <si>
    <t>TA0052</t>
  </si>
  <si>
    <t>คมเพชร</t>
  </si>
  <si>
    <t>สีแนน</t>
  </si>
  <si>
    <t>TA0055</t>
  </si>
  <si>
    <t>คงศักดิ์</t>
  </si>
  <si>
    <t>ทับทิม</t>
  </si>
  <si>
    <t>TA0056</t>
  </si>
  <si>
    <t>ภาณุพงศ์</t>
  </si>
  <si>
    <t>อุดมบัว</t>
  </si>
  <si>
    <t>TA0060</t>
  </si>
  <si>
    <t>ศรีสว่าง</t>
  </si>
  <si>
    <t>TA0061</t>
  </si>
  <si>
    <t>วรรณโส</t>
  </si>
  <si>
    <t>TA0062</t>
  </si>
  <si>
    <t>ธีระศักดิ์</t>
  </si>
  <si>
    <t>รินเสนา</t>
  </si>
  <si>
    <t>TC0012</t>
  </si>
  <si>
    <t>จำปาสิม</t>
  </si>
  <si>
    <t>TC0044</t>
  </si>
  <si>
    <t>นายโกมล</t>
  </si>
  <si>
    <t>บุษบา</t>
  </si>
  <si>
    <t>TC0046</t>
  </si>
  <si>
    <t>นายเพชร</t>
  </si>
  <si>
    <t>เหงาพรม</t>
  </si>
  <si>
    <t>TD0021</t>
  </si>
  <si>
    <t>นายภานุวัตน์</t>
  </si>
  <si>
    <t>จันอุดม</t>
  </si>
  <si>
    <t>TD0024</t>
  </si>
  <si>
    <t>นายสุริยัน</t>
  </si>
  <si>
    <t>TD0029</t>
  </si>
  <si>
    <t>รวมสุข</t>
  </si>
  <si>
    <t>TD0030</t>
  </si>
  <si>
    <t>นายภัทรวุฒิ</t>
  </si>
  <si>
    <t>ธิโนชัย</t>
  </si>
  <si>
    <t>TD0031</t>
  </si>
  <si>
    <t>TD0032</t>
  </si>
  <si>
    <t>นายทม</t>
  </si>
  <si>
    <t>TD0033</t>
  </si>
  <si>
    <t>เสือเพชร</t>
  </si>
  <si>
    <t>TD0034</t>
  </si>
  <si>
    <t>ขันทะวงค์</t>
  </si>
  <si>
    <t>TD0035</t>
  </si>
  <si>
    <t>นายสุรชัย</t>
  </si>
  <si>
    <t>บัวชัย</t>
  </si>
  <si>
    <t>TE0001</t>
  </si>
  <si>
    <t>แววตา</t>
  </si>
  <si>
    <t>TE0003</t>
  </si>
  <si>
    <t>อนุชิต</t>
  </si>
  <si>
    <t>ผลจันทร์</t>
  </si>
  <si>
    <t>TE0011</t>
  </si>
  <si>
    <t>สิริวัฒน์</t>
  </si>
  <si>
    <t>โกยสำราญ</t>
  </si>
  <si>
    <t>TE0013</t>
  </si>
  <si>
    <t>สิทธิผล</t>
  </si>
  <si>
    <t>TE0014</t>
  </si>
  <si>
    <t>พิมใชงาม</t>
  </si>
  <si>
    <t>TH0005</t>
  </si>
  <si>
    <t>บุญชงค์</t>
  </si>
  <si>
    <t>TH0011</t>
  </si>
  <si>
    <t>TH0014</t>
  </si>
  <si>
    <t>เติมพงษ์</t>
  </si>
  <si>
    <t>เรืองเขียว</t>
  </si>
  <si>
    <t>TH0016</t>
  </si>
  <si>
    <t>สมยส</t>
  </si>
  <si>
    <t>การะเวก</t>
  </si>
  <si>
    <t>ดำรงค์</t>
  </si>
  <si>
    <t>TH0019</t>
  </si>
  <si>
    <t>จุลจิตต์</t>
  </si>
  <si>
    <t>อยู่โพธิ์</t>
  </si>
  <si>
    <t>TH0022</t>
  </si>
  <si>
    <t>มูลสวัสดิ์</t>
  </si>
  <si>
    <t>TH0023</t>
  </si>
  <si>
    <t>นายคัชชา</t>
  </si>
  <si>
    <t>เทพเทวี</t>
  </si>
  <si>
    <t>TH0025</t>
  </si>
  <si>
    <t>ชาววัดหลวง</t>
  </si>
  <si>
    <t>TH0036</t>
  </si>
  <si>
    <t>ศรเพชร</t>
  </si>
  <si>
    <t>เริงเกษตรกิจ</t>
  </si>
  <si>
    <t>TH0039</t>
  </si>
  <si>
    <t>วันเพ็ญ</t>
  </si>
  <si>
    <t>คนสันทัด</t>
  </si>
  <si>
    <t>TH0042</t>
  </si>
  <si>
    <t>ศรีสมบัติ</t>
  </si>
  <si>
    <t>TH0044</t>
  </si>
  <si>
    <t>สายันห์</t>
  </si>
  <si>
    <t>โป้ยดี</t>
  </si>
  <si>
    <t>TH0045</t>
  </si>
  <si>
    <t>สุทธิพร</t>
  </si>
  <si>
    <t>เฟื่องฟุ้ง</t>
  </si>
  <si>
    <t>TH0046</t>
  </si>
  <si>
    <t>สุธีย์</t>
  </si>
  <si>
    <t>มะลิถอด</t>
  </si>
  <si>
    <t>TH0048</t>
  </si>
  <si>
    <t>ลำดวน</t>
  </si>
  <si>
    <t>โคมน้อย</t>
  </si>
  <si>
    <t>TJ0002</t>
  </si>
  <si>
    <t>มิตรชัย</t>
  </si>
  <si>
    <t>อินทะรักษ์</t>
  </si>
  <si>
    <t>TJ0004</t>
  </si>
  <si>
    <t>TJ0005</t>
  </si>
  <si>
    <t>อินทร</t>
  </si>
  <si>
    <t>TJ0018</t>
  </si>
  <si>
    <t>สงคราม</t>
  </si>
  <si>
    <t>ธนวัฒน์</t>
  </si>
  <si>
    <t>สังคม</t>
  </si>
  <si>
    <t>TK0012</t>
  </si>
  <si>
    <t>ศรีเพ็ชร</t>
  </si>
  <si>
    <t>สุวรรณศรี</t>
  </si>
  <si>
    <t>TK0021</t>
  </si>
  <si>
    <t>วศิน</t>
  </si>
  <si>
    <t>รสเลิศ</t>
  </si>
  <si>
    <t>TK0024</t>
  </si>
  <si>
    <t>อุทัยทอง</t>
  </si>
  <si>
    <t>TK0025</t>
  </si>
  <si>
    <t>อภิสิทธิ์</t>
  </si>
  <si>
    <t>แคล้วปลอด</t>
  </si>
  <si>
    <t>TK0026</t>
  </si>
  <si>
    <t>พงษ์ศิริ</t>
  </si>
  <si>
    <t>ศรีหกัญญา</t>
  </si>
  <si>
    <t>TL0007</t>
  </si>
  <si>
    <t>ธรรมสงค์</t>
  </si>
  <si>
    <t>สุริยันต์</t>
  </si>
  <si>
    <t>พุทธิชน</t>
  </si>
  <si>
    <t>TL0024</t>
  </si>
  <si>
    <t>บุญลือ</t>
  </si>
  <si>
    <t>ทับนาค</t>
  </si>
  <si>
    <t>TL0027</t>
  </si>
  <si>
    <t>ศรีไชย</t>
  </si>
  <si>
    <t>TM0001</t>
  </si>
  <si>
    <t>สุขแสวง</t>
  </si>
  <si>
    <t>หจก.บุญทวีพนมคอนกรีต</t>
  </si>
  <si>
    <t>TM0002</t>
  </si>
  <si>
    <t>พันธุเมฆ</t>
  </si>
  <si>
    <t>TM0005</t>
  </si>
  <si>
    <t>แอ๊ดดี้</t>
  </si>
  <si>
    <t>สุระคาย</t>
  </si>
  <si>
    <t>TM0006</t>
  </si>
  <si>
    <t>ประไพ</t>
  </si>
  <si>
    <t>จิตรสำราญ</t>
  </si>
  <si>
    <t>TM0007</t>
  </si>
  <si>
    <t>สุนทร</t>
  </si>
  <si>
    <t>สุริวงษ์</t>
  </si>
  <si>
    <t>TM0009</t>
  </si>
  <si>
    <t>เพ็งสะเกษ</t>
  </si>
  <si>
    <t>TM0010</t>
  </si>
  <si>
    <t>โนนดี</t>
  </si>
  <si>
    <t>TN0001</t>
  </si>
  <si>
    <t>ชูชาติ</t>
  </si>
  <si>
    <t>วงค์น้อย</t>
  </si>
  <si>
    <t>TN0002</t>
  </si>
  <si>
    <t>ชีพ</t>
  </si>
  <si>
    <t>ผิวผ่อง</t>
  </si>
  <si>
    <t>TN0003</t>
  </si>
  <si>
    <t>อนิรุทธิ์</t>
  </si>
  <si>
    <t>ผ่องภิรมณ์</t>
  </si>
  <si>
    <t>TN0004</t>
  </si>
  <si>
    <t>ศักดิ์รินทร์</t>
  </si>
  <si>
    <t>บัวหลวง</t>
  </si>
  <si>
    <t>TO0003</t>
  </si>
  <si>
    <t>พรมชัยศรี</t>
  </si>
  <si>
    <t>TO0005</t>
  </si>
  <si>
    <t>TO0006</t>
  </si>
  <si>
    <t>สัญชาติ</t>
  </si>
  <si>
    <t>หวลวงศ์</t>
  </si>
  <si>
    <t>TO0007</t>
  </si>
  <si>
    <t>ฉลองไชย</t>
  </si>
  <si>
    <t>วิธีพล</t>
  </si>
  <si>
    <t>TO0009</t>
  </si>
  <si>
    <t>TO0010</t>
  </si>
  <si>
    <t>เชษฐา</t>
  </si>
  <si>
    <t>ขำคมเขต</t>
  </si>
  <si>
    <t>TO0013</t>
  </si>
  <si>
    <t>TP0006</t>
  </si>
  <si>
    <t>แจ่มแจ้ง</t>
  </si>
  <si>
    <t>นายราชัน</t>
  </si>
  <si>
    <t>TP0011</t>
  </si>
  <si>
    <t>นายบุญธรรม</t>
  </si>
  <si>
    <t>โทแก้ว</t>
  </si>
  <si>
    <t>TP0012</t>
  </si>
  <si>
    <t>นายถวัลย์</t>
  </si>
  <si>
    <t>หญ้างวงช้าง</t>
  </si>
  <si>
    <t>คล้อยกลับ</t>
  </si>
  <si>
    <t>TP0017</t>
  </si>
  <si>
    <t>ยุทธนา</t>
  </si>
  <si>
    <t>TP0018</t>
  </si>
  <si>
    <t>จิตติ</t>
  </si>
  <si>
    <t>ดาบโสมศรี</t>
  </si>
  <si>
    <t>TQ0001</t>
  </si>
  <si>
    <t>วุฒิไกร</t>
  </si>
  <si>
    <t>งาหอม</t>
  </si>
  <si>
    <t>TQ0004</t>
  </si>
  <si>
    <t>สรวงสันติ</t>
  </si>
  <si>
    <t>อบชัย</t>
  </si>
  <si>
    <t>แวงคำ</t>
  </si>
  <si>
    <t>อาทิตย์</t>
  </si>
  <si>
    <t>TR0003</t>
  </si>
  <si>
    <t>TR0004</t>
  </si>
  <si>
    <t>TR0010</t>
  </si>
  <si>
    <t>ฉิมจิ๋ว</t>
  </si>
  <si>
    <t>TR0054</t>
  </si>
  <si>
    <t>ทองแดง</t>
  </si>
  <si>
    <t>ชัยขันธ์</t>
  </si>
  <si>
    <t>TR0084</t>
  </si>
  <si>
    <t>ทองกลาง</t>
  </si>
  <si>
    <t>TR0090</t>
  </si>
  <si>
    <t>พรหมทอง</t>
  </si>
  <si>
    <t>TR0099</t>
  </si>
  <si>
    <t>สุพิจ</t>
  </si>
  <si>
    <t>ชาวไทย</t>
  </si>
  <si>
    <t>TR0102</t>
  </si>
  <si>
    <t>ชิงชัย</t>
  </si>
  <si>
    <t>สีเมือลสำนัก</t>
  </si>
  <si>
    <t>TR0121</t>
  </si>
  <si>
    <t>ลือเดช</t>
  </si>
  <si>
    <t>มูลราทา</t>
  </si>
  <si>
    <t>TR0123</t>
  </si>
  <si>
    <t>ขยันเยี่ยม</t>
  </si>
  <si>
    <t>TR0124</t>
  </si>
  <si>
    <t>บรมโคตร</t>
  </si>
  <si>
    <t>TR0125</t>
  </si>
  <si>
    <t>อิ่มสมบูรณ์</t>
  </si>
  <si>
    <t>TR0126</t>
  </si>
  <si>
    <t>พรมโนนศรี</t>
  </si>
  <si>
    <t>TR0128</t>
  </si>
  <si>
    <t>พงษ์จักรพรรดิ์</t>
  </si>
  <si>
    <t>สุจิมา</t>
  </si>
  <si>
    <t>TR0129</t>
  </si>
  <si>
    <t>นกทูล</t>
  </si>
  <si>
    <t>TR0131</t>
  </si>
  <si>
    <t>นายอดิเทพ</t>
  </si>
  <si>
    <t>สามิลา</t>
  </si>
  <si>
    <t>TR0132</t>
  </si>
  <si>
    <t>กัลยารอง</t>
  </si>
  <si>
    <t>TR0134</t>
  </si>
  <si>
    <t>นายสายชล</t>
  </si>
  <si>
    <t>ไวยพารา</t>
  </si>
  <si>
    <t>TR0135</t>
  </si>
  <si>
    <t>นายวัชรา</t>
  </si>
  <si>
    <t>ธรรมรังษี</t>
  </si>
  <si>
    <t>TR0139</t>
  </si>
  <si>
    <t>ลิขิต</t>
  </si>
  <si>
    <t>TR0140</t>
  </si>
  <si>
    <t>จันทุมา</t>
  </si>
  <si>
    <t>TR0142</t>
  </si>
  <si>
    <t>บุญชม</t>
  </si>
  <si>
    <t>ทองไทย</t>
  </si>
  <si>
    <t>TR0145</t>
  </si>
  <si>
    <t>ภานุพงษ์</t>
  </si>
  <si>
    <t>ไชยสาส์น</t>
  </si>
  <si>
    <t>TR0149</t>
  </si>
  <si>
    <t>นายมนัส</t>
  </si>
  <si>
    <t>แสงอรุณ</t>
  </si>
  <si>
    <t>TR0150</t>
  </si>
  <si>
    <t>นายคำสิงห์</t>
  </si>
  <si>
    <t>มัดทะปานัง</t>
  </si>
  <si>
    <t>TR0151</t>
  </si>
  <si>
    <t>นายณัฐพล</t>
  </si>
  <si>
    <t>ศรีม่วง</t>
  </si>
  <si>
    <t>UB0003</t>
  </si>
  <si>
    <t>นายสด</t>
  </si>
  <si>
    <t>ยังวารี</t>
  </si>
  <si>
    <t>UB0005</t>
  </si>
  <si>
    <t>มนัส</t>
  </si>
  <si>
    <t>พังกระโทก</t>
  </si>
  <si>
    <t>UB0006</t>
  </si>
  <si>
    <t>บานนางแย้ม</t>
  </si>
  <si>
    <t>UB0008</t>
  </si>
  <si>
    <t>พลาสืบสาย</t>
  </si>
  <si>
    <t>UB0009</t>
  </si>
  <si>
    <t>เลาประโคน</t>
  </si>
  <si>
    <t>UC0017</t>
  </si>
  <si>
    <t>บัวแก้ว</t>
  </si>
  <si>
    <t>UD0002</t>
  </si>
  <si>
    <t>มหานิล</t>
  </si>
  <si>
    <t>UD0004</t>
  </si>
  <si>
    <t>สมใจ</t>
  </si>
  <si>
    <t>UD0019</t>
  </si>
  <si>
    <t>จรัล</t>
  </si>
  <si>
    <t>ปวนจอก</t>
  </si>
  <si>
    <t>UD0021</t>
  </si>
  <si>
    <t>วงค์ปาลีย์</t>
  </si>
  <si>
    <t>UD0022</t>
  </si>
  <si>
    <t>ธีรชัย</t>
  </si>
  <si>
    <t>อุดสาพะแล</t>
  </si>
  <si>
    <t>UD0024</t>
  </si>
  <si>
    <t>รัตน์เจริญกุล</t>
  </si>
  <si>
    <t>UD0025</t>
  </si>
  <si>
    <t>ชัยยุทธ์</t>
  </si>
  <si>
    <t>กันทะวงค์</t>
  </si>
  <si>
    <t>UD0027</t>
  </si>
  <si>
    <t>ศรันย์</t>
  </si>
  <si>
    <t>คำเมธา</t>
  </si>
  <si>
    <t>UE0009</t>
  </si>
  <si>
    <t>ผจญ</t>
  </si>
  <si>
    <t>คำจันทา</t>
  </si>
  <si>
    <t>UE0011</t>
  </si>
  <si>
    <t>นายบุญสืบ</t>
  </si>
  <si>
    <t>UE0014</t>
  </si>
  <si>
    <t>วรรณชัย</t>
  </si>
  <si>
    <t>จันทราศรี</t>
  </si>
  <si>
    <t>UE0018</t>
  </si>
  <si>
    <t>อนันทวรรณ์</t>
  </si>
  <si>
    <t>UF0002</t>
  </si>
  <si>
    <t>สุข</t>
  </si>
  <si>
    <t>สมณา</t>
  </si>
  <si>
    <t>UF0003</t>
  </si>
  <si>
    <t>UF0005</t>
  </si>
  <si>
    <t>ศรีโนนม่วง</t>
  </si>
  <si>
    <t>UF0007</t>
  </si>
  <si>
    <t>นายจี</t>
  </si>
  <si>
    <t>รักธรรม</t>
  </si>
  <si>
    <t>UF0008</t>
  </si>
  <si>
    <t>บุตรไธสง</t>
  </si>
  <si>
    <t>UF0009</t>
  </si>
  <si>
    <t>นายอำพร</t>
  </si>
  <si>
    <t>เชื้อจีน</t>
  </si>
  <si>
    <t>UH0003</t>
  </si>
  <si>
    <t>ปัญญาไว</t>
  </si>
  <si>
    <t>หจก.พี ดี คอนกรีต</t>
  </si>
  <si>
    <t>UH0030</t>
  </si>
  <si>
    <t>พงษ์รัตน์</t>
  </si>
  <si>
    <t>สมเพียร</t>
  </si>
  <si>
    <t>UH0031</t>
  </si>
  <si>
    <t>สมบัตรหลาย</t>
  </si>
  <si>
    <t>UJ0001</t>
  </si>
  <si>
    <t>นายสมดี</t>
  </si>
  <si>
    <t>แพงจำปา</t>
  </si>
  <si>
    <t>UJ0005</t>
  </si>
  <si>
    <t>นายบันดล</t>
  </si>
  <si>
    <t>นครังสุ</t>
  </si>
  <si>
    <t>UJ0006</t>
  </si>
  <si>
    <t>จิตพงษ์</t>
  </si>
  <si>
    <t>มหาวงค์</t>
  </si>
  <si>
    <t>UJ0010</t>
  </si>
  <si>
    <t>นายพยุ</t>
  </si>
  <si>
    <t>สุวรรณมงคล</t>
  </si>
  <si>
    <t>UJ0014</t>
  </si>
  <si>
    <t>นายอัครเดช</t>
  </si>
  <si>
    <t>บางวิเศษ</t>
  </si>
  <si>
    <t>UJ0016</t>
  </si>
  <si>
    <t>นายอนุวัฒน์</t>
  </si>
  <si>
    <t>ทีเหง้า</t>
  </si>
  <si>
    <t>UJ0018</t>
  </si>
  <si>
    <t>สรสิทธิ์</t>
  </si>
  <si>
    <t>ช่างเงิน</t>
  </si>
  <si>
    <t>นพรัตน์</t>
  </si>
  <si>
    <t>UN0001</t>
  </si>
  <si>
    <t>วุฒิชัย</t>
  </si>
  <si>
    <t>จันทะพล</t>
  </si>
  <si>
    <t>UN0002</t>
  </si>
  <si>
    <t>ประทาน</t>
  </si>
  <si>
    <t>จันทร์ศิริสุข</t>
  </si>
  <si>
    <t>UN0004</t>
  </si>
  <si>
    <t>แหนไธสงค์</t>
  </si>
  <si>
    <t>UN0005</t>
  </si>
  <si>
    <t>เภา</t>
  </si>
  <si>
    <t>UN0009</t>
  </si>
  <si>
    <t>วงศ์หาจักร์</t>
  </si>
  <si>
    <t>UN0010</t>
  </si>
  <si>
    <t>แสวง</t>
  </si>
  <si>
    <t>ชาวกะตะ</t>
  </si>
  <si>
    <t>UP0012</t>
  </si>
  <si>
    <t>นายพรชัย</t>
  </si>
  <si>
    <t>วันสูงเนิน</t>
  </si>
  <si>
    <t>UP0015</t>
  </si>
  <si>
    <t>แดง</t>
  </si>
  <si>
    <t>เหขุนทด</t>
  </si>
  <si>
    <t>เอกภพ</t>
  </si>
  <si>
    <t>UP0017</t>
  </si>
  <si>
    <t>อิทธิพงษ์</t>
  </si>
  <si>
    <t>เกิดสี</t>
  </si>
  <si>
    <t>UP0020</t>
  </si>
  <si>
    <t>หาญเขียว</t>
  </si>
  <si>
    <t>UP0021</t>
  </si>
  <si>
    <t>ธรรมสุข</t>
  </si>
  <si>
    <t>US0001</t>
  </si>
  <si>
    <t>อินทะนันท์</t>
  </si>
  <si>
    <t>หจก.เนินปัญญา ก่อสร้าง</t>
  </si>
  <si>
    <t>US0002</t>
  </si>
  <si>
    <t>US0003</t>
  </si>
  <si>
    <t>วัชดา</t>
  </si>
  <si>
    <t>แพงพา</t>
  </si>
  <si>
    <t>US0004</t>
  </si>
  <si>
    <t>เปรื่องนา</t>
  </si>
  <si>
    <t>ศรีจันทร์</t>
  </si>
  <si>
    <t>UT0001</t>
  </si>
  <si>
    <t>นายกิติชัย</t>
  </si>
  <si>
    <t>แสงแก้ว</t>
  </si>
  <si>
    <t>UT0002</t>
  </si>
  <si>
    <t>นายสว่าง</t>
  </si>
  <si>
    <t>ไชยอ้อย</t>
  </si>
  <si>
    <t>UU0001</t>
  </si>
  <si>
    <t>นันตะเคน</t>
  </si>
  <si>
    <t>UU0002</t>
  </si>
  <si>
    <t>นายคมสัน</t>
  </si>
  <si>
    <t>สังฆะไทย</t>
  </si>
  <si>
    <t>UW0001</t>
  </si>
  <si>
    <t>นายชยานันท์</t>
  </si>
  <si>
    <t>อินดา</t>
  </si>
  <si>
    <t>UW0002</t>
  </si>
  <si>
    <t>นายหมุน</t>
  </si>
  <si>
    <t>ทองแทน</t>
  </si>
  <si>
    <t>UW0005</t>
  </si>
  <si>
    <t>โภชน์</t>
  </si>
  <si>
    <t>มณีแสง</t>
  </si>
  <si>
    <t>UW0006</t>
  </si>
  <si>
    <t>รัศมี</t>
  </si>
  <si>
    <t>UX0007</t>
  </si>
  <si>
    <t>นายสุนทร</t>
  </si>
  <si>
    <t>พันธ์ทอง</t>
  </si>
  <si>
    <t>UX0009</t>
  </si>
  <si>
    <t>นายบุญยงค์</t>
  </si>
  <si>
    <t>คุ้ยเขี่ย</t>
  </si>
  <si>
    <t>UX0015</t>
  </si>
  <si>
    <t>อัครเดช</t>
  </si>
  <si>
    <t>ภู่สุวรรณ</t>
  </si>
  <si>
    <t>UX0016</t>
  </si>
  <si>
    <t>ณัฐพงศ์</t>
  </si>
  <si>
    <t>อุ่นใจเรือน</t>
  </si>
  <si>
    <t>UX0025</t>
  </si>
  <si>
    <t>สุคำ</t>
  </si>
  <si>
    <t>วงเวียน</t>
  </si>
  <si>
    <t>UX0031</t>
  </si>
  <si>
    <t>ดวงทิพย์</t>
  </si>
  <si>
    <t>อินสิริ</t>
  </si>
  <si>
    <t>UX0033</t>
  </si>
  <si>
    <t>อนัน</t>
  </si>
  <si>
    <t>UX0038</t>
  </si>
  <si>
    <t>อพันลิขิต</t>
  </si>
  <si>
    <t>UX0039</t>
  </si>
  <si>
    <t>อ่อง</t>
  </si>
  <si>
    <t>ลุงจาย</t>
  </si>
  <si>
    <t>UX0040</t>
  </si>
  <si>
    <t>อภิชิต</t>
  </si>
  <si>
    <t>UX0041</t>
  </si>
  <si>
    <t>ยุทธพล</t>
  </si>
  <si>
    <t>ลุงทุน</t>
  </si>
  <si>
    <t>UX0042</t>
  </si>
  <si>
    <t>ประพัตร์</t>
  </si>
  <si>
    <t>จอมดวง</t>
  </si>
  <si>
    <t>TR0154</t>
  </si>
  <si>
    <t>สิงหะ</t>
  </si>
  <si>
    <t>TR0155</t>
  </si>
  <si>
    <t>นายบัณฑิตย์</t>
  </si>
  <si>
    <t>สมบุญน์</t>
  </si>
  <si>
    <t>TR0156</t>
  </si>
  <si>
    <t>นายวุฒิพันธ์</t>
  </si>
  <si>
    <t>ลำพาย</t>
  </si>
  <si>
    <t>TR0157</t>
  </si>
  <si>
    <t>นายแผน</t>
  </si>
  <si>
    <t>โกมลสิงห์</t>
  </si>
  <si>
    <t>TR0158</t>
  </si>
  <si>
    <t>นายประทวน</t>
  </si>
  <si>
    <t>เจริญพร้อม</t>
  </si>
  <si>
    <t>TR0161</t>
  </si>
  <si>
    <t>หวานน้ำ</t>
  </si>
  <si>
    <t>TR0164</t>
  </si>
  <si>
    <t>กิตติชัย</t>
  </si>
  <si>
    <t>ประเสริฐเมธ</t>
  </si>
  <si>
    <t>TR0165</t>
  </si>
  <si>
    <t>ภูษิต</t>
  </si>
  <si>
    <t>อินทรัญ</t>
  </si>
  <si>
    <t>TR0166</t>
  </si>
  <si>
    <t>ประทีป</t>
  </si>
  <si>
    <t>TR0167</t>
  </si>
  <si>
    <t>พุฒทา</t>
  </si>
  <si>
    <t>บุญดี</t>
  </si>
  <si>
    <t>TR0169</t>
  </si>
  <si>
    <t>เฉลิมพล</t>
  </si>
  <si>
    <t>ทองติ่ง</t>
  </si>
  <si>
    <t>TR0170</t>
  </si>
  <si>
    <t>พุฒซ้าย</t>
  </si>
  <si>
    <t>TR0171</t>
  </si>
  <si>
    <t>รสกลิ่น</t>
  </si>
  <si>
    <t>TR0173</t>
  </si>
  <si>
    <t>สัญชัย</t>
  </si>
  <si>
    <t>ผกามาศ</t>
  </si>
  <si>
    <t>TR0174</t>
  </si>
  <si>
    <t>ธนาวุฒิ</t>
  </si>
  <si>
    <t>TR0175</t>
  </si>
  <si>
    <t>จักรภพ</t>
  </si>
  <si>
    <t>กล่ำบัว</t>
  </si>
  <si>
    <t>TR0176</t>
  </si>
  <si>
    <t>TR0177</t>
  </si>
  <si>
    <t>เดชา</t>
  </si>
  <si>
    <t>ชาวนา</t>
  </si>
  <si>
    <t>TR0178</t>
  </si>
  <si>
    <t>กิจชัย</t>
  </si>
  <si>
    <t>ปองปะดา</t>
  </si>
  <si>
    <t>TS0002</t>
  </si>
  <si>
    <t>TS0006</t>
  </si>
  <si>
    <t>สง่าศิลป์</t>
  </si>
  <si>
    <t>TS0009</t>
  </si>
  <si>
    <t>ไวยลุน</t>
  </si>
  <si>
    <t>TS0028</t>
  </si>
  <si>
    <t>โกมิน</t>
  </si>
  <si>
    <t>ศรีพิลา</t>
  </si>
  <si>
    <t>TS0033</t>
  </si>
  <si>
    <t>พุฒซ้อน</t>
  </si>
  <si>
    <t>TS0040</t>
  </si>
  <si>
    <t>TS0048</t>
  </si>
  <si>
    <t>สมนึก</t>
  </si>
  <si>
    <t>ศรีงาม</t>
  </si>
  <si>
    <t>TS0050</t>
  </si>
  <si>
    <t>แอ่ง</t>
  </si>
  <si>
    <t>จันทะสิงห์</t>
  </si>
  <si>
    <t>TS0051</t>
  </si>
  <si>
    <t>เจษฏา</t>
  </si>
  <si>
    <t>TS0052</t>
  </si>
  <si>
    <t>สุขสกุล</t>
  </si>
  <si>
    <t>TS0053</t>
  </si>
  <si>
    <t>ปวริช</t>
  </si>
  <si>
    <t>โสภี</t>
  </si>
  <si>
    <t>TS0054</t>
  </si>
  <si>
    <t>TS0055</t>
  </si>
  <si>
    <t>ชุน</t>
  </si>
  <si>
    <t>พูนรัมย์</t>
  </si>
  <si>
    <t>TS0057</t>
  </si>
  <si>
    <t>ทวิวัฒน์</t>
  </si>
  <si>
    <t>TS0065</t>
  </si>
  <si>
    <t>สอน</t>
  </si>
  <si>
    <t>TT0003</t>
  </si>
  <si>
    <t>มุณี</t>
  </si>
  <si>
    <t>TU0002</t>
  </si>
  <si>
    <t>นายอนันธกิจ</t>
  </si>
  <si>
    <t>กิจนิธี</t>
  </si>
  <si>
    <t>TU0006</t>
  </si>
  <si>
    <t>ทรงกรต</t>
  </si>
  <si>
    <t>แก้วเกิด</t>
  </si>
  <si>
    <t>TU0020</t>
  </si>
  <si>
    <t>มานพ</t>
  </si>
  <si>
    <t>ช่วยทุกข์</t>
  </si>
  <si>
    <t>TU0021</t>
  </si>
  <si>
    <t>โต๊ะเหล็ม</t>
  </si>
  <si>
    <t>TU0022</t>
  </si>
  <si>
    <t>สรเพชร</t>
  </si>
  <si>
    <t>เพชรอาวุธ</t>
  </si>
  <si>
    <t>TU0023</t>
  </si>
  <si>
    <t>โชคชัย</t>
  </si>
  <si>
    <t>สุชญา</t>
  </si>
  <si>
    <t>สะเดา</t>
  </si>
  <si>
    <t>TX0026</t>
  </si>
  <si>
    <t>นายชาญณรงค์</t>
  </si>
  <si>
    <t>พร้อมสมุด</t>
  </si>
  <si>
    <t>หจก.จำลองชัยคอนกรีต</t>
  </si>
  <si>
    <t>TX0030</t>
  </si>
  <si>
    <t>สุจจชารี</t>
  </si>
  <si>
    <t>TX0031</t>
  </si>
  <si>
    <t>ขัวนา</t>
  </si>
  <si>
    <t>TX0033</t>
  </si>
  <si>
    <t>ผิ้วไธสง</t>
  </si>
  <si>
    <t>TX0034</t>
  </si>
  <si>
    <t>โสรเนตร</t>
  </si>
  <si>
    <t>TX0035</t>
  </si>
  <si>
    <t>เอี่ยมศรี</t>
  </si>
  <si>
    <t>TX0041</t>
  </si>
  <si>
    <t>นายวิทยา</t>
  </si>
  <si>
    <t>บุรารมณ์</t>
  </si>
  <si>
    <t>TX0042</t>
  </si>
  <si>
    <t>นายกำพลศักดิ์</t>
  </si>
  <si>
    <t>ประจวบสุข</t>
  </si>
  <si>
    <t>TX0044</t>
  </si>
  <si>
    <t>นายโชคทวี</t>
  </si>
  <si>
    <t>ชาไธสง</t>
  </si>
  <si>
    <t>TX0045</t>
  </si>
  <si>
    <t>นายชัยวัฒน์</t>
  </si>
  <si>
    <t>กระลาม</t>
  </si>
  <si>
    <t>TX0046</t>
  </si>
  <si>
    <t>ขนันไทย</t>
  </si>
  <si>
    <t>TX0047</t>
  </si>
  <si>
    <t>นายกมล</t>
  </si>
  <si>
    <t>คำภา</t>
  </si>
  <si>
    <t>TX0048</t>
  </si>
  <si>
    <t>พรมชัยยา</t>
  </si>
  <si>
    <t>TX0049</t>
  </si>
  <si>
    <t>TY0016</t>
  </si>
  <si>
    <t>หงส์ทอง</t>
  </si>
  <si>
    <t>TY0017</t>
  </si>
  <si>
    <t>พงค์พิสุทธิ์</t>
  </si>
  <si>
    <t>ศรีรอด</t>
  </si>
  <si>
    <t>TY0018</t>
  </si>
  <si>
    <t>ชัชวาลย์</t>
  </si>
  <si>
    <t>TZ0006</t>
  </si>
  <si>
    <t>มีดอนดู่</t>
  </si>
  <si>
    <t>TZ0008</t>
  </si>
  <si>
    <t>ทองม้วน</t>
  </si>
  <si>
    <t>ขุนศรี</t>
  </si>
  <si>
    <t>TZ0014</t>
  </si>
  <si>
    <t>เฉลิมชัย</t>
  </si>
  <si>
    <t>งาทอง</t>
  </si>
  <si>
    <t>TZ0015</t>
  </si>
  <si>
    <t>เฮ้าตุ่น</t>
  </si>
  <si>
    <t>UA0008</t>
  </si>
  <si>
    <t>อินทร์ธรรม</t>
  </si>
  <si>
    <t>UA0020</t>
  </si>
  <si>
    <t>ทองปลิว</t>
  </si>
  <si>
    <t>UA0024</t>
  </si>
  <si>
    <t>ประสงค์</t>
  </si>
  <si>
    <t>คอระอุ</t>
  </si>
  <si>
    <t>UB0001</t>
  </si>
  <si>
    <t>นายชิต</t>
  </si>
  <si>
    <t>กลุ่มยา</t>
  </si>
  <si>
    <t>UB0002</t>
  </si>
  <si>
    <t>นายบุญมี</t>
  </si>
  <si>
    <t>เส็งไทยแท้</t>
  </si>
  <si>
    <t>UY0002</t>
  </si>
  <si>
    <t>อุ่นแก้ว</t>
  </si>
  <si>
    <t>UY0010</t>
  </si>
  <si>
    <t>จันทร์หอม</t>
  </si>
  <si>
    <t>UY0011</t>
  </si>
  <si>
    <t>สอนมี</t>
  </si>
  <si>
    <t>UY0012</t>
  </si>
  <si>
    <t>พชรพล</t>
  </si>
  <si>
    <t>ยุปานันท์</t>
  </si>
  <si>
    <t>UY0013</t>
  </si>
  <si>
    <t>คำตุ</t>
  </si>
  <si>
    <t>UZ0002</t>
  </si>
  <si>
    <t>โคตะพัฒน์</t>
  </si>
  <si>
    <t>UZ0003</t>
  </si>
  <si>
    <t>ผลขาว</t>
  </si>
  <si>
    <t>ไพโรจน์</t>
  </si>
  <si>
    <t>UZ0007</t>
  </si>
  <si>
    <t>การะฮาด</t>
  </si>
  <si>
    <t>VA0005</t>
  </si>
  <si>
    <t>VA0006</t>
  </si>
  <si>
    <t>ตันฟู</t>
  </si>
  <si>
    <t>VA0010</t>
  </si>
  <si>
    <t>ชูเวช</t>
  </si>
  <si>
    <t>แปลงไทยสงค์</t>
  </si>
  <si>
    <t>ปรัชญา</t>
  </si>
  <si>
    <t>VA0014</t>
  </si>
  <si>
    <t>ชุติพงศ์</t>
  </si>
  <si>
    <t>อุดสร้อย</t>
  </si>
  <si>
    <t>หจก.ปงคอนกรีต</t>
  </si>
  <si>
    <t>VB0002</t>
  </si>
  <si>
    <t>นายวรุต</t>
  </si>
  <si>
    <t>VB0003</t>
  </si>
  <si>
    <t>นายธนกฤต</t>
  </si>
  <si>
    <t>ปิมแปง</t>
  </si>
  <si>
    <t>VB0007</t>
  </si>
  <si>
    <t>ศูนย์กลาง</t>
  </si>
  <si>
    <t>VC0002</t>
  </si>
  <si>
    <t>ประกอบแจ่ม</t>
  </si>
  <si>
    <t>หจก.หงษ์ทองสว่างคอนกรีต</t>
  </si>
  <si>
    <t>VC0003</t>
  </si>
  <si>
    <t>ยุทธ์</t>
  </si>
  <si>
    <t>ดวงราช</t>
  </si>
  <si>
    <t>VC0004</t>
  </si>
  <si>
    <t>มั่นธร</t>
  </si>
  <si>
    <t>VC0016</t>
  </si>
  <si>
    <t>กิจจา</t>
  </si>
  <si>
    <t>พันลำ</t>
  </si>
  <si>
    <t>VC0017</t>
  </si>
  <si>
    <t>คึกฤทธิ์</t>
  </si>
  <si>
    <t>อินชนะบาล</t>
  </si>
  <si>
    <t>VC0018</t>
  </si>
  <si>
    <t>VC0021</t>
  </si>
  <si>
    <t>เมษา</t>
  </si>
  <si>
    <t>ยะประพันธ์</t>
  </si>
  <si>
    <t>VC0030</t>
  </si>
  <si>
    <t>คุชิตา</t>
  </si>
  <si>
    <t>VC0031</t>
  </si>
  <si>
    <t>จารบุตร</t>
  </si>
  <si>
    <t>แสงชา</t>
  </si>
  <si>
    <t>VE0001</t>
  </si>
  <si>
    <t>นายอโนชา</t>
  </si>
  <si>
    <t>บุญศรี</t>
  </si>
  <si>
    <t>หจก.เกษมชัยพานิช</t>
  </si>
  <si>
    <t>VE0002</t>
  </si>
  <si>
    <t>นายเด่น</t>
  </si>
  <si>
    <t>สีโวย</t>
  </si>
  <si>
    <t>เพชรบูรณ์</t>
  </si>
  <si>
    <t>VE0007</t>
  </si>
  <si>
    <t>นายชัยอรุณ</t>
  </si>
  <si>
    <t>ต้องใจ</t>
  </si>
  <si>
    <t>VG0005</t>
  </si>
  <si>
    <t>วรรณรงค์</t>
  </si>
  <si>
    <t>สูบกระโทก</t>
  </si>
  <si>
    <t>VG0007</t>
  </si>
  <si>
    <t>โนนทอง</t>
  </si>
  <si>
    <t>VH0001</t>
  </si>
  <si>
    <t>นายปิยะพงษ์</t>
  </si>
  <si>
    <t>ศรีคำภา</t>
  </si>
  <si>
    <t>VH0002</t>
  </si>
  <si>
    <t>ใจเที่ยง</t>
  </si>
  <si>
    <t>VH0003</t>
  </si>
  <si>
    <t>ฟ้าแลบ</t>
  </si>
  <si>
    <t>VI0003</t>
  </si>
  <si>
    <t>นครินทร์</t>
  </si>
  <si>
    <t>สุขเทียบ</t>
  </si>
  <si>
    <t>VI0004</t>
  </si>
  <si>
    <t>วีรทัศน์</t>
  </si>
  <si>
    <t>สิทธิ</t>
  </si>
  <si>
    <t>VK0003</t>
  </si>
  <si>
    <t>แก่นโนนสังข์</t>
  </si>
  <si>
    <t>หจก.เคพีอาร์ คอนกรีต</t>
  </si>
  <si>
    <t>VK0004</t>
  </si>
  <si>
    <t>อโหศรี</t>
  </si>
  <si>
    <t>VK0007</t>
  </si>
  <si>
    <t>สัญลักษณ์</t>
  </si>
  <si>
    <t>งามสันเทียะ</t>
  </si>
  <si>
    <t>VK0008</t>
  </si>
  <si>
    <t>กุลศรี</t>
  </si>
  <si>
    <t>VK0009</t>
  </si>
  <si>
    <t>พงพิพัฒน์</t>
  </si>
  <si>
    <t>นุชนิล</t>
  </si>
  <si>
    <t>VK0012</t>
  </si>
  <si>
    <t>วิรยุทธ</t>
  </si>
  <si>
    <t>ศรีคูณ</t>
  </si>
  <si>
    <t>VK0015</t>
  </si>
  <si>
    <t>กราบไกรแก้ว</t>
  </si>
  <si>
    <t>VK0016</t>
  </si>
  <si>
    <t>สิทธิวงค์</t>
  </si>
  <si>
    <t>VL0001</t>
  </si>
  <si>
    <t>พรมมินทร์</t>
  </si>
  <si>
    <t>ทะใดแก้ว</t>
  </si>
  <si>
    <t>หจก.เจเอ็นเพาเวอร์ คอนกรีต</t>
  </si>
  <si>
    <t>VL0003</t>
  </si>
  <si>
    <t>นายอุดม</t>
  </si>
  <si>
    <t>พาโชคไสว</t>
  </si>
  <si>
    <t>VL0005</t>
  </si>
  <si>
    <t>ป๋านมอย</t>
  </si>
  <si>
    <t>VQ0006</t>
  </si>
  <si>
    <t>ภพ</t>
  </si>
  <si>
    <t>ชาลีสุวรรณดี</t>
  </si>
  <si>
    <t>VQ0007</t>
  </si>
  <si>
    <t>โพธิ์ทน</t>
  </si>
  <si>
    <t>VR0002</t>
  </si>
  <si>
    <t>อดุล</t>
  </si>
  <si>
    <t>อุดมเพ็ญ</t>
  </si>
  <si>
    <t>VR0006</t>
  </si>
  <si>
    <t>เวียง</t>
  </si>
  <si>
    <t>ผมไผ</t>
  </si>
  <si>
    <t>VR0007</t>
  </si>
  <si>
    <t>สะเวียน</t>
  </si>
  <si>
    <t>บัวแพง</t>
  </si>
  <si>
    <t>VR0008</t>
  </si>
  <si>
    <t>ศิริมงคล</t>
  </si>
  <si>
    <t>วัชระ</t>
  </si>
  <si>
    <t>VR0010</t>
  </si>
  <si>
    <t>ตาลอินทร์</t>
  </si>
  <si>
    <t>VR0012</t>
  </si>
  <si>
    <t>พงษ์พันธ์</t>
  </si>
  <si>
    <t>เมฆคำรณ</t>
  </si>
  <si>
    <t>VW0002</t>
  </si>
  <si>
    <t>พงค์วัล</t>
  </si>
  <si>
    <t>VW0007</t>
  </si>
  <si>
    <t>อุไร</t>
  </si>
  <si>
    <t>วงค์หาราช</t>
  </si>
  <si>
    <t>VW0008</t>
  </si>
  <si>
    <t>อิทธิพล</t>
  </si>
  <si>
    <t>เกตุพิจิตร</t>
  </si>
  <si>
    <t>VX0002</t>
  </si>
  <si>
    <t>กฐินเทศ</t>
  </si>
  <si>
    <t>VZ0002</t>
  </si>
  <si>
    <t>ทัตพงศ์</t>
  </si>
  <si>
    <t>ปาระหงษ์</t>
  </si>
  <si>
    <t>VZ0003</t>
  </si>
  <si>
    <t>บุญรัตน์</t>
  </si>
  <si>
    <t>WA0002</t>
  </si>
  <si>
    <t>ปรเมทวร์</t>
  </si>
  <si>
    <t>ผิวสะอาด</t>
  </si>
  <si>
    <t>WA0003</t>
  </si>
  <si>
    <t>ชาญชัย</t>
  </si>
  <si>
    <t>นุชพันธุ์</t>
  </si>
  <si>
    <t>WB0002</t>
  </si>
  <si>
    <t>ประกอบ</t>
  </si>
  <si>
    <t>มากสุดปาน</t>
  </si>
  <si>
    <t>WB0003</t>
  </si>
  <si>
    <t>คำผุด</t>
  </si>
  <si>
    <t>เผ่าเพ้ง</t>
  </si>
  <si>
    <t>WB0004</t>
  </si>
  <si>
    <t>กฤษณะการ</t>
  </si>
  <si>
    <t>WD0002</t>
  </si>
  <si>
    <t>พิเชษฐ</t>
  </si>
  <si>
    <t>รุ่งแจ้ง</t>
  </si>
  <si>
    <t>WD0003</t>
  </si>
  <si>
    <t>ชัยชนะ</t>
  </si>
  <si>
    <t>FC045</t>
  </si>
  <si>
    <t>FC067</t>
  </si>
  <si>
    <t>FC289</t>
  </si>
  <si>
    <t>FC382</t>
  </si>
  <si>
    <t>FC372</t>
  </si>
  <si>
    <t>FC048</t>
  </si>
  <si>
    <t>FC049</t>
  </si>
  <si>
    <t>FC204</t>
  </si>
  <si>
    <t>19FJ</t>
  </si>
  <si>
    <t>FC194</t>
  </si>
  <si>
    <t>FC195</t>
  </si>
  <si>
    <t>FC247</t>
  </si>
  <si>
    <t>FC265</t>
  </si>
  <si>
    <t>FC280</t>
  </si>
  <si>
    <t>FC174</t>
  </si>
  <si>
    <t>FC261</t>
  </si>
  <si>
    <t>FC293</t>
  </si>
  <si>
    <t>FC303</t>
  </si>
  <si>
    <t>FC333</t>
  </si>
  <si>
    <t>19FE</t>
  </si>
  <si>
    <t>19FD</t>
  </si>
  <si>
    <t>FC374</t>
  </si>
  <si>
    <t>FC094</t>
  </si>
  <si>
    <t>FC250</t>
  </si>
  <si>
    <t>FC148</t>
  </si>
  <si>
    <t>FC036</t>
  </si>
  <si>
    <t>FC053</t>
  </si>
  <si>
    <t>FC051</t>
  </si>
  <si>
    <t>FC259</t>
  </si>
  <si>
    <t>FC278</t>
  </si>
  <si>
    <t>FC208</t>
  </si>
  <si>
    <t>FC360</t>
  </si>
  <si>
    <t>FC368</t>
  </si>
  <si>
    <t>FC408</t>
  </si>
  <si>
    <t>FC219</t>
  </si>
  <si>
    <t>FC146</t>
  </si>
  <si>
    <t>FC322</t>
  </si>
  <si>
    <t>19AP</t>
  </si>
  <si>
    <t>FC207</t>
  </si>
  <si>
    <t>FC373</t>
  </si>
  <si>
    <t>FC118</t>
  </si>
  <si>
    <t>FC178</t>
  </si>
  <si>
    <t>FC240</t>
  </si>
  <si>
    <t>FC172</t>
  </si>
  <si>
    <t>FC205</t>
  </si>
  <si>
    <t>FC362</t>
  </si>
  <si>
    <t>FC347</t>
  </si>
  <si>
    <t>FC187</t>
  </si>
  <si>
    <t>FC371</t>
  </si>
  <si>
    <t>FC007</t>
  </si>
  <si>
    <t>FC297</t>
  </si>
  <si>
    <t>FC348</t>
  </si>
  <si>
    <t>FC130</t>
  </si>
  <si>
    <t>FC216</t>
  </si>
  <si>
    <t>FC357</t>
  </si>
  <si>
    <t>FC364</t>
  </si>
  <si>
    <t>FC306</t>
  </si>
  <si>
    <t>FC167</t>
  </si>
  <si>
    <t>FC153</t>
  </si>
  <si>
    <t>FC154</t>
  </si>
  <si>
    <t>FC025</t>
  </si>
  <si>
    <t>FC165</t>
  </si>
  <si>
    <t>FC121</t>
  </si>
  <si>
    <t>FC392</t>
  </si>
  <si>
    <t>FC057</t>
  </si>
  <si>
    <t>FC027</t>
  </si>
  <si>
    <t>FC058</t>
  </si>
  <si>
    <t>FC212</t>
  </si>
  <si>
    <t>FC218</t>
  </si>
  <si>
    <t>FC238</t>
  </si>
  <si>
    <t>FC310</t>
  </si>
  <si>
    <t>FC366</t>
  </si>
  <si>
    <t>FC381</t>
  </si>
  <si>
    <t>FC040</t>
  </si>
  <si>
    <t>FC029</t>
  </si>
  <si>
    <t>FC282</t>
  </si>
  <si>
    <t>FC287</t>
  </si>
  <si>
    <t>FC129</t>
  </si>
  <si>
    <t>FC253</t>
  </si>
  <si>
    <t>FC295</t>
  </si>
  <si>
    <t>FC396</t>
  </si>
  <si>
    <t>FC127</t>
  </si>
  <si>
    <t>FC166</t>
  </si>
  <si>
    <t>FC072</t>
  </si>
  <si>
    <t>FC227</t>
  </si>
  <si>
    <t>FC028</t>
  </si>
  <si>
    <t>FC082</t>
  </si>
  <si>
    <t>FC210</t>
  </si>
  <si>
    <t>FC006</t>
  </si>
  <si>
    <t>15AQ</t>
  </si>
  <si>
    <t>FC199</t>
  </si>
  <si>
    <t>FC098</t>
  </si>
  <si>
    <t>FC221</t>
  </si>
  <si>
    <t>FC270</t>
  </si>
  <si>
    <t>FC162</t>
  </si>
  <si>
    <t>FC115</t>
  </si>
  <si>
    <t>FC398</t>
  </si>
  <si>
    <t>31ED</t>
  </si>
  <si>
    <t>31EC</t>
  </si>
  <si>
    <t>31EF</t>
  </si>
  <si>
    <t>FC137</t>
  </si>
  <si>
    <t>FC070</t>
  </si>
  <si>
    <t>FC254</t>
  </si>
  <si>
    <t>FC369</t>
  </si>
  <si>
    <t>FC158</t>
  </si>
  <si>
    <t>FC069</t>
  </si>
  <si>
    <t>FC176</t>
  </si>
  <si>
    <t>FC201</t>
  </si>
  <si>
    <t>FC214</t>
  </si>
  <si>
    <t>FC248</t>
  </si>
  <si>
    <t>FC299</t>
  </si>
  <si>
    <t>FC092</t>
  </si>
  <si>
    <t>FC142</t>
  </si>
  <si>
    <t>FC249</t>
  </si>
  <si>
    <t>FC236</t>
  </si>
  <si>
    <t>FC138</t>
  </si>
  <si>
    <t>FC009</t>
  </si>
  <si>
    <t>FC035</t>
  </si>
  <si>
    <t>13O6</t>
  </si>
  <si>
    <t>FC105</t>
  </si>
  <si>
    <t>13O5</t>
  </si>
  <si>
    <t>FC399</t>
  </si>
  <si>
    <t>FC065</t>
  </si>
  <si>
    <t>FC013</t>
  </si>
  <si>
    <t>31IH</t>
  </si>
  <si>
    <t>FC068</t>
  </si>
  <si>
    <t>FC117</t>
  </si>
  <si>
    <t>FC169</t>
  </si>
  <si>
    <t>FC273</t>
  </si>
  <si>
    <t>13O3</t>
  </si>
  <si>
    <t>FC228</t>
  </si>
  <si>
    <t>FC388</t>
  </si>
  <si>
    <t>FC111</t>
  </si>
  <si>
    <t>FC046</t>
  </si>
  <si>
    <t>FC095</t>
  </si>
  <si>
    <t>FC139</t>
  </si>
  <si>
    <t>FC175</t>
  </si>
  <si>
    <t>FC071</t>
  </si>
  <si>
    <t>FC272</t>
  </si>
  <si>
    <t>FC256</t>
  </si>
  <si>
    <t>FC300</t>
  </si>
  <si>
    <t>FC332</t>
  </si>
  <si>
    <t>FC402</t>
  </si>
  <si>
    <t>FC401</t>
  </si>
  <si>
    <t>FC406</t>
  </si>
  <si>
    <t>FC323</t>
  </si>
  <si>
    <t>FC043</t>
  </si>
  <si>
    <t>FC015</t>
  </si>
  <si>
    <t>FC197</t>
  </si>
  <si>
    <t>FC209</t>
  </si>
  <si>
    <t>FC088</t>
  </si>
  <si>
    <t>FC309</t>
  </si>
  <si>
    <t>FC017</t>
  </si>
  <si>
    <t>FC308</t>
  </si>
  <si>
    <t>FC056</t>
  </si>
  <si>
    <t>13O4</t>
  </si>
  <si>
    <t>ZZP3</t>
  </si>
  <si>
    <t>FC081</t>
  </si>
  <si>
    <t>FC377</t>
  </si>
  <si>
    <t>FC314</t>
  </si>
  <si>
    <t>FC361</t>
  </si>
  <si>
    <t>FC226</t>
  </si>
  <si>
    <t>FC351</t>
  </si>
  <si>
    <t>FC350</t>
  </si>
  <si>
    <t>FC387</t>
  </si>
  <si>
    <t>FC143</t>
  </si>
  <si>
    <t>FC022</t>
  </si>
  <si>
    <t>FC090</t>
  </si>
  <si>
    <t>FC113</t>
  </si>
  <si>
    <t>FC147</t>
  </si>
  <si>
    <t>FC245</t>
  </si>
  <si>
    <t>FC383</t>
  </si>
  <si>
    <t>31P2</t>
  </si>
  <si>
    <t>FC329</t>
  </si>
  <si>
    <t>FC324</t>
  </si>
  <si>
    <t>FC242</t>
  </si>
  <si>
    <t>ZZP6</t>
  </si>
  <si>
    <t>FC337</t>
  </si>
  <si>
    <t>FC395</t>
  </si>
  <si>
    <t>FC141</t>
  </si>
  <si>
    <t>FC193</t>
  </si>
  <si>
    <t>FC288</t>
  </si>
  <si>
    <t>FC286</t>
  </si>
  <si>
    <t>FC326</t>
  </si>
  <si>
    <t>FC379</t>
  </si>
  <si>
    <t>FC136</t>
  </si>
  <si>
    <t>FC181</t>
  </si>
  <si>
    <t>FC285</t>
  </si>
  <si>
    <t>FC370</t>
  </si>
  <si>
    <t>FC378</t>
  </si>
  <si>
    <t>FC400</t>
  </si>
  <si>
    <t>FC359</t>
  </si>
  <si>
    <t>FC089</t>
  </si>
  <si>
    <t>FC321</t>
  </si>
  <si>
    <t>ZZP9</t>
  </si>
  <si>
    <t>FC325</t>
  </si>
  <si>
    <t>FC002</t>
  </si>
  <si>
    <t>FC041</t>
  </si>
  <si>
    <t>FC231</t>
  </si>
  <si>
    <t>FC268</t>
  </si>
  <si>
    <t>FC290</t>
  </si>
  <si>
    <t>FC363</t>
  </si>
  <si>
    <t>ศรีบุญเรือง</t>
  </si>
  <si>
    <t>FC405</t>
  </si>
  <si>
    <t>FC031</t>
  </si>
  <si>
    <t>FC063</t>
  </si>
  <si>
    <t>FC160</t>
  </si>
  <si>
    <t>FC291</t>
  </si>
  <si>
    <t>FC344</t>
  </si>
  <si>
    <t>FC189</t>
  </si>
  <si>
    <t>FC334</t>
  </si>
  <si>
    <t>FC192</t>
  </si>
  <si>
    <t>FC292</t>
  </si>
  <si>
    <t>14H8</t>
  </si>
  <si>
    <t>ZZS2</t>
  </si>
  <si>
    <t>FC188</t>
  </si>
  <si>
    <t>FC283</t>
  </si>
  <si>
    <t>FC313</t>
  </si>
  <si>
    <t>FC335</t>
  </si>
  <si>
    <t>FC014</t>
  </si>
  <si>
    <t>FC156</t>
  </si>
  <si>
    <t>FC407</t>
  </si>
  <si>
    <t>FC380</t>
  </si>
  <si>
    <t>FC296</t>
  </si>
  <si>
    <t>FC001</t>
  </si>
  <si>
    <t>FC243</t>
  </si>
  <si>
    <t>FC179</t>
  </si>
  <si>
    <t>FC225</t>
  </si>
  <si>
    <t>FC267</t>
  </si>
  <si>
    <t>FC338</t>
  </si>
  <si>
    <t>FC391</t>
  </si>
  <si>
    <t>FC258</t>
  </si>
  <si>
    <t>FC330</t>
  </si>
  <si>
    <t>FC386</t>
  </si>
  <si>
    <t>FC232</t>
  </si>
  <si>
    <t>FC260</t>
  </si>
  <si>
    <t>FC305</t>
  </si>
  <si>
    <t>FC331</t>
  </si>
  <si>
    <t>FC375</t>
  </si>
  <si>
    <t>FC336</t>
  </si>
  <si>
    <t>FC354</t>
  </si>
  <si>
    <t>FC376</t>
  </si>
  <si>
    <t>FC358</t>
  </si>
  <si>
    <t>FC050</t>
  </si>
  <si>
    <t>FC114</t>
  </si>
  <si>
    <t>FC144</t>
  </si>
  <si>
    <t>FC157</t>
  </si>
  <si>
    <t>FC266</t>
  </si>
  <si>
    <t>FC320</t>
  </si>
  <si>
    <t>FC339</t>
  </si>
  <si>
    <t>FC394</t>
  </si>
  <si>
    <t>FC412</t>
  </si>
  <si>
    <t>FC415</t>
  </si>
  <si>
    <t>ผ่าน</t>
  </si>
  <si>
    <t>ไม่ผ่าน</t>
  </si>
  <si>
    <t>หจก.ร่อนทองชัย</t>
  </si>
  <si>
    <t>3168</t>
  </si>
  <si>
    <t>3166</t>
  </si>
  <si>
    <t>วิสิทธิ์</t>
  </si>
  <si>
    <t>วันชนะ</t>
  </si>
  <si>
    <t>หจก.พิชัยอุปกรณ์ก่อสร้าง</t>
  </si>
  <si>
    <t>หจก.ศิริภัณฑ์บางสะพานคอนกรีต</t>
  </si>
  <si>
    <t>หจก.ชื่นชูไพรคอนกรีต</t>
  </si>
  <si>
    <t>หจก.บิ๊ก.เอส.คอนกรีต</t>
  </si>
  <si>
    <t>หจก.สมพรพาณิชย์ คอนกรีต</t>
  </si>
  <si>
    <t>หจก.พลังเพชร (2009)</t>
  </si>
  <si>
    <t>หจก.ชัยวัฒน์เซ่งฮะเซียง</t>
  </si>
  <si>
    <t>หจก.พัฒนกิจคอนกรีต</t>
  </si>
  <si>
    <t>3165</t>
  </si>
  <si>
    <t>ยังไม่อบรม</t>
  </si>
  <si>
    <t>วงศกร</t>
  </si>
  <si>
    <t>รักษา</t>
  </si>
  <si>
    <t>ต๋อย</t>
  </si>
  <si>
    <t>ปราศัย</t>
  </si>
  <si>
    <t>บัวนิทาน</t>
  </si>
  <si>
    <t>สุขนิรันดร์</t>
  </si>
  <si>
    <t>บัวพา</t>
  </si>
  <si>
    <t>ศุภกิจ</t>
  </si>
  <si>
    <t>ดำรงศิลป์</t>
  </si>
  <si>
    <t>ชำนาญ</t>
  </si>
  <si>
    <t>สงกรานต์</t>
  </si>
  <si>
    <t>ชัยณรงค์</t>
  </si>
  <si>
    <t>เศกสรรค์</t>
  </si>
  <si>
    <t>อภิมุข</t>
  </si>
  <si>
    <t>สันทนา</t>
  </si>
  <si>
    <t>วัชระนิรันดร์</t>
  </si>
  <si>
    <t>ไชยยันต์</t>
  </si>
  <si>
    <t>โกวิทย์</t>
  </si>
  <si>
    <t>ซักรีญา</t>
  </si>
  <si>
    <t>ศักดิ์พุทธยา</t>
  </si>
  <si>
    <t>ภัทรายุทธ</t>
  </si>
  <si>
    <t>TEAM</t>
  </si>
  <si>
    <t>Status</t>
  </si>
  <si>
    <t>ชื่อ-นามสกุล</t>
  </si>
  <si>
    <t>บจก./หจก.</t>
  </si>
  <si>
    <t>เดือนที่อบรม</t>
  </si>
  <si>
    <t>สวัสดิ์</t>
  </si>
  <si>
    <t>มนนสพล</t>
  </si>
  <si>
    <t>สุวรรณฉัตร</t>
  </si>
  <si>
    <t>TM0014</t>
  </si>
  <si>
    <t>สีจันทะจร</t>
  </si>
  <si>
    <t>VW0010</t>
  </si>
  <si>
    <t>นายอนันต์</t>
  </si>
  <si>
    <t>นามสมบัติ</t>
  </si>
  <si>
    <t>5T0011</t>
  </si>
  <si>
    <t>อินสูงเนิน</t>
  </si>
  <si>
    <t>นายธนโชติ</t>
  </si>
  <si>
    <t>วีระยุทธ</t>
  </si>
  <si>
    <t>นามแสง</t>
  </si>
  <si>
    <t>DE0081</t>
  </si>
  <si>
    <t>วีระคำ</t>
  </si>
  <si>
    <t>DE0082</t>
  </si>
  <si>
    <t>เขื่อนเมือง</t>
  </si>
  <si>
    <t>DE0086</t>
  </si>
  <si>
    <t>แก้วดำ</t>
  </si>
  <si>
    <t>ER0001</t>
  </si>
  <si>
    <t>โพธิ์ชัย</t>
  </si>
  <si>
    <t>ER0002</t>
  </si>
  <si>
    <t>พิมเสน</t>
  </si>
  <si>
    <t>สาธิต</t>
  </si>
  <si>
    <t>โหงสา</t>
  </si>
  <si>
    <t>นายพิเชษฐ์</t>
  </si>
  <si>
    <t>PC0025</t>
  </si>
  <si>
    <t>เขียวดี</t>
  </si>
  <si>
    <t>นายชัยนคร</t>
  </si>
  <si>
    <t>นายเกริกชัย</t>
  </si>
  <si>
    <t>นายวรุตม์</t>
  </si>
  <si>
    <t>PG0177</t>
  </si>
  <si>
    <t>ถินถาวร</t>
  </si>
  <si>
    <t>หจก.เซ็นจูรี่บึงกาฬ</t>
  </si>
  <si>
    <t>นายธรรมนูญ</t>
  </si>
  <si>
    <t>QE0177</t>
  </si>
  <si>
    <t>ฉิมเดช</t>
  </si>
  <si>
    <t>QE0178</t>
  </si>
  <si>
    <t>ครองศรี</t>
  </si>
  <si>
    <t>RH0025</t>
  </si>
  <si>
    <t>ดุสิต</t>
  </si>
  <si>
    <t>บัวสำลี</t>
  </si>
  <si>
    <t>นายนิคม</t>
  </si>
  <si>
    <t>นายปริศนา</t>
  </si>
  <si>
    <t>RP0012</t>
  </si>
  <si>
    <t>นายเสถียร</t>
  </si>
  <si>
    <t>กัณหาเขียว</t>
  </si>
  <si>
    <t>เพ็งคุ้ม</t>
  </si>
  <si>
    <t>RP0043</t>
  </si>
  <si>
    <t>พงศธร</t>
  </si>
  <si>
    <t>นายยุธติพงษ์</t>
  </si>
  <si>
    <t>นายเผดิม</t>
  </si>
  <si>
    <t>นายวิรุต</t>
  </si>
  <si>
    <t>คุณสมบูรณ์</t>
  </si>
  <si>
    <t>นายนำชัย</t>
  </si>
  <si>
    <t>โครตพรหม</t>
  </si>
  <si>
    <t>ศรีแสงเมฆ</t>
  </si>
  <si>
    <t>นาคราช</t>
  </si>
  <si>
    <t>คะเชน</t>
  </si>
  <si>
    <t>นายสากล</t>
  </si>
  <si>
    <t>นายวุฒินันท์</t>
  </si>
  <si>
    <t>นายสุชัย</t>
  </si>
  <si>
    <t>VW0009</t>
  </si>
  <si>
    <t>วีระชัย</t>
  </si>
  <si>
    <t>คเชนทร์</t>
  </si>
  <si>
    <t>จักราวุธ</t>
  </si>
  <si>
    <t>อาจแก้ว</t>
  </si>
  <si>
    <t>PG0181</t>
  </si>
  <si>
    <t>PG0156</t>
  </si>
  <si>
    <t>ช่างกล</t>
  </si>
  <si>
    <t>PQ0023</t>
  </si>
  <si>
    <t>ศรีระพรม</t>
  </si>
  <si>
    <t>SM0023</t>
  </si>
  <si>
    <t>PG0180</t>
  </si>
  <si>
    <t>จักกฤษณ์</t>
  </si>
  <si>
    <t>PG0178</t>
  </si>
  <si>
    <t>ประจิมทิศ</t>
  </si>
  <si>
    <t>PG0179</t>
  </si>
  <si>
    <t>คู่กระโทก</t>
  </si>
  <si>
    <t>บุตรสนม</t>
  </si>
  <si>
    <t>PG0192</t>
  </si>
  <si>
    <t>ชัยสงค์</t>
  </si>
  <si>
    <t>PG0187</t>
  </si>
  <si>
    <t>นรศาต</t>
  </si>
  <si>
    <t>นรสิงห์</t>
  </si>
  <si>
    <t>PG0184</t>
  </si>
  <si>
    <t>สุทธิชาติ</t>
  </si>
  <si>
    <t>PG0188</t>
  </si>
  <si>
    <t>จันนาสี</t>
  </si>
  <si>
    <t>PG0183</t>
  </si>
  <si>
    <t>จารุ</t>
  </si>
  <si>
    <t>PG0186</t>
  </si>
  <si>
    <t>อภิรักษ์</t>
  </si>
  <si>
    <t>งามสวัสดิ์</t>
  </si>
  <si>
    <t>PG0191</t>
  </si>
  <si>
    <t>กฤษณา</t>
  </si>
  <si>
    <t>สีหาบง</t>
  </si>
  <si>
    <t>PG0182</t>
  </si>
  <si>
    <t>สวนผกา</t>
  </si>
  <si>
    <t>PG0189</t>
  </si>
  <si>
    <t>เกษชารี</t>
  </si>
  <si>
    <t>PG0190</t>
  </si>
  <si>
    <t>เดชอนันต์</t>
  </si>
  <si>
    <t>UA0030</t>
  </si>
  <si>
    <t>จอมยอด</t>
  </si>
  <si>
    <t>PH0060</t>
  </si>
  <si>
    <t>ภู่นิล</t>
  </si>
  <si>
    <t>นพคุณ</t>
  </si>
  <si>
    <t>PH0061</t>
  </si>
  <si>
    <t>รัฐเศรษฐี</t>
  </si>
  <si>
    <t>อุตตราช</t>
  </si>
  <si>
    <t>UA0029</t>
  </si>
  <si>
    <t>PG0193</t>
  </si>
  <si>
    <t>โพธิ์ชัยสิงห์</t>
  </si>
  <si>
    <t>PG0194</t>
  </si>
  <si>
    <t>ยางนอก</t>
  </si>
  <si>
    <t>PH0059</t>
  </si>
  <si>
    <t>PY0084</t>
  </si>
  <si>
    <t>เด่นจิตร</t>
  </si>
  <si>
    <t>ปิโคทัง</t>
  </si>
  <si>
    <t>PY0085</t>
  </si>
  <si>
    <t>ยศกร</t>
  </si>
  <si>
    <t>พิศิริ</t>
  </si>
  <si>
    <t>PZ0109</t>
  </si>
  <si>
    <t>QE0179</t>
  </si>
  <si>
    <t>ศิริเวช</t>
  </si>
  <si>
    <t>QM0025</t>
  </si>
  <si>
    <t>RI0034</t>
  </si>
  <si>
    <t>นายนพพร</t>
  </si>
  <si>
    <t>RU0067</t>
  </si>
  <si>
    <t>RU0072</t>
  </si>
  <si>
    <t>TH0038</t>
  </si>
  <si>
    <t>TQ0007</t>
  </si>
  <si>
    <t>นายนับทิศ</t>
  </si>
  <si>
    <t>UA0027</t>
  </si>
  <si>
    <t>อินโสภา</t>
  </si>
  <si>
    <t>UA0031</t>
  </si>
  <si>
    <t>VR0013</t>
  </si>
  <si>
    <t>บุตรโครต</t>
  </si>
  <si>
    <t>WC0002</t>
  </si>
  <si>
    <t>บุดดา</t>
  </si>
  <si>
    <t>โทวะดี</t>
  </si>
  <si>
    <t>หจก.เจ นา อินเทอนิตี้</t>
  </si>
  <si>
    <t>WC0003</t>
  </si>
  <si>
    <t>ปั้นศิลป์</t>
  </si>
  <si>
    <t>โฉมงาม</t>
  </si>
  <si>
    <t>นายอนันต์นามสมบัติ</t>
  </si>
  <si>
    <t>ระวีโชติพินิจ</t>
  </si>
  <si>
    <t>เผด็จพาที</t>
  </si>
  <si>
    <t>อุราญจันทร์ละคร</t>
  </si>
  <si>
    <t>วีรพันธ์พิกขุนทด</t>
  </si>
  <si>
    <t>อานนท์คำเมือง</t>
  </si>
  <si>
    <t>ภริทัตขอนสัก</t>
  </si>
  <si>
    <t>ไชยาอินสูงเนิน</t>
  </si>
  <si>
    <t>พรชัยอริยภูมิสวรรค์</t>
  </si>
  <si>
    <t>นายสมควรปะริกาถานัง</t>
  </si>
  <si>
    <t>นายพินิจวิมลสัย</t>
  </si>
  <si>
    <t>นายสมชายเทียบพิมพ์</t>
  </si>
  <si>
    <t>นายบุญเรืองฝ่ายพลแสน</t>
  </si>
  <si>
    <t>นายประมวลอำภาผล</t>
  </si>
  <si>
    <t>นายอำนวยปะทุมโช</t>
  </si>
  <si>
    <t>นายถนอมปิดตาละโพธิ์</t>
  </si>
  <si>
    <t>นายธวัชสมลักษณ์</t>
  </si>
  <si>
    <t>นายอั๋นแก้วศิริ</t>
  </si>
  <si>
    <t>นายขูลูประยูรคำ</t>
  </si>
  <si>
    <t>นายธนโชติฤทธิ์ประดิษฐ์</t>
  </si>
  <si>
    <t>บุญมาปลูกไธงสง</t>
  </si>
  <si>
    <t>ดาวเรืองสืบสิงคาร</t>
  </si>
  <si>
    <t>วีระยุทธนามแสง</t>
  </si>
  <si>
    <t>วิทวัสเตียวพิพัฒน์พงษ์</t>
  </si>
  <si>
    <t>นายณรงค์จั่นขุนทด</t>
  </si>
  <si>
    <t>นายอาทิตย์นาบำรุง</t>
  </si>
  <si>
    <t>นายอดินันท์นาคำ</t>
  </si>
  <si>
    <t>นายประมวลนาคำ</t>
  </si>
  <si>
    <t>สิริภพใจบาล</t>
  </si>
  <si>
    <t>คมสันกันธะเอ้ย</t>
  </si>
  <si>
    <t>นิติธรใจปัน</t>
  </si>
  <si>
    <t>ประสิทธิ์อุ่นเอ้ย</t>
  </si>
  <si>
    <t>ทวีปัฐวี</t>
  </si>
  <si>
    <t>สุริเยนทร์นวนแตง</t>
  </si>
  <si>
    <t>ชลธารสุวรรณน้อย</t>
  </si>
  <si>
    <t>นิรันดรบุญมาก</t>
  </si>
  <si>
    <t>อำนาจวงศรี</t>
  </si>
  <si>
    <t>เปรมวิทย์ภักดี</t>
  </si>
  <si>
    <t>วัชรศักดิ์ตุ้ยชัย</t>
  </si>
  <si>
    <t>สราวุฒิอินแก้ว</t>
  </si>
  <si>
    <t>สรชัชช่วยสัตว์</t>
  </si>
  <si>
    <t>สราวุธวรกำพล</t>
  </si>
  <si>
    <t>ประมวลด้วงตะกั่ว</t>
  </si>
  <si>
    <t>โชคอนันต์บุญนงค์</t>
  </si>
  <si>
    <t>ศุภชัยพิชัย</t>
  </si>
  <si>
    <t>พิทักษ์พันธ์เพ็ง</t>
  </si>
  <si>
    <t>โกวิตเมรัตน์</t>
  </si>
  <si>
    <t>วิวัตน์บุญเวียง</t>
  </si>
  <si>
    <t>บรรลือศักดิ์บุญเสริม</t>
  </si>
  <si>
    <t>ประเดิมขาวดี</t>
  </si>
  <si>
    <t>สมบูรณ์ปาละ</t>
  </si>
  <si>
    <t>ชัยวุฒิสีตบุตร</t>
  </si>
  <si>
    <t>ณัฐพิพีฒน์ผ่องเมืองปัก</t>
  </si>
  <si>
    <t>ทวีศักดิ์วรรณภพ</t>
  </si>
  <si>
    <t>อำไพตามบุญ</t>
  </si>
  <si>
    <t>ศรีนวลแสงสุวรรณ</t>
  </si>
  <si>
    <t>ถวิลกองเขียว</t>
  </si>
  <si>
    <t>พิพัฒน์จันทร์หงษ์สกุล</t>
  </si>
  <si>
    <t>ปรีชาวังเวช</t>
  </si>
  <si>
    <t>ชรินทร์ดวงสุวรรณ์</t>
  </si>
  <si>
    <t>วีรพงษ์ผลงาม</t>
  </si>
  <si>
    <t>ทนงศักดิ์อุดคำ</t>
  </si>
  <si>
    <t>ฉลองดวงดอกมูล</t>
  </si>
  <si>
    <t>ยงยุทธอุดคำ</t>
  </si>
  <si>
    <t>วิเศษจันต๊ะคาด</t>
  </si>
  <si>
    <t>พรประสิทธ์สีลารักษ์</t>
  </si>
  <si>
    <t>ปรีชาวิบุตรโคตร์</t>
  </si>
  <si>
    <t>ขจรนางแล</t>
  </si>
  <si>
    <t>ภาณุวิชญ์จันทาพูน</t>
  </si>
  <si>
    <t>สมชายวีระคำ</t>
  </si>
  <si>
    <t>อนุชาเขื่อนเมือง</t>
  </si>
  <si>
    <t>วัลลภสุวรรณ์ภา</t>
  </si>
  <si>
    <t>ชวลิตลี้แสน</t>
  </si>
  <si>
    <t>องค์อาจราวิชัย</t>
  </si>
  <si>
    <t>สวัสดิ์แก้วดำ</t>
  </si>
  <si>
    <t>สุพจน์เส็งแดง</t>
  </si>
  <si>
    <t>เกียรติประวุฒิสงวนศรี</t>
  </si>
  <si>
    <t>จำรัสศรีผดุง</t>
  </si>
  <si>
    <t>สมชายชิงรัมย์</t>
  </si>
  <si>
    <t>สมัยโสดรัมย์</t>
  </si>
  <si>
    <t>นายทวีใหญ่สมพงษ์</t>
  </si>
  <si>
    <t>ศักดิ์ชัยเดชราช</t>
  </si>
  <si>
    <t>ธารทองพิมพ์สาร</t>
  </si>
  <si>
    <t>สุทัศน์แซงอุ่น</t>
  </si>
  <si>
    <t>นัฐพลหวังผล</t>
  </si>
  <si>
    <t>สุกฤษ์ปาระสูตร</t>
  </si>
  <si>
    <t>สนองสมจิตร</t>
  </si>
  <si>
    <t>สาครโพธิ์ชัย</t>
  </si>
  <si>
    <t>สุราษฎร์เกลี้ยงตะพงษ์</t>
  </si>
  <si>
    <t>เอกวัฒน์ชูผล</t>
  </si>
  <si>
    <t>ศรัญปานเดโช</t>
  </si>
  <si>
    <t>จักรกฤษมากละม้าย</t>
  </si>
  <si>
    <t>สาธิตโหงสา</t>
  </si>
  <si>
    <t>สุรศักดิ์โคกแปะ</t>
  </si>
  <si>
    <t>ศักดิ์ดาแก้วคำรอด</t>
  </si>
  <si>
    <t>อำพรรณ์วรรณดี</t>
  </si>
  <si>
    <t>วัชรินทร์อินทร์สุวรรณ</t>
  </si>
  <si>
    <t>เกรียงไกรพุ่มไพจิตร</t>
  </si>
  <si>
    <t>เกิดภพอารีเอื้อ</t>
  </si>
  <si>
    <t>ทินกรกองสดี</t>
  </si>
  <si>
    <t>ธนพลถำวาปี</t>
  </si>
  <si>
    <t>ชารีดวนดี</t>
  </si>
  <si>
    <t>จิรพงศ์ชมชัยรัตน์</t>
  </si>
  <si>
    <t>กองใจดี</t>
  </si>
  <si>
    <t>ขุนแผนนันทจิตร</t>
  </si>
  <si>
    <t>สัญญาครุธเผือก</t>
  </si>
  <si>
    <t>เพชรโพธ์งาม</t>
  </si>
  <si>
    <t>มาลัยเผือกเหลี่ยม</t>
  </si>
  <si>
    <t>สมชายอาษา</t>
  </si>
  <si>
    <t>สมคิดเข็มทอง</t>
  </si>
  <si>
    <t>จรัญมะนาวทอง</t>
  </si>
  <si>
    <t>เอกพลยิ่งยง</t>
  </si>
  <si>
    <t>สามารถเหล่าสำโรง</t>
  </si>
  <si>
    <t>สมพรแฝงสุธา</t>
  </si>
  <si>
    <t>นายศรศิลป์กาญบุตร</t>
  </si>
  <si>
    <t>นายไสวบุญมี</t>
  </si>
  <si>
    <t>นายทูลศรีสูงเนิน</t>
  </si>
  <si>
    <t>อดิศรลาภประดิษฐ</t>
  </si>
  <si>
    <t>นายเกษมแดงจาด</t>
  </si>
  <si>
    <t>นายแดงวงษ์ศร</t>
  </si>
  <si>
    <t>นายเอนกเกษดี</t>
  </si>
  <si>
    <t>กังวาลย์รอดประเสริฐ(ดำ)</t>
  </si>
  <si>
    <t>ชาณรงค์ศรีมุกข์(จุก)</t>
  </si>
  <si>
    <t>มานัสนาคศรี(ป๊ก)</t>
  </si>
  <si>
    <t>สุชาติแดงสายทอง(ป็อด)</t>
  </si>
  <si>
    <t>นายนิทัศน์เหล่ามาลา</t>
  </si>
  <si>
    <t>บรรเจิดโสภา</t>
  </si>
  <si>
    <t>ประทวนเกตุสมบูรณ์</t>
  </si>
  <si>
    <t>พลากรประสิทธิ์พร</t>
  </si>
  <si>
    <t>สายฝันปิ่นวิเศษ</t>
  </si>
  <si>
    <t>สุเทพแผนจันทึก</t>
  </si>
  <si>
    <t>นายวิจารย์สิงห์สิทธิ์</t>
  </si>
  <si>
    <t>ทศพลวิไล</t>
  </si>
  <si>
    <t>ประยูรลีแก้ว</t>
  </si>
  <si>
    <t>ศิริพงษ์จอมแสง</t>
  </si>
  <si>
    <t>นพรัตน์เขียวดี</t>
  </si>
  <si>
    <t>นายชัยนครทิพย์กรแก้ว</t>
  </si>
  <si>
    <t>นายเกริกชัยฝั้นปิมปา</t>
  </si>
  <si>
    <t>นายทองสุขผลิปัญญา</t>
  </si>
  <si>
    <t>อ้ายปินใจกุล</t>
  </si>
  <si>
    <t>บูรณพงศ์ตรีภพ</t>
  </si>
  <si>
    <t>ประสิทธิ์มีเม</t>
  </si>
  <si>
    <t>มนตรีขันแก้ว</t>
  </si>
  <si>
    <t>บุญมีสวิวงศ์</t>
  </si>
  <si>
    <t>ทวีวัฒน์วันทิตย์</t>
  </si>
  <si>
    <t>ศุภชัยนันตาระ</t>
  </si>
  <si>
    <t>ระยองบุญยานาม</t>
  </si>
  <si>
    <t>แจ่มสุขนอก</t>
  </si>
  <si>
    <t>บัวเรียนแผนลี</t>
  </si>
  <si>
    <t>นายจรัญโกฏิรัมย์</t>
  </si>
  <si>
    <t>นายสุวรรณยวงกระโทก</t>
  </si>
  <si>
    <t>นายชุดสาระงาม</t>
  </si>
  <si>
    <t>สุมิตรจันนทผล</t>
  </si>
  <si>
    <t>กองแพงแดนคำสี</t>
  </si>
  <si>
    <t>รัตน์หาญกล้า</t>
  </si>
  <si>
    <t>นายสมศักดิ์พิมพ์หอม</t>
  </si>
  <si>
    <t>วิชัยแวงวรรณ</t>
  </si>
  <si>
    <t>นายสุทัศน์สุขประเสริฐ</t>
  </si>
  <si>
    <t>ปริวรรตทองอุไร</t>
  </si>
  <si>
    <t>นายจั้นสุขนอก</t>
  </si>
  <si>
    <t>นายบุญเพชรระหาร</t>
  </si>
  <si>
    <t>นายวิรัตน์ศรีนวล</t>
  </si>
  <si>
    <t>ธนวัฒน์ประสาททอง</t>
  </si>
  <si>
    <t>นายรติการไชยคำพา</t>
  </si>
  <si>
    <t>นายทวีศักดิ์จันทนะ</t>
  </si>
  <si>
    <t>นายชูศักดิ์สุขนอก</t>
  </si>
  <si>
    <t>นายมิตรเศษสุวรรณ์</t>
  </si>
  <si>
    <t>นายนพรัตน์ชนะประเสริฐ</t>
  </si>
  <si>
    <t>นายเกียรติศักดิ์สุขนอก</t>
  </si>
  <si>
    <t>นายทวีแก่นพุทธ</t>
  </si>
  <si>
    <t>สำรวยผ่านพลู</t>
  </si>
  <si>
    <t>ยันต์สร้อยเพชร</t>
  </si>
  <si>
    <t>ภานุพงศ์เชิดสูงเนิน</t>
  </si>
  <si>
    <t>สุรพลว่องไว</t>
  </si>
  <si>
    <t>ประมาณใจกระสัน</t>
  </si>
  <si>
    <t>จำนงค์ผุยแพง</t>
  </si>
  <si>
    <t>สมชายทิมราช</t>
  </si>
  <si>
    <t>คงกระพันจันทะผล</t>
  </si>
  <si>
    <t>สมัชชัยเอกตาแสง</t>
  </si>
  <si>
    <t>โกสินธุ์ใหญ่สมพงษ์</t>
  </si>
  <si>
    <t>อุเทนพิมพ์หอม</t>
  </si>
  <si>
    <t>วัชรพงษ์ด้วงไพร</t>
  </si>
  <si>
    <t>สมชัยชื่นมะดัน</t>
  </si>
  <si>
    <t>เปรมชัยหาระสาร</t>
  </si>
  <si>
    <t>สุจริตต์แซ่บัง</t>
  </si>
  <si>
    <t>สุดประเสร็ฐแซ่ปัง</t>
  </si>
  <si>
    <t>เสกสรรค์สุขนอก</t>
  </si>
  <si>
    <t>ชัยยุทธสาระงาม</t>
  </si>
  <si>
    <t>อำนวยศรีลาวงศ์</t>
  </si>
  <si>
    <t>ประมวลสิงขรเขต</t>
  </si>
  <si>
    <t>กัมพลคิ้วสูงเนิน</t>
  </si>
  <si>
    <t>สมพุทธวุฒิยา</t>
  </si>
  <si>
    <t>วีระศรีแดน</t>
  </si>
  <si>
    <t>สัญญาสมชาติ</t>
  </si>
  <si>
    <t>สมชายบุญยานาม</t>
  </si>
  <si>
    <t>ทองดีเทพนวล</t>
  </si>
  <si>
    <t>สุบินถินถาวร</t>
  </si>
  <si>
    <t>วุฒิพงษ์จารุธนกุล</t>
  </si>
  <si>
    <t>นิวัฒน์เอกจิตร</t>
  </si>
  <si>
    <t>อำนาจกันทะวัง</t>
  </si>
  <si>
    <t>สมชายทิพย์แก้ว</t>
  </si>
  <si>
    <t>นายประยงค์ฉวีชาติ</t>
  </si>
  <si>
    <t>นายถวิลปินวงค์</t>
  </si>
  <si>
    <t>นายบุญชอบจันทร์ทิพย์</t>
  </si>
  <si>
    <t>นายสมบัติแซ่แต้</t>
  </si>
  <si>
    <t>นายกิตติราชพันธ์เพชร</t>
  </si>
  <si>
    <t>ชนาธิปบูราณ</t>
  </si>
  <si>
    <t>นิรุทธิ์ประวัติ</t>
  </si>
  <si>
    <t>นิรุตติ์คำมา</t>
  </si>
  <si>
    <t>อนุสิทธฺ์พรมมา</t>
  </si>
  <si>
    <t>องอาจฟองเมฆ</t>
  </si>
  <si>
    <t>สมชายมั่นคง</t>
  </si>
  <si>
    <t>อุบลมงคล</t>
  </si>
  <si>
    <t>จักรกฤษณ์ส่างใส</t>
  </si>
  <si>
    <t>ณรงค์ฤทธิ์ไฟสิฐธิิศักดิ์</t>
  </si>
  <si>
    <t>สำราญบุญมี</t>
  </si>
  <si>
    <t>สมพิศบุญมี</t>
  </si>
  <si>
    <t>พัชรพลบัวเพชร</t>
  </si>
  <si>
    <t>อำนาจชูชัย</t>
  </si>
  <si>
    <t>วิชัยยอดดำเนิน</t>
  </si>
  <si>
    <t>นิพนธิ์ภู่ชงแก้ว</t>
  </si>
  <si>
    <t>สุปกิจภู่ชงแก้ว</t>
  </si>
  <si>
    <t>ประวัติสะกุนา</t>
  </si>
  <si>
    <t>ณรงค์นามวงษ์</t>
  </si>
  <si>
    <t>ณชพลฉิมใหม่</t>
  </si>
  <si>
    <t>เฉลิมปัถมัง</t>
  </si>
  <si>
    <t>คนขับสำรองท.ทวีทรัพย์</t>
  </si>
  <si>
    <t>พนมตรุษบาง</t>
  </si>
  <si>
    <t>นายสนองแก้วลอย</t>
  </si>
  <si>
    <t>ทวีพลพิมพ์มณี</t>
  </si>
  <si>
    <t>ธานินทร์ถึงสุข</t>
  </si>
  <si>
    <t>วรวิทย์เอกตาแสง</t>
  </si>
  <si>
    <t>สุริยาฝ่ายทะแสง</t>
  </si>
  <si>
    <t>เสฎฐวุฒิเคยการ</t>
  </si>
  <si>
    <t>ทองลาผาแก้ว</t>
  </si>
  <si>
    <t>บุญเชิดคำประสพ</t>
  </si>
  <si>
    <t>FC018</t>
  </si>
  <si>
    <t>ถาวรจิตธรรม</t>
  </si>
  <si>
    <t>วรศิลป์กุคำรักษ์</t>
  </si>
  <si>
    <t>อำนวยป้อมฤกษ์</t>
  </si>
  <si>
    <t>ส.ต.นิติบัณฑิตย์</t>
  </si>
  <si>
    <t>สุรัตน์แก้วมณี</t>
  </si>
  <si>
    <t>ปรีขาปอทอง</t>
  </si>
  <si>
    <t>นรินทร์ทรัพย์รอด</t>
  </si>
  <si>
    <t>รุ่งวิทยาแคว้นคอนฉิม</t>
  </si>
  <si>
    <t>สายชลเชียงภูกอ</t>
  </si>
  <si>
    <t>ประสิทธิ์กัณหาชาลี</t>
  </si>
  <si>
    <t>เพลินใจยะฝั้น</t>
  </si>
  <si>
    <t>สมชายไชยทน</t>
  </si>
  <si>
    <t>วัชรินทร์ศรีบุญ</t>
  </si>
  <si>
    <t>นิวัตร์เกิดพงษ์</t>
  </si>
  <si>
    <t>พิพัฒน์วงศ์ชัย</t>
  </si>
  <si>
    <t>สุรศักดิ์ดวงตา</t>
  </si>
  <si>
    <t>ณรงค์ชัยหงษ์คำ</t>
  </si>
  <si>
    <t>รุ่งใจสัตย์</t>
  </si>
  <si>
    <t>นายเกียรติศักดิ์นิลสลุด</t>
  </si>
  <si>
    <t>นายรัฐพลแรตทอง</t>
  </si>
  <si>
    <t>พรหมมินทร์เกสกุสณี</t>
  </si>
  <si>
    <t>บันเทิงนวลทิม</t>
  </si>
  <si>
    <t>รินทร์คำอ่องสวย</t>
  </si>
  <si>
    <t>วิลัยป้องท้าว</t>
  </si>
  <si>
    <t>มนตรีดีจอม</t>
  </si>
  <si>
    <t>บุญทันบุ้งจันทร์</t>
  </si>
  <si>
    <t>ร้อยตาคำ</t>
  </si>
  <si>
    <t>นายพงษ์ศักดิ์คำฟู</t>
  </si>
  <si>
    <t>อนุสรณ์จันทร์เพ็ง</t>
  </si>
  <si>
    <t>นายภูมิพัฒน์กาบคำ</t>
  </si>
  <si>
    <t>นายนิทัศน์ปิดจะดี</t>
  </si>
  <si>
    <t>นายประไพชัยภูมิ</t>
  </si>
  <si>
    <t>ไกรศักดิ์ปลื้มบุญ</t>
  </si>
  <si>
    <t>นายทองบ่อศรีวิชัย</t>
  </si>
  <si>
    <t>สมคิดทองจัทร์</t>
  </si>
  <si>
    <t>ทรงภพพิมพา</t>
  </si>
  <si>
    <t>จักรจิตคำเถื่อน</t>
  </si>
  <si>
    <t>ดำรงค์เดชทองวัน</t>
  </si>
  <si>
    <t>ทองสาล้วนดี</t>
  </si>
  <si>
    <t>คำพันอินทร์พินิจ</t>
  </si>
  <si>
    <t>อิทธิฤทธิ์คำมาตร์</t>
  </si>
  <si>
    <t>ธันวาผุยเพชรผุ้ย</t>
  </si>
  <si>
    <t>อนุสรณ์สร้อยสาย</t>
  </si>
  <si>
    <t>ไชยาวิเศษอุด</t>
  </si>
  <si>
    <t>เกียรติศักดิ์ปัญจะ</t>
  </si>
  <si>
    <t>มานะพรมมา</t>
  </si>
  <si>
    <t>สาครพรมดวงสี</t>
  </si>
  <si>
    <t>บุญทันริศนาเคณ</t>
  </si>
  <si>
    <t>เกรียงศักดิ์เเก้วเบี่ยง</t>
  </si>
  <si>
    <t>ทองวันจันทรดี</t>
  </si>
  <si>
    <t>ฃนะฃัยไฃยเเสน</t>
  </si>
  <si>
    <t>ธวัชชัยใบชา</t>
  </si>
  <si>
    <t>เกรียงศักดิ์ชาภูวงษ์</t>
  </si>
  <si>
    <t>ยุรนันท์บัวทอง</t>
  </si>
  <si>
    <t>เดี่ยวติดผาย</t>
  </si>
  <si>
    <t>ฐสิษฐ์วัชรธนเกียรติ์</t>
  </si>
  <si>
    <t>คมกริชเเก้วตา</t>
  </si>
  <si>
    <t>ชนะชัยไชยแสน</t>
  </si>
  <si>
    <t>จักรพงค์เจริญรัตน์</t>
  </si>
  <si>
    <t>วิเชียรสีเสาะ</t>
  </si>
  <si>
    <t>สายหยุดโพธิ์ศรี</t>
  </si>
  <si>
    <t>สมพานกระสายเเก้ว</t>
  </si>
  <si>
    <t>นายไพโรจน์มีคำ</t>
  </si>
  <si>
    <t>นายมาโนชเพ็ชรขาว</t>
  </si>
  <si>
    <t>สมพรคันธะคง</t>
  </si>
  <si>
    <t>นายสมพิศหลุ่นโพธิ์</t>
  </si>
  <si>
    <t>นายณรงค์จันทร์อินทร์</t>
  </si>
  <si>
    <t>สังวาลย์จันทวงษ์</t>
  </si>
  <si>
    <t>สมศักดิ์ยวงนุ่น</t>
  </si>
  <si>
    <t>บรรจงคงหนองลาน</t>
  </si>
  <si>
    <t>หนุ่มแก้วพรม</t>
  </si>
  <si>
    <t>ธีรศักดิ์พิจารณจิตต์</t>
  </si>
  <si>
    <t>สมชายภักดีกุล</t>
  </si>
  <si>
    <t>รุ่งสุขมามอญ</t>
  </si>
  <si>
    <t>สราวุธกันสุทธิ</t>
  </si>
  <si>
    <t>ทัตเทพชนม์สูงเนิน</t>
  </si>
  <si>
    <t>สมจิตรพรมทิง</t>
  </si>
  <si>
    <t>นายสมพงษ์งอบโคกกรวด</t>
  </si>
  <si>
    <t>บุญเรืองชัยภัคดี</t>
  </si>
  <si>
    <t>ณัฐภูมิชัยปะปัง</t>
  </si>
  <si>
    <t>สุริชิดขวาละคร</t>
  </si>
  <si>
    <t>จักรกฤษณ์ปิดตาฝ้าย</t>
  </si>
  <si>
    <t>ประกวดแสงแก้วพะเนา</t>
  </si>
  <si>
    <t>วิรัตน์คิดถูก</t>
  </si>
  <si>
    <t>ทองสุกนพไธสง</t>
  </si>
  <si>
    <t>พวนอยู่เย็น</t>
  </si>
  <si>
    <t>นายจำลองประสมสัตย์</t>
  </si>
  <si>
    <t>ณรงค์จงแอบกลาง</t>
  </si>
  <si>
    <t>นายวีรยุทธมากมาย</t>
  </si>
  <si>
    <t>นายชูชีพแดนสันเทียะ</t>
  </si>
  <si>
    <t>นายกรเกยกลาง</t>
  </si>
  <si>
    <t>บุญหลายพาบุดดา</t>
  </si>
  <si>
    <t>นายคนองชอบชื่น</t>
  </si>
  <si>
    <t>นายธรรมนูญคลังดี</t>
  </si>
  <si>
    <t>นายไพรัตน์แก้วเพชร</t>
  </si>
  <si>
    <t>นายวิชัยบำรุงไร่</t>
  </si>
  <si>
    <t>ยุทธการจอยนอก</t>
  </si>
  <si>
    <t>นายวันชัยบุญเวช</t>
  </si>
  <si>
    <t>สถาพรเสริมนอก</t>
  </si>
  <si>
    <t>นายอภิชิตบุญเยี่ยม</t>
  </si>
  <si>
    <t>นายสุชาติบุรุษรัมย์</t>
  </si>
  <si>
    <t>รังสรรค์พลวิเศษ</t>
  </si>
  <si>
    <t>นัฐพลจงเพ็งกลาง</t>
  </si>
  <si>
    <t>ประมาณศรียางนอก</t>
  </si>
  <si>
    <t>วิเศษสรรค์แพนไธสง</t>
  </si>
  <si>
    <t>มานะปราบมะเริง</t>
  </si>
  <si>
    <t>นายเสกสรรแก้วพิมาย</t>
  </si>
  <si>
    <t>บุญยังนนกระโทก</t>
  </si>
  <si>
    <t>ศรีตรกูลกลั่นหมอ</t>
  </si>
  <si>
    <t>อุทิศบุญเยี่่ยม</t>
  </si>
  <si>
    <t>รุ่งอรุณสียางนอก</t>
  </si>
  <si>
    <t>เกียรติศักดิ์หินนอก</t>
  </si>
  <si>
    <t>สุชาตินนชัย</t>
  </si>
  <si>
    <t>จันทร์แรมวงศ์สุนา</t>
  </si>
  <si>
    <t>ธีรภัทรหลงพิมาย</t>
  </si>
  <si>
    <t>ณรงค์เพ็ชรสุข</t>
  </si>
  <si>
    <t>สัมพาสอยู่สำราญ</t>
  </si>
  <si>
    <t>บรรจงเก็บพิมาย</t>
  </si>
  <si>
    <t>อรุณรุ่งแสงศรี</t>
  </si>
  <si>
    <t>ดิสกุลสีทา</t>
  </si>
  <si>
    <t>นาวีพุทนา</t>
  </si>
  <si>
    <t>กชกรแอมพิมาย</t>
  </si>
  <si>
    <t>ภาณุวัฒน์รัดใหม่</t>
  </si>
  <si>
    <t>ธวัตชัยป้องทองหลาง</t>
  </si>
  <si>
    <t>จำลองฉิมเดช</t>
  </si>
  <si>
    <t>ไพโรจน์พลวิเศษ</t>
  </si>
  <si>
    <t>ธเนศแก้วสระแสน</t>
  </si>
  <si>
    <t>นายศักดฺิ์ชายวงศ์คำเหลา</t>
  </si>
  <si>
    <t>ทวีศักดิ์สุเพ็ญ</t>
  </si>
  <si>
    <t>สุริยาวรรณกระชา</t>
  </si>
  <si>
    <t>ธวัชชัยเพชรดี</t>
  </si>
  <si>
    <t>สุวานิตย์จันสด</t>
  </si>
  <si>
    <t>สุพิศอินธิเดช</t>
  </si>
  <si>
    <t>วินัยข่อยแก้ว</t>
  </si>
  <si>
    <t>ชาตรีรัตนา</t>
  </si>
  <si>
    <t>เสียดจงสูง</t>
  </si>
  <si>
    <t>บวรเทพนามเขตต์</t>
  </si>
  <si>
    <t>กัมปนาทสำราญสุข</t>
  </si>
  <si>
    <t>นิรุชบุญมี</t>
  </si>
  <si>
    <t>อภิสรถาวรชน</t>
  </si>
  <si>
    <t>มนตรีวีระพันธ์</t>
  </si>
  <si>
    <t>ไชยาแสนสมัคร</t>
  </si>
  <si>
    <t>ทองใสน้อยเมืองเปลือย</t>
  </si>
  <si>
    <t>สมเชิศสิงห์สู่</t>
  </si>
  <si>
    <t>สมชายชาน้อย</t>
  </si>
  <si>
    <t>พิชิตมะลิงาม</t>
  </si>
  <si>
    <t>ครองศรีคำเพ็ง</t>
  </si>
  <si>
    <t>อติชาตโคตรพันธ์</t>
  </si>
  <si>
    <t>บัวไขพิมพ์รัตน์</t>
  </si>
  <si>
    <t>บัญชายิ้มแย่มแสง</t>
  </si>
  <si>
    <t>สมบัติดวงมาลา</t>
  </si>
  <si>
    <t>ชานุราษฐศรีคำ</t>
  </si>
  <si>
    <t>นครยั่งยืน</t>
  </si>
  <si>
    <t>จักรชัยอุ่นวงศ์</t>
  </si>
  <si>
    <t>วีรพงษ์บุญสะอาด</t>
  </si>
  <si>
    <t>ณรงค์ชัยวีระกูล</t>
  </si>
  <si>
    <t>สิริโรจน์สมหวัง</t>
  </si>
  <si>
    <t>ณัฐพงษ์สะดวกกิจ</t>
  </si>
  <si>
    <t>ไพฑูรย์อุดมลาภ</t>
  </si>
  <si>
    <t>อ่อนสากลิ่นกุหลาบ</t>
  </si>
  <si>
    <t>ทรงวุฒิอินตะ</t>
  </si>
  <si>
    <t>อมรเทพบุญทาป</t>
  </si>
  <si>
    <t>อธิพงษ์ปาณะวงศ์</t>
  </si>
  <si>
    <t>พัฒน์เที่ยงเกตุ</t>
  </si>
  <si>
    <t>เหมือนเพ็งเสง</t>
  </si>
  <si>
    <t>อภินันท์บัวพันธ์</t>
  </si>
  <si>
    <t>นายคะนองขวัญรอด</t>
  </si>
  <si>
    <t>นายเริงฤทธิ์มีมาก</t>
  </si>
  <si>
    <t>มะแอฮาแว</t>
  </si>
  <si>
    <t>รุสมินเจ๊ะฮะ</t>
  </si>
  <si>
    <t>รอนิงเจ๊ะบือราเฮง</t>
  </si>
  <si>
    <t>มูหาหมัดอาซันเจ๊ะสือนิ</t>
  </si>
  <si>
    <t>บูดีมันยาซิง</t>
  </si>
  <si>
    <t>ตูแวรอเซ็งตูแวกือจิ</t>
  </si>
  <si>
    <t>มะรูเด็งมะโซะ</t>
  </si>
  <si>
    <t>รามซูดือเร๊ะ</t>
  </si>
  <si>
    <t>อิสมะแอสอนิ</t>
  </si>
  <si>
    <t>ไพสรรณตีโม</t>
  </si>
  <si>
    <t>อุดรศรีนภาชัย</t>
  </si>
  <si>
    <t>นายยาการียาเปาะเดร์</t>
  </si>
  <si>
    <t>นายอดิศิกดิ์สาและ</t>
  </si>
  <si>
    <t>นายตอฟเฟดฮายีอาแว</t>
  </si>
  <si>
    <t>นายอะรุบันมะเซ็ง</t>
  </si>
  <si>
    <t>สมานเจะมะ</t>
  </si>
  <si>
    <t>นายอัลยุฟรีแวฮามะ</t>
  </si>
  <si>
    <t>สำราญสมจิตร</t>
  </si>
  <si>
    <t>นายสะการียาสาและ</t>
  </si>
  <si>
    <t>นิปอนิกูโน</t>
  </si>
  <si>
    <t>นายไซฟูดอเลาะ</t>
  </si>
  <si>
    <t>นายอัมฟาลหยังสู</t>
  </si>
  <si>
    <t>นิแมวิชา</t>
  </si>
  <si>
    <t>อิสมาแอยะหริ่ง</t>
  </si>
  <si>
    <t>นิยมสุริยรังรอง</t>
  </si>
  <si>
    <t>ศุภชัยจอนทอง</t>
  </si>
  <si>
    <t>บัญชาทองรอด</t>
  </si>
  <si>
    <t>สมชัยกันภัย</t>
  </si>
  <si>
    <t>ว่าหาบเกื้อชาติ</t>
  </si>
  <si>
    <t>หมาดสาดบรรจบ</t>
  </si>
  <si>
    <t>ประจวบปงรังสี</t>
  </si>
  <si>
    <t>วีระพงษ์ประสมกิจ</t>
  </si>
  <si>
    <t>ศุภโชคแซ่เหลี่ยม</t>
  </si>
  <si>
    <t>บุญเลิศบรรจงการ</t>
  </si>
  <si>
    <t>เสรีสงวนทรัพย์</t>
  </si>
  <si>
    <t>อาคมเทพณรงค์</t>
  </si>
  <si>
    <t>ทศพรประสพมิตร</t>
  </si>
  <si>
    <t>ถิรวัฒน์ไชยมาตร</t>
  </si>
  <si>
    <t>จตุฤทธิ์ชมคำ</t>
  </si>
  <si>
    <t>วัชรเกียรติสามารถ</t>
  </si>
  <si>
    <t>เจมหาญวารี</t>
  </si>
  <si>
    <t>กรษณจูดเมือง</t>
  </si>
  <si>
    <t>อุดรเขียวอุไร</t>
  </si>
  <si>
    <t>ธราภรณ์แซ่เตี้ย</t>
  </si>
  <si>
    <t>เจนณรงค์บุญชากร</t>
  </si>
  <si>
    <t>สุพรก๋งหวั๋น</t>
  </si>
  <si>
    <t>ชาติชายขาวใหม่</t>
  </si>
  <si>
    <t>รุจน์พูลสวัสด์</t>
  </si>
  <si>
    <t>สามารถต้อยแก้ว</t>
  </si>
  <si>
    <t>มานะพงศ์ทองเกลี้ยง</t>
  </si>
  <si>
    <t>นายชูทวีปทิพย์ป่าเว</t>
  </si>
  <si>
    <t>วินัยช่วยเพ็ง</t>
  </si>
  <si>
    <t>บุญมีสายกัน</t>
  </si>
  <si>
    <t>พูลศักดิ์โตขาว</t>
  </si>
  <si>
    <t>วิโชคแก้วหอด</t>
  </si>
  <si>
    <t>เอกรินทร์ชุมทับ</t>
  </si>
  <si>
    <t>ศุภวัฒน์ไชยสิทธิ์</t>
  </si>
  <si>
    <t>ธันวาจันทร์พราหมณ์</t>
  </si>
  <si>
    <t>บัวลอยภูมิลา</t>
  </si>
  <si>
    <t>ประเวชขาวผ่อง</t>
  </si>
  <si>
    <t>บุญช่วยขำคม</t>
  </si>
  <si>
    <t>นายตั๋นเขียว</t>
  </si>
  <si>
    <t>นายสามารถศรีเทศ</t>
  </si>
  <si>
    <t>นิพลพันธ์คำภา</t>
  </si>
  <si>
    <t>ปรีชาสมจิตร</t>
  </si>
  <si>
    <t>สุคนธ์ประเสริฐสังข์</t>
  </si>
  <si>
    <t>ธนกฤติยังธัญญา</t>
  </si>
  <si>
    <t>รุ่งวิจิตรชัยยืนยง</t>
  </si>
  <si>
    <t>อภิวัฒน์สวัสดีลาภา</t>
  </si>
  <si>
    <t>อดุลย์โทอ่อน</t>
  </si>
  <si>
    <t>ประจักษ์น้ำจันทร์</t>
  </si>
  <si>
    <t>สมชายหอมดอกพุด</t>
  </si>
  <si>
    <t>สุรสิทธิ์พูลทรัพย์</t>
  </si>
  <si>
    <t>นายเกรียงไกรทับพันธุ์</t>
  </si>
  <si>
    <t>พิพัฒน์เกตุแก้ว</t>
  </si>
  <si>
    <t>อดิศักดิ์ศรีวารินทร์</t>
  </si>
  <si>
    <t>สินชัยดำคล้าย</t>
  </si>
  <si>
    <t>สันติคูหธนเสถียร</t>
  </si>
  <si>
    <t>สินสันรักษ์เมือง</t>
  </si>
  <si>
    <t>วสันต์มิ่งวรรณ</t>
  </si>
  <si>
    <t>นายบุดจนาจอนันตะภูมิ</t>
  </si>
  <si>
    <t>สุวรรรณทรัพย์วัฒนากร</t>
  </si>
  <si>
    <t>ธีระชัยหนูแก้ว</t>
  </si>
  <si>
    <t>สุบินอักษรสมบัติ</t>
  </si>
  <si>
    <t>กิตติศักดิ์พานทอง</t>
  </si>
  <si>
    <t>สรวิชญ์ทองนอก</t>
  </si>
  <si>
    <t>สุทินพุ่มมะลิ</t>
  </si>
  <si>
    <t>ธวัชชัยจิตรตารมย์</t>
  </si>
  <si>
    <t>ณัฐพงษ์เกตุผาสุข</t>
  </si>
  <si>
    <t>วิษณุคงนา</t>
  </si>
  <si>
    <t>มนตรีคงเจริญถิ่น</t>
  </si>
  <si>
    <t>มาหะมะมะลี</t>
  </si>
  <si>
    <t>แวสะรีแวมูซอ</t>
  </si>
  <si>
    <t>ดอเลาะมะหลี</t>
  </si>
  <si>
    <t>หาลีย๊ะยือมิง</t>
  </si>
  <si>
    <t>ซาวาวีสือแม</t>
  </si>
  <si>
    <t>มูฮำหมัดฮานาฟีเจ๊ะอาแซ</t>
  </si>
  <si>
    <t>เฉลิมชาติเพชรสุวรรณ</t>
  </si>
  <si>
    <t>วุฒิกล้ากล้ากลางดอน</t>
  </si>
  <si>
    <t>นายไพศาลเรียนพืช</t>
  </si>
  <si>
    <t>ดุสิตบัวสำลี</t>
  </si>
  <si>
    <t>นิรุตติ์แดงงาม</t>
  </si>
  <si>
    <t>เด่นชัยผันกลาง</t>
  </si>
  <si>
    <t>สมภพหงษ์ทอง</t>
  </si>
  <si>
    <t>รุ่งเรืองเอี่ยมสอาด</t>
  </si>
  <si>
    <t>นายนิกรผลจะโปะ</t>
  </si>
  <si>
    <t>นายราชัญเริกหริ่ง</t>
  </si>
  <si>
    <t>นายสมบูรณ์ร้อยมา</t>
  </si>
  <si>
    <t>ทองอินทร์ห้องมณี</t>
  </si>
  <si>
    <t>วสวัตติ์พงษ์สกุลรัตน์</t>
  </si>
  <si>
    <t>นิกรปัญญาวงค์</t>
  </si>
  <si>
    <t>นายนิคมกล้าหาญ</t>
  </si>
  <si>
    <t>เลิศพิพีฒน์ฟองจันทร์</t>
  </si>
  <si>
    <t>อุดมสุธรรม</t>
  </si>
  <si>
    <t>เจตรินวะลัยศรี</t>
  </si>
  <si>
    <t>นายประสิทธิ์ชาติรัมย์</t>
  </si>
  <si>
    <t>วัฒนาชนะก่ารี</t>
  </si>
  <si>
    <t>อำนาจจิ๋วแหยม</t>
  </si>
  <si>
    <t>พิษณุจันทร์เชื้อ</t>
  </si>
  <si>
    <t>สินาทพึ่งสิทธิ์</t>
  </si>
  <si>
    <t>สมพรวงค์ลำเนาว์</t>
  </si>
  <si>
    <t>นายปริศนาศรีสำอางค์</t>
  </si>
  <si>
    <t>พิทักษ์ภูธรเลิศสันเที๊ยะ</t>
  </si>
  <si>
    <t>ดวงบรรจงปรุ</t>
  </si>
  <si>
    <t>ธีระพงษ์อินทาสุข</t>
  </si>
  <si>
    <t>สมประสงค์แสงกล้า</t>
  </si>
  <si>
    <t>ไพทูลบุญโชติ</t>
  </si>
  <si>
    <t>คูณแก้วสง่า</t>
  </si>
  <si>
    <t>บุญรอดประเสริฐ</t>
  </si>
  <si>
    <t>จำลองตากิ่มนอก</t>
  </si>
  <si>
    <t>เชาวลิตเกิดดี</t>
  </si>
  <si>
    <t>สำเริงฤทธิ์ศรีอาภรณ์</t>
  </si>
  <si>
    <t>วิชาญตรงดี</t>
  </si>
  <si>
    <t>สำเนาว์แก้วแดง</t>
  </si>
  <si>
    <t>สนธยาทองคำ</t>
  </si>
  <si>
    <t>ระเบียบปทุมานนท์</t>
  </si>
  <si>
    <t>นฤทธิ์เพ็งเดือน</t>
  </si>
  <si>
    <t>วิโรจน์เกิดดี</t>
  </si>
  <si>
    <t>ชัยชาญเสนา</t>
  </si>
  <si>
    <t>เฮงพานิชกิจ</t>
  </si>
  <si>
    <t>สมหมายเจ็กอยู่</t>
  </si>
  <si>
    <t>สนมพึ่งเตง</t>
  </si>
  <si>
    <t>สมบัติบุญมา</t>
  </si>
  <si>
    <t>นายภูษิตเนียมพา</t>
  </si>
  <si>
    <t>นายวิชัยเจริญศรี</t>
  </si>
  <si>
    <t>ชูศักดิ์สาระต่อ</t>
  </si>
  <si>
    <t>ทองสุขทองแผ่น</t>
  </si>
  <si>
    <t>นิมิตเรืองจรูญ</t>
  </si>
  <si>
    <t>ปราโมทย์สิงขรรักษ์</t>
  </si>
  <si>
    <t>พิเชษฐ์แม้นเดช</t>
  </si>
  <si>
    <t>FC047</t>
  </si>
  <si>
    <t>นายเสถียรกัณหาเขียว</t>
  </si>
  <si>
    <t>มนตรีโคมเวียน</t>
  </si>
  <si>
    <t>ประณิธาณสว่างเมฆ</t>
  </si>
  <si>
    <t>สถาพรไกรดาว</t>
  </si>
  <si>
    <t>สมพงษ์เพ็งคุ้ม</t>
  </si>
  <si>
    <t>วิรัชลิ้มไพบูลย์</t>
  </si>
  <si>
    <t>พงศธรโพธิ์ทอง</t>
  </si>
  <si>
    <t>ประสิทธิ์เอี่ยมทรัพย์</t>
  </si>
  <si>
    <t>นายยุธติพงษ์ฉิมพาลี</t>
  </si>
  <si>
    <t>ไตรภพสุริยะ</t>
  </si>
  <si>
    <t>นิรุตย์คำแป้น</t>
  </si>
  <si>
    <t>เฉลิมพรรักบำรุง</t>
  </si>
  <si>
    <t>อนุรักษ์คชเชนทร์</t>
  </si>
  <si>
    <t>เกียรติศักดิ์เค้าดำ</t>
  </si>
  <si>
    <t>ธวัชชัยเจริญสุข</t>
  </si>
  <si>
    <t>สุขสันต์ไชยณรงค์</t>
  </si>
  <si>
    <t>อนุสรณ์หยูตุ้ง</t>
  </si>
  <si>
    <t>เอกชัยบุญฉิม</t>
  </si>
  <si>
    <t>สรรเสริญหนูมาก</t>
  </si>
  <si>
    <t>เฉลิมพงษ์หนูมาก</t>
  </si>
  <si>
    <t>สราวิชญ์จงจิตร์</t>
  </si>
  <si>
    <t>นายวิสูติขันธ์แก้ว</t>
  </si>
  <si>
    <t>เอกสิทธิ์ทองมาก</t>
  </si>
  <si>
    <t>ภิรมย์ซุ้นสุวรรณ</t>
  </si>
  <si>
    <t>ธรรมรงค์ใบตาเย็บ</t>
  </si>
  <si>
    <t>นายเผดิมนัมรัตน์</t>
  </si>
  <si>
    <t>นายอ๊าตสงเคราะห์</t>
  </si>
  <si>
    <t>วรวุธแสงมณี</t>
  </si>
  <si>
    <t>นายวิรุตรวงพันธ์</t>
  </si>
  <si>
    <t>วินัยหะยีเส็น</t>
  </si>
  <si>
    <t>ประพันธ์ศิริบุญสอน</t>
  </si>
  <si>
    <t>อุทัยโครตบุญครอง</t>
  </si>
  <si>
    <t>คุณสมบูรณ์ภูบุญแอม</t>
  </si>
  <si>
    <t>คุณทูลทองใจวิชัยชา</t>
  </si>
  <si>
    <t>คุณคานถวิล</t>
  </si>
  <si>
    <t>นายสัญญาพิยะเศษ</t>
  </si>
  <si>
    <t>คุณตาวะศรี</t>
  </si>
  <si>
    <t>นายประยงค์สายศรี</t>
  </si>
  <si>
    <t>บุญช่วยตาสาโรจน์</t>
  </si>
  <si>
    <t>นายศรีบุรัมย์</t>
  </si>
  <si>
    <t>นายพิสิษฐ์บรรณกิจ</t>
  </si>
  <si>
    <t>ทองใบวิทยา</t>
  </si>
  <si>
    <t>เกษมศิริวิเศษไทย</t>
  </si>
  <si>
    <t>วัชรินวิทยาเวทย์</t>
  </si>
  <si>
    <t>นายพินิจโสตะวงศ์</t>
  </si>
  <si>
    <t>สัญญาคุ่ยยกสุย</t>
  </si>
  <si>
    <t>เจตน์จันทร์ทอง</t>
  </si>
  <si>
    <t>ขจรศักดิ์คล่องดี</t>
  </si>
  <si>
    <t>กำพลชูเกียรติ</t>
  </si>
  <si>
    <t>สมมาตรจันทมาศ</t>
  </si>
  <si>
    <t>อนุพงศ์กลิ่นบำรุง</t>
  </si>
  <si>
    <t>สุรินทร์ทัศน์นิยม</t>
  </si>
  <si>
    <t>สนั่นกันทองสุข</t>
  </si>
  <si>
    <t>เอกสิทธิ์นาคแจ่ม</t>
  </si>
  <si>
    <t>มานิตย์มาโยธา</t>
  </si>
  <si>
    <t>ไพฑูรย์อินสุข</t>
  </si>
  <si>
    <t>สมานทรายกิ่ง</t>
  </si>
  <si>
    <t>พรเทพท้วมบ้านไทร</t>
  </si>
  <si>
    <t>ชายธงท้วมบ้านไทร</t>
  </si>
  <si>
    <t>นายสุพจน์เผื่อนจวง</t>
  </si>
  <si>
    <t>ศรชัยสังข์เที่ยง</t>
  </si>
  <si>
    <t>ทัศนัยฉิมทอง</t>
  </si>
  <si>
    <t>อนันท์มาลีศรี</t>
  </si>
  <si>
    <t>จันทประดิษฐ์คำจริง</t>
  </si>
  <si>
    <t>จรูณอัคศรีวร</t>
  </si>
  <si>
    <t>ยอดศรีโชค</t>
  </si>
  <si>
    <t>สมควรชัยบุญ</t>
  </si>
  <si>
    <t>ประเสริฐสุขแก้ว</t>
  </si>
  <si>
    <t>สุชาติพิชัยยุทธิ์</t>
  </si>
  <si>
    <t>เกียรติศักดิ์วังนิคม</t>
  </si>
  <si>
    <t>ปรีชาพริกสุข</t>
  </si>
  <si>
    <t>วิชัยขวัญคีรี</t>
  </si>
  <si>
    <t>พรพิรุณคงแก้ว</t>
  </si>
  <si>
    <t>อุดรแก้วเพ็งกรอ</t>
  </si>
  <si>
    <t>ธีรศักดิ์มณีโชติ</t>
  </si>
  <si>
    <t>ประวิทย์เกิดเกลี้ยง</t>
  </si>
  <si>
    <t>เสมอจันทะวงศ์</t>
  </si>
  <si>
    <t>คูณอาสนานิ</t>
  </si>
  <si>
    <t>ธนัดบ้านซอง</t>
  </si>
  <si>
    <t>กฤษณะทิมทอง</t>
  </si>
  <si>
    <t>วิเชียรกันทะมา</t>
  </si>
  <si>
    <t>สุวิชัยกันยา</t>
  </si>
  <si>
    <t>วัลลภเอี่ยมสี</t>
  </si>
  <si>
    <t>พันธวงสิทธิไกรพงษ์</t>
  </si>
  <si>
    <t>บุญโชคเพ็งกระจ่าง</t>
  </si>
  <si>
    <t>สายัณห์รักนาค</t>
  </si>
  <si>
    <t>องอาจดาดำ</t>
  </si>
  <si>
    <t>สุขจินสามารถ</t>
  </si>
  <si>
    <t>ลือชัยวิลาวัลย์</t>
  </si>
  <si>
    <t>สุพิศพวงมะลิ</t>
  </si>
  <si>
    <t>อารีย์มะหมีน</t>
  </si>
  <si>
    <t>นายสหากหลีดินซุด</t>
  </si>
  <si>
    <t>อาสันหมัดหมีน</t>
  </si>
  <si>
    <t>หมาดตะกง</t>
  </si>
  <si>
    <t>เอกณรงค์คงถาวร</t>
  </si>
  <si>
    <t>ไฟรุสหลงโซะ</t>
  </si>
  <si>
    <t>มูฮัมหมัดสุกรีแก้วสลำ</t>
  </si>
  <si>
    <t>นายอรุณสุหวาหลำ</t>
  </si>
  <si>
    <t>กูมะสลีนาราวงศ์</t>
  </si>
  <si>
    <t>ไพศาลนกเพชร</t>
  </si>
  <si>
    <t>สุเชษฐ์ทิพย์สังวาลย์</t>
  </si>
  <si>
    <t>จรัญโคตรอาสา</t>
  </si>
  <si>
    <t>ดวงจันทร์ศรีธรรมมา</t>
  </si>
  <si>
    <t>นายนำชัยพรมอารักษ์</t>
  </si>
  <si>
    <t>นายพลศักดิ์คำมุงคุณ</t>
  </si>
  <si>
    <t>บุญชูวงค์ศรีงาม</t>
  </si>
  <si>
    <t>นันทชัยสุวงษ์</t>
  </si>
  <si>
    <t>สุรชัยชามาตย์</t>
  </si>
  <si>
    <t>สมเกียรติธงกางกรณ์</t>
  </si>
  <si>
    <t>ไพศาลโสเพ็ง</t>
  </si>
  <si>
    <t>นายธงชัยกรุตเจียม</t>
  </si>
  <si>
    <t>นายลักษ์ขันทอง</t>
  </si>
  <si>
    <t>จิรพัฒน์ปั้นนาค</t>
  </si>
  <si>
    <t>ธวัชบานเย็นงาม</t>
  </si>
  <si>
    <t>ยอดเพ็ชร์ยาดี</t>
  </si>
  <si>
    <t>นายนิรันด์ลักษณะสาย</t>
  </si>
  <si>
    <t>ประเสริฐปานสีลา</t>
  </si>
  <si>
    <t>บัณฑิตบุญเพ็ชร์</t>
  </si>
  <si>
    <t>สุเมธสิงห์คำป้อง</t>
  </si>
  <si>
    <t>บุญโฮมหล้าบ้านโพน</t>
  </si>
  <si>
    <t>วันดีแสงไกร</t>
  </si>
  <si>
    <t>ประยูรฝ้ายปาน</t>
  </si>
  <si>
    <t>อุทัยอั้วนา</t>
  </si>
  <si>
    <t>ยอดชูขันธ์</t>
  </si>
  <si>
    <t>คมสันต์อินทร์ประจบ</t>
  </si>
  <si>
    <t>นิคมเวียงจันทร์</t>
  </si>
  <si>
    <t>เสาร์ลายโถ</t>
  </si>
  <si>
    <t>นิธิพรโคตะ</t>
  </si>
  <si>
    <t>จำนงค์ซื่อตรง</t>
  </si>
  <si>
    <t>สุประโชคหนูเกาะเรียง</t>
  </si>
  <si>
    <t>นิวัฒน์รัตนาชีวัฒน์</t>
  </si>
  <si>
    <t>สนธิ์ราชนรินทร์</t>
  </si>
  <si>
    <t>เล็กทานสละ</t>
  </si>
  <si>
    <t>อำนวยทอนสูงเนิน</t>
  </si>
  <si>
    <t>อดุลย์ฝามงคล</t>
  </si>
  <si>
    <t>บรรพตฉ่ำท่วม</t>
  </si>
  <si>
    <t>ลิ่มทานประสิทธิ์</t>
  </si>
  <si>
    <t>อนันต์แสนศรี</t>
  </si>
  <si>
    <t>นายวิฑูรย์อินทริง</t>
  </si>
  <si>
    <t>อุทัยสาบก</t>
  </si>
  <si>
    <t>นายสมชายบุตรรักษ์</t>
  </si>
  <si>
    <t>นายนิกรแก้วน้ำ</t>
  </si>
  <si>
    <t>พัฒนาโครตพรหม</t>
  </si>
  <si>
    <t>นายสมศักดิ์ทองสี</t>
  </si>
  <si>
    <t>นายบดินทร์แก้วไชย</t>
  </si>
  <si>
    <t>เกษมศานต์โกษาแสง</t>
  </si>
  <si>
    <t>ธีรยุทธประทุมชาติ</t>
  </si>
  <si>
    <t>นายฤทธิชัยชาติไทยสงค์</t>
  </si>
  <si>
    <t>นายนิรันทร์ภูพาที</t>
  </si>
  <si>
    <t>วีรยุทธหอมอ้ม</t>
  </si>
  <si>
    <t>ณัฐพงษ์โทชาติ</t>
  </si>
  <si>
    <t>ถาวรพลชัยมาตย์</t>
  </si>
  <si>
    <t>สุวรรณสุขอิ่ม</t>
  </si>
  <si>
    <t>สกลแหล่ป้อง</t>
  </si>
  <si>
    <t>วีรวัฒน์เรืองรัมย์</t>
  </si>
  <si>
    <t>สุพรรณนันทกุล</t>
  </si>
  <si>
    <t>สะอาดศรีสุพัฒน์</t>
  </si>
  <si>
    <t>ลงกตธรรมศิริ</t>
  </si>
  <si>
    <t>คมเพชรสีแนน</t>
  </si>
  <si>
    <t>คงศักดิ์ทับทิม</t>
  </si>
  <si>
    <t>ภาณุพงศ์อุดมบัว</t>
  </si>
  <si>
    <t>มนตรีศรีสว่าง</t>
  </si>
  <si>
    <t>จักรพงค์วรรณโส</t>
  </si>
  <si>
    <t>ธีระศักดิ์รินเสนา</t>
  </si>
  <si>
    <t>ทนงศักดิ์จำปาสิม</t>
  </si>
  <si>
    <t>นายโกมลบุษบา</t>
  </si>
  <si>
    <t>นายเพชรเหงาพรม</t>
  </si>
  <si>
    <t>นายภานุวัตน์จันอุดม</t>
  </si>
  <si>
    <t>นายสุริยันหงษ์ทอง</t>
  </si>
  <si>
    <t>นายวันชัยรวมสุข</t>
  </si>
  <si>
    <t>นายภัทรวุฒิธิโนชัย</t>
  </si>
  <si>
    <t>นายนิกรคำมา</t>
  </si>
  <si>
    <t>นายทมบุญเรือง</t>
  </si>
  <si>
    <t>นายณรงค์เสือเพชร</t>
  </si>
  <si>
    <t>นายอดุลย์ขันทะวงค์</t>
  </si>
  <si>
    <t>นายสุรชัยบัวชัย</t>
  </si>
  <si>
    <t>แววตาสมหวัง</t>
  </si>
  <si>
    <t>อนุชิตผลจันทร์</t>
  </si>
  <si>
    <t>สิริวัฒน์โกยสำราญ</t>
  </si>
  <si>
    <t>ปราโมทย์สิทธิผล</t>
  </si>
  <si>
    <t>พงษ์ศักดิ์พิมใชงาม</t>
  </si>
  <si>
    <t>บุญชงค์บุญมี</t>
  </si>
  <si>
    <t>เติมพงษ์เรืองเขียว</t>
  </si>
  <si>
    <t>สมยสการะเวก</t>
  </si>
  <si>
    <t>จุลจิตต์อยู่โพธิ์</t>
  </si>
  <si>
    <t>สมควรมูลสวัสดิ์</t>
  </si>
  <si>
    <t>นายคัชชาเทพเทวี</t>
  </si>
  <si>
    <t>นายวิชัยชาววัดหลวง</t>
  </si>
  <si>
    <t>ศรเพชรเริงเกษตรกิจ</t>
  </si>
  <si>
    <t>วันเพ็ญคนสันทัด</t>
  </si>
  <si>
    <t>ทนงศักดิ์ศรีสมบัติ</t>
  </si>
  <si>
    <t>สายันห์โป้ยดี</t>
  </si>
  <si>
    <t>สุทธิพรเฟื่องฟุ้ง</t>
  </si>
  <si>
    <t>สุธีย์มะลิถอด</t>
  </si>
  <si>
    <t>ลำดวนโคมน้อย</t>
  </si>
  <si>
    <t>มิตรชัยอินทะรักษ์</t>
  </si>
  <si>
    <t>วิชัยศรีแสงเมฆ</t>
  </si>
  <si>
    <t>อินทรสุพรรณ</t>
  </si>
  <si>
    <t>สมชาติสงคราม</t>
  </si>
  <si>
    <t>สุรศักดิ์ศรีเพ็ชร</t>
  </si>
  <si>
    <t>วศินรสเลิศ</t>
  </si>
  <si>
    <t>สุรชัยอุทัยทอง</t>
  </si>
  <si>
    <t>อภิสิทธิ์แคล้วปลอด</t>
  </si>
  <si>
    <t>พงษ์ศิริศรีหกัญญา</t>
  </si>
  <si>
    <t>ประสิทธิ์ธรรมสงค์</t>
  </si>
  <si>
    <t>บุญลือทับนาค</t>
  </si>
  <si>
    <t>ชูเกียรติศรีไชย</t>
  </si>
  <si>
    <t>สุริยันต์พุทธิชน</t>
  </si>
  <si>
    <t>สุริยาสุขแสวง</t>
  </si>
  <si>
    <t>ดำรงค์พันธุเมฆ</t>
  </si>
  <si>
    <t>แอ๊ดดี้สุระคาย</t>
  </si>
  <si>
    <t>สุนทรสุริวงษ์</t>
  </si>
  <si>
    <t>อภิชาติเพ็งสะเกษ</t>
  </si>
  <si>
    <t>นายประมวลโนนดี</t>
  </si>
  <si>
    <t>มนนสพลสุวรรณฉัตร</t>
  </si>
  <si>
    <t>ชูชาติวงค์น้อย</t>
  </si>
  <si>
    <t>ชีพผิวผ่อง</t>
  </si>
  <si>
    <t>อนิรุทธิ์ผ่องภิรมณ์</t>
  </si>
  <si>
    <t>ศักดิ์รินทร์บัวหลวง</t>
  </si>
  <si>
    <t>ธวัชชัยพรมชัยศรี</t>
  </si>
  <si>
    <t>อนันต์นาคราช</t>
  </si>
  <si>
    <t>สัญชาติหวลวงศ์</t>
  </si>
  <si>
    <t>ฉลองไชยวิธีพล</t>
  </si>
  <si>
    <t>วีระชัยคู่กระโทก</t>
  </si>
  <si>
    <t>เชษฐาขำคมเขต</t>
  </si>
  <si>
    <t>คะเชนทองดี</t>
  </si>
  <si>
    <t>วิโรจน์แจ่มแจ้ง</t>
  </si>
  <si>
    <t>นายบุญธรรมโทแก้ว</t>
  </si>
  <si>
    <t>นายถวัลย์หญ้างวงช้าง</t>
  </si>
  <si>
    <t>ยุทธนาคล้อยกลับ</t>
  </si>
  <si>
    <t>จิตติดาบโสมศรี</t>
  </si>
  <si>
    <t>วุฒิไกรงาหอม</t>
  </si>
  <si>
    <t>สรวงสันติอบชัย</t>
  </si>
  <si>
    <t>สุรินทร์แก้วมณี</t>
  </si>
  <si>
    <t>ณรงค์แก้วมณี</t>
  </si>
  <si>
    <t>ชูชัยฉิมจิ๋ว</t>
  </si>
  <si>
    <t>ทองแดงชัยขันธ์</t>
  </si>
  <si>
    <t>อนุชาทองกลาง</t>
  </si>
  <si>
    <t>สำราญพรหมทอง</t>
  </si>
  <si>
    <t>สุพิจชาวไทย</t>
  </si>
  <si>
    <t>ชิงชัยสีเมือลสำนัก</t>
  </si>
  <si>
    <t>ลือเดชมูลราทา</t>
  </si>
  <si>
    <t>มนตรีขยันเยี่ยม</t>
  </si>
  <si>
    <t>พงษ์ศักดิ์บรมโคตร</t>
  </si>
  <si>
    <t>สมบัติอิ่มสมบูรณ์</t>
  </si>
  <si>
    <t>สัมฤทธิ์พรมโนนศรี</t>
  </si>
  <si>
    <t>พงษ์จักรพรรดิ์สุจิมา</t>
  </si>
  <si>
    <t>ประดิษฐ์นกทูล</t>
  </si>
  <si>
    <t>นายอดิเทพสามิลา</t>
  </si>
  <si>
    <t>นายไพศาลกัลยารอง</t>
  </si>
  <si>
    <t>นายสายชลไวยพารา</t>
  </si>
  <si>
    <t>นายวัชราธรรมรังษี</t>
  </si>
  <si>
    <t>ลิขิตสามิลา</t>
  </si>
  <si>
    <t>ยงยุทธจันทุมา</t>
  </si>
  <si>
    <t>บุญชมทองไทย</t>
  </si>
  <si>
    <t>ภานุพงษ์ไชยสาส์น</t>
  </si>
  <si>
    <t>นายมนัสแสงอรุณ</t>
  </si>
  <si>
    <t>นายคำสิงห์มัดทะปานัง</t>
  </si>
  <si>
    <t>นายณัฐพลศรีม่วง</t>
  </si>
  <si>
    <t>นายโกมลสิงหะ</t>
  </si>
  <si>
    <t>นายบัณฑิตย์สมบุญน์</t>
  </si>
  <si>
    <t>นายวุฒิพันธ์ลำพาย</t>
  </si>
  <si>
    <t>นายแผนโกมลสิงห์</t>
  </si>
  <si>
    <t>นายประทวนเจริญพร้อม</t>
  </si>
  <si>
    <t>ประพันธ์หวานน้ำ</t>
  </si>
  <si>
    <t>กิตติชัยประเสริฐเมธ</t>
  </si>
  <si>
    <t>ภูษิตอินทรัญ</t>
  </si>
  <si>
    <t>ประทีปสมประสงค์</t>
  </si>
  <si>
    <t>พุฒทาบุญดี</t>
  </si>
  <si>
    <t>เฉลิมพลทองติ่ง</t>
  </si>
  <si>
    <t>สมชายพุฒซ้าย</t>
  </si>
  <si>
    <t>สุนทรรสกลิ่น</t>
  </si>
  <si>
    <t>สัญชัยผกามาศ</t>
  </si>
  <si>
    <t>ธนาวุฒิผกามาศ</t>
  </si>
  <si>
    <t>จักรภพกล่ำบัว</t>
  </si>
  <si>
    <t>นิกรผลจะโปะ</t>
  </si>
  <si>
    <t>เดชาชาวนา</t>
  </si>
  <si>
    <t>กิจชัยปองปะดา</t>
  </si>
  <si>
    <t>ชูศักดิ์ดวงทิพย์</t>
  </si>
  <si>
    <t>เหมือนสง่าศิลป์</t>
  </si>
  <si>
    <t>นายพงษ์ศักดิ์ไวยลุน</t>
  </si>
  <si>
    <t>โกมินศรีพิลา</t>
  </si>
  <si>
    <t>นายสากลพุฒซ้อน</t>
  </si>
  <si>
    <t>สมพรดวงทิพย์</t>
  </si>
  <si>
    <t>สมนึกศรีงาม</t>
  </si>
  <si>
    <t>แอ่งจันทะสิงห์</t>
  </si>
  <si>
    <t>เจษฏาสง่าศิลป์</t>
  </si>
  <si>
    <t>รุ่งสุขสกุล</t>
  </si>
  <si>
    <t>ปวริชโสภี</t>
  </si>
  <si>
    <t>วิเชียรเอกตาแสง</t>
  </si>
  <si>
    <t>ชุนพูนรัมย์</t>
  </si>
  <si>
    <t>เกียรติศักดิ์ทวิวัฒน์</t>
  </si>
  <si>
    <t>สอนอุทัย</t>
  </si>
  <si>
    <t>พิชิตมุณี</t>
  </si>
  <si>
    <t>นายอนันธกิจกิจนิธี</t>
  </si>
  <si>
    <t>ทรงกรตแก้วเกิด</t>
  </si>
  <si>
    <t>มานพช่วยทุกข์</t>
  </si>
  <si>
    <t>อาทิตย์โต๊ะเหล็ม</t>
  </si>
  <si>
    <t>สรเพชรเพชรอาวุธ</t>
  </si>
  <si>
    <t>โชคชัยสุชญา</t>
  </si>
  <si>
    <t>นายชาญณรงค์พร้อมสมุด</t>
  </si>
  <si>
    <t>นายสุพจน์สุจจชารี</t>
  </si>
  <si>
    <t>นายขัวนา</t>
  </si>
  <si>
    <t>นายผิ้วไธสง</t>
  </si>
  <si>
    <t>นายโสรเนตร</t>
  </si>
  <si>
    <t>นายเอี่ยมศรี</t>
  </si>
  <si>
    <t>นายวิทยาบุรารมณ์</t>
  </si>
  <si>
    <t>นายกำพลศักดิ์ประจวบสุข</t>
  </si>
  <si>
    <t>นายโชคทวีชาไธสง</t>
  </si>
  <si>
    <t>นายชัยวัฒน์กระลาม</t>
  </si>
  <si>
    <t>นายราชันขนันไทย</t>
  </si>
  <si>
    <t>นายกมลคำภา</t>
  </si>
  <si>
    <t>นายสมพงษ์พรมชัยยา</t>
  </si>
  <si>
    <t>นายวิชัยขนันไทย</t>
  </si>
  <si>
    <t>กฤษดาหงส์ทอง</t>
  </si>
  <si>
    <t>พงค์พิสุทธิ์ศรีรอด</t>
  </si>
  <si>
    <t>ชัชวาลย์บุญรอด</t>
  </si>
  <si>
    <t>มานพมีดอนดู่</t>
  </si>
  <si>
    <t>ทองม้วนขุนศรี</t>
  </si>
  <si>
    <t>เฉลิมชัยงาทอง</t>
  </si>
  <si>
    <t>ศักดิ์สิทธิ์เฮ้าตุ่น</t>
  </si>
  <si>
    <t>นายวัฒนาอินทร์ธรรม</t>
  </si>
  <si>
    <t>ปรีชาทองปลิว</t>
  </si>
  <si>
    <t>ประสงค์คอระอุ</t>
  </si>
  <si>
    <t>นายชิตกลุ่มยา</t>
  </si>
  <si>
    <t>นายบุญมีเส็งไทยแท้</t>
  </si>
  <si>
    <t>นายสดยังวารี</t>
  </si>
  <si>
    <t>มนัสพังกระโทก</t>
  </si>
  <si>
    <t>มนัสบานนางแย้ม</t>
  </si>
  <si>
    <t>นายพิเชษฐ์พลาสืบสาย</t>
  </si>
  <si>
    <t>นายธีระเลาประโคน</t>
  </si>
  <si>
    <t>ศุภโชคบัวแก้ว</t>
  </si>
  <si>
    <t>นรินทร์มหานิล</t>
  </si>
  <si>
    <t>เสน่ห์สมใจ</t>
  </si>
  <si>
    <t>จรัลปวนจอก</t>
  </si>
  <si>
    <t>ประมวลวงค์ปาลีย์</t>
  </si>
  <si>
    <t>ธีรชัยอุดสาพะแล</t>
  </si>
  <si>
    <t>ธีรศักดิ์รัตน์เจริญกุล</t>
  </si>
  <si>
    <t>ชัยยุทธ์กันทะวงค์</t>
  </si>
  <si>
    <t>ศรันย์คำเมธา</t>
  </si>
  <si>
    <t>ผจญคำจันทา</t>
  </si>
  <si>
    <t>นายบุญสืบแสงอรุณ</t>
  </si>
  <si>
    <t>วรรณชัยจันทราศรี</t>
  </si>
  <si>
    <t>สมพรอนันทวรรณ์</t>
  </si>
  <si>
    <t>สุขสมณา</t>
  </si>
  <si>
    <t>ไพบูลย์ศรีโนนม่วง</t>
  </si>
  <si>
    <t>นายจีรักธรรม</t>
  </si>
  <si>
    <t>นายวุฒินันท์บุตรไธสง</t>
  </si>
  <si>
    <t>นายอำพรเชื้อจีน</t>
  </si>
  <si>
    <t>เสาร์ปัญญาไว</t>
  </si>
  <si>
    <t>พงษ์รัตน์สมเพียร</t>
  </si>
  <si>
    <t>ประยูรสมบัตรหลาย</t>
  </si>
  <si>
    <t>นายสมดีแพงจำปา</t>
  </si>
  <si>
    <t>นายบันดลนครังสุ</t>
  </si>
  <si>
    <t>จิตพงษ์มหาวงค์</t>
  </si>
  <si>
    <t>นายพยุสุวรรณมงคล</t>
  </si>
  <si>
    <t>นายอัครเดชบางวิเศษ</t>
  </si>
  <si>
    <t>นายอนุวัฒน์ทีเหง้า</t>
  </si>
  <si>
    <t>สรสิทธิ์ช่างเงิน</t>
  </si>
  <si>
    <t>ประทานจันทร์ศิริสุข</t>
  </si>
  <si>
    <t>บุญเสริมแหนไธสงค์</t>
  </si>
  <si>
    <t>เภาสุรพล</t>
  </si>
  <si>
    <t>สมหมายวงศ์หาจักร์</t>
  </si>
  <si>
    <t>แสวงชาวกะตะ</t>
  </si>
  <si>
    <t>นายพรชัยวันสูงเนิน</t>
  </si>
  <si>
    <t>แดงเหขุนทด</t>
  </si>
  <si>
    <t>อิทธิพงษ์เกิดสี</t>
  </si>
  <si>
    <t>วินัยหาญเขียว</t>
  </si>
  <si>
    <t>ลิขิตธรรมสุข</t>
  </si>
  <si>
    <t>นายสัญญาอินทะนันท์</t>
  </si>
  <si>
    <t>วัชดาแพงพา</t>
  </si>
  <si>
    <t>ประสิทธิ์เปรื่องนา</t>
  </si>
  <si>
    <t>นายกิติชัยแสงแก้ว</t>
  </si>
  <si>
    <t>นายสว่างไชยอ้อย</t>
  </si>
  <si>
    <t>นายสมพงษ์นันตะเคน</t>
  </si>
  <si>
    <t>นายคมสันสังฆะไทย</t>
  </si>
  <si>
    <t>นายชยานันท์อินดา</t>
  </si>
  <si>
    <t>นายหมุนทองแทน</t>
  </si>
  <si>
    <t>โภชน์มณีแสง</t>
  </si>
  <si>
    <t>สุนทรรัศมี</t>
  </si>
  <si>
    <t>นายสุนทรพันธ์ทอง</t>
  </si>
  <si>
    <t>นายบุญยงค์คุ้ยเขี่ย</t>
  </si>
  <si>
    <t>อัครเดชภู่สุวรรณ</t>
  </si>
  <si>
    <t>ณัฐพงศ์อุ่นใจเรือน</t>
  </si>
  <si>
    <t>สุคำวงเวียน</t>
  </si>
  <si>
    <t>ดวงทิพย์อินสิริ</t>
  </si>
  <si>
    <t>อนันคุ้ยเขี่ย</t>
  </si>
  <si>
    <t>เอกรินทร์อพันลิขิต</t>
  </si>
  <si>
    <t>อ่องลุงจาย</t>
  </si>
  <si>
    <t>อภิชิตแก้วพรม</t>
  </si>
  <si>
    <t>ยุทธพลลุงทุน</t>
  </si>
  <si>
    <t>ประพัตร์จอมดวง</t>
  </si>
  <si>
    <t>สำรวยอุ่นแก้ว</t>
  </si>
  <si>
    <t>บุญธรรมจันทร์หอม</t>
  </si>
  <si>
    <t>สมศักดิ์สอนมี</t>
  </si>
  <si>
    <t>พชรพลยุปานันท์</t>
  </si>
  <si>
    <t>วิทยาคำตุ</t>
  </si>
  <si>
    <t>อภิสิทธิ์โคตะพัฒน์</t>
  </si>
  <si>
    <t>นิคมผลขาว</t>
  </si>
  <si>
    <t>ธานินทร์การะฮาด</t>
  </si>
  <si>
    <t>สำราญตันฟู</t>
  </si>
  <si>
    <t>ชูเวชแปลงไทยสงค์</t>
  </si>
  <si>
    <t>ชุติพงศ์อุดสร้อย</t>
  </si>
  <si>
    <t>นายวรุตสุคำ</t>
  </si>
  <si>
    <t>นายธนกฤตปิมแปง</t>
  </si>
  <si>
    <t>เกียรติศักดิ์ประกอบแจ่ม</t>
  </si>
  <si>
    <t>ยุทธ์ดวงราช</t>
  </si>
  <si>
    <t>สายันต์มั่นธร</t>
  </si>
  <si>
    <t>กิจจาพันลำ</t>
  </si>
  <si>
    <t>คึกฤทธิ์อินชนะบาล</t>
  </si>
  <si>
    <t>อาทิตย์สุวรรณศรี</t>
  </si>
  <si>
    <t>เมษายะประพันธ์</t>
  </si>
  <si>
    <t>สุริยาคุชิตา</t>
  </si>
  <si>
    <t>จารบุตรแสงชา</t>
  </si>
  <si>
    <t>นายอโนชาบุญศรี</t>
  </si>
  <si>
    <t>นายเด่นสีโวย</t>
  </si>
  <si>
    <t>นายชัยอรุณต้องใจ</t>
  </si>
  <si>
    <t>วรรณรงค์สูบกระโทก</t>
  </si>
  <si>
    <t>อดิศักดิ์โนนทอง</t>
  </si>
  <si>
    <t>นายปิยะพงษ์ศรีคำภา</t>
  </si>
  <si>
    <t>นายสมควรใจเที่ยง</t>
  </si>
  <si>
    <t>นายสุชัยฟ้าแลบ</t>
  </si>
  <si>
    <t>นครินทร์สุขเทียบ</t>
  </si>
  <si>
    <t>วีรทัศน์สิทธิ</t>
  </si>
  <si>
    <t>อุเทนแก่นโนนสังข์</t>
  </si>
  <si>
    <t>อนันต์อโหศรี</t>
  </si>
  <si>
    <t>สัญลักษณ์งามสันเทียะ</t>
  </si>
  <si>
    <t>ทองคำกุลศรี</t>
  </si>
  <si>
    <t>พงพิพัฒน์นุชนิล</t>
  </si>
  <si>
    <t>วิรยุทธศรีคูณ</t>
  </si>
  <si>
    <t>ประพันธ์กราบไกรแก้ว</t>
  </si>
  <si>
    <t>อนันต์สิทธิวงค์</t>
  </si>
  <si>
    <t>พรมมินทร์ทะใดแก้ว</t>
  </si>
  <si>
    <t>นายอุดมพาโชคไสว</t>
  </si>
  <si>
    <t>สมพงษ์ป๋านมอย</t>
  </si>
  <si>
    <t>ภพชาลีสุวรรณดี</t>
  </si>
  <si>
    <t>พิชิตโพธิ์ทน</t>
  </si>
  <si>
    <t>อดุลอุดมเพ็ญ</t>
  </si>
  <si>
    <t>สะเวียนบัวแพง</t>
  </si>
  <si>
    <t>เวียงผมไผ</t>
  </si>
  <si>
    <t>สมชายศิริมงคล</t>
  </si>
  <si>
    <t>สายชลตาลอินทร์</t>
  </si>
  <si>
    <t>พงษ์พันธ์เมฆคำรณ</t>
  </si>
  <si>
    <t>ธนพลพงค์วัล</t>
  </si>
  <si>
    <t>อุไรวงค์หาราช</t>
  </si>
  <si>
    <t>อิทธิพลเกตุพิจิตร</t>
  </si>
  <si>
    <t>พิชิตศรีสว่าง</t>
  </si>
  <si>
    <t>วีระพันธ์สีจันทะจร</t>
  </si>
  <si>
    <t>วิเชียรกฐินเทศ</t>
  </si>
  <si>
    <t>ทัตพงศ์ปาระหงษ์</t>
  </si>
  <si>
    <t>อภิชาติบุญรัตน์</t>
  </si>
  <si>
    <t>ปรเมทวร์ผิวสะอาด</t>
  </si>
  <si>
    <t>ชาญชัยนุชพันธุ์</t>
  </si>
  <si>
    <t>ประกอบมากสุดปาน</t>
  </si>
  <si>
    <t>คำผุดเผ่าเพ้ง</t>
  </si>
  <si>
    <t>เกียรติศักดิ์กฤษณะการ</t>
  </si>
  <si>
    <t>พิเชษฐรุ่งแจ้ง</t>
  </si>
  <si>
    <t>ชัยชนะจันทมาศ</t>
  </si>
  <si>
    <t>สมชายบัวนิทาน</t>
  </si>
  <si>
    <t>สุขนิรันดร์บัวพา</t>
  </si>
  <si>
    <t>จักราวุธอาจแก้ว</t>
  </si>
  <si>
    <t>สมคิดช่างกล</t>
  </si>
  <si>
    <t>วิชาญด้วงไพร</t>
  </si>
  <si>
    <t>จักกฤษณ์เศษสุวรรณ์</t>
  </si>
  <si>
    <t>ชาลีประจิมทิศ</t>
  </si>
  <si>
    <t>ธนวัฒน์ศรีระพรม</t>
  </si>
  <si>
    <t>ต๋อยจันนาสี</t>
  </si>
  <si>
    <t>นรศาตนรสิงห์</t>
  </si>
  <si>
    <t>จารุชัยสงค์</t>
  </si>
  <si>
    <t>ปริญญาชัยสงค์</t>
  </si>
  <si>
    <t>น้อยสุทธิชาติ</t>
  </si>
  <si>
    <t>วงศกรบุตรสนม</t>
  </si>
  <si>
    <t>สุริยาโพธิ์ชัยสิงห์</t>
  </si>
  <si>
    <t>สมพงษ์ยางนอก</t>
  </si>
  <si>
    <t>จำรัสบุตรโครต</t>
  </si>
  <si>
    <t>บุดดาโทวะดี</t>
  </si>
  <si>
    <t>สราวุธปั้นศิลป์</t>
  </si>
  <si>
    <t>กฤษณาสีหาบง</t>
  </si>
  <si>
    <t>สายชลสวนผกา</t>
  </si>
  <si>
    <t>อาทิตย์เกษชารี</t>
  </si>
  <si>
    <t>อภิรักษ์งามสวัสดิ์</t>
  </si>
  <si>
    <t>นายนับทิศแวงคำ</t>
  </si>
  <si>
    <t>วิรัตน์อินโสภา</t>
  </si>
  <si>
    <t>รัฐเศรษฐีอุตตราช</t>
  </si>
  <si>
    <t>ทัศนัยเดชอนันต์</t>
  </si>
  <si>
    <t>นายนพพรจันสีดา</t>
  </si>
  <si>
    <t>เด่นจิตรปิโคทัง</t>
  </si>
  <si>
    <t>ยศกรพิศิริ</t>
  </si>
  <si>
    <t>ไพบูลย์ศิริเวช</t>
  </si>
  <si>
    <t>เอกลักษณ์ภู่นิล</t>
  </si>
  <si>
    <t>อนุชาจอมยอด</t>
  </si>
  <si>
    <t>คเชนทร์นพคุณ</t>
  </si>
  <si>
    <t>FCPLNO</t>
  </si>
  <si>
    <t>กิจการ</t>
  </si>
  <si>
    <t>4-North</t>
  </si>
  <si>
    <t>ขาณุวรลักษบุรี</t>
  </si>
  <si>
    <t>ท่าตะโก</t>
  </si>
  <si>
    <t>คลองขลุง 2</t>
  </si>
  <si>
    <t>หนองบัว 2</t>
  </si>
  <si>
    <t>พญาเม็งราย (Type M)</t>
  </si>
  <si>
    <t>แม่สาย</t>
  </si>
  <si>
    <t>แม่จัน</t>
  </si>
  <si>
    <t>เชียงแสน</t>
  </si>
  <si>
    <t>ลำปาง-ห้างฉัตร (Co-Area)</t>
  </si>
  <si>
    <t>พาน</t>
  </si>
  <si>
    <t>เวียงป่าเป้า</t>
  </si>
  <si>
    <t>แม่สรวย</t>
  </si>
  <si>
    <t>เทิง</t>
  </si>
  <si>
    <t>ป่าแดด</t>
  </si>
  <si>
    <t>FC404</t>
  </si>
  <si>
    <t>แม่สรวย 2</t>
  </si>
  <si>
    <t>เชียงของ</t>
  </si>
  <si>
    <t>ลาดยาว</t>
  </si>
  <si>
    <t>บรรพตพิสัย</t>
  </si>
  <si>
    <t>ตาคลี</t>
  </si>
  <si>
    <t>นครสวรรค์ ไบโอคอมเพล็ก</t>
  </si>
  <si>
    <t>ลำปาง-เกาะคา  (Co-Area)</t>
  </si>
  <si>
    <t>แม่ทะ-ผาลาด (Co-Area)</t>
  </si>
  <si>
    <t>ลำปาง-สบปราบ</t>
  </si>
  <si>
    <t>บางระกำ</t>
  </si>
  <si>
    <t>ลานกระบือ</t>
  </si>
  <si>
    <t>พรานกระต่าย</t>
  </si>
  <si>
    <t>หล่มสัก</t>
  </si>
  <si>
    <t>หนองไผ่</t>
  </si>
  <si>
    <t>วังชมภู</t>
  </si>
  <si>
    <t>เขาค้อ</t>
  </si>
  <si>
    <t>พรหมพิราม</t>
  </si>
  <si>
    <t>วังเหนือ</t>
  </si>
  <si>
    <t>แม่ฮ่องสอน (Type M)</t>
  </si>
  <si>
    <t>ปาย (Type M)</t>
  </si>
  <si>
    <t>เชียงคำ</t>
  </si>
  <si>
    <t>ฝาง 2</t>
  </si>
  <si>
    <t>FC276</t>
  </si>
  <si>
    <t>ไชยปราการ</t>
  </si>
  <si>
    <t>ฝาง-สันทราย</t>
  </si>
  <si>
    <t>ร้องกวาง (Co-Area)</t>
  </si>
  <si>
    <t>FC403</t>
  </si>
  <si>
    <t>เวียงสา2 M</t>
  </si>
  <si>
    <t>กงไกรลาศ</t>
  </si>
  <si>
    <t>เนินมะปราง (Type M)</t>
  </si>
  <si>
    <t>บ้านไร่ 1</t>
  </si>
  <si>
    <t>บ้านไร่ 2</t>
  </si>
  <si>
    <t>ทรัพย์ไพรวัลย์</t>
  </si>
  <si>
    <t>งาว</t>
  </si>
  <si>
    <t>แม่สะเรียง</t>
  </si>
  <si>
    <t>เชียงม่วน (M)</t>
  </si>
  <si>
    <t>M ชาติตระการ</t>
  </si>
  <si>
    <t>นครไทย</t>
  </si>
  <si>
    <t>แม่ใจ (Type M)</t>
  </si>
  <si>
    <t>ฮอด</t>
  </si>
  <si>
    <t>ลี้ 2</t>
  </si>
  <si>
    <t>FC393</t>
  </si>
  <si>
    <t>ลี้แม่ตืน</t>
  </si>
  <si>
    <t>เชียงดาว</t>
  </si>
  <si>
    <t>วชิรบารมี</t>
  </si>
  <si>
    <t>พร้าว</t>
  </si>
  <si>
    <t>ปง (FC Type M)</t>
  </si>
  <si>
    <t>แม่แจ่ม (Type M)</t>
  </si>
  <si>
    <t>แจ้ห่ม</t>
  </si>
  <si>
    <t>FC101</t>
  </si>
  <si>
    <t>โพทะเล</t>
  </si>
  <si>
    <t>ทับคล้อ</t>
  </si>
  <si>
    <t>ตะพานหิน</t>
  </si>
  <si>
    <t>FC246</t>
  </si>
  <si>
    <t>ชนแดน</t>
  </si>
  <si>
    <t>ศรีเทพ</t>
  </si>
  <si>
    <t>วิเชียรบุรี</t>
  </si>
  <si>
    <t>คลองลาน</t>
  </si>
  <si>
    <t>สะเมิง (Type M)</t>
  </si>
  <si>
    <t>ปัว</t>
  </si>
  <si>
    <t>6-South</t>
  </si>
  <si>
    <t>ระโนด</t>
  </si>
  <si>
    <t>หัวไทร 1</t>
  </si>
  <si>
    <t>หัวไทร 2</t>
  </si>
  <si>
    <t>บ่อล้อ</t>
  </si>
  <si>
    <t>ชะอวด 1</t>
  </si>
  <si>
    <t>ชะอวด 2</t>
  </si>
  <si>
    <t>จุฬาภรณ์</t>
  </si>
  <si>
    <t>ทุ่งตะโก</t>
  </si>
  <si>
    <t>เชี่ยวหลาน</t>
  </si>
  <si>
    <t>ปากน้ำชุมพร (N)</t>
  </si>
  <si>
    <t>มาบอำมฤต</t>
  </si>
  <si>
    <t>ระนอง</t>
  </si>
  <si>
    <t>ทุ่งใหญ่</t>
  </si>
  <si>
    <t>นาสาร</t>
  </si>
  <si>
    <t>บางสวรรค์ 3</t>
  </si>
  <si>
    <t>FC356</t>
  </si>
  <si>
    <t>นาสาร 2</t>
  </si>
  <si>
    <t>เวียงสระ</t>
  </si>
  <si>
    <t>ปัตตานี</t>
  </si>
  <si>
    <t>บ่อทอง</t>
  </si>
  <si>
    <t>ผาหลวงคอนกรีต (N)</t>
  </si>
  <si>
    <t>ผาหลวง 2(N)</t>
  </si>
  <si>
    <t>สิงหนคร</t>
  </si>
  <si>
    <t>หนองขรี (N)</t>
  </si>
  <si>
    <t>เกาะลันตาใหญ่</t>
  </si>
  <si>
    <t>สตูล</t>
  </si>
  <si>
    <t>ละงู</t>
  </si>
  <si>
    <t>ขนอม</t>
  </si>
  <si>
    <t>FC213</t>
  </si>
  <si>
    <t>สิชล</t>
  </si>
  <si>
    <t>กาญจนดิษฐ์ (Type X)</t>
  </si>
  <si>
    <t>นราธิวาส 2</t>
  </si>
  <si>
    <t>ทับปุด</t>
  </si>
  <si>
    <t>พังงา</t>
  </si>
  <si>
    <t>ทุ่งมะพร้าว</t>
  </si>
  <si>
    <t>FC414</t>
  </si>
  <si>
    <t>ทับปุด 2</t>
  </si>
  <si>
    <t>สุไหงโกลก</t>
  </si>
  <si>
    <t>เกาะพงัน</t>
  </si>
  <si>
    <t>บางม่วง</t>
  </si>
  <si>
    <t>FC413</t>
  </si>
  <si>
    <t>เขาหลักโกลเด้นฮิลล์</t>
  </si>
  <si>
    <t>1-Metro</t>
  </si>
  <si>
    <t>หลวงแพ่ง (N)</t>
  </si>
  <si>
    <t>คลองด่าน (N)</t>
  </si>
  <si>
    <t>คลอง 11</t>
  </si>
  <si>
    <t>นพวงศ์(N)</t>
  </si>
  <si>
    <t>3-West</t>
  </si>
  <si>
    <t>ห้วยมงคล</t>
  </si>
  <si>
    <t>ท่ามะกา</t>
  </si>
  <si>
    <t xml:space="preserve">พนมทวน </t>
  </si>
  <si>
    <t xml:space="preserve">FC กาญจนบุรี 2 </t>
  </si>
  <si>
    <t>FC397</t>
  </si>
  <si>
    <t>ท่าม่วง</t>
  </si>
  <si>
    <t>แก่งกระจาน</t>
  </si>
  <si>
    <t>จอมบึง</t>
  </si>
  <si>
    <t>บางตะเคียน</t>
  </si>
  <si>
    <t>ศรีประจันต์</t>
  </si>
  <si>
    <t>สองพี่น้อง</t>
  </si>
  <si>
    <t>อู่ทอง</t>
  </si>
  <si>
    <t>บางปลาม้า</t>
  </si>
  <si>
    <t>ด่านช้าง 2</t>
  </si>
  <si>
    <t>ทับสะแก</t>
  </si>
  <si>
    <t>หันตรา</t>
  </si>
  <si>
    <t>สรรคบุรี</t>
  </si>
  <si>
    <t>ประจวบคีรีขันธ์</t>
  </si>
  <si>
    <t>บางสะพาน</t>
  </si>
  <si>
    <t>2-East</t>
  </si>
  <si>
    <t>ซิโนมา Type X</t>
  </si>
  <si>
    <t>แปลงยาว Type X</t>
  </si>
  <si>
    <t>นิคมพัฒนา</t>
  </si>
  <si>
    <t>ตราด</t>
  </si>
  <si>
    <t>บ้านนา</t>
  </si>
  <si>
    <t>ลำนารายณ์</t>
  </si>
  <si>
    <t>บางแสน1 (X)</t>
  </si>
  <si>
    <t>บ้านอำเภอ 1</t>
  </si>
  <si>
    <t>บ้านอำเภอ 2</t>
  </si>
  <si>
    <t>มาบประชัน 1</t>
  </si>
  <si>
    <t>สัตหีบ 2</t>
  </si>
  <si>
    <t>บูรพา ท่าหลวง</t>
  </si>
  <si>
    <t>พนัสนิคม</t>
  </si>
  <si>
    <t>หมอนนาง</t>
  </si>
  <si>
    <t>วังม่วง</t>
  </si>
  <si>
    <t>มวกเหล็ก</t>
  </si>
  <si>
    <t>พัฒนานิคม</t>
  </si>
  <si>
    <t>FC390</t>
  </si>
  <si>
    <t>โคกสำโรง</t>
  </si>
  <si>
    <t>ปลวกแดง</t>
  </si>
  <si>
    <t>บ้านบึง2</t>
  </si>
  <si>
    <t>หนองใหญ่ 2</t>
  </si>
  <si>
    <t>หนองไผ่แก้ว</t>
  </si>
  <si>
    <t>วังจันทร์</t>
  </si>
  <si>
    <t>บ้านค่าย 2</t>
  </si>
  <si>
    <t>หนองใหญ่ 3</t>
  </si>
  <si>
    <t>โรจนะหนองใหญ่</t>
  </si>
  <si>
    <t>FC410</t>
  </si>
  <si>
    <t>บ้านบึง 3</t>
  </si>
  <si>
    <t>ตาพระยา</t>
  </si>
  <si>
    <t>เกาะช้าง</t>
  </si>
  <si>
    <t>บ้านหมี่</t>
  </si>
  <si>
    <t>บ้านหมอ</t>
  </si>
  <si>
    <t>FC389</t>
  </si>
  <si>
    <t>บ้านหมอ 2</t>
  </si>
  <si>
    <t>บางน้ำเปรี้ยว 1</t>
  </si>
  <si>
    <t>บางน้ำเปรี้ยว 2</t>
  </si>
  <si>
    <t>สอยดาว</t>
  </si>
  <si>
    <t>วังสมบูรณ์</t>
  </si>
  <si>
    <t>พนมสารคาม</t>
  </si>
  <si>
    <t>วี.เอส.คอนกรีต (X)</t>
  </si>
  <si>
    <t>13O7</t>
  </si>
  <si>
    <t>วี.เอส.คอนกรีต2 (Type X)</t>
  </si>
  <si>
    <t>5-NorthEast</t>
  </si>
  <si>
    <t>ZZP1</t>
  </si>
  <si>
    <t>อุบลรัตน์ (X2)</t>
  </si>
  <si>
    <t>ZZP2</t>
  </si>
  <si>
    <t>น้ำพอง(X2)</t>
  </si>
  <si>
    <t>ขอนแก่น 1(X2)</t>
  </si>
  <si>
    <t>ZZP4</t>
  </si>
  <si>
    <t>ขอนแก่น 2(X2)</t>
  </si>
  <si>
    <t>ZZP5</t>
  </si>
  <si>
    <t>ท่าพระ(X2)</t>
  </si>
  <si>
    <t>ZZP8</t>
  </si>
  <si>
    <t>หนองเรือ(X2)</t>
  </si>
  <si>
    <t>ZZTA</t>
  </si>
  <si>
    <t>โนนสะอาดType X2</t>
  </si>
  <si>
    <t>ปราสาท</t>
  </si>
  <si>
    <t>M กุดจับ</t>
  </si>
  <si>
    <t>ท่าอุเทน</t>
  </si>
  <si>
    <t>โพนสวรรค์</t>
  </si>
  <si>
    <t>แวงใหญ่</t>
  </si>
  <si>
    <t>เกษตรวิสัย</t>
  </si>
  <si>
    <t>โพนทอง</t>
  </si>
  <si>
    <t xml:space="preserve">FC อาจสามารถ </t>
  </si>
  <si>
    <t>ธาตุพนม</t>
  </si>
  <si>
    <t>14H5</t>
  </si>
  <si>
    <t>อุดร-มิตรภาพ คูย่งฮวด Type N</t>
  </si>
  <si>
    <t>สุรินทร์ 1</t>
  </si>
  <si>
    <t>ท่าตูม</t>
  </si>
  <si>
    <t>ลำปลายมาศ</t>
  </si>
  <si>
    <t>สุรินทร์ 2</t>
  </si>
  <si>
    <t>FC ศีขรภูมิ</t>
  </si>
  <si>
    <t>อุดรธานี Type N</t>
  </si>
  <si>
    <t>พยัคฆภูมิพิสัย</t>
  </si>
  <si>
    <t>นาเชือก</t>
  </si>
  <si>
    <t>ภูเรือ</t>
  </si>
  <si>
    <t>M เชียงคาน</t>
  </si>
  <si>
    <t>เมืองเลย 2 Type N</t>
  </si>
  <si>
    <t>14H4</t>
  </si>
  <si>
    <t xml:space="preserve">อุดร-สามพร้าว Type N </t>
  </si>
  <si>
    <t>FC หนองคาย เลี่ยงเมือง</t>
  </si>
  <si>
    <t>FC หนองหาน-ทล.2350</t>
  </si>
  <si>
    <t>ZZS4</t>
  </si>
  <si>
    <t>อุดร-นาข่า Type N</t>
  </si>
  <si>
    <t>ZZS5</t>
  </si>
  <si>
    <t>อุดร-นิคมสงเคราะห์ Type N</t>
  </si>
  <si>
    <t>กาฬสินธุ์</t>
  </si>
  <si>
    <t>สมเด็จ</t>
  </si>
  <si>
    <t>ยางตลาด</t>
  </si>
  <si>
    <t>อำนาจเจริญ 1</t>
  </si>
  <si>
    <t>อำนาจเจริญ 2</t>
  </si>
  <si>
    <t>ปทุมราชวงศา</t>
  </si>
  <si>
    <t xml:space="preserve">เสนางคนิคม </t>
  </si>
  <si>
    <t>อำนาจเจริญ 3 -น้ำปลีก</t>
  </si>
  <si>
    <t>FC ชานุมาน</t>
  </si>
  <si>
    <t>เสิงสาง</t>
  </si>
  <si>
    <t>เพ็ญ</t>
  </si>
  <si>
    <t>แวงน้อย</t>
  </si>
  <si>
    <t>นครพนม 3 (N)</t>
  </si>
  <si>
    <t>กันทรลักษ์</t>
  </si>
  <si>
    <t>ศรีสะเกษ</t>
  </si>
  <si>
    <t>โนนคูณ</t>
  </si>
  <si>
    <t>อุทุมพรพิสัย</t>
  </si>
  <si>
    <t>น้ำยืน</t>
  </si>
  <si>
    <t>ราษีไศล</t>
  </si>
  <si>
    <t>สีคิ้ว</t>
  </si>
  <si>
    <t>ปากช่อง 2</t>
  </si>
  <si>
    <t>ปากช่อง 3</t>
  </si>
  <si>
    <t>FC ละหานทราย</t>
  </si>
  <si>
    <t>ปะคำ</t>
  </si>
  <si>
    <t>ตระการพืชผล</t>
  </si>
  <si>
    <t>FC222</t>
  </si>
  <si>
    <t>เขมราฐ</t>
  </si>
  <si>
    <t>บ้านม่วง</t>
  </si>
  <si>
    <t>วานรนิวาส</t>
  </si>
  <si>
    <t>FC318</t>
  </si>
  <si>
    <t>อากาศอำนวย</t>
  </si>
  <si>
    <t>โนนศิลา (N)</t>
  </si>
  <si>
    <t>เลิงนกทา</t>
  </si>
  <si>
    <t>สว่างแดนดิน</t>
  </si>
  <si>
    <t>14IU</t>
  </si>
  <si>
    <t>พล (X2)</t>
  </si>
  <si>
    <t>หนองสองห้อง</t>
  </si>
  <si>
    <t>วาปีปทุม</t>
  </si>
  <si>
    <t>พนมไพร2</t>
  </si>
  <si>
    <t>แก้งคร้อ</t>
  </si>
  <si>
    <t>มัญจาคีรี</t>
  </si>
  <si>
    <t>ท่าบ่อ</t>
  </si>
  <si>
    <t>ร้อยเอ็ด 3 (N)</t>
  </si>
  <si>
    <t>สุวรรณภูมิ</t>
  </si>
  <si>
    <t>ยโสธร 3</t>
  </si>
  <si>
    <t>M สร้างคอม</t>
  </si>
  <si>
    <t>14H3</t>
  </si>
  <si>
    <t>วังสะพุง 2 (X2)</t>
  </si>
  <si>
    <t>ภูกระดึง</t>
  </si>
  <si>
    <t>หนองหิน</t>
  </si>
  <si>
    <t>หนองบัวลำภู</t>
  </si>
  <si>
    <t>ปากชม</t>
  </si>
  <si>
    <t>ชุมแพ</t>
  </si>
  <si>
    <t>สีชมพู</t>
  </si>
  <si>
    <t>บำเหน็จณรงค์</t>
  </si>
  <si>
    <t>ศรีวิไล</t>
  </si>
  <si>
    <t>พรเจริญ</t>
  </si>
  <si>
    <t>เซกา-บึงโขงหลง</t>
  </si>
  <si>
    <t>FC โซ่พิสัย</t>
  </si>
  <si>
    <t>ZZS1</t>
  </si>
  <si>
    <t>ภูเวียง (N)</t>
  </si>
  <si>
    <t>บ้านแพง</t>
  </si>
  <si>
    <t>ศรีสงคราม</t>
  </si>
  <si>
    <t>FC นาหว้า</t>
  </si>
  <si>
    <t>บ้านผือ</t>
  </si>
  <si>
    <t>ศรีธาตุ</t>
  </si>
  <si>
    <t>วังสามหมอ</t>
  </si>
  <si>
    <t>หนองกุงศรี</t>
  </si>
  <si>
    <t>FC กระนวน</t>
  </si>
  <si>
    <t>ด่านขุนทด</t>
  </si>
  <si>
    <t>จัตุรัส</t>
  </si>
  <si>
    <t>FC411</t>
  </si>
  <si>
    <t>ห้วยบง</t>
  </si>
  <si>
    <t>พิมาย 2</t>
  </si>
  <si>
    <t>สีดา</t>
  </si>
  <si>
    <t>ชุมพวง</t>
  </si>
  <si>
    <t>จักราช</t>
  </si>
  <si>
    <t>บัวใหญ่</t>
  </si>
  <si>
    <t>ประทาย</t>
  </si>
  <si>
    <t>คง</t>
  </si>
  <si>
    <t>โนนไทย-พระทองคำ</t>
  </si>
  <si>
    <t>FC409</t>
  </si>
  <si>
    <t>โนนสูง</t>
  </si>
  <si>
    <t>FC พังโคน 2</t>
  </si>
  <si>
    <t>จำนวน จบส.</t>
  </si>
  <si>
    <t>อบรมแล้ว</t>
  </si>
  <si>
    <t>Month</t>
  </si>
  <si>
    <t>คะแนน</t>
  </si>
  <si>
    <t>รหัสโรงงาน</t>
  </si>
  <si>
    <t>REGION</t>
  </si>
  <si>
    <t>5A0173</t>
  </si>
  <si>
    <t>หอมชื่น</t>
  </si>
  <si>
    <t>สมพงษ์หอมชื่น</t>
  </si>
  <si>
    <t>นายสุบรรณเลิศศิริ</t>
  </si>
  <si>
    <t>สมพงษ์สงวนทรัพย์</t>
  </si>
  <si>
    <t>เกษรขาว</t>
  </si>
  <si>
    <t>อำนวยเกษรขาว</t>
  </si>
  <si>
    <t>บุญหลายพิมเสน</t>
  </si>
  <si>
    <t>FX0044</t>
  </si>
  <si>
    <t>พยงค์ยุทธ</t>
  </si>
  <si>
    <t>คชสิทธิ์</t>
  </si>
  <si>
    <t>พยงค์ยุทธคชสิทธิ์</t>
  </si>
  <si>
    <t>M00027</t>
  </si>
  <si>
    <t>สืบพงษ์</t>
  </si>
  <si>
    <t>สิงห์สุวรรณ</t>
  </si>
  <si>
    <t>สืบพงษ์สิงห์สุวรรณ</t>
  </si>
  <si>
    <t>M00028</t>
  </si>
  <si>
    <t>อุตละทิตย์</t>
  </si>
  <si>
    <t>บุญชัยอุตละทิตย์</t>
  </si>
  <si>
    <t>N30022</t>
  </si>
  <si>
    <t>พละกุล</t>
  </si>
  <si>
    <t>ทรงศักดิ์พละกุล</t>
  </si>
  <si>
    <t>N30023</t>
  </si>
  <si>
    <t>จงรัก</t>
  </si>
  <si>
    <t>หวานทรัพย์</t>
  </si>
  <si>
    <t>จงรักหวานทรัพย์</t>
  </si>
  <si>
    <t>ตรีชัยศรี</t>
  </si>
  <si>
    <t>พรชัยตรีชัยศรี</t>
  </si>
  <si>
    <t>นายแลโสภา</t>
  </si>
  <si>
    <t>นายวรุตม์สุขนอก</t>
  </si>
  <si>
    <t>นายไชยสุรัตนานนท์</t>
  </si>
  <si>
    <t>นายชุมพล</t>
  </si>
  <si>
    <t>PS0002</t>
  </si>
  <si>
    <t>ทิพภูมิ</t>
  </si>
  <si>
    <t>ณรงค์ทิพภูมิ</t>
  </si>
  <si>
    <t>PU0027</t>
  </si>
  <si>
    <t>ทวีชัย</t>
  </si>
  <si>
    <t>โยธี</t>
  </si>
  <si>
    <t>ทวีชัยโยธี</t>
  </si>
  <si>
    <t>วรวุฒิ</t>
  </si>
  <si>
    <t>ปรัสพันธ์</t>
  </si>
  <si>
    <t>วรวุฒิปรัสพันธ์</t>
  </si>
  <si>
    <t>QB0018</t>
  </si>
  <si>
    <t>เสงี่ยมอยู่</t>
  </si>
  <si>
    <t>วิเชียรเสงี่ยมอยู่</t>
  </si>
  <si>
    <t>QD0003</t>
  </si>
  <si>
    <t>หาจันทึก</t>
  </si>
  <si>
    <t>ธนพลหาจันทึก</t>
  </si>
  <si>
    <t>ทาจันทึก</t>
  </si>
  <si>
    <t>กฤษฏาทาจันทึก</t>
  </si>
  <si>
    <t>QE0004</t>
  </si>
  <si>
    <t>อุทิศรักษา</t>
  </si>
  <si>
    <t>QE0181</t>
  </si>
  <si>
    <t>มานะคิด</t>
  </si>
  <si>
    <t>สมพรมานะคิด</t>
  </si>
  <si>
    <t>QE0182</t>
  </si>
  <si>
    <t>หาญนอก</t>
  </si>
  <si>
    <t>ศักดิ์สิทธิ์หาญนอก</t>
  </si>
  <si>
    <t>QE0183</t>
  </si>
  <si>
    <t>ศรีภูวงศ์</t>
  </si>
  <si>
    <t>ศรีนวลศรีภูวงศ์</t>
  </si>
  <si>
    <t>QH0026</t>
  </si>
  <si>
    <t>ผูกดวง</t>
  </si>
  <si>
    <t>สมพงษ์ผูกดวง</t>
  </si>
  <si>
    <t>QH0027</t>
  </si>
  <si>
    <t>ชัยพร</t>
  </si>
  <si>
    <t>ประไวย์</t>
  </si>
  <si>
    <t>ชัยพรประไวย์</t>
  </si>
  <si>
    <t>ศาสดา</t>
  </si>
  <si>
    <t>ชายแก้ว</t>
  </si>
  <si>
    <t>ศาสดาชายแก้ว</t>
  </si>
  <si>
    <t>กัญญาธิ</t>
  </si>
  <si>
    <t>พรชัยกัญญาธิ</t>
  </si>
  <si>
    <t>ศุภกิตติ์</t>
  </si>
  <si>
    <t>จิตตรง</t>
  </si>
  <si>
    <t>ศุภกิตติ์จิตตรง</t>
  </si>
  <si>
    <t>RT0029</t>
  </si>
  <si>
    <t>ติณณภพ</t>
  </si>
  <si>
    <t>สวัสดิรักษา</t>
  </si>
  <si>
    <t>ติณณภพสวัสดิรักษา</t>
  </si>
  <si>
    <t>SH0006</t>
  </si>
  <si>
    <t>วงษ์แก้ว</t>
  </si>
  <si>
    <t>สุวรรณวงษ์แก้ว</t>
  </si>
  <si>
    <t>SH0007</t>
  </si>
  <si>
    <t>อ๊อด</t>
  </si>
  <si>
    <t>อ๊อดบุญยัง</t>
  </si>
  <si>
    <t>วันชนะโฉมงาม</t>
  </si>
  <si>
    <t>ประไพจิตรสำราญ</t>
  </si>
  <si>
    <t>TS0066</t>
  </si>
  <si>
    <t>ใหม่</t>
  </si>
  <si>
    <t>แสนโคตร</t>
  </si>
  <si>
    <t>ใหม่แสนโคตร</t>
  </si>
  <si>
    <t>TT0009</t>
  </si>
  <si>
    <t>เสนีวงค์</t>
  </si>
  <si>
    <t>อานนท์เสนีวงค์</t>
  </si>
  <si>
    <t>TY0029</t>
  </si>
  <si>
    <t>ต้นพานิศ</t>
  </si>
  <si>
    <t>ปราศัยต้นพานิศ</t>
  </si>
  <si>
    <t>TY0030</t>
  </si>
  <si>
    <t>TY0031</t>
  </si>
  <si>
    <t>ซุยยัง</t>
  </si>
  <si>
    <t>เกรียงศักดิ์ซุยยัง</t>
  </si>
  <si>
    <t>TY0032</t>
  </si>
  <si>
    <t>ปัตเมฆ</t>
  </si>
  <si>
    <t>ศุภกิจปัตเมฆ</t>
  </si>
  <si>
    <t>TY0033</t>
  </si>
  <si>
    <t>TY0034</t>
  </si>
  <si>
    <t>ชูเชาว์</t>
  </si>
  <si>
    <t>ธวัชชัยชูเชาว์</t>
  </si>
  <si>
    <t>เกษรชื่น</t>
  </si>
  <si>
    <t>วิสิทธิ์เกษรชื่น</t>
  </si>
  <si>
    <t>UA0032</t>
  </si>
  <si>
    <t>สุริยันวรรณกระชา</t>
  </si>
  <si>
    <t>UC0022</t>
  </si>
  <si>
    <t>รักษ์วงค์</t>
  </si>
  <si>
    <t>วัชระรักษ์วงค์</t>
  </si>
  <si>
    <t>UC0023</t>
  </si>
  <si>
    <t>เอกพงค์</t>
  </si>
  <si>
    <t>ดำบ้านใหม่</t>
  </si>
  <si>
    <t>เอกพงค์ดำบ้านใหม่</t>
  </si>
  <si>
    <t>UC0024</t>
  </si>
  <si>
    <t>เอกพันธ์</t>
  </si>
  <si>
    <t>สวนอาษา</t>
  </si>
  <si>
    <t>เอกพันธ์สวนอาษา</t>
  </si>
  <si>
    <t>วุฒิชัยจันทะพล</t>
  </si>
  <si>
    <t>หวังช่วยกลาง</t>
  </si>
  <si>
    <t>ณัฐพงษ์หวังช่วยกลาง</t>
  </si>
  <si>
    <t>VB0010</t>
  </si>
  <si>
    <t>นายประทิน</t>
  </si>
  <si>
    <t>อินหลี</t>
  </si>
  <si>
    <t>นายประทินอินหลี</t>
  </si>
  <si>
    <t>บจ.บูรพาคอนกรีต แอนด์ คอนสตรัคชั่น</t>
  </si>
  <si>
    <t>1</t>
  </si>
  <si>
    <t>160004</t>
  </si>
  <si>
    <t>ชลชีพ</t>
  </si>
  <si>
    <t>บูรพา ท่าหลวง (FC Type X)</t>
  </si>
  <si>
    <t>สาโรจน์</t>
  </si>
  <si>
    <t>เดชาชลชีพ</t>
  </si>
  <si>
    <t>160006</t>
  </si>
  <si>
    <t>พุทธพฤกษ์</t>
  </si>
  <si>
    <t>สมบัติพุทธพฤกษ์</t>
  </si>
  <si>
    <t>160009</t>
  </si>
  <si>
    <t>วิมาลา</t>
  </si>
  <si>
    <t>บรรจบวิมาลา</t>
  </si>
  <si>
    <t>160010</t>
  </si>
  <si>
    <t>จรูญ</t>
  </si>
  <si>
    <t>บุญอภัย</t>
  </si>
  <si>
    <t>จรูญบุญอภัย</t>
  </si>
  <si>
    <t>160011</t>
  </si>
  <si>
    <t>ฤกษ์ชัย</t>
  </si>
  <si>
    <t>เที่ยงธรรม</t>
  </si>
  <si>
    <t>ฤกษ์ชัยเที่ยงธรรม</t>
  </si>
  <si>
    <t>160013</t>
  </si>
  <si>
    <t>ทองปาน</t>
  </si>
  <si>
    <t>สองอุทธา</t>
  </si>
  <si>
    <t>ทองปานสองอุทธา</t>
  </si>
  <si>
    <t>160020</t>
  </si>
  <si>
    <t>นรากร</t>
  </si>
  <si>
    <t>เหลืองวิเศษ</t>
  </si>
  <si>
    <t>นรากรเหลืองวิเศษ</t>
  </si>
  <si>
    <t>บจ. ส.ชัยโย ขนส่ง</t>
  </si>
  <si>
    <t>860008</t>
  </si>
  <si>
    <t>พรประสิทธิ์</t>
  </si>
  <si>
    <t>วี.เอส.คอนกรีต(Type X)</t>
  </si>
  <si>
    <t>พรประสิทธิ์ศรีบุญเรือง</t>
  </si>
  <si>
    <t>บจ.เสริมสินไพบูลย์</t>
  </si>
  <si>
    <t>1R0028</t>
  </si>
  <si>
    <t>ริน</t>
  </si>
  <si>
    <t>รินรักษา</t>
  </si>
  <si>
    <t>1R0052</t>
  </si>
  <si>
    <t>จันทนะมูลตรี</t>
  </si>
  <si>
    <t>รังสรรค์จันทนะมูลตรี</t>
  </si>
  <si>
    <t>1R0090</t>
  </si>
  <si>
    <t>สิริพงศ์</t>
  </si>
  <si>
    <t>บุตรดี</t>
  </si>
  <si>
    <t>สิริพงศ์บุตรดี</t>
  </si>
  <si>
    <t>1R0132</t>
  </si>
  <si>
    <t>สุขชัย</t>
  </si>
  <si>
    <t>โพธารินทร์</t>
  </si>
  <si>
    <t>สุขชัยโพธารินทร์</t>
  </si>
  <si>
    <t>บจ.แสงทองขนส่งภาคใต้</t>
  </si>
  <si>
    <t>OA0297</t>
  </si>
  <si>
    <t>จักรี</t>
  </si>
  <si>
    <t>กันชม</t>
  </si>
  <si>
    <t>จักรีกันชม</t>
  </si>
  <si>
    <t>OA0299</t>
  </si>
  <si>
    <t>สรุชัย</t>
  </si>
  <si>
    <t>สรุชัยพรหมโชติ</t>
  </si>
  <si>
    <t>OA1310</t>
  </si>
  <si>
    <t>ประกาษิต</t>
  </si>
  <si>
    <t>ประกาษิตสร้อยเพชร</t>
  </si>
  <si>
    <t>บจ.รุ่งภัทศุ</t>
  </si>
  <si>
    <t>890027</t>
  </si>
  <si>
    <t>ใจบุญเหลือ</t>
  </si>
  <si>
    <t>มนตรีใจบุญเหลือ</t>
  </si>
  <si>
    <t>หจก.วี.เอส.อินดัสเตรียล ซัพพลาย</t>
  </si>
  <si>
    <t>120002</t>
  </si>
  <si>
    <t>ทัพสุเทพ</t>
  </si>
  <si>
    <t>ขจรศักดิ์ทัพสุเทพ</t>
  </si>
  <si>
    <t>120008</t>
  </si>
  <si>
    <t>อนุชัย</t>
  </si>
  <si>
    <t>แม่นปืน</t>
  </si>
  <si>
    <t>อนุชัยแม่นปืน</t>
  </si>
  <si>
    <t>120010</t>
  </si>
  <si>
    <t>วิโรจ</t>
  </si>
  <si>
    <t>ทองพิมพ์</t>
  </si>
  <si>
    <t>วิโรจทองพิมพ์</t>
  </si>
  <si>
    <t>120011</t>
  </si>
  <si>
    <t>นักปรัชญ์</t>
  </si>
  <si>
    <t>วัชระนักปรัชญ์</t>
  </si>
  <si>
    <t>120013</t>
  </si>
  <si>
    <t>สำอาง</t>
  </si>
  <si>
    <t>สำอางประไพ</t>
  </si>
  <si>
    <t>120016</t>
  </si>
  <si>
    <t>ชวาลภพ</t>
  </si>
  <si>
    <t>เกลี้ยงพรมไข</t>
  </si>
  <si>
    <t>ชวาลภพเกลี้ยงพรมไข</t>
  </si>
  <si>
    <t>120017</t>
  </si>
  <si>
    <t>สุขพงค์</t>
  </si>
  <si>
    <t>สุขพงค์พิทักษ์</t>
  </si>
  <si>
    <t>120020</t>
  </si>
  <si>
    <t>วงษ์บาท</t>
  </si>
  <si>
    <t>วิชาญวงษ์บาท</t>
  </si>
  <si>
    <t>120021</t>
  </si>
  <si>
    <t>นาหัวนิล</t>
  </si>
  <si>
    <t>ทินกรนาหัวนิล</t>
  </si>
  <si>
    <t>120024</t>
  </si>
  <si>
    <t>เลยา</t>
  </si>
  <si>
    <t>สมพงษ์เลยา</t>
  </si>
  <si>
    <t>120026</t>
  </si>
  <si>
    <t>เกษอุบล</t>
  </si>
  <si>
    <t>วงศกรเกษอุบล</t>
  </si>
  <si>
    <t>120027</t>
  </si>
  <si>
    <t>เรืองบรรเทิง</t>
  </si>
  <si>
    <t>อาทิตย์เรืองบรรเทิง</t>
  </si>
  <si>
    <t>120028</t>
  </si>
  <si>
    <t>ศรีฉายา</t>
  </si>
  <si>
    <t>ประวิทย์ศรีฉายา</t>
  </si>
  <si>
    <t>120029</t>
  </si>
  <si>
    <t>ซ่ำอยู่</t>
  </si>
  <si>
    <t>สุรชัยซ่ำอยู่</t>
  </si>
  <si>
    <t>120031</t>
  </si>
  <si>
    <t>วิลัยกรวด</t>
  </si>
  <si>
    <t>สุริยะวิลัยกรวด</t>
  </si>
  <si>
    <t>420003</t>
  </si>
  <si>
    <t>กำไรเงิน</t>
  </si>
  <si>
    <t>อดุลย์กำไรเงิน</t>
  </si>
  <si>
    <t>420004</t>
  </si>
  <si>
    <t>ศักดิ์ณรงค์</t>
  </si>
  <si>
    <t>โกษาจันทร์</t>
  </si>
  <si>
    <t>ศักดิ์ณรงค์โกษาจันทร์</t>
  </si>
  <si>
    <t>East LOGISTICS</t>
  </si>
  <si>
    <t>อภิชะยา</t>
  </si>
  <si>
    <t>150021</t>
  </si>
  <si>
    <t>อุตรัตน์</t>
  </si>
  <si>
    <t>นิคมอุตรัตน์</t>
  </si>
  <si>
    <t>150012</t>
  </si>
  <si>
    <t>นิรุต</t>
  </si>
  <si>
    <t>คำธงชัย</t>
  </si>
  <si>
    <t>นิรุตคำธงชัย</t>
  </si>
  <si>
    <t>150013</t>
  </si>
  <si>
    <t>ดอนทองหา</t>
  </si>
  <si>
    <t>สมชายดอนทองหา</t>
  </si>
  <si>
    <t>บจ.ซีมิกซ์คอนกรีต</t>
  </si>
  <si>
    <t>FC อุดร-สามพร้าว (Type N)</t>
  </si>
  <si>
    <t>บจ.ทวีสินคอนกรีต</t>
  </si>
  <si>
    <t>FC ร้อยเอ็ด3 Type N</t>
  </si>
  <si>
    <t>พิกิจ</t>
  </si>
  <si>
    <t>หจก.เอส.อาร์.อาร์.คอนกรีต</t>
  </si>
  <si>
    <t>UF0013</t>
  </si>
  <si>
    <t>มเหศวร</t>
  </si>
  <si>
    <t>สวัสดิ์เอื้อ</t>
  </si>
  <si>
    <t>มเหศวรสวัสดิ์เอื้อ</t>
  </si>
  <si>
    <t>หจก.จุฑารัตน์คอนกรีต</t>
  </si>
  <si>
    <t>VO0002</t>
  </si>
  <si>
    <t>วีรวุฒิ</t>
  </si>
  <si>
    <t>คหะวงษ์</t>
  </si>
  <si>
    <t>FC กาญจนดิษฐ์ (Type X)</t>
  </si>
  <si>
    <t>จุมพล</t>
  </si>
  <si>
    <t>วีรวุฒิคหะวงษ์</t>
  </si>
  <si>
    <t>VO0004</t>
  </si>
  <si>
    <t>วัชรพล</t>
  </si>
  <si>
    <t>วัชรพลบุญดี</t>
  </si>
  <si>
    <t>หจก.วี.วี.เอ็ม. คอนกรีต</t>
  </si>
  <si>
    <t>830005</t>
  </si>
  <si>
    <t>830006</t>
  </si>
  <si>
    <t>บจ.เอ็น.ดี.พี.เอ็นจิเนียริ่ง</t>
  </si>
  <si>
    <t>810022</t>
  </si>
  <si>
    <t>ธรรมสอน</t>
  </si>
  <si>
    <t>ลำปาง-เกาะคา(FC Co-Area Type X)</t>
  </si>
  <si>
    <t>นพพร</t>
  </si>
  <si>
    <t>ต๋อยธรรมสอน</t>
  </si>
  <si>
    <t>บจ.สบปราบรุ่งเรืองคอนกรีต</t>
  </si>
  <si>
    <t>930003</t>
  </si>
  <si>
    <t>930004</t>
  </si>
  <si>
    <t>UZ0009</t>
  </si>
  <si>
    <t>นิคมบุญเรือง</t>
  </si>
  <si>
    <t>OD1108</t>
  </si>
  <si>
    <t>สำลี</t>
  </si>
  <si>
    <t>วันที</t>
  </si>
  <si>
    <t>ลำปาง-แม่ทะ(ผาลาด)(FC Co-Area Type X)</t>
  </si>
  <si>
    <t>สำลีวันที</t>
  </si>
  <si>
    <t>บจ.นอร์ทเทิร์น แมททีเรียล แอนด์คอนกรีต</t>
  </si>
  <si>
    <t>UZ0011</t>
  </si>
  <si>
    <t>ใจศรี</t>
  </si>
  <si>
    <t>เอกรินทร์ใจศรี</t>
  </si>
  <si>
    <t>UZ0016</t>
  </si>
  <si>
    <t>ดวงสุภา</t>
  </si>
  <si>
    <t>ปรัชญาดวงสุภา</t>
  </si>
  <si>
    <t>UZ0035</t>
  </si>
  <si>
    <t>สุทธิชัย</t>
  </si>
  <si>
    <t>ชุมภูสาย</t>
  </si>
  <si>
    <t>สุทธิชัยชุมภูสาย</t>
  </si>
  <si>
    <t>UZ0036</t>
  </si>
  <si>
    <t>ฮวบนวม</t>
  </si>
  <si>
    <t>ทินกรฮวบนวม</t>
  </si>
  <si>
    <t>UZ0037</t>
  </si>
  <si>
    <t>ชัยวัฒน์</t>
  </si>
  <si>
    <t>พรมทอง</t>
  </si>
  <si>
    <t>ชัยวัฒน์พรมทอง</t>
  </si>
  <si>
    <t>UZ0038</t>
  </si>
  <si>
    <t>ศรายุทธ</t>
  </si>
  <si>
    <t>เครือดวงคำ</t>
  </si>
  <si>
    <t>ศรายุทธเครือดวงคำ</t>
  </si>
  <si>
    <t>UZ0039</t>
  </si>
  <si>
    <t>วงศ์ดล</t>
  </si>
  <si>
    <t>อานนท์วงศ์ดล</t>
  </si>
  <si>
    <t>810018</t>
  </si>
  <si>
    <t>ฉัตร</t>
  </si>
  <si>
    <t>ศรีมะเริง</t>
  </si>
  <si>
    <t>ลำปาง-ห้างฉัตร(FC Co-Area Type X)</t>
  </si>
  <si>
    <t>ฉัตรศรีมะเริง</t>
  </si>
  <si>
    <t>OD1658</t>
  </si>
  <si>
    <t>สนิทนวล</t>
  </si>
  <si>
    <t>ประยูรสนิทนวล</t>
  </si>
  <si>
    <t>3164</t>
  </si>
  <si>
    <t>บจ.ไถ่เชียงคอนกรีต</t>
  </si>
  <si>
    <t>FC ปากน้ำชุมพร (Type X )</t>
  </si>
  <si>
    <t>TY0015</t>
  </si>
  <si>
    <t>ตันพานิช</t>
  </si>
  <si>
    <t>ปราศัยตันพานิช</t>
  </si>
  <si>
    <t>TY0019</t>
  </si>
  <si>
    <t>ซุ่ยยัง</t>
  </si>
  <si>
    <t>เกรียงศักดิ์ซุ่ยยัง</t>
  </si>
  <si>
    <t>TY0022</t>
  </si>
  <si>
    <t>TY0026</t>
  </si>
  <si>
    <t>ชูเยาว์</t>
  </si>
  <si>
    <t>ธวัชชัยชูเยาว์</t>
  </si>
  <si>
    <t>TY0027</t>
  </si>
  <si>
    <t>TY0028</t>
  </si>
  <si>
    <t>ปัดเมฆ</t>
  </si>
  <si>
    <t>ศุภกิจปัดเมฆ</t>
  </si>
  <si>
    <t>บจ.ปูนซิเมนต์ไทย (แก่งคอย)</t>
  </si>
  <si>
    <t>410044</t>
  </si>
  <si>
    <t>นันทวุฒ</t>
  </si>
  <si>
    <t>ปิ่นเกตุ</t>
  </si>
  <si>
    <t>นันทวุฒปิ่นเกตุ</t>
  </si>
  <si>
    <t>หจก.ผาหลวงคอนกรีต</t>
  </si>
  <si>
    <t>FP0022</t>
  </si>
  <si>
    <t>เพ็ชรเดช</t>
  </si>
  <si>
    <t>FC ผาหลวงคอนกรีต</t>
  </si>
  <si>
    <t>เกษมเพ็ชรเดช</t>
  </si>
  <si>
    <t>FP0033</t>
  </si>
  <si>
    <t>พิภพ</t>
  </si>
  <si>
    <t>ดิษพัฒน์</t>
  </si>
  <si>
    <t>พิภพดิษพัฒน์</t>
  </si>
  <si>
    <t>FP0044</t>
  </si>
  <si>
    <t>ฉิมประสิทธฺ์</t>
  </si>
  <si>
    <t>สุรินทร์ฉิมประสิทธฺ์</t>
  </si>
  <si>
    <t>FP0048</t>
  </si>
  <si>
    <t>ผ่านสาคร</t>
  </si>
  <si>
    <t>ธีระศักดิ์ผ่านสาคร</t>
  </si>
  <si>
    <t>FP0028</t>
  </si>
  <si>
    <t>หิรัญคช</t>
  </si>
  <si>
    <t>FC ผาหลวงคอนกรีต 2</t>
  </si>
  <si>
    <t>สมปองหิรัญคช</t>
  </si>
  <si>
    <t>FP0049</t>
  </si>
  <si>
    <t>ครอบ</t>
  </si>
  <si>
    <t>แซ่ด่าน</t>
  </si>
  <si>
    <t>ครอบแซ่ด่าน</t>
  </si>
  <si>
    <t>บจ.พุนพินมาตรฐานคอนกรีต</t>
  </si>
  <si>
    <t>6B0040</t>
  </si>
  <si>
    <t>ประคอง</t>
  </si>
  <si>
    <t>ทินบุตร</t>
  </si>
  <si>
    <t>FC หนองขรี</t>
  </si>
  <si>
    <t>ประคองทินบุตร</t>
  </si>
  <si>
    <t>6B0047</t>
  </si>
  <si>
    <t>มีรัตน์</t>
  </si>
  <si>
    <t>ชาญชัยมีรัตน์</t>
  </si>
  <si>
    <t>6B0048</t>
  </si>
  <si>
    <t>มาโนช</t>
  </si>
  <si>
    <t>แสงสว่าง</t>
  </si>
  <si>
    <t>มาโนชแสงสว่าง</t>
  </si>
  <si>
    <t>6B0049</t>
  </si>
  <si>
    <t>รณชัย</t>
  </si>
  <si>
    <t>รณชัยธงชัย</t>
  </si>
  <si>
    <t>6B0053</t>
  </si>
  <si>
    <t>วีทัศน์</t>
  </si>
  <si>
    <t>ปราบเที่ยง</t>
  </si>
  <si>
    <t>วีทัศน์ปราบเที่ยง</t>
  </si>
  <si>
    <t>6B0054</t>
  </si>
  <si>
    <t>นราศักดิ์</t>
  </si>
  <si>
    <t>ไพนุศิลป์</t>
  </si>
  <si>
    <t>นราศักดิ์ไพนุศิลป์</t>
  </si>
  <si>
    <t>6B0055</t>
  </si>
  <si>
    <t>พรมหมเจริญ</t>
  </si>
  <si>
    <t>กิตติศักดิ์พรมหมเจริญ</t>
  </si>
  <si>
    <t>6B0056</t>
  </si>
  <si>
    <t>ล้อมแก้ว</t>
  </si>
  <si>
    <t>อุทัยล้อมแก้ว</t>
  </si>
  <si>
    <t>6B0057</t>
  </si>
  <si>
    <t>ประพันธุ์</t>
  </si>
  <si>
    <t>เกษเพชร</t>
  </si>
  <si>
    <t>ประพันธุ์เกษเพชร</t>
  </si>
  <si>
    <t>บจ.เอส.เอส.พี(072) คอนสตรัคชั่น</t>
  </si>
  <si>
    <t>AL0005</t>
  </si>
  <si>
    <t>สวรรค์</t>
  </si>
  <si>
    <t>FC คลองด่าน</t>
  </si>
  <si>
    <t>สวรรค์สุขแสวง</t>
  </si>
  <si>
    <t>AL0013</t>
  </si>
  <si>
    <t>อาญาเมือง</t>
  </si>
  <si>
    <t>สามารถอาญาเมือง</t>
  </si>
  <si>
    <t>AL0021</t>
  </si>
  <si>
    <t>สุขกระชอน</t>
  </si>
  <si>
    <t>มานพสุขกระชอน</t>
  </si>
  <si>
    <t>AL0023</t>
  </si>
  <si>
    <t>สาระดี</t>
  </si>
  <si>
    <t>จักรีสาระดี</t>
  </si>
  <si>
    <t>AL0024</t>
  </si>
  <si>
    <t>สุรัชต์</t>
  </si>
  <si>
    <t>จันทร์ละออ</t>
  </si>
  <si>
    <t>สุรัชต์จันทร์ละออ</t>
  </si>
  <si>
    <t>บจ.ปิยราช ขนส่ง</t>
  </si>
  <si>
    <t>5L0147</t>
  </si>
  <si>
    <t>กริ่งสันเทียะ</t>
  </si>
  <si>
    <t>FC หลวงแพ่ง</t>
  </si>
  <si>
    <t>เกรียงศักดิ์กริ่งสันเทียะ</t>
  </si>
  <si>
    <t>บจ.วี แอนด์ จี ลอจิค</t>
  </si>
  <si>
    <t>OD1548</t>
  </si>
  <si>
    <t>อัศวิน</t>
  </si>
  <si>
    <t>ศรีดารักษ์</t>
  </si>
  <si>
    <t>อัศวินศรีดารักษ์</t>
  </si>
  <si>
    <t>OD1765</t>
  </si>
  <si>
    <t>ศรีสงัด</t>
  </si>
  <si>
    <t>วิชิตศรีสงัด</t>
  </si>
  <si>
    <t>บจ.ณัฐกานต์ ทรานสมิสชั่น</t>
  </si>
  <si>
    <t>7F0180</t>
  </si>
  <si>
    <t>ลันดอน</t>
  </si>
  <si>
    <t>คำดี</t>
  </si>
  <si>
    <t>FC นพวงศ์</t>
  </si>
  <si>
    <t>ลันดอนคำดี</t>
  </si>
  <si>
    <t>หจก.กิจเจริญทรานสปอร์ท</t>
  </si>
  <si>
    <t>370004</t>
  </si>
  <si>
    <t>คติ</t>
  </si>
  <si>
    <t>วงค์แสง</t>
  </si>
  <si>
    <t>คติวงค์แสง</t>
  </si>
  <si>
    <t>370005</t>
  </si>
  <si>
    <t>วรรณา</t>
  </si>
  <si>
    <t>แสนชมภู</t>
  </si>
  <si>
    <t>วรรณาแสนชมภู</t>
  </si>
  <si>
    <t>370006</t>
  </si>
  <si>
    <t>เฟื่องจร</t>
  </si>
  <si>
    <t>ชำนาญเฟื่องจร</t>
  </si>
  <si>
    <t>บจ.บางแสนมหานคร ผลิตภัณฑ์คอนกรีต</t>
  </si>
  <si>
    <t>BP0001</t>
  </si>
  <si>
    <t>ประพล</t>
  </si>
  <si>
    <t>เจริญรื่น</t>
  </si>
  <si>
    <t>บางแสน 1(FC Type X)</t>
  </si>
  <si>
    <t>ประพลเจริญรื่น</t>
  </si>
  <si>
    <t>BP0002</t>
  </si>
  <si>
    <t>ทับพุ่ม</t>
  </si>
  <si>
    <t>สมพงษ์ทับพุ่ม</t>
  </si>
  <si>
    <t>BP0006</t>
  </si>
  <si>
    <t>หารขุนทด</t>
  </si>
  <si>
    <t>ประเสริฐหารขุนทด</t>
  </si>
  <si>
    <t>BP0009</t>
  </si>
  <si>
    <t>จริญ</t>
  </si>
  <si>
    <t>ขุมเพชร</t>
  </si>
  <si>
    <t>จริญขุมเพชร</t>
  </si>
  <si>
    <t>BP0014</t>
  </si>
  <si>
    <t>ภมร</t>
  </si>
  <si>
    <t>พนมภมร</t>
  </si>
  <si>
    <t>BP0026</t>
  </si>
  <si>
    <t>วันชัย</t>
  </si>
  <si>
    <t>ศรีอนงค์</t>
  </si>
  <si>
    <t>วันชัยศรีอนงค์</t>
  </si>
  <si>
    <t>BP0027</t>
  </si>
  <si>
    <t>อิงอาจ</t>
  </si>
  <si>
    <t>เจริญอิงอาจ</t>
  </si>
  <si>
    <t>บจ.คูย่งฮวด อุดรธานี</t>
  </si>
  <si>
    <t>5F0002</t>
  </si>
  <si>
    <t>อุ๊ด</t>
  </si>
  <si>
    <t>โอชารส</t>
  </si>
  <si>
    <t>FC อุดรธานี (Type N)</t>
  </si>
  <si>
    <t>อุ๊ดโอชารส</t>
  </si>
  <si>
    <t>FCชุมแพ</t>
  </si>
  <si>
    <t>FC กันทรลักษ์</t>
  </si>
  <si>
    <t>บจ.นิธิศพันธ์</t>
  </si>
  <si>
    <t xml:space="preserve"> สันทัด</t>
  </si>
  <si>
    <t>FC แก้งคร้อ</t>
  </si>
  <si>
    <t xml:space="preserve"> สันทัดพรมณีย์</t>
  </si>
  <si>
    <t>900002</t>
  </si>
  <si>
    <t>900003</t>
  </si>
  <si>
    <t>FC บึงกาฬ</t>
  </si>
  <si>
    <t>บจ.คอนกรีตรุ่งโรจน์</t>
  </si>
  <si>
    <t>FC สว่างแดนดิน</t>
  </si>
  <si>
    <t>หจก.ศรีเทพก่อสร้าง</t>
  </si>
  <si>
    <t>หจก.เจริญสหกิจระโนด</t>
  </si>
  <si>
    <t>บจ.ลันตามิกซ์คอน</t>
  </si>
  <si>
    <t>บจ.ไชยาคอนกรีต</t>
  </si>
  <si>
    <t>FC สีคิ้ว</t>
  </si>
  <si>
    <t>บจ.วี คอนกรีต</t>
  </si>
  <si>
    <t>บจ.เชี่ยวหลาน คอนกรีต</t>
  </si>
  <si>
    <t>หจก.ที.เอส.วาย.คอนกรีตผสมเสร็จ</t>
  </si>
  <si>
    <t>FC ศรีสะเกษ</t>
  </si>
  <si>
    <t>หจก.เกาะช้าง คอนกรีต</t>
  </si>
  <si>
    <t>บจ.เจริญภัณฑ์ผลิตคอนกรีต</t>
  </si>
  <si>
    <t>บจ.สหชัยธุรกิจก่อสร้าง 1993</t>
  </si>
  <si>
    <t>บจ.กอวัฒนาคอนกรีต</t>
  </si>
  <si>
    <t>กาญจนบุรี</t>
  </si>
  <si>
    <t>บจ.เม็งรายคอนกรีต</t>
  </si>
  <si>
    <t>FC พิมาย 2</t>
  </si>
  <si>
    <t>เจริญสหกิจ หัวไทร</t>
  </si>
  <si>
    <t>หัวไทร</t>
  </si>
  <si>
    <t>หจก.เจริญพัฒนา คอนกรีต</t>
  </si>
  <si>
    <t>FC ปากช่อง 2</t>
  </si>
  <si>
    <t>บจ.นิติมงคลคอนกรีต</t>
  </si>
  <si>
    <t>บจ.เจริญภัณฑ์ผลิตคอนกรีตผสมเสร็จ(นครสวรรค์)</t>
  </si>
  <si>
    <t>บ้านอำเภอ</t>
  </si>
  <si>
    <t>บจ.บีเอซี คอนกรีต</t>
  </si>
  <si>
    <t>บจ.ช.พรประสิทธิ์</t>
  </si>
  <si>
    <t>ธานี</t>
  </si>
  <si>
    <t>บุญทองสุข</t>
  </si>
  <si>
    <t>ธานีบุญทองสุข</t>
  </si>
  <si>
    <t>บจ.บ้านบึงวัตถุก่อสร้าง</t>
  </si>
  <si>
    <t>บจ.พีระวัฒน์คอนกรีต</t>
  </si>
  <si>
    <t>บจ.พีระวัฒน์คอนกรีต สะเดา</t>
  </si>
  <si>
    <t>บจ.เจ.เค.คอนกรีต</t>
  </si>
  <si>
    <t>FC ปราสาท</t>
  </si>
  <si>
    <t>ประดับเพชร</t>
  </si>
  <si>
    <t>อาทิตย์ประดับเพชร</t>
  </si>
  <si>
    <t>บจ.สตูลผลิตภัณฑ์คอนกรีต</t>
  </si>
  <si>
    <t>บางน้ำเปรี้ยว</t>
  </si>
  <si>
    <t>หจก.ยงอันพานิชท่าบ่อ</t>
  </si>
  <si>
    <t>FC ท่าบ่อ</t>
  </si>
  <si>
    <t>บจ.ต.แสงพัฒนาคอนกรีต</t>
  </si>
  <si>
    <t>บจ.รุ่งวิชัย คอนกรีต</t>
  </si>
  <si>
    <t>หจก.ทับปุดก่อสร้าง</t>
  </si>
  <si>
    <t>บจ.แพล้นท์คอนกรีตถาวร</t>
  </si>
  <si>
    <t>บจ.กฤษฏ์ศุภณัฐ</t>
  </si>
  <si>
    <t>บจ.ศุภภัณฑ์คอนกรีต</t>
  </si>
  <si>
    <t>บจ.คูย่งฮวด (1995)</t>
  </si>
  <si>
    <t>FC ท่าตูม</t>
  </si>
  <si>
    <t>FC สีดา</t>
  </si>
  <si>
    <t>บ้านอำเภอ2</t>
  </si>
  <si>
    <t>บ้านไร่</t>
  </si>
  <si>
    <t>บจ.ปัตตานีคอนกรีต</t>
  </si>
  <si>
    <t xml:space="preserve">นายรีดูวัน	</t>
  </si>
  <si>
    <t>นายรีดูวัน	มะเซ้ง</t>
  </si>
  <si>
    <t>บจ.ปัญญามาตรฐานคอนกรีต</t>
  </si>
  <si>
    <t>หจก.บรรจงกิจ คอนกรีต</t>
  </si>
  <si>
    <t>บจ.บุษยาการสร้าง</t>
  </si>
  <si>
    <t>FC อำนาจเจริญ</t>
  </si>
  <si>
    <t>บจ.เบญจพลชัยคอนกรีต</t>
  </si>
  <si>
    <t>บจ.วรวิทย์คอนกรีต</t>
  </si>
  <si>
    <t>FCกาฬสินธุ์</t>
  </si>
  <si>
    <t>บจ.กิจเจริญชัย ธุรกิจคอนกรีต</t>
  </si>
  <si>
    <t>FC ธาตุพนม</t>
  </si>
  <si>
    <t>SS0035</t>
  </si>
  <si>
    <t>แสนสุภา</t>
  </si>
  <si>
    <t>สมพรแสนสุภา</t>
  </si>
  <si>
    <t>SS0036</t>
  </si>
  <si>
    <t>ต้นสวรรค์</t>
  </si>
  <si>
    <t>พิเชษฐ์ต้นสวรรค์</t>
  </si>
  <si>
    <t>FC ชุมพวง</t>
  </si>
  <si>
    <t>FC ลำปลายมาศ</t>
  </si>
  <si>
    <t>บจ.วังทอง เซอร์วิส</t>
  </si>
  <si>
    <t>FC จักราช</t>
  </si>
  <si>
    <t>บจ.จิรดีผลิตภัณฑ์คอนกรีต</t>
  </si>
  <si>
    <t>FC ปากช่อง 3</t>
  </si>
  <si>
    <t>บ่อทอง (จ.ปัตตานี)</t>
  </si>
  <si>
    <t>มาบประชัน</t>
  </si>
  <si>
    <t>DUANGSAENGTHONG CO.,LTD.</t>
  </si>
  <si>
    <t>บจ.ซี.แอล.คอนกรีต</t>
  </si>
  <si>
    <t>FC บำเหน็จณรงค์</t>
  </si>
  <si>
    <t>FC อำนาจเจริญ 2</t>
  </si>
  <si>
    <t>หจก.ขุนคลัง คอนกรีต</t>
  </si>
  <si>
    <t>FC เลิงนกทา</t>
  </si>
  <si>
    <t>หจก.เนรมิตวัสดุ</t>
  </si>
  <si>
    <t>FC ตระการพืชผล</t>
  </si>
  <si>
    <t>FC วานรนิวาส</t>
  </si>
  <si>
    <t>FCสมเด็จ</t>
  </si>
  <si>
    <t>บจ.ซีแมท คอนกรีต</t>
  </si>
  <si>
    <t>บจ.อุตรดิตถ์พิชัย</t>
  </si>
  <si>
    <t>DUANGSANGTHONG CONCRETE LTD.,PART.</t>
  </si>
  <si>
    <t>ดอนเจดีย์</t>
  </si>
  <si>
    <t>PJ0013</t>
  </si>
  <si>
    <t>บุญส่ง</t>
  </si>
  <si>
    <t>ขันทสีมา</t>
  </si>
  <si>
    <t>บุญส่งขันทสีมา</t>
  </si>
  <si>
    <t>PJ0029</t>
  </si>
  <si>
    <t>อุบคำ</t>
  </si>
  <si>
    <t>กฤษดาอุบคำ</t>
  </si>
  <si>
    <t>PJ0030</t>
  </si>
  <si>
    <t>มะณีโชติ</t>
  </si>
  <si>
    <t>อนุชิตมะณีโชติ</t>
  </si>
  <si>
    <t>บจ.เจริญสหกิจเชียรใหญ่</t>
  </si>
  <si>
    <t>หจก.เชียงคำคอนกรีต (2011)</t>
  </si>
  <si>
    <t>FC ศรีวิไล</t>
  </si>
  <si>
    <t>บจ.แซ่หวัง(ปักกิ่ง)คอนกรีต</t>
  </si>
  <si>
    <t>FCแวงใหญ่</t>
  </si>
  <si>
    <t>บจ.พี.เอส.ดี. คอนกรีตโปรดักส์</t>
  </si>
  <si>
    <t>TS0021</t>
  </si>
  <si>
    <t>นายมงคล</t>
  </si>
  <si>
    <t>สิงเหม</t>
  </si>
  <si>
    <t>นายมงคลสิงเหม</t>
  </si>
  <si>
    <t>TS0032</t>
  </si>
  <si>
    <t>นายอดิศักดิ์สง่าศิลป์</t>
  </si>
  <si>
    <t>NONKHUN READY MIXED CONCRETELTD.,PART.</t>
  </si>
  <si>
    <t>FC โนนคูณ</t>
  </si>
  <si>
    <t>หจก.ส. ปราณี (คอนกรีต)</t>
  </si>
  <si>
    <t>FC บ้านผือ</t>
  </si>
  <si>
    <t>บจ.ว.บัญชา คอนสตรัคชั่น</t>
  </si>
  <si>
    <t>บจ.เจริญสหกิจหนองหงส์</t>
  </si>
  <si>
    <t>ชะอวด</t>
  </si>
  <si>
    <t>บจ.ซี.ซี. คอนกรีต</t>
  </si>
  <si>
    <t>FC ภูเรือ</t>
  </si>
  <si>
    <t>FCสีชมพู</t>
  </si>
  <si>
    <t>FC สุรินทร์ 2</t>
  </si>
  <si>
    <t>FC บ้านแพง</t>
  </si>
  <si>
    <t>FC ศรีธาตุ</t>
  </si>
  <si>
    <t>บจ.ตึกน้ำเงินคอนกรีต</t>
  </si>
  <si>
    <t>FC บัวใหญ่</t>
  </si>
  <si>
    <t>หจก.โปรพัฒน์คอนกรีต</t>
  </si>
  <si>
    <t>FC พรเจริญ</t>
  </si>
  <si>
    <t>หจก.ยูทีพี ผลิตภัณฑ์คอนกรีต</t>
  </si>
  <si>
    <t>FC อุทุมพรพิสัย</t>
  </si>
  <si>
    <t>บจ.คอนกรีตซีแพค ระนอง</t>
  </si>
  <si>
    <t>FCหนองสองห้อง</t>
  </si>
  <si>
    <t>FC ปทุมราชวงศา</t>
  </si>
  <si>
    <t>บจ.นาซ่า ซีแพค ภูกระดึง</t>
  </si>
  <si>
    <t>FC ภูกระดึง</t>
  </si>
  <si>
    <t>FC ยางตลาด</t>
  </si>
  <si>
    <t>FC น้ำยืน</t>
  </si>
  <si>
    <t>CHAROENSINKHEHALAHANSAI LTD.,PART.</t>
  </si>
  <si>
    <t>FCสุวรรณภูมิ</t>
  </si>
  <si>
    <t>บจ.ปัญญามาตรฐานคอนกรีต(2015)</t>
  </si>
  <si>
    <t>FC ปากชม</t>
  </si>
  <si>
    <t>บจ.ล่ำซำคอนกรีต</t>
  </si>
  <si>
    <t>สองพี่น้อง 2</t>
  </si>
  <si>
    <t>FC วังสามหมอ</t>
  </si>
  <si>
    <t>FCวาปีปทุม</t>
  </si>
  <si>
    <t>บจ.เมโทรพาวเวอร์คอนกรีต</t>
  </si>
  <si>
    <t>FC ท่าอุเทน</t>
  </si>
  <si>
    <t>FC อากาศอำนวย</t>
  </si>
  <si>
    <t>FC ประทาย</t>
  </si>
  <si>
    <t>บจ.สมยง คอนกรีต</t>
  </si>
  <si>
    <t>FCแวงน้อย</t>
  </si>
  <si>
    <t>บจ.อีสต์บลู</t>
  </si>
  <si>
    <t>บจ.จำลองชัยโฮมเซ็นเตอร์</t>
  </si>
  <si>
    <t>FCนาเชือก</t>
  </si>
  <si>
    <t>บจ.อุดรคอนกรีต แอนด์ โลจิสติกส์</t>
  </si>
  <si>
    <t>FC เพ็ญ</t>
  </si>
  <si>
    <t>NASA CONCRETE LTD.,PART.</t>
  </si>
  <si>
    <t>FC หนองหิน</t>
  </si>
  <si>
    <t>หจก.จำลองชัยก่อสร้าง พยัคฆภูมิพิสัย</t>
  </si>
  <si>
    <t>FCพยัคฆภูมิพิสัย</t>
  </si>
  <si>
    <t>FC ศรีสงคราม</t>
  </si>
  <si>
    <t>FC หนองกุงศรี</t>
  </si>
  <si>
    <t>FC บ้านม่วง</t>
  </si>
  <si>
    <t>จาตุรงค์</t>
  </si>
  <si>
    <t>จาตุรงค์แพงพา</t>
  </si>
  <si>
    <t>FCพนมไพร 2</t>
  </si>
  <si>
    <t>FC สังคม</t>
  </si>
  <si>
    <t>FC (M) เชียงคาน</t>
  </si>
  <si>
    <t>หจก.ว่องเจริญคอนกรีต</t>
  </si>
  <si>
    <t>FC เซกา-บึงโขงหลง</t>
  </si>
  <si>
    <t>FC คง</t>
  </si>
  <si>
    <t xml:space="preserve">FC ปะคำ </t>
  </si>
  <si>
    <t>ร้านทองเพชรวัสดุก่อสร้าง</t>
  </si>
  <si>
    <t>ชาติตระการ(FC Type M)</t>
  </si>
  <si>
    <t>หจก.ที เอ็น ดับเบิ้ลยู เชียงดาวก่อสร้าง</t>
  </si>
  <si>
    <t>UX0023</t>
  </si>
  <si>
    <t>ไสว</t>
  </si>
  <si>
    <t>จะงาม</t>
  </si>
  <si>
    <t>ไสวจะงาม</t>
  </si>
  <si>
    <t>บจ.กนกนภาคอนกรีต</t>
  </si>
  <si>
    <t xml:space="preserve">FCเกษตรวิสัย </t>
  </si>
  <si>
    <t>FCโพนทอง</t>
  </si>
  <si>
    <t>FC ด่านขุนทด</t>
  </si>
  <si>
    <t xml:space="preserve">นายพีรพงศ์ </t>
  </si>
  <si>
    <t>นายพีรพงศ์ ศูนย์กลาง</t>
  </si>
  <si>
    <t>FC โพนพิสัย</t>
  </si>
  <si>
    <t>บจ.ประทุมศิริ ซีเมนต์</t>
  </si>
  <si>
    <t>FC เสิงสาง</t>
  </si>
  <si>
    <t>บจ.เมโทรพาวเวอร์โพนสวรรค์</t>
  </si>
  <si>
    <t>FC โพนสวรรค์</t>
  </si>
  <si>
    <t>หจก.ชุมพลวัสดุก่อสร้าง</t>
  </si>
  <si>
    <t>เชียงม่วน (FC Type M)</t>
  </si>
  <si>
    <t>FC ศรีบุญเรือง</t>
  </si>
  <si>
    <t>หจก.พงษ์ศรา คอนกรีต</t>
  </si>
  <si>
    <t>700002</t>
  </si>
  <si>
    <t xml:space="preserve">FC เสนางคนิคม </t>
  </si>
  <si>
    <t>บจ.เทพนว</t>
  </si>
  <si>
    <t>หจก.กิจเจริญคอนกรีต (2558)</t>
  </si>
  <si>
    <t>หจก.เก้ามังกร คอนสตรัคชั่น</t>
  </si>
  <si>
    <t>VP0002</t>
  </si>
  <si>
    <t>เทียมรัตน์</t>
  </si>
  <si>
    <t>FC จัตุรัส</t>
  </si>
  <si>
    <t>พิภพเทียมรัตน์</t>
  </si>
  <si>
    <t>FC (M) กุดจับ</t>
  </si>
  <si>
    <t>FC อำนาจเจริญ 3 -น้ำปลีก</t>
  </si>
  <si>
    <t>FC หนองบัวลำภู</t>
  </si>
  <si>
    <t>NAKHONPAT CONCRETE LTD.,PART.</t>
  </si>
  <si>
    <t>FC (M) สร้างคอม</t>
  </si>
  <si>
    <t>หจก.โซ่ซีเมนต์</t>
  </si>
  <si>
    <t>SINGTOTHONG CONCRETE LTD.,PART</t>
  </si>
  <si>
    <t>FC โนนไทย-พระทองคำ</t>
  </si>
  <si>
    <t>บจ.ปัญญามาตรฐานคอนกรีต (2012)</t>
  </si>
  <si>
    <t>FC ท่าม่วง</t>
  </si>
  <si>
    <t>บจ.ตราดคอนกรีต เรดดี้มิกซ์</t>
  </si>
  <si>
    <t>หจก.เอ็นพี วัสดุก่อสร้าง</t>
  </si>
  <si>
    <t>440089</t>
  </si>
  <si>
    <t>บริพัชร</t>
  </si>
  <si>
    <t>ตันมาดี</t>
  </si>
  <si>
    <t>เวียงสา 2(Type M)</t>
  </si>
  <si>
    <t>บริพัชรตันมาดี</t>
  </si>
  <si>
    <t>440090</t>
  </si>
  <si>
    <t>พงศกร</t>
  </si>
  <si>
    <t>กิติยะ</t>
  </si>
  <si>
    <t>พงศกรกิติยะ</t>
  </si>
  <si>
    <t>VD0002</t>
  </si>
  <si>
    <t>VD0003</t>
  </si>
  <si>
    <t>VD0004</t>
  </si>
  <si>
    <t>อนุมา</t>
  </si>
  <si>
    <t>ธานินทร์อนุมา</t>
  </si>
  <si>
    <t>VD0005</t>
  </si>
  <si>
    <t>คงทนต์</t>
  </si>
  <si>
    <t>เอกชัยคงทนต์</t>
  </si>
  <si>
    <t>VD0006</t>
  </si>
  <si>
    <t>ธนาธร</t>
  </si>
  <si>
    <t>ยานามะ</t>
  </si>
  <si>
    <t>ธนาธรยานามะ</t>
  </si>
  <si>
    <t>FC ยโสธร 3</t>
  </si>
  <si>
    <t>ปาย  (Type M)</t>
  </si>
  <si>
    <t>FC โนนสูง</t>
  </si>
  <si>
    <t>FC ราษีไศล</t>
  </si>
  <si>
    <t>Northeast Chain LOGISTICS</t>
  </si>
  <si>
    <t>450006</t>
  </si>
  <si>
    <t>สุระพล</t>
  </si>
  <si>
    <t xml:space="preserve">โนนชาติ	</t>
  </si>
  <si>
    <t>FC ขอนแก่น1 (Type X)</t>
  </si>
  <si>
    <t xml:space="preserve">สุระพลโนนชาติ	</t>
  </si>
  <si>
    <t>450008</t>
  </si>
  <si>
    <t>ศุกร์สันต์</t>
  </si>
  <si>
    <t>วงษ์โพธิ์</t>
  </si>
  <si>
    <t>ศุกร์สันต์วงษ์โพธิ์</t>
  </si>
  <si>
    <t>450009</t>
  </si>
  <si>
    <t>วรากร</t>
  </si>
  <si>
    <t xml:space="preserve">มูลวงษ์	</t>
  </si>
  <si>
    <t xml:space="preserve">วรากรมูลวงษ์	</t>
  </si>
  <si>
    <t>450010</t>
  </si>
  <si>
    <t>ประยุทธศิลป์</t>
  </si>
  <si>
    <t>อุปัชฌาย์</t>
  </si>
  <si>
    <t>ประยุทธศิลป์อุปัชฌาย์</t>
  </si>
  <si>
    <t>450011</t>
  </si>
  <si>
    <t>บุตรนิล</t>
  </si>
  <si>
    <t>อุดรบุตรนิล</t>
  </si>
  <si>
    <t>450014</t>
  </si>
  <si>
    <t>สน</t>
  </si>
  <si>
    <t xml:space="preserve">สามารถ	</t>
  </si>
  <si>
    <t xml:space="preserve">สนสามารถ	</t>
  </si>
  <si>
    <t>450015</t>
  </si>
  <si>
    <t xml:space="preserve">ใจหยุด	</t>
  </si>
  <si>
    <t xml:space="preserve">อุทัยใจหยุด	</t>
  </si>
  <si>
    <t>450018</t>
  </si>
  <si>
    <t xml:space="preserve">ทองมณี	</t>
  </si>
  <si>
    <t xml:space="preserve">ณรงค์ทองมณี	</t>
  </si>
  <si>
    <t>450019</t>
  </si>
  <si>
    <t>เทพชัย</t>
  </si>
  <si>
    <t xml:space="preserve">คล่องแคล่ว	</t>
  </si>
  <si>
    <t xml:space="preserve">เทพชัยคล่องแคล่ว	</t>
  </si>
  <si>
    <t>450020</t>
  </si>
  <si>
    <t>นาลาด</t>
  </si>
  <si>
    <t>อุบลนาลาด</t>
  </si>
  <si>
    <t>450021</t>
  </si>
  <si>
    <t xml:space="preserve">สุขสมัย	</t>
  </si>
  <si>
    <t xml:space="preserve">เฉลิมพงษ์สุขสมัย	</t>
  </si>
  <si>
    <t>450022</t>
  </si>
  <si>
    <t xml:space="preserve">คำวงษ์	</t>
  </si>
  <si>
    <t xml:space="preserve">นิคมคำวงษ์	</t>
  </si>
  <si>
    <t>450023</t>
  </si>
  <si>
    <t>หนูพิล</t>
  </si>
  <si>
    <t xml:space="preserve">ธรรมสงค์	</t>
  </si>
  <si>
    <t xml:space="preserve">หนูพิลธรรมสงค์	</t>
  </si>
  <si>
    <t>450026</t>
  </si>
  <si>
    <t>นิธิศ</t>
  </si>
  <si>
    <t xml:space="preserve">อินทรักษา	</t>
  </si>
  <si>
    <t xml:space="preserve">นิธิศอินทรักษา	</t>
  </si>
  <si>
    <t>450027</t>
  </si>
  <si>
    <t xml:space="preserve">โสใหญ่	</t>
  </si>
  <si>
    <t xml:space="preserve">วีระศักดิ์โสใหญ่	</t>
  </si>
  <si>
    <t>450028</t>
  </si>
  <si>
    <t xml:space="preserve">วงษ์ป้อง	</t>
  </si>
  <si>
    <t xml:space="preserve">สมชาติวงษ์ป้อง	</t>
  </si>
  <si>
    <t>450029</t>
  </si>
  <si>
    <t xml:space="preserve">ประสานเชื้อ	</t>
  </si>
  <si>
    <t xml:space="preserve">ประกอบประสานเชื้อ	</t>
  </si>
  <si>
    <t>450031</t>
  </si>
  <si>
    <t>พัฒนพงศ์</t>
  </si>
  <si>
    <t xml:space="preserve">บุญเรือง	</t>
  </si>
  <si>
    <t xml:space="preserve">พัฒนพงศ์บุญเรือง	</t>
  </si>
  <si>
    <t>450032</t>
  </si>
  <si>
    <t>ไพรทูล</t>
  </si>
  <si>
    <t xml:space="preserve">สีสังข์	</t>
  </si>
  <si>
    <t xml:space="preserve">ไพรทูลสีสังข์	</t>
  </si>
  <si>
    <t>450033</t>
  </si>
  <si>
    <t>แมนเทวา</t>
  </si>
  <si>
    <t xml:space="preserve">พิ์มณี	</t>
  </si>
  <si>
    <t xml:space="preserve">แมนเทวาพิ์มณี	</t>
  </si>
  <si>
    <t>450035</t>
  </si>
  <si>
    <t>บาลเย็น</t>
  </si>
  <si>
    <t xml:space="preserve">เริงฮัง	</t>
  </si>
  <si>
    <t xml:space="preserve">บาลเย็นเริงฮัง	</t>
  </si>
  <si>
    <t>450067</t>
  </si>
  <si>
    <t>บุตรตะวงศ์</t>
  </si>
  <si>
    <t>เอกภพบุตรตะวงศ์</t>
  </si>
  <si>
    <t>450069</t>
  </si>
  <si>
    <t>ทุ่งกลาย</t>
  </si>
  <si>
    <t>อาทิตย์ทุ่งกลาย</t>
  </si>
  <si>
    <t>450070</t>
  </si>
  <si>
    <t xml:space="preserve">สุจินต์ </t>
  </si>
  <si>
    <t>โคตบิน</t>
  </si>
  <si>
    <t>สุจินต์ โคตบิน</t>
  </si>
  <si>
    <t>450071</t>
  </si>
  <si>
    <t>วีรฉัตร</t>
  </si>
  <si>
    <t>บุญชูศรี</t>
  </si>
  <si>
    <t>วีรฉัตรบุญชูศรี</t>
  </si>
  <si>
    <t>450072</t>
  </si>
  <si>
    <t>จตุรงค์</t>
  </si>
  <si>
    <t>ราชอินตา</t>
  </si>
  <si>
    <t>จตุรงค์ราชอินตา</t>
  </si>
  <si>
    <t>บจ.เอ็น.เอส.เค. โลจิสติก</t>
  </si>
  <si>
    <t>5S0084</t>
  </si>
  <si>
    <t>บุญถิ่น</t>
  </si>
  <si>
    <t>บุญถิ่นสุพร</t>
  </si>
  <si>
    <t>5S0102</t>
  </si>
  <si>
    <t>กองฉันทะ</t>
  </si>
  <si>
    <t>ผ่่าน</t>
  </si>
  <si>
    <t>สามารถกองฉันทะ</t>
  </si>
  <si>
    <t>บจ.สิริพัฒน์บิวดิ้ง</t>
  </si>
  <si>
    <t>5V0001</t>
  </si>
  <si>
    <t>สว่าง</t>
  </si>
  <si>
    <t>จันทะนาม</t>
  </si>
  <si>
    <t>FC นครพนม3 (Type N)</t>
  </si>
  <si>
    <t>สว่างจันทะนาม</t>
  </si>
  <si>
    <t>5V0002</t>
  </si>
  <si>
    <t>ผิวสี</t>
  </si>
  <si>
    <t>อดิศักดิ์ผิวสี</t>
  </si>
  <si>
    <t>5V0004</t>
  </si>
  <si>
    <t>พรชัยผิวสี</t>
  </si>
  <si>
    <t>5V0005</t>
  </si>
  <si>
    <t>มณีสม</t>
  </si>
  <si>
    <t>ประมวลมณีสม</t>
  </si>
  <si>
    <t>5V0006</t>
  </si>
  <si>
    <t>เสวตวงษ์</t>
  </si>
  <si>
    <t>บุญธรรมเสวตวงษ์</t>
  </si>
  <si>
    <t>450041</t>
  </si>
  <si>
    <t>เรวัตร</t>
  </si>
  <si>
    <t>หล้าชน</t>
  </si>
  <si>
    <t>FC โนนศิลา (Type N)</t>
  </si>
  <si>
    <t>เรวัตรหล้าชน</t>
  </si>
  <si>
    <t>450042</t>
  </si>
  <si>
    <t>สถาปนันท์</t>
  </si>
  <si>
    <t>นาชิน</t>
  </si>
  <si>
    <t>สถาปนันท์นาชิน</t>
  </si>
  <si>
    <t>450043</t>
  </si>
  <si>
    <t>สมรัก</t>
  </si>
  <si>
    <t>ดินเมืองชน</t>
  </si>
  <si>
    <t>สมรักดินเมืองชน</t>
  </si>
  <si>
    <t>450044</t>
  </si>
  <si>
    <t>คำโคตรสูง</t>
  </si>
  <si>
    <t>สุรพลคำโคตรสูง</t>
  </si>
  <si>
    <t xml:space="preserve">FC อุดร - นาข่า  (Type N) </t>
  </si>
  <si>
    <t>จตุพล</t>
  </si>
  <si>
    <t>นาดา</t>
  </si>
  <si>
    <t>จตุพลนาดา</t>
  </si>
  <si>
    <t>UF0017</t>
  </si>
  <si>
    <t>กนกกร</t>
  </si>
  <si>
    <t>งามสนิท</t>
  </si>
  <si>
    <t>กนกกรงามสนิท</t>
  </si>
  <si>
    <t>บจ.พีพีซีแอล</t>
  </si>
  <si>
    <t>CS0364</t>
  </si>
  <si>
    <t>บัวไสว</t>
  </si>
  <si>
    <t>สมคิดบัวไสว</t>
  </si>
  <si>
    <t>บจ.ศรีไทย เฟรท ฟอวัดเดอร์</t>
  </si>
  <si>
    <t>OB0381</t>
  </si>
  <si>
    <t>งามเงิน</t>
  </si>
  <si>
    <t>ธีรภัทรงามเงิน</t>
  </si>
  <si>
    <t>OB0404</t>
  </si>
  <si>
    <t>ยงค์</t>
  </si>
  <si>
    <t>บุญหาญ</t>
  </si>
  <si>
    <t>ยงค์บุญหาญ</t>
  </si>
  <si>
    <t>OB0799</t>
  </si>
  <si>
    <t>ธง</t>
  </si>
  <si>
    <t>ภาษิต</t>
  </si>
  <si>
    <t>ธงภาษิต</t>
  </si>
  <si>
    <t>OB0978</t>
  </si>
  <si>
    <t>คนอง</t>
  </si>
  <si>
    <t>พรมวัน</t>
  </si>
  <si>
    <t>คนองพรมวัน</t>
  </si>
  <si>
    <t>OB1088</t>
  </si>
  <si>
    <t>ปิยะพงษ์</t>
  </si>
  <si>
    <t>สามิภักดิ์</t>
  </si>
  <si>
    <t>ปิยะพงษ์สามิภักดิ์</t>
  </si>
  <si>
    <t>OB1111</t>
  </si>
  <si>
    <t>ทักษิณ</t>
  </si>
  <si>
    <t>จันทอง</t>
  </si>
  <si>
    <t>ทักษิณจันทอง</t>
  </si>
  <si>
    <t>OB1138</t>
  </si>
  <si>
    <t>รุ่งโรจน์</t>
  </si>
  <si>
    <t>ทองมี</t>
  </si>
  <si>
    <t>รุ่งโรจน์ทองมี</t>
  </si>
  <si>
    <t>OB1226</t>
  </si>
  <si>
    <t>พัชระพงษ์</t>
  </si>
  <si>
    <t>พัชระพงษ์งามเงิน</t>
  </si>
  <si>
    <t>OB1240</t>
  </si>
  <si>
    <t>ปิ่นเทศ</t>
  </si>
  <si>
    <t>ประพันธ์ปิ่นเทศ</t>
  </si>
  <si>
    <t>OB1287</t>
  </si>
  <si>
    <t>หาญเชิงชัย</t>
  </si>
  <si>
    <t>สุรชัยหาญเชิงชัย</t>
  </si>
  <si>
    <t>SU0008</t>
  </si>
  <si>
    <t>หนูแดง</t>
  </si>
  <si>
    <t>..</t>
  </si>
  <si>
    <t>หนูแดง..</t>
  </si>
  <si>
    <t>QF0052</t>
  </si>
  <si>
    <t>คำไหล</t>
  </si>
  <si>
    <t>จันอาจ</t>
  </si>
  <si>
    <t>คำไหลจันอาจ</t>
  </si>
  <si>
    <t>QD0038</t>
  </si>
  <si>
    <t>บุญเฉลิม</t>
  </si>
  <si>
    <t>กระจาด</t>
  </si>
  <si>
    <t>บุญเฉลิมกระจาด</t>
  </si>
  <si>
    <t>สมบูรณ์ศรีจันทร์</t>
  </si>
  <si>
    <t>QE0184</t>
  </si>
  <si>
    <t>มีระหันนอก</t>
  </si>
  <si>
    <t>อำนาจมีระหันนอก</t>
  </si>
  <si>
    <t>นพดล</t>
  </si>
  <si>
    <t>ยอดดนตรี</t>
  </si>
  <si>
    <t>นพดลยอดดนตรี</t>
  </si>
  <si>
    <t>ปิว</t>
  </si>
  <si>
    <t>สีตื้อ</t>
  </si>
  <si>
    <t>ปิวสีตื้อ</t>
  </si>
  <si>
    <t>บาเหมบูงา</t>
  </si>
  <si>
    <t>อานนท์บาเหมบูงา</t>
  </si>
  <si>
    <t>EJ0080</t>
  </si>
  <si>
    <t>เปียจำปา</t>
  </si>
  <si>
    <t>สมคิดเปียจำปา</t>
  </si>
  <si>
    <t>EJ0081</t>
  </si>
  <si>
    <t>เจียมรัมย์</t>
  </si>
  <si>
    <t>สมพรเจียมรัมย์</t>
  </si>
  <si>
    <t>SC0006</t>
  </si>
  <si>
    <t>ฉัตรชัย</t>
  </si>
  <si>
    <t>ครุธแก้ว</t>
  </si>
  <si>
    <t>ฉัตรชัยครุธแก้ว</t>
  </si>
  <si>
    <t>QI0062</t>
  </si>
  <si>
    <t>จีระพร</t>
  </si>
  <si>
    <t>คงนาน</t>
  </si>
  <si>
    <t>จีระพรคงนาน</t>
  </si>
  <si>
    <t>บจ.พีเอ็มเอช</t>
  </si>
  <si>
    <t>DF0513</t>
  </si>
  <si>
    <t>มานพทับพันธ์</t>
  </si>
  <si>
    <t>SF0010</t>
  </si>
  <si>
    <t>UA0033</t>
  </si>
  <si>
    <t>สาเดช</t>
  </si>
  <si>
    <t>สมปองสาเดช</t>
  </si>
  <si>
    <t>สุวัฒน์</t>
  </si>
  <si>
    <t>เหลาพร</t>
  </si>
  <si>
    <t>สุวัฒน์เหลาพร</t>
  </si>
  <si>
    <t>บจ.เปเป้ คอนกรีต</t>
  </si>
  <si>
    <t>TS0067</t>
  </si>
  <si>
    <t>บุญสวรรค์</t>
  </si>
  <si>
    <t>เดชาบุญสวรรค์</t>
  </si>
  <si>
    <t>UA0034</t>
  </si>
  <si>
    <t>พังทุย</t>
  </si>
  <si>
    <t>มนตรีพังทุย</t>
  </si>
  <si>
    <t>160025</t>
  </si>
  <si>
    <t>หลอดทอง</t>
  </si>
  <si>
    <t>วิชาหลอดทอง</t>
  </si>
  <si>
    <t>150028</t>
  </si>
  <si>
    <t>เสาร์ปัญญา</t>
  </si>
  <si>
    <t>บุญเลิศเสาร์ปัญญา</t>
  </si>
  <si>
    <t>150026</t>
  </si>
  <si>
    <t>โพธิ์สำโรง</t>
  </si>
  <si>
    <t>ไพฑูรย์โพธิ์สำโรง</t>
  </si>
  <si>
    <t>150025</t>
  </si>
  <si>
    <t>สังวรณ์</t>
  </si>
  <si>
    <t>ชีพนุรัตน์</t>
  </si>
  <si>
    <t>สังวรณ์ชีพนุรัตน์</t>
  </si>
  <si>
    <t>150023</t>
  </si>
  <si>
    <t>ทองรักษ์</t>
  </si>
  <si>
    <t>วิโรจน์ทองรักษ์</t>
  </si>
  <si>
    <t>150024</t>
  </si>
  <si>
    <t>พรานเพชร</t>
  </si>
  <si>
    <t>มายอด</t>
  </si>
  <si>
    <t>พรานเพชรมายอด</t>
  </si>
  <si>
    <t>150027</t>
  </si>
  <si>
    <t>คล้ำงาน</t>
  </si>
  <si>
    <t>สามารถคล้ำงาน</t>
  </si>
  <si>
    <t>150029</t>
  </si>
  <si>
    <t>สารบรรณ์</t>
  </si>
  <si>
    <t>สมหวังสารบรรณ์</t>
  </si>
  <si>
    <t>150030</t>
  </si>
  <si>
    <t>รัศหมี</t>
  </si>
  <si>
    <t>หารี</t>
  </si>
  <si>
    <t>รัศหมีหารี</t>
  </si>
  <si>
    <t>150031</t>
  </si>
  <si>
    <t>เบิ้ม</t>
  </si>
  <si>
    <t>กฤษวี</t>
  </si>
  <si>
    <t>เบิ้มกฤษวี</t>
  </si>
  <si>
    <t>150017</t>
  </si>
  <si>
    <t>ทนง</t>
  </si>
  <si>
    <t>สุดเทียน</t>
  </si>
  <si>
    <t>ทนงสุดเทียน</t>
  </si>
  <si>
    <t>150015</t>
  </si>
  <si>
    <t>ดาบศรี</t>
  </si>
  <si>
    <t>สมภพดาบศรี</t>
  </si>
  <si>
    <t>150019</t>
  </si>
  <si>
    <t>แสนดี</t>
  </si>
  <si>
    <t>สราวุธแสนดี</t>
  </si>
  <si>
    <t>150018</t>
  </si>
  <si>
    <t>มงคลประสงค์</t>
  </si>
  <si>
    <t>150020</t>
  </si>
  <si>
    <t>หงษ์ฉิมา</t>
  </si>
  <si>
    <t>มานพหงษ์ฉิมา</t>
  </si>
  <si>
    <t>930002</t>
  </si>
  <si>
    <t>สุดใจ</t>
  </si>
  <si>
    <t>ราชันย์สุดใจ</t>
  </si>
  <si>
    <t>TY0010</t>
  </si>
  <si>
    <t>ชำนาญบุญมี</t>
  </si>
  <si>
    <t>TY0014</t>
  </si>
  <si>
    <t>ปักษิณ</t>
  </si>
  <si>
    <t>อดุลปักษิณ</t>
  </si>
  <si>
    <t>บจ.ชุมพรไถ่เชียงคอนกรีต</t>
  </si>
  <si>
    <t>FO0012</t>
  </si>
  <si>
    <t>จ้ง</t>
  </si>
  <si>
    <t>จ้งทองรักษ์</t>
  </si>
  <si>
    <t>FO0016</t>
  </si>
  <si>
    <t>ศราวุธ</t>
  </si>
  <si>
    <t>ป่องสุพรวน</t>
  </si>
  <si>
    <t>ศราวุธป่องสุพรวน</t>
  </si>
  <si>
    <t>FO0019</t>
  </si>
  <si>
    <t>FO0018</t>
  </si>
  <si>
    <t>ช่วยคุ้มภัย</t>
  </si>
  <si>
    <t>วงศกรช่วยคุ้มภัย</t>
  </si>
  <si>
    <t>5F0007</t>
  </si>
  <si>
    <t>ปิยพงษ์</t>
  </si>
  <si>
    <t>ปิยพงษ์จันทรดี</t>
  </si>
  <si>
    <t>SU0002</t>
  </si>
  <si>
    <t>พันสนิท</t>
  </si>
  <si>
    <t>สายันต์พันสนิท</t>
  </si>
  <si>
    <t>QT0010</t>
  </si>
  <si>
    <t>บุญสังข์</t>
  </si>
  <si>
    <t>หนูเชื้อ</t>
  </si>
  <si>
    <t>บุญสังข์หนูเชื้อ</t>
  </si>
  <si>
    <t>SV0068</t>
  </si>
  <si>
    <t>ดุขุนทด</t>
  </si>
  <si>
    <t>สายชลดุขุนทด</t>
  </si>
  <si>
    <t>SV0062</t>
  </si>
  <si>
    <t>นายสมเกียรติ</t>
  </si>
  <si>
    <t>ยืนทน</t>
  </si>
  <si>
    <t>นายสมเกียรติยืนทน</t>
  </si>
  <si>
    <t>SV0065</t>
  </si>
  <si>
    <t>นายชาตรี</t>
  </si>
  <si>
    <t>มีดินดำ</t>
  </si>
  <si>
    <t>นายชาตรีมีดินดำ</t>
  </si>
  <si>
    <t>SV0070</t>
  </si>
  <si>
    <t>นายอุบล</t>
  </si>
  <si>
    <t>ต่อพล</t>
  </si>
  <si>
    <t>นายอุบลต่อพล</t>
  </si>
  <si>
    <t>SV0061</t>
  </si>
  <si>
    <t>นายสุรินทร์</t>
  </si>
  <si>
    <t>หลงหล็ก</t>
  </si>
  <si>
    <t>นายสุรินทร์หลงหล็ก</t>
  </si>
  <si>
    <t>900005</t>
  </si>
  <si>
    <t>เสิกภุเขียว</t>
  </si>
  <si>
    <t>ประยูรเสิกภุเขียว</t>
  </si>
  <si>
    <t>RN0036</t>
  </si>
  <si>
    <t>ประสาทศักดิ์นุกูล</t>
  </si>
  <si>
    <t>พรหมโชติประสาทศักดิ์นุกูล</t>
  </si>
  <si>
    <t>TP0010</t>
  </si>
  <si>
    <t>นายสมพร</t>
  </si>
  <si>
    <t>พอดีวัฒนกิจ</t>
  </si>
  <si>
    <t>นายสมพรพอดีวัฒนกิจ</t>
  </si>
  <si>
    <t>โกสน</t>
  </si>
  <si>
    <t>ทองโสม</t>
  </si>
  <si>
    <t>โกสนทองโสม</t>
  </si>
  <si>
    <t>PA0063</t>
  </si>
  <si>
    <t>นายพรต</t>
  </si>
  <si>
    <t>เบิกบาน</t>
  </si>
  <si>
    <t>นายพรตเบิกบาน</t>
  </si>
  <si>
    <t>PA0043</t>
  </si>
  <si>
    <t>นายวงศภัค</t>
  </si>
  <si>
    <t>นายวงศภัคองอาจ</t>
  </si>
  <si>
    <t>PA0045</t>
  </si>
  <si>
    <t>นายวิสูตร</t>
  </si>
  <si>
    <t>กลิ่นจันทร์</t>
  </si>
  <si>
    <t>นายวิสูตรกลิ่นจันทร์</t>
  </si>
  <si>
    <t>DE0080</t>
  </si>
  <si>
    <t>พลวัฒน์</t>
  </si>
  <si>
    <t>ปวนคำ</t>
  </si>
  <si>
    <t>พลวัฒน์ปวนคำ</t>
  </si>
  <si>
    <t>PZ0131</t>
  </si>
  <si>
    <t>ดนัย</t>
  </si>
  <si>
    <t>เปียไพบูลญ์</t>
  </si>
  <si>
    <t>ดนัยเปียไพบูลญ์</t>
  </si>
  <si>
    <t>DC0030</t>
  </si>
  <si>
    <t>พลพุฒ</t>
  </si>
  <si>
    <t>ณรงค์พลพุฒ</t>
  </si>
  <si>
    <t>TR0183</t>
  </si>
  <si>
    <t>สีไพร</t>
  </si>
  <si>
    <t>เสรีสีไพร</t>
  </si>
  <si>
    <t>TR0180</t>
  </si>
  <si>
    <t>เชิด</t>
  </si>
  <si>
    <t>ริมผา</t>
  </si>
  <si>
    <t>เชิดริมผา</t>
  </si>
  <si>
    <t>TR0073</t>
  </si>
  <si>
    <t>อนุพงษ์</t>
  </si>
  <si>
    <t>วังนุราช</t>
  </si>
  <si>
    <t>อนุพงษ์วังนุราช</t>
  </si>
  <si>
    <t>TR0152</t>
  </si>
  <si>
    <t>นายวราวุธ</t>
  </si>
  <si>
    <t>เหลี่ยมเพ็ง</t>
  </si>
  <si>
    <t>นายวราวุธเหลี่ยมเพ็ง</t>
  </si>
  <si>
    <t>TR0153</t>
  </si>
  <si>
    <t>มหาวรรณ์</t>
  </si>
  <si>
    <t>นายธงชัยมหาวรรณ์</t>
  </si>
  <si>
    <t>TR0072</t>
  </si>
  <si>
    <t>ถนอมศักดิ์</t>
  </si>
  <si>
    <t>หอมสุข</t>
  </si>
  <si>
    <t>ถนอมศักดิ์หอมสุข</t>
  </si>
  <si>
    <t>CT0001</t>
  </si>
  <si>
    <t>นายอุดร</t>
  </si>
  <si>
    <t>สำเภาทอง</t>
  </si>
  <si>
    <t>นายอุดรสำเภาทอง</t>
  </si>
  <si>
    <t>RS0011</t>
  </si>
  <si>
    <t>นายวิชาญ</t>
  </si>
  <si>
    <t>คาระวี</t>
  </si>
  <si>
    <t>นายวิชาญคาระวี</t>
  </si>
  <si>
    <t>RT0018</t>
  </si>
  <si>
    <t>ธนิต</t>
  </si>
  <si>
    <t>มุสิกะชัย</t>
  </si>
  <si>
    <t>ธนิตมุสิกะชัย</t>
  </si>
  <si>
    <t>RD0017</t>
  </si>
  <si>
    <t>อาจคงหาญ</t>
  </si>
  <si>
    <t>นายอาจคงหาญ</t>
  </si>
  <si>
    <t>RD0018</t>
  </si>
  <si>
    <t>พงษ์ศักดิ์ทับพันธ์</t>
  </si>
  <si>
    <t>RD0019</t>
  </si>
  <si>
    <t>เทิดพงศ์</t>
  </si>
  <si>
    <t>เทิดพงศ์ถาวร</t>
  </si>
  <si>
    <t>PA0059</t>
  </si>
  <si>
    <t>นายพนัส</t>
  </si>
  <si>
    <t>ศรีลาน</t>
  </si>
  <si>
    <t>นายพนัสศรีลาน</t>
  </si>
  <si>
    <t>PA0061</t>
  </si>
  <si>
    <t>คุณจำลอง</t>
  </si>
  <si>
    <t>จันทร์ดี</t>
  </si>
  <si>
    <t>คุณจำลองจันทร์ดี</t>
  </si>
  <si>
    <t>PA0060</t>
  </si>
  <si>
    <t>นายถาวร</t>
  </si>
  <si>
    <t>นะรัมย์</t>
  </si>
  <si>
    <t>นายถาวรนะรัมย์</t>
  </si>
  <si>
    <t>PA0058</t>
  </si>
  <si>
    <t>นายประสาน</t>
  </si>
  <si>
    <t>ปุยะติ</t>
  </si>
  <si>
    <t>นายประสานปุยะติ</t>
  </si>
  <si>
    <t>PA0055</t>
  </si>
  <si>
    <t>พรหมสาขา ณ สกลณคร</t>
  </si>
  <si>
    <t>นายพรหมสาขา ณ สกลณคร</t>
  </si>
  <si>
    <t>AM0076</t>
  </si>
  <si>
    <t>สุภจินต์</t>
  </si>
  <si>
    <t>สมชายสุภจินต์</t>
  </si>
  <si>
    <t>PC0012</t>
  </si>
  <si>
    <t>เกตุสว่าง</t>
  </si>
  <si>
    <t>ประมวลเกตุสว่าง</t>
  </si>
  <si>
    <t>TR0192</t>
  </si>
  <si>
    <t>ชัยนนท์</t>
  </si>
  <si>
    <t>พรหมเอาะ</t>
  </si>
  <si>
    <t>ชัยนนท์พรหมเอาะ</t>
  </si>
  <si>
    <t>TR0186</t>
  </si>
  <si>
    <t>สถิต</t>
  </si>
  <si>
    <t>ปัสสาพันธ์</t>
  </si>
  <si>
    <t>สถิตปัสสาพันธ์</t>
  </si>
  <si>
    <t>TR0187</t>
  </si>
  <si>
    <t>บุบผา</t>
  </si>
  <si>
    <t>เสกสรรค์บุบผา</t>
  </si>
  <si>
    <t>TR0191</t>
  </si>
  <si>
    <t>บุตรพรม</t>
  </si>
  <si>
    <t>บัณฑิตบุตรพรม</t>
  </si>
  <si>
    <t>SI0010</t>
  </si>
  <si>
    <t>สมโภชน์</t>
  </si>
  <si>
    <t>แฟมไธสง</t>
  </si>
  <si>
    <t>สมโภชน์แฟมไธสง</t>
  </si>
  <si>
    <t>QN0023</t>
  </si>
  <si>
    <t>นายรีดูวัน</t>
  </si>
  <si>
    <t>นายรีดูวันมะเซ้ง</t>
  </si>
  <si>
    <t>TO0004</t>
  </si>
  <si>
    <t>บุญฤทธิ์</t>
  </si>
  <si>
    <t>สมบัติบุญฤทธิ์</t>
  </si>
  <si>
    <t>RF0015</t>
  </si>
  <si>
    <t>นายธวัชชัย</t>
  </si>
  <si>
    <t>นายธวัชชัยจิตรตารมย์</t>
  </si>
  <si>
    <t>PA0065</t>
  </si>
  <si>
    <t>นายยศศิริ</t>
  </si>
  <si>
    <t>พานธูป</t>
  </si>
  <si>
    <t>นายยศศิริพานธูป</t>
  </si>
  <si>
    <t>RU0049</t>
  </si>
  <si>
    <t>นายทูลทองใจ</t>
  </si>
  <si>
    <t>ไร่สงวน</t>
  </si>
  <si>
    <t>นายทูลทองใจไร่สงวน</t>
  </si>
  <si>
    <t>RU0050</t>
  </si>
  <si>
    <t>RU0051</t>
  </si>
  <si>
    <t>RU0052</t>
  </si>
  <si>
    <t>นายประนอม</t>
  </si>
  <si>
    <t>ศรีตะการ</t>
  </si>
  <si>
    <t>นายประนอมศรีตะการ</t>
  </si>
  <si>
    <t>RU0053</t>
  </si>
  <si>
    <t>RU0054</t>
  </si>
  <si>
    <t>RU0055</t>
  </si>
  <si>
    <t>RU0056</t>
  </si>
  <si>
    <t>RU0057</t>
  </si>
  <si>
    <t>RU0058</t>
  </si>
  <si>
    <t>RU0059</t>
  </si>
  <si>
    <t>RU0060</t>
  </si>
  <si>
    <t>RU0061</t>
  </si>
  <si>
    <t>RU0062</t>
  </si>
  <si>
    <t>RU0063</t>
  </si>
  <si>
    <t>RU0064</t>
  </si>
  <si>
    <t>RU0065</t>
  </si>
  <si>
    <t>RU0038</t>
  </si>
  <si>
    <t>ใสงาม</t>
  </si>
  <si>
    <t>นายอดิศักดิ์ใสงาม</t>
  </si>
  <si>
    <t>RU0066</t>
  </si>
  <si>
    <t>นายบุญร่วม</t>
  </si>
  <si>
    <t>ไชยธงรัตน์</t>
  </si>
  <si>
    <t>นายบุญร่วมไชยธงรัตน์</t>
  </si>
  <si>
    <t>RU0041</t>
  </si>
  <si>
    <t>ณรงค์เดช</t>
  </si>
  <si>
    <t>ราสุนันท์</t>
  </si>
  <si>
    <t>ณรงค์เดชราสุนันท์</t>
  </si>
  <si>
    <t>RU0040</t>
  </si>
  <si>
    <t>RU0069</t>
  </si>
  <si>
    <t>แสนรัมย์</t>
  </si>
  <si>
    <t>นายวัฒนาแสนรัมย์</t>
  </si>
  <si>
    <t>RU0068</t>
  </si>
  <si>
    <t>นายไพรวัลย์</t>
  </si>
  <si>
    <t>สิงห์สนั่น</t>
  </si>
  <si>
    <t>นายไพรวัลย์สิงห์สนั่น</t>
  </si>
  <si>
    <t>RU0016</t>
  </si>
  <si>
    <t>คุณวิทยาเวทย์</t>
  </si>
  <si>
    <t>RU0031</t>
  </si>
  <si>
    <t>คุณประดิษฐ์</t>
  </si>
  <si>
    <t>พันเป้า</t>
  </si>
  <si>
    <t>คุณประดิษฐ์พันเป้า</t>
  </si>
  <si>
    <t>RU0042</t>
  </si>
  <si>
    <t>นายอรรรคมณี</t>
  </si>
  <si>
    <t>ทองคำห่อ</t>
  </si>
  <si>
    <t>นายอรรรคมณีทองคำห่อ</t>
  </si>
  <si>
    <t>RU0048</t>
  </si>
  <si>
    <t>RD0002</t>
  </si>
  <si>
    <t>สังข์มังกร</t>
  </si>
  <si>
    <t>นายสังข์มังกร</t>
  </si>
  <si>
    <t>SC0007</t>
  </si>
  <si>
    <t>สมรักษ์</t>
  </si>
  <si>
    <t>มะยมหิน</t>
  </si>
  <si>
    <t>สมรักษ์มะยมหิน</t>
  </si>
  <si>
    <t>QA0059</t>
  </si>
  <si>
    <t>นายอนุรักษ์</t>
  </si>
  <si>
    <t>บุญแร่</t>
  </si>
  <si>
    <t>นายอนุรักษ์บุญแร่</t>
  </si>
  <si>
    <t>TR0185</t>
  </si>
  <si>
    <t>ขวัญชัย</t>
  </si>
  <si>
    <t>สุขผ่อง</t>
  </si>
  <si>
    <t>ขวัญชัยสุขผ่อง</t>
  </si>
  <si>
    <t>TR0188</t>
  </si>
  <si>
    <t>อำพร</t>
  </si>
  <si>
    <t>ภูแสงศรี</t>
  </si>
  <si>
    <t>อำพรภูแสงศรี</t>
  </si>
  <si>
    <t>TR0189</t>
  </si>
  <si>
    <t>ทองโต</t>
  </si>
  <si>
    <t>อุเทนทองโต</t>
  </si>
  <si>
    <t>TR0190</t>
  </si>
  <si>
    <t>นันทจันทร์</t>
  </si>
  <si>
    <t>พิชิตนันทจันทร์</t>
  </si>
  <si>
    <t>TR0182</t>
  </si>
  <si>
    <t>จันหอม</t>
  </si>
  <si>
    <t>คำพันจันหอม</t>
  </si>
  <si>
    <t>TR0172</t>
  </si>
  <si>
    <t>วีระวงค์</t>
  </si>
  <si>
    <t>สอนนุชาติ</t>
  </si>
  <si>
    <t>วีระวงค์สอนนุชาติ</t>
  </si>
  <si>
    <t>RJ0014</t>
  </si>
  <si>
    <t>พิบูลย์</t>
  </si>
  <si>
    <t>คำมูล</t>
  </si>
  <si>
    <t>พิบูลย์คำมูล</t>
  </si>
  <si>
    <t>RJ0012</t>
  </si>
  <si>
    <t>ชาญ</t>
  </si>
  <si>
    <t>จันทร์กฤษ</t>
  </si>
  <si>
    <t>ชาญจันทร์กฤษ</t>
  </si>
  <si>
    <t>QB0017</t>
  </si>
  <si>
    <t>ครุฑทวี</t>
  </si>
  <si>
    <t>ประวิทย์ครุฑทวี</t>
  </si>
  <si>
    <t>TE0015</t>
  </si>
  <si>
    <t>วรพงษ์</t>
  </si>
  <si>
    <t>ไทรบัวแก้ว</t>
  </si>
  <si>
    <t>วรพงษ์ไทรบัวแก้ว</t>
  </si>
  <si>
    <t>RU0039</t>
  </si>
  <si>
    <t>นายตาสาโรจน์</t>
  </si>
  <si>
    <t>RU0018</t>
  </si>
  <si>
    <t>เพ็ชรอาษา</t>
  </si>
  <si>
    <t>คุณเพ็ชรอาษา</t>
  </si>
  <si>
    <t>QM0039</t>
  </si>
  <si>
    <t>อาลี</t>
  </si>
  <si>
    <t>บองกอตอ</t>
  </si>
  <si>
    <t>อาลีบองกอตอ</t>
  </si>
  <si>
    <t>PV0027</t>
  </si>
  <si>
    <t>ยิ้มจันทร์</t>
  </si>
  <si>
    <t>นายยิ้มจันทร์</t>
  </si>
  <si>
    <t>PV0020</t>
  </si>
  <si>
    <t>บัณฑิตร์</t>
  </si>
  <si>
    <t>แซ่โง้ว</t>
  </si>
  <si>
    <t>บัณฑิตร์แซ่โง้ว</t>
  </si>
  <si>
    <t>RE0015</t>
  </si>
  <si>
    <t>ปิยะพงศ์</t>
  </si>
  <si>
    <t>เสาวคนธ์</t>
  </si>
  <si>
    <t>ปิยะพงศ์เสาวคนธ์</t>
  </si>
  <si>
    <t>TH0049</t>
  </si>
  <si>
    <t>RT0025</t>
  </si>
  <si>
    <t>หยา</t>
  </si>
  <si>
    <t>สุขขวัญ</t>
  </si>
  <si>
    <t>หยาสุขขวัญ</t>
  </si>
  <si>
    <t>RT0016</t>
  </si>
  <si>
    <t>หมัดเล</t>
  </si>
  <si>
    <t>นายพิเชษฐ์หมัดเล</t>
  </si>
  <si>
    <t>RT0004</t>
  </si>
  <si>
    <t>นายสุริยา</t>
  </si>
  <si>
    <t>สุทธิวงศ์</t>
  </si>
  <si>
    <t>นายสุริยาสุทธิวงศ์</t>
  </si>
  <si>
    <t>TS0064</t>
  </si>
  <si>
    <t>บรรพตดาวเรือง</t>
  </si>
  <si>
    <t>TS0056</t>
  </si>
  <si>
    <t>กรรณพนธ์</t>
  </si>
  <si>
    <t>เถื่อนศรีจันทร์</t>
  </si>
  <si>
    <t>กรรณพนธ์เถื่อนศรีจันทร์</t>
  </si>
  <si>
    <t>TQ0008</t>
  </si>
  <si>
    <t>โคตรธาดา</t>
  </si>
  <si>
    <t>นายสุทัศน์โคตรธาดา</t>
  </si>
  <si>
    <t>TQ0009</t>
  </si>
  <si>
    <t>นายมรุต</t>
  </si>
  <si>
    <t>ศิลป์ชัย</t>
  </si>
  <si>
    <t>นายมรุตศิลป์ชัย</t>
  </si>
  <si>
    <t>TQ0005</t>
  </si>
  <si>
    <t>นายนันทิศ</t>
  </si>
  <si>
    <t>นายนันทิศแวงคำ</t>
  </si>
  <si>
    <t>TQ0010</t>
  </si>
  <si>
    <t>อัมพร</t>
  </si>
  <si>
    <t>อัมพรชัยภูมิ</t>
  </si>
  <si>
    <t>TQ0011</t>
  </si>
  <si>
    <t>จอมจิต</t>
  </si>
  <si>
    <t>ณัฐพงษ์จอมจิต</t>
  </si>
  <si>
    <t>TQ0012</t>
  </si>
  <si>
    <t>ไชยเหนือ</t>
  </si>
  <si>
    <t>อาทิตย์ไชยเหนือ</t>
  </si>
  <si>
    <t>TQ0002</t>
  </si>
  <si>
    <t>หูไทยสงค์</t>
  </si>
  <si>
    <t>เอกรินทร์หูไทยสงค์</t>
  </si>
  <si>
    <t>TQ0006</t>
  </si>
  <si>
    <t>แพงวงษ์</t>
  </si>
  <si>
    <t>นายธวัชชัยแพงวงษ์</t>
  </si>
  <si>
    <t>SG0011</t>
  </si>
  <si>
    <t>ทิวากร</t>
  </si>
  <si>
    <t>จินดาสุวรรณ</t>
  </si>
  <si>
    <t>ทิวากรจินดาสุวรรณ</t>
  </si>
  <si>
    <t>SL0008</t>
  </si>
  <si>
    <t>นายประกาศ</t>
  </si>
  <si>
    <t>นายประกาศเพ็งกระจ่าง</t>
  </si>
  <si>
    <t>SU0013</t>
  </si>
  <si>
    <t>ลาดี</t>
  </si>
  <si>
    <t>จรัญลาดี</t>
  </si>
  <si>
    <t>SU0018</t>
  </si>
  <si>
    <t>พล</t>
  </si>
  <si>
    <t>หมู่สะแก</t>
  </si>
  <si>
    <t>พลหมู่สะแก</t>
  </si>
  <si>
    <t>EJ0087</t>
  </si>
  <si>
    <t>นบนอบ</t>
  </si>
  <si>
    <t>สุทัศน์นบนอบ</t>
  </si>
  <si>
    <t>TJ0017</t>
  </si>
  <si>
    <t>สอาด</t>
  </si>
  <si>
    <t>สอาดศรีคำ</t>
  </si>
  <si>
    <t>UW0007</t>
  </si>
  <si>
    <t>เอกวัฒ</t>
  </si>
  <si>
    <t>เอกวัฒศรีสว่าง</t>
  </si>
  <si>
    <t>UW0008</t>
  </si>
  <si>
    <t>คุณทอง</t>
  </si>
  <si>
    <t>เจริญคุณทอง</t>
  </si>
  <si>
    <t>PZ0018</t>
  </si>
  <si>
    <t>ST0033</t>
  </si>
  <si>
    <t>เชี่ยวธัญกรณ์</t>
  </si>
  <si>
    <t>จรัญเชี่ยวธัญกรณ์</t>
  </si>
  <si>
    <t>TR0181</t>
  </si>
  <si>
    <t>ปินตาเชื้อ</t>
  </si>
  <si>
    <t>พงศธรปินตาเชื้อ</t>
  </si>
  <si>
    <t>TX0032</t>
  </si>
  <si>
    <t>นิลศิริ</t>
  </si>
  <si>
    <t>นายนิลศิริ</t>
  </si>
  <si>
    <t>TX0036</t>
  </si>
  <si>
    <t>นายศรีจันทร์</t>
  </si>
  <si>
    <t>TX0040</t>
  </si>
  <si>
    <t>นายอุทัย</t>
  </si>
  <si>
    <t>มิไพฑูรย์</t>
  </si>
  <si>
    <t>นายอุทัยมิไพฑูรย์</t>
  </si>
  <si>
    <t>TX0037</t>
  </si>
  <si>
    <t>TX0043</t>
  </si>
  <si>
    <t>นายยรรยง</t>
  </si>
  <si>
    <t>ว่องวิการ</t>
  </si>
  <si>
    <t>นายยรรยงว่องวิการ</t>
  </si>
  <si>
    <t>TZ0009</t>
  </si>
  <si>
    <t>พิน</t>
  </si>
  <si>
    <t>การเพียร</t>
  </si>
  <si>
    <t>พินการเพียร</t>
  </si>
  <si>
    <t>TZ0007</t>
  </si>
  <si>
    <t>ทองไท</t>
  </si>
  <si>
    <t>สลับศรี</t>
  </si>
  <si>
    <t>ทองไทสลับศรี</t>
  </si>
  <si>
    <t>คุณพุทธ</t>
  </si>
  <si>
    <t>UF0010</t>
  </si>
  <si>
    <t>คำหงษา</t>
  </si>
  <si>
    <t>นายวัฒนาคำหงษา</t>
  </si>
  <si>
    <t>UE0016</t>
  </si>
  <si>
    <t>โต๊ะขวัญแก้ว</t>
  </si>
  <si>
    <t>สุเมธโต๊ะขวัญแก้ว</t>
  </si>
  <si>
    <t>UE0017</t>
  </si>
  <si>
    <t>TH0031</t>
  </si>
  <si>
    <t>กาติ๊บ</t>
  </si>
  <si>
    <t>นายกาติ๊บ</t>
  </si>
  <si>
    <t>ST0064</t>
  </si>
  <si>
    <t>นายสาคร</t>
  </si>
  <si>
    <t>แสนแก้ว</t>
  </si>
  <si>
    <t>นายสาครแสนแก้ว</t>
  </si>
  <si>
    <t>ST0066</t>
  </si>
  <si>
    <t>นายณวัฒภูมิ</t>
  </si>
  <si>
    <t>กีตา</t>
  </si>
  <si>
    <t>นายณวัฒภูมิกีตา</t>
  </si>
  <si>
    <t>RI0038</t>
  </si>
  <si>
    <t>นายทวีป</t>
  </si>
  <si>
    <t>พานประทีป</t>
  </si>
  <si>
    <t>นายทวีปพานประทีป</t>
  </si>
  <si>
    <t>RI0037</t>
  </si>
  <si>
    <t>RI0039</t>
  </si>
  <si>
    <t>นายจรูญ</t>
  </si>
  <si>
    <t>ทาศิริ</t>
  </si>
  <si>
    <t>นายจรูญทาศิริ</t>
  </si>
  <si>
    <t>RI0043</t>
  </si>
  <si>
    <t>นายประภัส</t>
  </si>
  <si>
    <t>พรมวรรณ</t>
  </si>
  <si>
    <t>นายประภัสพรมวรรณ</t>
  </si>
  <si>
    <t>RI0044</t>
  </si>
  <si>
    <t>นายสงคราม</t>
  </si>
  <si>
    <t>พลอยพลาย</t>
  </si>
  <si>
    <t>นายสงครามพลอยพลาย</t>
  </si>
  <si>
    <t>RI0050</t>
  </si>
  <si>
    <t>อันโคตร</t>
  </si>
  <si>
    <t>วิชิตอันโคตร</t>
  </si>
  <si>
    <t>RI0047</t>
  </si>
  <si>
    <t>นายสนั่น</t>
  </si>
  <si>
    <t>ล่างพลงาม</t>
  </si>
  <si>
    <t>นายสนั่นล่างพลงาม</t>
  </si>
  <si>
    <t>RI0051</t>
  </si>
  <si>
    <t>สมสัน</t>
  </si>
  <si>
    <t>วิเศษคร้อ</t>
  </si>
  <si>
    <t>สมสันวิเศษคร้อ</t>
  </si>
  <si>
    <t>PO0032</t>
  </si>
  <si>
    <t>เจือกุดขมิ้น</t>
  </si>
  <si>
    <t>ปริญญาเจือกุดขมิ้น</t>
  </si>
  <si>
    <t>UJ0022</t>
  </si>
  <si>
    <t>ศราวุธนครังสุ</t>
  </si>
  <si>
    <t>7K0004</t>
  </si>
  <si>
    <t>นายธนะพงษ์</t>
  </si>
  <si>
    <t>เชื้อกุดรู</t>
  </si>
  <si>
    <t>นายธนะพงษ์เชื้อกุดรู</t>
  </si>
  <si>
    <t>7J0006</t>
  </si>
  <si>
    <t>นายเสด็จ</t>
  </si>
  <si>
    <t>กาพย์แก้ว</t>
  </si>
  <si>
    <t>นายเสด็จกาพย์แก้ว</t>
  </si>
  <si>
    <t>7J0010</t>
  </si>
  <si>
    <t>ขีดวุ้น</t>
  </si>
  <si>
    <t>นายเกรียงไกรขีดวุ้น</t>
  </si>
  <si>
    <t>7J0011</t>
  </si>
  <si>
    <t>นายเขียว</t>
  </si>
  <si>
    <t>มโนสินธ์</t>
  </si>
  <si>
    <t>นายเขียวมโนสินธ์</t>
  </si>
  <si>
    <t>7J0012</t>
  </si>
  <si>
    <t>นายปินัง</t>
  </si>
  <si>
    <t>ศีนวลสูง</t>
  </si>
  <si>
    <t>นายปินังศีนวลสูง</t>
  </si>
  <si>
    <t>7J0008</t>
  </si>
  <si>
    <t>นายศักดิ์สิทธิ์</t>
  </si>
  <si>
    <t>เรศสันเที๊ยะ</t>
  </si>
  <si>
    <t>นายศักดิ์สิทธิ์เรศสันเที๊ยะ</t>
  </si>
  <si>
    <t>7J0007</t>
  </si>
  <si>
    <t>นายอนนท์</t>
  </si>
  <si>
    <t>ถุนาแก้ว</t>
  </si>
  <si>
    <t>นายอนนท์ถุนาแก้ว</t>
  </si>
  <si>
    <t>7J0009</t>
  </si>
  <si>
    <t>พรมชา</t>
  </si>
  <si>
    <t>นายณรงค์พรมชา</t>
  </si>
  <si>
    <t>TA0028</t>
  </si>
  <si>
    <t>นายสกล</t>
  </si>
  <si>
    <t>แหลมป้อง</t>
  </si>
  <si>
    <t>นายสกลแหลมป้อง</t>
  </si>
  <si>
    <t>TA0021</t>
  </si>
  <si>
    <t>นายฉัตรชัย</t>
  </si>
  <si>
    <t>เค้าโพธิ์</t>
  </si>
  <si>
    <t>นายฉัตรชัยเค้าโพธิ์</t>
  </si>
  <si>
    <t>M00017</t>
  </si>
  <si>
    <t>เชษสิง</t>
  </si>
  <si>
    <t>สะอาดเชษสิง</t>
  </si>
  <si>
    <t>VC0006</t>
  </si>
  <si>
    <t>แสงเสน</t>
  </si>
  <si>
    <t>สมคิดแสงเสน</t>
  </si>
  <si>
    <t>VC0007</t>
  </si>
  <si>
    <t>ก้อม</t>
  </si>
  <si>
    <t>ใคร่นุช</t>
  </si>
  <si>
    <t>ก้อมใคร่นุช</t>
  </si>
  <si>
    <t>VC0013</t>
  </si>
  <si>
    <t>วุฒิพงศ์</t>
  </si>
  <si>
    <t>เมวะราษี</t>
  </si>
  <si>
    <t>วุฒิพงศ์เมวะราษี</t>
  </si>
  <si>
    <t>VC0012</t>
  </si>
  <si>
    <t>สุทธิพงษ์</t>
  </si>
  <si>
    <t>อ่อนศรี</t>
  </si>
  <si>
    <t>สุทธิพงษ์อ่อนศรี</t>
  </si>
  <si>
    <t>VC0014</t>
  </si>
  <si>
    <t>สิทธิชัย</t>
  </si>
  <si>
    <t>อรรถวิเศษ</t>
  </si>
  <si>
    <t>สิทธิชัยอรรถวิเศษ</t>
  </si>
  <si>
    <t>VC0020</t>
  </si>
  <si>
    <t>แสงรวม</t>
  </si>
  <si>
    <t>เกียรติศักดิ์แสงรวม</t>
  </si>
  <si>
    <t>VC0029</t>
  </si>
  <si>
    <t>ทองเส็ง</t>
  </si>
  <si>
    <t>อินเรืองศรี</t>
  </si>
  <si>
    <t>ทองเส็งอินเรืองศรี</t>
  </si>
  <si>
    <t>VC0035</t>
  </si>
  <si>
    <t>อัศนี</t>
  </si>
  <si>
    <t>อินทบุผา</t>
  </si>
  <si>
    <t>อัศนีอินทบุผา</t>
  </si>
  <si>
    <t>VC0025</t>
  </si>
  <si>
    <t>ร่มศรี</t>
  </si>
  <si>
    <t>ไชยสิทธิ์ร่มศรี</t>
  </si>
  <si>
    <t>VC0026</t>
  </si>
  <si>
    <t>บุญยืน</t>
  </si>
  <si>
    <t>สุพจน์บุญยืน</t>
  </si>
  <si>
    <t>VC0036</t>
  </si>
  <si>
    <t>ภูวดล</t>
  </si>
  <si>
    <t>บัวผัน</t>
  </si>
  <si>
    <t>ภูวดลบัวผัน</t>
  </si>
  <si>
    <t>VG0002</t>
  </si>
  <si>
    <t>นายเกรียงศักดิ์</t>
  </si>
  <si>
    <t>ปุเรสา</t>
  </si>
  <si>
    <t>นายเกรียงศักดิ์ปุเรสา</t>
  </si>
  <si>
    <t>VG0004</t>
  </si>
  <si>
    <t>อนิรุจ</t>
  </si>
  <si>
    <t>แสงหัวช้าง</t>
  </si>
  <si>
    <t>อนิรุจแสงหัวช้าง</t>
  </si>
  <si>
    <t>700003</t>
  </si>
  <si>
    <t>นิมิตธนกร</t>
  </si>
  <si>
    <t>เอกชัยนิมิตธนกร</t>
  </si>
  <si>
    <t>7R0006</t>
  </si>
  <si>
    <t>ฝั้นเงิน</t>
  </si>
  <si>
    <t>ปริญญาฝั้นเงิน</t>
  </si>
  <si>
    <t>VA0012</t>
  </si>
  <si>
    <t>อิศระ</t>
  </si>
  <si>
    <t>ปรัชญาอิศระ</t>
  </si>
  <si>
    <t>UY0014</t>
  </si>
  <si>
    <t>บุญญฤทธิ์</t>
  </si>
  <si>
    <t>ชาวบางพรม</t>
  </si>
  <si>
    <t>บุญญฤทธิ์ชาวบางพรม</t>
  </si>
  <si>
    <t>เอกพัฒน์</t>
  </si>
  <si>
    <t>ลุนสำโรง</t>
  </si>
  <si>
    <t>เอกพัฒน์ลุนสำโรง</t>
  </si>
  <si>
    <t>7J0003</t>
  </si>
  <si>
    <t>ว่าง</t>
  </si>
  <si>
    <t>ว่างว่าง</t>
  </si>
  <si>
    <t>TS0061</t>
  </si>
  <si>
    <t>ทองพา</t>
  </si>
  <si>
    <t>เกรียงไกรทองพา</t>
  </si>
  <si>
    <t>TS0039</t>
  </si>
  <si>
    <t>ช่วยปัด</t>
  </si>
  <si>
    <t>พัฒนาช่วยปัด</t>
  </si>
  <si>
    <t>N30011</t>
  </si>
  <si>
    <t>บุญเลี้ยง</t>
  </si>
  <si>
    <t>พลกระจาย</t>
  </si>
  <si>
    <t>บุญเลี้ยงพลกระจาย</t>
  </si>
  <si>
    <t>N30009</t>
  </si>
  <si>
    <t>สมศัก</t>
  </si>
  <si>
    <t>พันธ์ศรี</t>
  </si>
  <si>
    <t>สมศักพันธ์ศรี</t>
  </si>
  <si>
    <t>N30013</t>
  </si>
  <si>
    <t>อนุกูล</t>
  </si>
  <si>
    <t>วิเศษสิงห์</t>
  </si>
  <si>
    <t>อนุกูลวิเศษสิงห์</t>
  </si>
  <si>
    <t>TC0039</t>
  </si>
  <si>
    <t>สยาม</t>
  </si>
  <si>
    <t>บุญปัน</t>
  </si>
  <si>
    <t>FC เมืองเลย2 (Type N)</t>
  </si>
  <si>
    <t>สยามบุญปัน</t>
  </si>
  <si>
    <t>TC0036</t>
  </si>
  <si>
    <t>ศรีบุรินทร์</t>
  </si>
  <si>
    <t>ทองใสศรีบุรินทร์</t>
  </si>
  <si>
    <t>TC0043</t>
  </si>
  <si>
    <t>ก้องเกียรติ</t>
  </si>
  <si>
    <t>ศรีทรงเมือง</t>
  </si>
  <si>
    <t>ก้องเกียรติศรีทรงเมือง</t>
  </si>
  <si>
    <t>SG0006</t>
  </si>
  <si>
    <t>มณีนิล</t>
  </si>
  <si>
    <t>ทิวากรมณีนิล</t>
  </si>
  <si>
    <t>RL0042</t>
  </si>
  <si>
    <t>นายสุรศักดิ์</t>
  </si>
  <si>
    <t>กลิ่นศรี</t>
  </si>
  <si>
    <t>นายสุรศักดิ์กลิ่นศรี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</si>
</sst>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name val="Microsoft YaHei"/>
      <family val="2"/>
    </font>
    <font>
      <b/>
      <sz val="9"/>
      <color theme="1"/>
      <name val="SCG"/>
      <family val="3"/>
    </font>
    <font>
      <b/>
      <sz val="10"/>
      <name val="SCG"/>
      <family val="3"/>
    </font>
    <font>
      <b/>
      <sz val="10"/>
      <color theme="1"/>
      <name val="SCG"/>
      <family val="3"/>
    </font>
    <font>
      <b/>
      <sz val="9"/>
      <name val="SCG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4" fillId="0" borderId="0" xfId="0" applyFont="1"/>
    <xf numFmtId="1" fontId="4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3" borderId="0" xfId="0" applyFont="1" applyFill="1"/>
    <xf numFmtId="0" fontId="5" fillId="3" borderId="0" xfId="0" applyFont="1" applyFill="1" applyAlignment="1">
      <alignment horizontal="center"/>
    </xf>
  </cellXfs>
  <cellStyles count="2">
    <cellStyle name="Normal" xfId="0" builtinId="0"/>
    <cellStyle name="Normal 2 3" xfId="1" xr:uid="{F22B9C93-174E-4E90-832C-57E345D0A560}"/>
  </cellStyles>
  <dxfs count="1"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6D061-0027-4544-BBA8-D842E619304D}">
  <sheetPr filterMode="1"/>
  <dimension ref="A1:L1480"/>
  <sheetViews>
    <sheetView zoomScaleNormal="10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A68" sqref="A68"/>
    </sheetView>
  </sheetViews>
  <sheetFormatPr defaultRowHeight="15.5" x14ac:dyDescent="0.55000000000000004"/>
  <cols>
    <col min="1" max="1" width="6.08984375" style="12" customWidth="1"/>
    <col min="2" max="2" width="9.81640625" style="12" customWidth="1"/>
    <col min="3" max="3" width="23.26953125" style="12" customWidth="1"/>
    <col min="4" max="4" width="7.08984375" style="12" bestFit="1" customWidth="1"/>
    <col min="5" max="5" width="7.90625" style="12" customWidth="1"/>
    <col min="6" max="6" width="11.7265625" style="12" customWidth="1"/>
    <col min="7" max="7" width="17.6328125" style="12" customWidth="1"/>
    <col min="8" max="8" width="19.90625" style="12" customWidth="1"/>
    <col min="9" max="9" width="12" style="12" customWidth="1"/>
    <col min="10" max="10" width="10.7265625" style="12" customWidth="1"/>
    <col min="11" max="11" width="20.36328125" style="12" customWidth="1"/>
    <col min="12" max="12" width="11" style="13" bestFit="1" customWidth="1"/>
    <col min="13" max="16384" width="8.7265625" style="1"/>
  </cols>
  <sheetData>
    <row r="1" spans="1:12" x14ac:dyDescent="0.55000000000000004">
      <c r="A1" s="12" t="s">
        <v>4618</v>
      </c>
      <c r="B1" s="12" t="s">
        <v>4619</v>
      </c>
      <c r="C1" s="12" t="s">
        <v>3100</v>
      </c>
      <c r="D1" s="12" t="s">
        <v>0</v>
      </c>
      <c r="E1" s="12" t="s">
        <v>1</v>
      </c>
      <c r="F1" s="12" t="s">
        <v>2</v>
      </c>
      <c r="G1" s="12" t="s">
        <v>3</v>
      </c>
      <c r="H1" s="12" t="s">
        <v>4</v>
      </c>
      <c r="I1" s="12" t="s">
        <v>3098</v>
      </c>
      <c r="J1" s="12" t="s">
        <v>3097</v>
      </c>
      <c r="K1" s="12" t="s">
        <v>3099</v>
      </c>
      <c r="L1" s="13" t="s">
        <v>3101</v>
      </c>
    </row>
    <row r="2" spans="1:12" hidden="1" x14ac:dyDescent="0.55000000000000004">
      <c r="A2" s="12" t="s">
        <v>2935</v>
      </c>
      <c r="B2" s="12" t="s">
        <v>4442</v>
      </c>
      <c r="C2" s="12" t="s">
        <v>4751</v>
      </c>
      <c r="D2" s="12" t="s">
        <v>4752</v>
      </c>
      <c r="E2" s="12" t="s">
        <v>4753</v>
      </c>
      <c r="F2" s="12" t="s">
        <v>2512</v>
      </c>
      <c r="G2" s="12" t="s">
        <v>4754</v>
      </c>
      <c r="H2" s="12" t="s">
        <v>4755</v>
      </c>
      <c r="I2" s="12" t="s">
        <v>3075</v>
      </c>
      <c r="J2" s="12" t="s">
        <v>4756</v>
      </c>
      <c r="K2" s="12" t="s">
        <v>4757</v>
      </c>
      <c r="L2" s="13" t="s">
        <v>3075</v>
      </c>
    </row>
    <row r="3" spans="1:12" hidden="1" x14ac:dyDescent="0.55000000000000004">
      <c r="A3" s="12" t="s">
        <v>2935</v>
      </c>
      <c r="B3" s="12" t="s">
        <v>4442</v>
      </c>
      <c r="C3" s="12" t="s">
        <v>4751</v>
      </c>
      <c r="D3" s="12" t="s">
        <v>4752</v>
      </c>
      <c r="E3" s="12" t="s">
        <v>4758</v>
      </c>
      <c r="F3" s="12" t="s">
        <v>1120</v>
      </c>
      <c r="G3" s="12" t="s">
        <v>4759</v>
      </c>
      <c r="H3" s="12" t="s">
        <v>4755</v>
      </c>
      <c r="I3" s="12" t="s">
        <v>3075</v>
      </c>
      <c r="J3" s="12" t="s">
        <v>4756</v>
      </c>
      <c r="K3" s="12" t="s">
        <v>4760</v>
      </c>
      <c r="L3" s="13" t="s">
        <v>3075</v>
      </c>
    </row>
    <row r="4" spans="1:12" hidden="1" x14ac:dyDescent="0.55000000000000004">
      <c r="A4" s="12" t="s">
        <v>2935</v>
      </c>
      <c r="B4" s="12" t="s">
        <v>4442</v>
      </c>
      <c r="C4" s="12" t="s">
        <v>4751</v>
      </c>
      <c r="D4" s="12" t="s">
        <v>4752</v>
      </c>
      <c r="E4" s="12" t="s">
        <v>4761</v>
      </c>
      <c r="F4" s="12" t="s">
        <v>1258</v>
      </c>
      <c r="G4" s="12" t="s">
        <v>4762</v>
      </c>
      <c r="H4" s="12" t="s">
        <v>4755</v>
      </c>
      <c r="I4" s="12" t="s">
        <v>3075</v>
      </c>
      <c r="J4" s="12" t="s">
        <v>4756</v>
      </c>
      <c r="K4" s="12" t="s">
        <v>4763</v>
      </c>
      <c r="L4" s="13" t="s">
        <v>3075</v>
      </c>
    </row>
    <row r="5" spans="1:12" hidden="1" x14ac:dyDescent="0.55000000000000004">
      <c r="A5" s="12" t="s">
        <v>2935</v>
      </c>
      <c r="B5" s="12" t="s">
        <v>4442</v>
      </c>
      <c r="C5" s="12" t="s">
        <v>4751</v>
      </c>
      <c r="D5" s="12" t="s">
        <v>4752</v>
      </c>
      <c r="E5" s="12" t="s">
        <v>4764</v>
      </c>
      <c r="F5" s="12" t="s">
        <v>4765</v>
      </c>
      <c r="G5" s="12" t="s">
        <v>4766</v>
      </c>
      <c r="H5" s="12" t="s">
        <v>4755</v>
      </c>
      <c r="I5" s="12" t="s">
        <v>3075</v>
      </c>
      <c r="J5" s="12" t="s">
        <v>4756</v>
      </c>
      <c r="K5" s="12" t="s">
        <v>4767</v>
      </c>
      <c r="L5" s="13" t="s">
        <v>3075</v>
      </c>
    </row>
    <row r="6" spans="1:12" hidden="1" x14ac:dyDescent="0.55000000000000004">
      <c r="A6" s="12" t="s">
        <v>2935</v>
      </c>
      <c r="B6" s="12" t="s">
        <v>4442</v>
      </c>
      <c r="C6" s="12" t="s">
        <v>4751</v>
      </c>
      <c r="D6" s="12" t="s">
        <v>4752</v>
      </c>
      <c r="E6" s="12" t="s">
        <v>4768</v>
      </c>
      <c r="F6" s="12" t="s">
        <v>4769</v>
      </c>
      <c r="G6" s="12" t="s">
        <v>4770</v>
      </c>
      <c r="H6" s="12" t="s">
        <v>4755</v>
      </c>
      <c r="I6" s="12" t="s">
        <v>3075</v>
      </c>
      <c r="J6" s="12" t="s">
        <v>4756</v>
      </c>
      <c r="K6" s="12" t="s">
        <v>4771</v>
      </c>
      <c r="L6" s="13" t="s">
        <v>3075</v>
      </c>
    </row>
    <row r="7" spans="1:12" hidden="1" x14ac:dyDescent="0.55000000000000004">
      <c r="A7" s="12" t="s">
        <v>2935</v>
      </c>
      <c r="B7" s="12" t="s">
        <v>4442</v>
      </c>
      <c r="C7" s="12" t="s">
        <v>4751</v>
      </c>
      <c r="D7" s="12" t="s">
        <v>4752</v>
      </c>
      <c r="E7" s="12" t="s">
        <v>4772</v>
      </c>
      <c r="F7" s="12" t="s">
        <v>4773</v>
      </c>
      <c r="G7" s="12" t="s">
        <v>4774</v>
      </c>
      <c r="H7" s="12" t="s">
        <v>4755</v>
      </c>
      <c r="I7" s="12" t="s">
        <v>3075</v>
      </c>
      <c r="J7" s="12" t="s">
        <v>4756</v>
      </c>
      <c r="K7" s="12" t="s">
        <v>4775</v>
      </c>
      <c r="L7" s="13" t="s">
        <v>3075</v>
      </c>
    </row>
    <row r="8" spans="1:12" hidden="1" x14ac:dyDescent="0.55000000000000004">
      <c r="A8" s="12" t="s">
        <v>2935</v>
      </c>
      <c r="B8" s="12" t="s">
        <v>4442</v>
      </c>
      <c r="C8" s="12" t="s">
        <v>4751</v>
      </c>
      <c r="D8" s="12" t="s">
        <v>4752</v>
      </c>
      <c r="E8" s="12" t="s">
        <v>4776</v>
      </c>
      <c r="F8" s="12" t="s">
        <v>4777</v>
      </c>
      <c r="G8" s="12" t="s">
        <v>4778</v>
      </c>
      <c r="H8" s="12" t="s">
        <v>4755</v>
      </c>
      <c r="I8" s="12" t="s">
        <v>3075</v>
      </c>
      <c r="J8" s="12" t="s">
        <v>4756</v>
      </c>
      <c r="K8" s="12" t="s">
        <v>4779</v>
      </c>
      <c r="L8" s="13" t="s">
        <v>3075</v>
      </c>
    </row>
    <row r="9" spans="1:12" hidden="1" x14ac:dyDescent="0.55000000000000004">
      <c r="A9" s="12" t="s">
        <v>2935</v>
      </c>
      <c r="B9" s="12" t="s">
        <v>4442</v>
      </c>
      <c r="C9" s="12" t="s">
        <v>4751</v>
      </c>
      <c r="D9" s="12" t="s">
        <v>4752</v>
      </c>
      <c r="E9" s="12" t="s">
        <v>5607</v>
      </c>
      <c r="F9" s="12" t="s">
        <v>1241</v>
      </c>
      <c r="G9" s="12" t="s">
        <v>5608</v>
      </c>
      <c r="H9" s="12" t="s">
        <v>4755</v>
      </c>
      <c r="I9" s="12" t="s">
        <v>3075</v>
      </c>
      <c r="J9" s="12" t="s">
        <v>4756</v>
      </c>
      <c r="K9" s="12" t="s">
        <v>5609</v>
      </c>
      <c r="L9" s="13" t="s">
        <v>3075</v>
      </c>
    </row>
    <row r="10" spans="1:12" hidden="1" x14ac:dyDescent="0.55000000000000004">
      <c r="A10" s="12" t="s">
        <v>2961</v>
      </c>
      <c r="B10" s="12" t="s">
        <v>4442</v>
      </c>
      <c r="C10" s="12" t="s">
        <v>4780</v>
      </c>
      <c r="D10" s="12" t="s">
        <v>4752</v>
      </c>
      <c r="E10" s="12" t="s">
        <v>4781</v>
      </c>
      <c r="F10" s="12" t="s">
        <v>4782</v>
      </c>
      <c r="G10" s="12" t="s">
        <v>3008</v>
      </c>
      <c r="H10" s="12" t="s">
        <v>4783</v>
      </c>
      <c r="I10" s="12" t="s">
        <v>3059</v>
      </c>
      <c r="J10" s="12" t="s">
        <v>1991</v>
      </c>
      <c r="K10" s="12" t="s">
        <v>4784</v>
      </c>
      <c r="L10" s="13">
        <v>9</v>
      </c>
    </row>
    <row r="11" spans="1:12" hidden="1" x14ac:dyDescent="0.55000000000000004">
      <c r="A11" s="12" t="s">
        <v>2961</v>
      </c>
      <c r="B11" s="12" t="s">
        <v>4442</v>
      </c>
      <c r="C11" s="12" t="s">
        <v>4785</v>
      </c>
      <c r="D11" s="12" t="s">
        <v>4752</v>
      </c>
      <c r="E11" s="12" t="s">
        <v>4786</v>
      </c>
      <c r="F11" s="12" t="s">
        <v>4787</v>
      </c>
      <c r="G11" s="12" t="s">
        <v>3077</v>
      </c>
      <c r="H11" s="12" t="s">
        <v>4783</v>
      </c>
      <c r="I11" s="12" t="s">
        <v>3059</v>
      </c>
      <c r="J11" s="12" t="s">
        <v>1991</v>
      </c>
      <c r="K11" s="12" t="s">
        <v>4788</v>
      </c>
      <c r="L11" s="13">
        <v>8</v>
      </c>
    </row>
    <row r="12" spans="1:12" hidden="1" x14ac:dyDescent="0.55000000000000004">
      <c r="A12" s="12" t="s">
        <v>2961</v>
      </c>
      <c r="B12" s="12" t="s">
        <v>4442</v>
      </c>
      <c r="C12" s="12" t="s">
        <v>4785</v>
      </c>
      <c r="D12" s="12" t="s">
        <v>4752</v>
      </c>
      <c r="E12" s="12" t="s">
        <v>4789</v>
      </c>
      <c r="F12" s="12" t="s">
        <v>989</v>
      </c>
      <c r="G12" s="12" t="s">
        <v>4790</v>
      </c>
      <c r="H12" s="12" t="s">
        <v>4783</v>
      </c>
      <c r="I12" s="12" t="s">
        <v>3059</v>
      </c>
      <c r="J12" s="12" t="s">
        <v>1991</v>
      </c>
      <c r="K12" s="12" t="s">
        <v>4791</v>
      </c>
      <c r="L12" s="13">
        <v>5</v>
      </c>
    </row>
    <row r="13" spans="1:12" hidden="1" x14ac:dyDescent="0.55000000000000004">
      <c r="A13" s="12" t="s">
        <v>2961</v>
      </c>
      <c r="B13" s="12" t="s">
        <v>4442</v>
      </c>
      <c r="C13" s="12" t="s">
        <v>4785</v>
      </c>
      <c r="D13" s="12" t="s">
        <v>4752</v>
      </c>
      <c r="E13" s="12" t="s">
        <v>4792</v>
      </c>
      <c r="F13" s="12" t="s">
        <v>4793</v>
      </c>
      <c r="G13" s="12" t="s">
        <v>4794</v>
      </c>
      <c r="H13" s="12" t="s">
        <v>4783</v>
      </c>
      <c r="I13" s="12" t="s">
        <v>3059</v>
      </c>
      <c r="J13" s="12" t="s">
        <v>1991</v>
      </c>
      <c r="K13" s="12" t="s">
        <v>4795</v>
      </c>
      <c r="L13" s="13">
        <v>2</v>
      </c>
    </row>
    <row r="14" spans="1:12" hidden="1" x14ac:dyDescent="0.55000000000000004">
      <c r="A14" s="12" t="s">
        <v>2961</v>
      </c>
      <c r="B14" s="12" t="s">
        <v>4442</v>
      </c>
      <c r="C14" s="12" t="s">
        <v>4785</v>
      </c>
      <c r="D14" s="12" t="s">
        <v>4752</v>
      </c>
      <c r="E14" s="12" t="s">
        <v>4796</v>
      </c>
      <c r="F14" s="12" t="s">
        <v>4797</v>
      </c>
      <c r="G14" s="12" t="s">
        <v>4798</v>
      </c>
      <c r="H14" s="12" t="s">
        <v>4783</v>
      </c>
      <c r="I14" s="12" t="s">
        <v>3059</v>
      </c>
      <c r="J14" s="12" t="s">
        <v>1991</v>
      </c>
      <c r="K14" s="12" t="s">
        <v>4799</v>
      </c>
      <c r="L14" s="13">
        <v>8</v>
      </c>
    </row>
    <row r="15" spans="1:12" hidden="1" x14ac:dyDescent="0.55000000000000004">
      <c r="A15" s="12" t="s">
        <v>2961</v>
      </c>
      <c r="B15" s="12" t="s">
        <v>4442</v>
      </c>
      <c r="C15" s="12" t="s">
        <v>4800</v>
      </c>
      <c r="D15" s="12" t="s">
        <v>4752</v>
      </c>
      <c r="E15" s="12" t="s">
        <v>4801</v>
      </c>
      <c r="F15" s="12" t="s">
        <v>4802</v>
      </c>
      <c r="G15" s="12" t="s">
        <v>4803</v>
      </c>
      <c r="H15" s="12" t="s">
        <v>4783</v>
      </c>
      <c r="I15" s="12" t="s">
        <v>3075</v>
      </c>
      <c r="J15" s="12" t="s">
        <v>1991</v>
      </c>
      <c r="K15" s="12" t="s">
        <v>4804</v>
      </c>
      <c r="L15" s="13" t="s">
        <v>3075</v>
      </c>
    </row>
    <row r="16" spans="1:12" hidden="1" x14ac:dyDescent="0.55000000000000004">
      <c r="A16" s="12" t="s">
        <v>2961</v>
      </c>
      <c r="B16" s="12" t="s">
        <v>4442</v>
      </c>
      <c r="C16" s="12" t="s">
        <v>4800</v>
      </c>
      <c r="D16" s="12" t="s">
        <v>4752</v>
      </c>
      <c r="E16" s="12" t="s">
        <v>4805</v>
      </c>
      <c r="F16" s="12" t="s">
        <v>4806</v>
      </c>
      <c r="G16" s="12" t="s">
        <v>1563</v>
      </c>
      <c r="H16" s="12" t="s">
        <v>4783</v>
      </c>
      <c r="I16" s="12" t="s">
        <v>3075</v>
      </c>
      <c r="J16" s="12" t="s">
        <v>1991</v>
      </c>
      <c r="K16" s="12" t="s">
        <v>4807</v>
      </c>
      <c r="L16" s="13" t="s">
        <v>3075</v>
      </c>
    </row>
    <row r="17" spans="1:12" hidden="1" x14ac:dyDescent="0.55000000000000004">
      <c r="A17" s="12" t="s">
        <v>2961</v>
      </c>
      <c r="B17" s="12" t="s">
        <v>4442</v>
      </c>
      <c r="C17" s="12" t="s">
        <v>4800</v>
      </c>
      <c r="D17" s="12" t="s">
        <v>4752</v>
      </c>
      <c r="E17" s="12" t="s">
        <v>4808</v>
      </c>
      <c r="F17" s="12" t="s">
        <v>4809</v>
      </c>
      <c r="G17" s="12" t="s">
        <v>515</v>
      </c>
      <c r="H17" s="12" t="s">
        <v>4783</v>
      </c>
      <c r="I17" s="12" t="s">
        <v>3059</v>
      </c>
      <c r="J17" s="12" t="s">
        <v>1991</v>
      </c>
      <c r="K17" s="12" t="s">
        <v>4810</v>
      </c>
      <c r="L17" s="13">
        <v>8</v>
      </c>
    </row>
    <row r="18" spans="1:12" hidden="1" x14ac:dyDescent="0.55000000000000004">
      <c r="A18" s="12" t="s">
        <v>2961</v>
      </c>
      <c r="B18" s="12" t="s">
        <v>4442</v>
      </c>
      <c r="C18" s="12" t="s">
        <v>4811</v>
      </c>
      <c r="D18" s="12" t="s">
        <v>4752</v>
      </c>
      <c r="E18" s="12" t="s">
        <v>4812</v>
      </c>
      <c r="F18" s="12" t="s">
        <v>428</v>
      </c>
      <c r="G18" s="12" t="s">
        <v>4813</v>
      </c>
      <c r="H18" s="12" t="s">
        <v>4783</v>
      </c>
      <c r="I18" s="12" t="s">
        <v>3059</v>
      </c>
      <c r="J18" s="12" t="s">
        <v>1991</v>
      </c>
      <c r="K18" s="12" t="s">
        <v>4814</v>
      </c>
      <c r="L18" s="13">
        <v>6</v>
      </c>
    </row>
    <row r="19" spans="1:12" hidden="1" x14ac:dyDescent="0.55000000000000004">
      <c r="A19" s="12" t="s">
        <v>2961</v>
      </c>
      <c r="B19" s="12" t="s">
        <v>4442</v>
      </c>
      <c r="C19" s="12" t="s">
        <v>4815</v>
      </c>
      <c r="D19" s="12" t="s">
        <v>4752</v>
      </c>
      <c r="E19" s="12" t="s">
        <v>4816</v>
      </c>
      <c r="F19" s="12" t="s">
        <v>1723</v>
      </c>
      <c r="G19" s="12" t="s">
        <v>4817</v>
      </c>
      <c r="H19" s="12" t="s">
        <v>4783</v>
      </c>
      <c r="I19" s="12" t="s">
        <v>3059</v>
      </c>
      <c r="J19" s="12" t="s">
        <v>1991</v>
      </c>
      <c r="K19" s="12" t="s">
        <v>4818</v>
      </c>
      <c r="L19" s="13">
        <v>8</v>
      </c>
    </row>
    <row r="20" spans="1:12" hidden="1" x14ac:dyDescent="0.55000000000000004">
      <c r="A20" s="12" t="s">
        <v>2961</v>
      </c>
      <c r="B20" s="12" t="s">
        <v>4442</v>
      </c>
      <c r="C20" s="12" t="s">
        <v>4815</v>
      </c>
      <c r="D20" s="12" t="s">
        <v>4752</v>
      </c>
      <c r="E20" s="12" t="s">
        <v>4819</v>
      </c>
      <c r="F20" s="12" t="s">
        <v>4820</v>
      </c>
      <c r="G20" s="12" t="s">
        <v>4821</v>
      </c>
      <c r="H20" s="12" t="s">
        <v>4783</v>
      </c>
      <c r="I20" s="12" t="s">
        <v>3060</v>
      </c>
      <c r="J20" s="12" t="s">
        <v>1991</v>
      </c>
      <c r="K20" s="12" t="s">
        <v>4822</v>
      </c>
      <c r="L20" s="13">
        <v>8</v>
      </c>
    </row>
    <row r="21" spans="1:12" hidden="1" x14ac:dyDescent="0.55000000000000004">
      <c r="A21" s="12" t="s">
        <v>2961</v>
      </c>
      <c r="B21" s="12" t="s">
        <v>4442</v>
      </c>
      <c r="C21" s="12" t="s">
        <v>4815</v>
      </c>
      <c r="D21" s="12" t="s">
        <v>4752</v>
      </c>
      <c r="E21" s="12" t="s">
        <v>4823</v>
      </c>
      <c r="F21" s="12" t="s">
        <v>4824</v>
      </c>
      <c r="G21" s="12" t="s">
        <v>4825</v>
      </c>
      <c r="H21" s="12" t="s">
        <v>4783</v>
      </c>
      <c r="I21" s="12" t="s">
        <v>3059</v>
      </c>
      <c r="J21" s="12" t="s">
        <v>1991</v>
      </c>
      <c r="K21" s="12" t="s">
        <v>4826</v>
      </c>
      <c r="L21" s="13">
        <v>8</v>
      </c>
    </row>
    <row r="22" spans="1:12" hidden="1" x14ac:dyDescent="0.55000000000000004">
      <c r="A22" s="12" t="s">
        <v>2961</v>
      </c>
      <c r="B22" s="12" t="s">
        <v>4442</v>
      </c>
      <c r="C22" s="12" t="s">
        <v>4815</v>
      </c>
      <c r="D22" s="12" t="s">
        <v>4752</v>
      </c>
      <c r="E22" s="12" t="s">
        <v>4827</v>
      </c>
      <c r="F22" s="12" t="s">
        <v>2766</v>
      </c>
      <c r="G22" s="12" t="s">
        <v>4828</v>
      </c>
      <c r="H22" s="12" t="s">
        <v>4783</v>
      </c>
      <c r="I22" s="12" t="s">
        <v>3059</v>
      </c>
      <c r="J22" s="12" t="s">
        <v>1991</v>
      </c>
      <c r="K22" s="12" t="s">
        <v>4829</v>
      </c>
      <c r="L22" s="13">
        <v>9</v>
      </c>
    </row>
    <row r="23" spans="1:12" hidden="1" x14ac:dyDescent="0.55000000000000004">
      <c r="A23" s="12" t="s">
        <v>2961</v>
      </c>
      <c r="B23" s="12" t="s">
        <v>4442</v>
      </c>
      <c r="C23" s="12" t="s">
        <v>4815</v>
      </c>
      <c r="D23" s="12" t="s">
        <v>4752</v>
      </c>
      <c r="E23" s="12" t="s">
        <v>4830</v>
      </c>
      <c r="F23" s="12" t="s">
        <v>4831</v>
      </c>
      <c r="G23" s="12" t="s">
        <v>2165</v>
      </c>
      <c r="H23" s="12" t="s">
        <v>4783</v>
      </c>
      <c r="I23" s="12" t="s">
        <v>3060</v>
      </c>
      <c r="J23" s="12" t="s">
        <v>1991</v>
      </c>
      <c r="K23" s="12" t="s">
        <v>4832</v>
      </c>
      <c r="L23" s="13">
        <v>8</v>
      </c>
    </row>
    <row r="24" spans="1:12" hidden="1" x14ac:dyDescent="0.55000000000000004">
      <c r="A24" s="12" t="s">
        <v>2961</v>
      </c>
      <c r="B24" s="12" t="s">
        <v>4442</v>
      </c>
      <c r="C24" s="12" t="s">
        <v>4815</v>
      </c>
      <c r="D24" s="12" t="s">
        <v>4752</v>
      </c>
      <c r="E24" s="12" t="s">
        <v>4833</v>
      </c>
      <c r="F24" s="12" t="s">
        <v>4834</v>
      </c>
      <c r="G24" s="12" t="s">
        <v>4835</v>
      </c>
      <c r="H24" s="12" t="s">
        <v>4783</v>
      </c>
      <c r="I24" s="12" t="s">
        <v>3059</v>
      </c>
      <c r="J24" s="12" t="s">
        <v>1991</v>
      </c>
      <c r="K24" s="12" t="s">
        <v>4836</v>
      </c>
      <c r="L24" s="13">
        <v>8</v>
      </c>
    </row>
    <row r="25" spans="1:12" hidden="1" x14ac:dyDescent="0.55000000000000004">
      <c r="A25" s="12" t="s">
        <v>2961</v>
      </c>
      <c r="B25" s="12" t="s">
        <v>4442</v>
      </c>
      <c r="C25" s="12" t="s">
        <v>4815</v>
      </c>
      <c r="D25" s="12" t="s">
        <v>4752</v>
      </c>
      <c r="E25" s="12" t="s">
        <v>4837</v>
      </c>
      <c r="F25" s="12" t="s">
        <v>4838</v>
      </c>
      <c r="G25" s="12" t="s">
        <v>139</v>
      </c>
      <c r="H25" s="12" t="s">
        <v>4783</v>
      </c>
      <c r="I25" s="12" t="s">
        <v>3059</v>
      </c>
      <c r="J25" s="12" t="s">
        <v>1991</v>
      </c>
      <c r="K25" s="12" t="s">
        <v>4839</v>
      </c>
      <c r="L25" s="13">
        <v>8</v>
      </c>
    </row>
    <row r="26" spans="1:12" hidden="1" x14ac:dyDescent="0.55000000000000004">
      <c r="A26" s="12" t="s">
        <v>2961</v>
      </c>
      <c r="B26" s="12" t="s">
        <v>4442</v>
      </c>
      <c r="C26" s="12" t="s">
        <v>4815</v>
      </c>
      <c r="D26" s="12" t="s">
        <v>4752</v>
      </c>
      <c r="E26" s="12" t="s">
        <v>4840</v>
      </c>
      <c r="F26" s="12" t="s">
        <v>1556</v>
      </c>
      <c r="G26" s="12" t="s">
        <v>4841</v>
      </c>
      <c r="H26" s="12" t="s">
        <v>4783</v>
      </c>
      <c r="I26" s="12" t="s">
        <v>3060</v>
      </c>
      <c r="J26" s="12" t="s">
        <v>1991</v>
      </c>
      <c r="K26" s="12" t="s">
        <v>4842</v>
      </c>
      <c r="L26" s="13">
        <v>8</v>
      </c>
    </row>
    <row r="27" spans="1:12" hidden="1" x14ac:dyDescent="0.55000000000000004">
      <c r="A27" s="12" t="s">
        <v>2961</v>
      </c>
      <c r="B27" s="12" t="s">
        <v>4442</v>
      </c>
      <c r="C27" s="12" t="s">
        <v>4815</v>
      </c>
      <c r="D27" s="12" t="s">
        <v>4752</v>
      </c>
      <c r="E27" s="12" t="s">
        <v>4843</v>
      </c>
      <c r="F27" s="12" t="s">
        <v>305</v>
      </c>
      <c r="G27" s="12" t="s">
        <v>4844</v>
      </c>
      <c r="H27" s="12" t="s">
        <v>4783</v>
      </c>
      <c r="I27" s="12" t="s">
        <v>3060</v>
      </c>
      <c r="J27" s="12" t="s">
        <v>1991</v>
      </c>
      <c r="K27" s="12" t="s">
        <v>4845</v>
      </c>
      <c r="L27" s="13">
        <v>8</v>
      </c>
    </row>
    <row r="28" spans="1:12" hidden="1" x14ac:dyDescent="0.55000000000000004">
      <c r="A28" s="12" t="s">
        <v>2961</v>
      </c>
      <c r="B28" s="12" t="s">
        <v>4442</v>
      </c>
      <c r="C28" s="12" t="s">
        <v>4815</v>
      </c>
      <c r="D28" s="12" t="s">
        <v>4752</v>
      </c>
      <c r="E28" s="12" t="s">
        <v>4846</v>
      </c>
      <c r="F28" s="12" t="s">
        <v>1086</v>
      </c>
      <c r="G28" s="12" t="s">
        <v>4847</v>
      </c>
      <c r="H28" s="12" t="s">
        <v>4783</v>
      </c>
      <c r="I28" s="12" t="s">
        <v>3059</v>
      </c>
      <c r="J28" s="12" t="s">
        <v>1991</v>
      </c>
      <c r="K28" s="12" t="s">
        <v>4848</v>
      </c>
      <c r="L28" s="13">
        <v>9</v>
      </c>
    </row>
    <row r="29" spans="1:12" hidden="1" x14ac:dyDescent="0.55000000000000004">
      <c r="A29" s="12" t="s">
        <v>2961</v>
      </c>
      <c r="B29" s="12" t="s">
        <v>4442</v>
      </c>
      <c r="C29" s="12" t="s">
        <v>4815</v>
      </c>
      <c r="D29" s="12" t="s">
        <v>4752</v>
      </c>
      <c r="E29" s="12" t="s">
        <v>4849</v>
      </c>
      <c r="F29" s="12" t="s">
        <v>3076</v>
      </c>
      <c r="G29" s="12" t="s">
        <v>4850</v>
      </c>
      <c r="H29" s="12" t="s">
        <v>4783</v>
      </c>
      <c r="I29" s="12" t="s">
        <v>3075</v>
      </c>
      <c r="J29" s="12" t="s">
        <v>1991</v>
      </c>
      <c r="K29" s="12" t="s">
        <v>4851</v>
      </c>
      <c r="L29" s="13" t="s">
        <v>3075</v>
      </c>
    </row>
    <row r="30" spans="1:12" hidden="1" x14ac:dyDescent="0.55000000000000004">
      <c r="A30" s="12" t="s">
        <v>2961</v>
      </c>
      <c r="B30" s="12" t="s">
        <v>4442</v>
      </c>
      <c r="C30" s="12" t="s">
        <v>4815</v>
      </c>
      <c r="D30" s="12" t="s">
        <v>4752</v>
      </c>
      <c r="E30" s="12" t="s">
        <v>4852</v>
      </c>
      <c r="F30" s="12" t="s">
        <v>2222</v>
      </c>
      <c r="G30" s="12" t="s">
        <v>4853</v>
      </c>
      <c r="H30" s="12" t="s">
        <v>4783</v>
      </c>
      <c r="I30" s="12" t="s">
        <v>3059</v>
      </c>
      <c r="J30" s="12" t="s">
        <v>1991</v>
      </c>
      <c r="K30" s="12" t="s">
        <v>4854</v>
      </c>
      <c r="L30" s="13">
        <v>2</v>
      </c>
    </row>
    <row r="31" spans="1:12" hidden="1" x14ac:dyDescent="0.55000000000000004">
      <c r="A31" s="12" t="s">
        <v>2961</v>
      </c>
      <c r="B31" s="12" t="s">
        <v>4442</v>
      </c>
      <c r="C31" s="12" t="s">
        <v>4815</v>
      </c>
      <c r="D31" s="12" t="s">
        <v>4752</v>
      </c>
      <c r="E31" s="12" t="s">
        <v>4855</v>
      </c>
      <c r="F31" s="12" t="s">
        <v>909</v>
      </c>
      <c r="G31" s="12" t="s">
        <v>4856</v>
      </c>
      <c r="H31" s="12" t="s">
        <v>4783</v>
      </c>
      <c r="I31" s="12" t="s">
        <v>3059</v>
      </c>
      <c r="J31" s="12" t="s">
        <v>1991</v>
      </c>
      <c r="K31" s="12" t="s">
        <v>4857</v>
      </c>
      <c r="L31" s="13">
        <v>8</v>
      </c>
    </row>
    <row r="32" spans="1:12" hidden="1" x14ac:dyDescent="0.55000000000000004">
      <c r="A32" s="12" t="s">
        <v>2961</v>
      </c>
      <c r="B32" s="12" t="s">
        <v>4442</v>
      </c>
      <c r="C32" s="12" t="s">
        <v>4815</v>
      </c>
      <c r="D32" s="12" t="s">
        <v>4752</v>
      </c>
      <c r="E32" s="12" t="s">
        <v>4858</v>
      </c>
      <c r="F32" s="12" t="s">
        <v>700</v>
      </c>
      <c r="G32" s="12" t="s">
        <v>4859</v>
      </c>
      <c r="H32" s="12" t="s">
        <v>4783</v>
      </c>
      <c r="I32" s="12" t="s">
        <v>3059</v>
      </c>
      <c r="J32" s="12" t="s">
        <v>1991</v>
      </c>
      <c r="K32" s="12" t="s">
        <v>4860</v>
      </c>
      <c r="L32" s="13">
        <v>8</v>
      </c>
    </row>
    <row r="33" spans="1:12" hidden="1" x14ac:dyDescent="0.55000000000000004">
      <c r="A33" s="12" t="s">
        <v>2961</v>
      </c>
      <c r="B33" s="12" t="s">
        <v>4442</v>
      </c>
      <c r="C33" s="12" t="s">
        <v>4815</v>
      </c>
      <c r="D33" s="12" t="s">
        <v>4752</v>
      </c>
      <c r="E33" s="12" t="s">
        <v>4861</v>
      </c>
      <c r="F33" s="12" t="s">
        <v>1624</v>
      </c>
      <c r="G33" s="12" t="s">
        <v>4862</v>
      </c>
      <c r="H33" s="12" t="s">
        <v>4783</v>
      </c>
      <c r="I33" s="12" t="s">
        <v>3059</v>
      </c>
      <c r="J33" s="12" t="s">
        <v>1991</v>
      </c>
      <c r="K33" s="12" t="s">
        <v>4863</v>
      </c>
      <c r="L33" s="13">
        <v>8</v>
      </c>
    </row>
    <row r="34" spans="1:12" hidden="1" x14ac:dyDescent="0.55000000000000004">
      <c r="A34" s="12" t="s">
        <v>2961</v>
      </c>
      <c r="B34" s="12" t="s">
        <v>4442</v>
      </c>
      <c r="C34" s="12" t="s">
        <v>4815</v>
      </c>
      <c r="D34" s="12" t="s">
        <v>4752</v>
      </c>
      <c r="E34" s="12" t="s">
        <v>4864</v>
      </c>
      <c r="F34" s="12" t="s">
        <v>1378</v>
      </c>
      <c r="G34" s="12" t="s">
        <v>4865</v>
      </c>
      <c r="H34" s="12" t="s">
        <v>4783</v>
      </c>
      <c r="I34" s="12" t="s">
        <v>3059</v>
      </c>
      <c r="J34" s="12" t="s">
        <v>1991</v>
      </c>
      <c r="K34" s="12" t="s">
        <v>4866</v>
      </c>
      <c r="L34" s="13">
        <v>8</v>
      </c>
    </row>
    <row r="35" spans="1:12" hidden="1" x14ac:dyDescent="0.55000000000000004">
      <c r="A35" s="12" t="s">
        <v>2961</v>
      </c>
      <c r="B35" s="12" t="s">
        <v>4442</v>
      </c>
      <c r="C35" s="12" t="s">
        <v>4815</v>
      </c>
      <c r="D35" s="12" t="s">
        <v>4752</v>
      </c>
      <c r="E35" s="12" t="s">
        <v>4867</v>
      </c>
      <c r="F35" s="12" t="s">
        <v>4868</v>
      </c>
      <c r="G35" s="12" t="s">
        <v>4869</v>
      </c>
      <c r="H35" s="12" t="s">
        <v>4783</v>
      </c>
      <c r="I35" s="12" t="s">
        <v>3059</v>
      </c>
      <c r="J35" s="12" t="s">
        <v>1991</v>
      </c>
      <c r="K35" s="12" t="s">
        <v>4870</v>
      </c>
      <c r="L35" s="13">
        <v>8</v>
      </c>
    </row>
    <row r="36" spans="1:12" hidden="1" x14ac:dyDescent="0.55000000000000004">
      <c r="A36" s="12" t="s">
        <v>2926</v>
      </c>
      <c r="B36" s="12" t="s">
        <v>4442</v>
      </c>
      <c r="C36" s="12" t="s">
        <v>4871</v>
      </c>
      <c r="D36" s="12" t="s">
        <v>4752</v>
      </c>
      <c r="E36" s="12" t="s">
        <v>4873</v>
      </c>
      <c r="F36" s="12" t="s">
        <v>1524</v>
      </c>
      <c r="G36" s="12" t="s">
        <v>4874</v>
      </c>
      <c r="H36" s="12" t="s">
        <v>4443</v>
      </c>
      <c r="I36" s="12" t="s">
        <v>3075</v>
      </c>
      <c r="J36" s="12" t="s">
        <v>4872</v>
      </c>
      <c r="K36" s="12" t="s">
        <v>4875</v>
      </c>
      <c r="L36" s="13" t="s">
        <v>3075</v>
      </c>
    </row>
    <row r="37" spans="1:12" hidden="1" x14ac:dyDescent="0.55000000000000004">
      <c r="A37" s="12" t="s">
        <v>2926</v>
      </c>
      <c r="B37" s="12" t="s">
        <v>4442</v>
      </c>
      <c r="C37" s="12" t="s">
        <v>4871</v>
      </c>
      <c r="D37" s="12" t="s">
        <v>4752</v>
      </c>
      <c r="E37" s="12" t="s">
        <v>5610</v>
      </c>
      <c r="F37" s="12" t="s">
        <v>271</v>
      </c>
      <c r="G37" s="12" t="s">
        <v>5611</v>
      </c>
      <c r="H37" s="12" t="s">
        <v>4443</v>
      </c>
      <c r="I37" s="12" t="s">
        <v>3075</v>
      </c>
      <c r="J37" s="12" t="s">
        <v>4872</v>
      </c>
      <c r="K37" s="12" t="s">
        <v>5612</v>
      </c>
      <c r="L37" s="13" t="s">
        <v>3075</v>
      </c>
    </row>
    <row r="38" spans="1:12" hidden="1" x14ac:dyDescent="0.55000000000000004">
      <c r="A38" s="12" t="s">
        <v>2926</v>
      </c>
      <c r="B38" s="12" t="s">
        <v>4442</v>
      </c>
      <c r="C38" s="12" t="s">
        <v>4871</v>
      </c>
      <c r="D38" s="12" t="s">
        <v>4752</v>
      </c>
      <c r="E38" s="12" t="s">
        <v>5613</v>
      </c>
      <c r="F38" s="12" t="s">
        <v>1142</v>
      </c>
      <c r="G38" s="12" t="s">
        <v>5614</v>
      </c>
      <c r="H38" s="12" t="s">
        <v>4443</v>
      </c>
      <c r="I38" s="12" t="s">
        <v>3075</v>
      </c>
      <c r="J38" s="12" t="s">
        <v>4872</v>
      </c>
      <c r="K38" s="12" t="s">
        <v>5615</v>
      </c>
      <c r="L38" s="13" t="s">
        <v>3075</v>
      </c>
    </row>
    <row r="39" spans="1:12" hidden="1" x14ac:dyDescent="0.55000000000000004">
      <c r="A39" s="12" t="s">
        <v>2926</v>
      </c>
      <c r="B39" s="12" t="s">
        <v>4442</v>
      </c>
      <c r="C39" s="12" t="s">
        <v>4871</v>
      </c>
      <c r="D39" s="12" t="s">
        <v>4752</v>
      </c>
      <c r="E39" s="12" t="s">
        <v>5616</v>
      </c>
      <c r="F39" s="12" t="s">
        <v>5617</v>
      </c>
      <c r="G39" s="12" t="s">
        <v>5618</v>
      </c>
      <c r="H39" s="12" t="s">
        <v>4443</v>
      </c>
      <c r="I39" s="12" t="s">
        <v>3075</v>
      </c>
      <c r="J39" s="12" t="s">
        <v>4872</v>
      </c>
      <c r="K39" s="12" t="s">
        <v>5619</v>
      </c>
      <c r="L39" s="13" t="s">
        <v>3075</v>
      </c>
    </row>
    <row r="40" spans="1:12" hidden="1" x14ac:dyDescent="0.55000000000000004">
      <c r="A40" s="12" t="s">
        <v>2926</v>
      </c>
      <c r="B40" s="12" t="s">
        <v>4442</v>
      </c>
      <c r="C40" s="12" t="s">
        <v>4871</v>
      </c>
      <c r="D40" s="12" t="s">
        <v>4752</v>
      </c>
      <c r="E40" s="12" t="s">
        <v>5620</v>
      </c>
      <c r="F40" s="12" t="s">
        <v>161</v>
      </c>
      <c r="G40" s="12" t="s">
        <v>5621</v>
      </c>
      <c r="H40" s="12" t="s">
        <v>4443</v>
      </c>
      <c r="I40" s="12" t="s">
        <v>3075</v>
      </c>
      <c r="J40" s="12" t="s">
        <v>4872</v>
      </c>
      <c r="K40" s="12" t="s">
        <v>5622</v>
      </c>
      <c r="L40" s="13" t="s">
        <v>3075</v>
      </c>
    </row>
    <row r="41" spans="1:12" hidden="1" x14ac:dyDescent="0.55000000000000004">
      <c r="A41" s="12" t="s">
        <v>2926</v>
      </c>
      <c r="B41" s="12" t="s">
        <v>4442</v>
      </c>
      <c r="C41" s="12" t="s">
        <v>4871</v>
      </c>
      <c r="D41" s="12" t="s">
        <v>4752</v>
      </c>
      <c r="E41" s="12" t="s">
        <v>5623</v>
      </c>
      <c r="F41" s="12" t="s">
        <v>5624</v>
      </c>
      <c r="G41" s="12" t="s">
        <v>5625</v>
      </c>
      <c r="H41" s="12" t="s">
        <v>4443</v>
      </c>
      <c r="I41" s="12" t="s">
        <v>3075</v>
      </c>
      <c r="J41" s="12" t="s">
        <v>4872</v>
      </c>
      <c r="K41" s="12" t="s">
        <v>5626</v>
      </c>
      <c r="L41" s="13" t="s">
        <v>3075</v>
      </c>
    </row>
    <row r="42" spans="1:12" hidden="1" x14ac:dyDescent="0.55000000000000004">
      <c r="A42" s="12" t="s">
        <v>2926</v>
      </c>
      <c r="B42" s="12" t="s">
        <v>4442</v>
      </c>
      <c r="C42" s="12" t="s">
        <v>4871</v>
      </c>
      <c r="D42" s="12" t="s">
        <v>4752</v>
      </c>
      <c r="E42" s="12" t="s">
        <v>5627</v>
      </c>
      <c r="F42" s="12" t="s">
        <v>341</v>
      </c>
      <c r="G42" s="12" t="s">
        <v>5628</v>
      </c>
      <c r="H42" s="12" t="s">
        <v>4443</v>
      </c>
      <c r="I42" s="12" t="s">
        <v>3075</v>
      </c>
      <c r="J42" s="12" t="s">
        <v>4872</v>
      </c>
      <c r="K42" s="12" t="s">
        <v>5629</v>
      </c>
      <c r="L42" s="13" t="s">
        <v>3075</v>
      </c>
    </row>
    <row r="43" spans="1:12" hidden="1" x14ac:dyDescent="0.55000000000000004">
      <c r="A43" s="12" t="s">
        <v>2926</v>
      </c>
      <c r="B43" s="12" t="s">
        <v>4442</v>
      </c>
      <c r="C43" s="12" t="s">
        <v>4871</v>
      </c>
      <c r="D43" s="12" t="s">
        <v>4752</v>
      </c>
      <c r="E43" s="12" t="s">
        <v>5630</v>
      </c>
      <c r="F43" s="12" t="s">
        <v>1137</v>
      </c>
      <c r="G43" s="12" t="s">
        <v>5631</v>
      </c>
      <c r="H43" s="12" t="s">
        <v>4443</v>
      </c>
      <c r="I43" s="12" t="s">
        <v>3075</v>
      </c>
      <c r="J43" s="12" t="s">
        <v>4872</v>
      </c>
      <c r="K43" s="12" t="s">
        <v>5632</v>
      </c>
      <c r="L43" s="13" t="s">
        <v>3075</v>
      </c>
    </row>
    <row r="44" spans="1:12" hidden="1" x14ac:dyDescent="0.55000000000000004">
      <c r="A44" s="12" t="s">
        <v>2926</v>
      </c>
      <c r="B44" s="12" t="s">
        <v>4442</v>
      </c>
      <c r="C44" s="12" t="s">
        <v>4871</v>
      </c>
      <c r="D44" s="12" t="s">
        <v>4752</v>
      </c>
      <c r="E44" s="12" t="s">
        <v>5633</v>
      </c>
      <c r="F44" s="12" t="s">
        <v>5634</v>
      </c>
      <c r="G44" s="12" t="s">
        <v>5635</v>
      </c>
      <c r="H44" s="12" t="s">
        <v>4443</v>
      </c>
      <c r="I44" s="12" t="s">
        <v>3075</v>
      </c>
      <c r="J44" s="12" t="s">
        <v>4872</v>
      </c>
      <c r="K44" s="12" t="s">
        <v>5636</v>
      </c>
      <c r="L44" s="13" t="s">
        <v>3075</v>
      </c>
    </row>
    <row r="45" spans="1:12" hidden="1" x14ac:dyDescent="0.55000000000000004">
      <c r="A45" s="12" t="s">
        <v>2926</v>
      </c>
      <c r="B45" s="12" t="s">
        <v>4442</v>
      </c>
      <c r="C45" s="12" t="s">
        <v>4871</v>
      </c>
      <c r="D45" s="12" t="s">
        <v>4752</v>
      </c>
      <c r="E45" s="12" t="s">
        <v>5637</v>
      </c>
      <c r="F45" s="12" t="s">
        <v>5638</v>
      </c>
      <c r="G45" s="12" t="s">
        <v>5639</v>
      </c>
      <c r="H45" s="12" t="s">
        <v>4443</v>
      </c>
      <c r="I45" s="12" t="s">
        <v>3075</v>
      </c>
      <c r="J45" s="12" t="s">
        <v>4872</v>
      </c>
      <c r="K45" s="12" t="s">
        <v>5640</v>
      </c>
      <c r="L45" s="13" t="s">
        <v>3075</v>
      </c>
    </row>
    <row r="46" spans="1:12" hidden="1" x14ac:dyDescent="0.55000000000000004">
      <c r="A46" s="12" t="s">
        <v>2926</v>
      </c>
      <c r="B46" s="12" t="s">
        <v>4442</v>
      </c>
      <c r="C46" s="12" t="s">
        <v>4871</v>
      </c>
      <c r="D46" s="12" t="s">
        <v>4752</v>
      </c>
      <c r="E46" s="12" t="s">
        <v>5641</v>
      </c>
      <c r="F46" s="12" t="s">
        <v>5642</v>
      </c>
      <c r="G46" s="12" t="s">
        <v>5643</v>
      </c>
      <c r="H46" s="12" t="s">
        <v>4443</v>
      </c>
      <c r="I46" s="12" t="s">
        <v>3075</v>
      </c>
      <c r="J46" s="12" t="s">
        <v>4872</v>
      </c>
      <c r="K46" s="12" t="s">
        <v>5644</v>
      </c>
      <c r="L46" s="13" t="s">
        <v>3075</v>
      </c>
    </row>
    <row r="47" spans="1:12" hidden="1" x14ac:dyDescent="0.55000000000000004">
      <c r="A47" s="12" t="s">
        <v>2926</v>
      </c>
      <c r="B47" s="12" t="s">
        <v>4442</v>
      </c>
      <c r="C47" s="12" t="s">
        <v>4871</v>
      </c>
      <c r="D47" s="12" t="s">
        <v>4752</v>
      </c>
      <c r="E47" s="12" t="s">
        <v>5645</v>
      </c>
      <c r="F47" s="12" t="s">
        <v>1467</v>
      </c>
      <c r="G47" s="12" t="s">
        <v>5646</v>
      </c>
      <c r="H47" s="12" t="s">
        <v>4443</v>
      </c>
      <c r="I47" s="12" t="s">
        <v>3075</v>
      </c>
      <c r="J47" s="12" t="s">
        <v>4872</v>
      </c>
      <c r="K47" s="12" t="s">
        <v>5647</v>
      </c>
      <c r="L47" s="13" t="s">
        <v>3075</v>
      </c>
    </row>
    <row r="48" spans="1:12" hidden="1" x14ac:dyDescent="0.55000000000000004">
      <c r="A48" s="12" t="s">
        <v>2926</v>
      </c>
      <c r="B48" s="12" t="s">
        <v>4442</v>
      </c>
      <c r="C48" s="12" t="s">
        <v>4871</v>
      </c>
      <c r="D48" s="12" t="s">
        <v>4752</v>
      </c>
      <c r="E48" s="12" t="s">
        <v>5648</v>
      </c>
      <c r="F48" s="12" t="s">
        <v>127</v>
      </c>
      <c r="G48" s="12" t="s">
        <v>5649</v>
      </c>
      <c r="H48" s="12" t="s">
        <v>4443</v>
      </c>
      <c r="I48" s="12" t="s">
        <v>3075</v>
      </c>
      <c r="J48" s="12" t="s">
        <v>4872</v>
      </c>
      <c r="K48" s="12" t="s">
        <v>5650</v>
      </c>
      <c r="L48" s="13" t="s">
        <v>3075</v>
      </c>
    </row>
    <row r="49" spans="1:12" hidden="1" x14ac:dyDescent="0.55000000000000004">
      <c r="A49" s="12" t="s">
        <v>2926</v>
      </c>
      <c r="B49" s="12" t="s">
        <v>4442</v>
      </c>
      <c r="C49" s="12" t="s">
        <v>4871</v>
      </c>
      <c r="D49" s="12" t="s">
        <v>4752</v>
      </c>
      <c r="E49" s="12" t="s">
        <v>5651</v>
      </c>
      <c r="F49" s="12" t="s">
        <v>630</v>
      </c>
      <c r="G49" s="12" t="s">
        <v>2625</v>
      </c>
      <c r="H49" s="12" t="s">
        <v>4443</v>
      </c>
      <c r="I49" s="12" t="s">
        <v>3075</v>
      </c>
      <c r="J49" s="12" t="s">
        <v>4872</v>
      </c>
      <c r="K49" s="12" t="s">
        <v>5652</v>
      </c>
      <c r="L49" s="13" t="s">
        <v>3075</v>
      </c>
    </row>
    <row r="50" spans="1:12" hidden="1" x14ac:dyDescent="0.55000000000000004">
      <c r="A50" s="12" t="s">
        <v>2926</v>
      </c>
      <c r="B50" s="12" t="s">
        <v>4442</v>
      </c>
      <c r="C50" s="12" t="s">
        <v>4871</v>
      </c>
      <c r="D50" s="12" t="s">
        <v>4752</v>
      </c>
      <c r="E50" s="12" t="s">
        <v>5653</v>
      </c>
      <c r="F50" s="12" t="s">
        <v>2558</v>
      </c>
      <c r="G50" s="12" t="s">
        <v>5654</v>
      </c>
      <c r="H50" s="12" t="s">
        <v>4443</v>
      </c>
      <c r="I50" s="12" t="s">
        <v>3075</v>
      </c>
      <c r="J50" s="12" t="s">
        <v>4872</v>
      </c>
      <c r="K50" s="12" t="s">
        <v>5655</v>
      </c>
      <c r="L50" s="13" t="s">
        <v>3075</v>
      </c>
    </row>
    <row r="51" spans="1:12" hidden="1" x14ac:dyDescent="0.55000000000000004">
      <c r="A51" s="12" t="s">
        <v>2924</v>
      </c>
      <c r="B51" s="12" t="s">
        <v>4442</v>
      </c>
      <c r="C51" s="12" t="s">
        <v>4871</v>
      </c>
      <c r="D51" s="12" t="s">
        <v>4752</v>
      </c>
      <c r="E51" s="12" t="s">
        <v>4876</v>
      </c>
      <c r="F51" s="12" t="s">
        <v>4877</v>
      </c>
      <c r="G51" s="12" t="s">
        <v>4878</v>
      </c>
      <c r="H51" s="12" t="s">
        <v>4444</v>
      </c>
      <c r="I51" s="12" t="s">
        <v>3075</v>
      </c>
      <c r="J51" s="12" t="s">
        <v>1991</v>
      </c>
      <c r="K51" s="12" t="s">
        <v>4879</v>
      </c>
      <c r="L51" s="13" t="s">
        <v>3075</v>
      </c>
    </row>
    <row r="52" spans="1:12" hidden="1" x14ac:dyDescent="0.55000000000000004">
      <c r="A52" s="12" t="s">
        <v>2924</v>
      </c>
      <c r="B52" s="12" t="s">
        <v>4442</v>
      </c>
      <c r="C52" s="12" t="s">
        <v>4871</v>
      </c>
      <c r="D52" s="12" t="s">
        <v>4752</v>
      </c>
      <c r="E52" s="12" t="s">
        <v>4880</v>
      </c>
      <c r="F52" s="12" t="s">
        <v>147</v>
      </c>
      <c r="G52" s="12" t="s">
        <v>4881</v>
      </c>
      <c r="H52" s="12" t="s">
        <v>4444</v>
      </c>
      <c r="I52" s="12" t="s">
        <v>3075</v>
      </c>
      <c r="J52" s="12" t="s">
        <v>1991</v>
      </c>
      <c r="K52" s="12" t="s">
        <v>4882</v>
      </c>
      <c r="L52" s="13" t="s">
        <v>3075</v>
      </c>
    </row>
    <row r="53" spans="1:12" hidden="1" x14ac:dyDescent="0.55000000000000004">
      <c r="A53" s="12" t="s">
        <v>4522</v>
      </c>
      <c r="B53" s="12" t="s">
        <v>4486</v>
      </c>
      <c r="C53" s="12" t="s">
        <v>4883</v>
      </c>
      <c r="D53" s="12" t="s">
        <v>4752</v>
      </c>
      <c r="E53" s="12" t="s">
        <v>299</v>
      </c>
      <c r="F53" s="12" t="s">
        <v>6</v>
      </c>
      <c r="G53" s="12" t="s">
        <v>300</v>
      </c>
      <c r="H53" s="12" t="s">
        <v>4884</v>
      </c>
      <c r="I53" s="12" t="s">
        <v>3075</v>
      </c>
      <c r="J53" s="12" t="s">
        <v>3091</v>
      </c>
      <c r="K53" s="12" t="s">
        <v>3345</v>
      </c>
      <c r="L53" s="13" t="s">
        <v>3075</v>
      </c>
    </row>
    <row r="54" spans="1:12" hidden="1" x14ac:dyDescent="0.55000000000000004">
      <c r="A54" s="12" t="s">
        <v>3019</v>
      </c>
      <c r="B54" s="12" t="s">
        <v>4486</v>
      </c>
      <c r="C54" s="12" t="s">
        <v>4885</v>
      </c>
      <c r="D54" s="12" t="s">
        <v>4752</v>
      </c>
      <c r="E54" s="12" t="s">
        <v>1707</v>
      </c>
      <c r="F54" s="12" t="s">
        <v>1708</v>
      </c>
      <c r="G54" s="12" t="s">
        <v>1709</v>
      </c>
      <c r="H54" s="12" t="s">
        <v>4886</v>
      </c>
      <c r="I54" s="12" t="s">
        <v>3059</v>
      </c>
      <c r="J54" s="12" t="s">
        <v>4887</v>
      </c>
      <c r="K54" s="12" t="s">
        <v>3845</v>
      </c>
      <c r="L54" s="13">
        <v>4</v>
      </c>
    </row>
    <row r="55" spans="1:12" hidden="1" x14ac:dyDescent="0.55000000000000004">
      <c r="A55" s="12" t="s">
        <v>3019</v>
      </c>
      <c r="B55" s="12" t="s">
        <v>4486</v>
      </c>
      <c r="C55" s="12" t="s">
        <v>4885</v>
      </c>
      <c r="D55" s="12" t="s">
        <v>4752</v>
      </c>
      <c r="E55" s="12" t="s">
        <v>3232</v>
      </c>
      <c r="F55" s="12" t="s">
        <v>1350</v>
      </c>
      <c r="G55" s="12" t="s">
        <v>1701</v>
      </c>
      <c r="H55" s="12" t="s">
        <v>4886</v>
      </c>
      <c r="I55" s="12" t="s">
        <v>3075</v>
      </c>
      <c r="J55" s="12" t="s">
        <v>4887</v>
      </c>
      <c r="K55" s="12" t="s">
        <v>3842</v>
      </c>
      <c r="L55" s="13" t="s">
        <v>3075</v>
      </c>
    </row>
    <row r="56" spans="1:12" hidden="1" x14ac:dyDescent="0.55000000000000004">
      <c r="A56" s="12" t="s">
        <v>3019</v>
      </c>
      <c r="B56" s="12" t="s">
        <v>4486</v>
      </c>
      <c r="C56" s="12" t="s">
        <v>4885</v>
      </c>
      <c r="D56" s="12" t="s">
        <v>4752</v>
      </c>
      <c r="E56" s="12" t="s">
        <v>1710</v>
      </c>
      <c r="F56" s="12" t="s">
        <v>1711</v>
      </c>
      <c r="G56" s="12" t="s">
        <v>1712</v>
      </c>
      <c r="H56" s="12" t="s">
        <v>4886</v>
      </c>
      <c r="I56" s="12" t="s">
        <v>3075</v>
      </c>
      <c r="J56" s="12" t="s">
        <v>4887</v>
      </c>
      <c r="K56" s="12" t="s">
        <v>3846</v>
      </c>
      <c r="L56" s="13" t="s">
        <v>3075</v>
      </c>
    </row>
    <row r="57" spans="1:12" hidden="1" x14ac:dyDescent="0.55000000000000004">
      <c r="A57" s="12" t="s">
        <v>3019</v>
      </c>
      <c r="B57" s="12" t="s">
        <v>4486</v>
      </c>
      <c r="C57" s="12" t="s">
        <v>4885</v>
      </c>
      <c r="D57" s="12" t="s">
        <v>4752</v>
      </c>
      <c r="E57" s="12" t="s">
        <v>1713</v>
      </c>
      <c r="F57" s="12" t="s">
        <v>1714</v>
      </c>
      <c r="G57" s="12" t="s">
        <v>1692</v>
      </c>
      <c r="H57" s="12" t="s">
        <v>4886</v>
      </c>
      <c r="I57" s="12" t="s">
        <v>3059</v>
      </c>
      <c r="J57" s="12" t="s">
        <v>4887</v>
      </c>
      <c r="K57" s="12" t="s">
        <v>3847</v>
      </c>
      <c r="L57" s="13">
        <v>4</v>
      </c>
    </row>
    <row r="58" spans="1:12" hidden="1" x14ac:dyDescent="0.55000000000000004">
      <c r="A58" s="12" t="s">
        <v>3019</v>
      </c>
      <c r="B58" s="12" t="s">
        <v>4486</v>
      </c>
      <c r="C58" s="12" t="s">
        <v>4888</v>
      </c>
      <c r="D58" s="12" t="s">
        <v>4752</v>
      </c>
      <c r="E58" s="12" t="s">
        <v>2330</v>
      </c>
      <c r="F58" s="12" t="s">
        <v>2331</v>
      </c>
      <c r="G58" s="12" t="s">
        <v>2332</v>
      </c>
      <c r="H58" s="12" t="s">
        <v>4886</v>
      </c>
      <c r="I58" s="12" t="s">
        <v>3075</v>
      </c>
      <c r="J58" s="12" t="s">
        <v>4887</v>
      </c>
      <c r="K58" s="12" t="s">
        <v>4148</v>
      </c>
      <c r="L58" s="13" t="s">
        <v>3075</v>
      </c>
    </row>
    <row r="59" spans="1:12" hidden="1" x14ac:dyDescent="0.55000000000000004">
      <c r="A59" s="12" t="s">
        <v>3019</v>
      </c>
      <c r="B59" s="12" t="s">
        <v>4486</v>
      </c>
      <c r="C59" s="12" t="s">
        <v>4888</v>
      </c>
      <c r="D59" s="12" t="s">
        <v>4752</v>
      </c>
      <c r="E59" s="12" t="s">
        <v>2333</v>
      </c>
      <c r="F59" s="12" t="s">
        <v>5504</v>
      </c>
      <c r="G59" s="12" t="s">
        <v>5505</v>
      </c>
      <c r="H59" s="12" t="s">
        <v>4886</v>
      </c>
      <c r="I59" s="12" t="s">
        <v>3059</v>
      </c>
      <c r="J59" s="12" t="s">
        <v>4887</v>
      </c>
      <c r="K59" s="12" t="s">
        <v>5506</v>
      </c>
      <c r="L59" s="13">
        <v>9</v>
      </c>
    </row>
    <row r="60" spans="1:12" hidden="1" x14ac:dyDescent="0.55000000000000004">
      <c r="A60" s="12" t="s">
        <v>3019</v>
      </c>
      <c r="B60" s="12" t="s">
        <v>4486</v>
      </c>
      <c r="C60" s="12" t="s">
        <v>4888</v>
      </c>
      <c r="D60" s="12" t="s">
        <v>4752</v>
      </c>
      <c r="E60" s="12" t="s">
        <v>4889</v>
      </c>
      <c r="F60" s="12" t="s">
        <v>4890</v>
      </c>
      <c r="G60" s="12" t="s">
        <v>4891</v>
      </c>
      <c r="H60" s="12" t="s">
        <v>4886</v>
      </c>
      <c r="I60" s="12" t="s">
        <v>3059</v>
      </c>
      <c r="J60" s="12" t="s">
        <v>4887</v>
      </c>
      <c r="K60" s="12" t="s">
        <v>4892</v>
      </c>
      <c r="L60" s="13">
        <v>6</v>
      </c>
    </row>
    <row r="61" spans="1:12" hidden="1" x14ac:dyDescent="0.55000000000000004">
      <c r="A61" s="12" t="s">
        <v>3019</v>
      </c>
      <c r="B61" s="12" t="s">
        <v>4486</v>
      </c>
      <c r="C61" s="12" t="s">
        <v>4888</v>
      </c>
      <c r="D61" s="12" t="s">
        <v>4752</v>
      </c>
      <c r="E61" s="12" t="s">
        <v>5507</v>
      </c>
      <c r="F61" s="12" t="s">
        <v>5508</v>
      </c>
      <c r="G61" s="12" t="s">
        <v>5509</v>
      </c>
      <c r="H61" s="12" t="s">
        <v>4886</v>
      </c>
      <c r="I61" s="12" t="s">
        <v>3059</v>
      </c>
      <c r="J61" s="12" t="s">
        <v>4887</v>
      </c>
      <c r="K61" s="12" t="s">
        <v>5510</v>
      </c>
      <c r="L61" s="13">
        <v>5</v>
      </c>
    </row>
    <row r="62" spans="1:12" hidden="1" x14ac:dyDescent="0.55000000000000004">
      <c r="A62" s="12" t="s">
        <v>2895</v>
      </c>
      <c r="B62" s="12" t="s">
        <v>4374</v>
      </c>
      <c r="C62" s="12" t="s">
        <v>4893</v>
      </c>
      <c r="D62" s="12" t="s">
        <v>4752</v>
      </c>
      <c r="E62" s="12" t="s">
        <v>4894</v>
      </c>
      <c r="F62" s="12" t="s">
        <v>4895</v>
      </c>
      <c r="G62" s="12" t="s">
        <v>4896</v>
      </c>
      <c r="H62" s="12" t="s">
        <v>4897</v>
      </c>
      <c r="I62" s="12" t="s">
        <v>3059</v>
      </c>
      <c r="J62" s="12" t="s">
        <v>4898</v>
      </c>
      <c r="K62" s="12" t="s">
        <v>4899</v>
      </c>
      <c r="L62" s="13">
        <v>9</v>
      </c>
    </row>
    <row r="63" spans="1:12" hidden="1" x14ac:dyDescent="0.55000000000000004">
      <c r="A63" s="12" t="s">
        <v>2895</v>
      </c>
      <c r="B63" s="12" t="s">
        <v>4374</v>
      </c>
      <c r="C63" s="12" t="s">
        <v>4893</v>
      </c>
      <c r="D63" s="12" t="s">
        <v>4752</v>
      </c>
      <c r="E63" s="12" t="s">
        <v>4900</v>
      </c>
      <c r="F63" s="12" t="s">
        <v>4901</v>
      </c>
      <c r="G63" s="12" t="s">
        <v>2494</v>
      </c>
      <c r="H63" s="12" t="s">
        <v>4897</v>
      </c>
      <c r="I63" s="12" t="s">
        <v>3059</v>
      </c>
      <c r="J63" s="12" t="s">
        <v>4898</v>
      </c>
      <c r="K63" s="12" t="s">
        <v>4902</v>
      </c>
      <c r="L63" s="13">
        <v>9</v>
      </c>
    </row>
    <row r="64" spans="1:12" hidden="1" x14ac:dyDescent="0.55000000000000004">
      <c r="A64" s="12" t="s">
        <v>2895</v>
      </c>
      <c r="B64" s="12" t="s">
        <v>4374</v>
      </c>
      <c r="C64" s="12" t="s">
        <v>4903</v>
      </c>
      <c r="D64" s="12" t="s">
        <v>4752</v>
      </c>
      <c r="E64" s="12" t="s">
        <v>4904</v>
      </c>
      <c r="F64" s="12" t="s">
        <v>109</v>
      </c>
      <c r="G64" s="12" t="s">
        <v>110</v>
      </c>
      <c r="H64" s="12" t="s">
        <v>4897</v>
      </c>
      <c r="I64" s="12" t="s">
        <v>3075</v>
      </c>
      <c r="J64" s="12" t="s">
        <v>4898</v>
      </c>
      <c r="K64" s="12" t="s">
        <v>3282</v>
      </c>
      <c r="L64" s="13" t="s">
        <v>3075</v>
      </c>
    </row>
    <row r="65" spans="1:12" hidden="1" x14ac:dyDescent="0.55000000000000004">
      <c r="A65" s="12" t="s">
        <v>2895</v>
      </c>
      <c r="B65" s="12" t="s">
        <v>4374</v>
      </c>
      <c r="C65" s="12" t="s">
        <v>4903</v>
      </c>
      <c r="D65" s="12" t="s">
        <v>4752</v>
      </c>
      <c r="E65" s="12" t="s">
        <v>4905</v>
      </c>
      <c r="F65" s="12" t="s">
        <v>111</v>
      </c>
      <c r="G65" s="12" t="s">
        <v>112</v>
      </c>
      <c r="H65" s="12" t="s">
        <v>4897</v>
      </c>
      <c r="I65" s="12" t="s">
        <v>3075</v>
      </c>
      <c r="J65" s="12" t="s">
        <v>4898</v>
      </c>
      <c r="K65" s="12" t="s">
        <v>3283</v>
      </c>
      <c r="L65" s="13" t="s">
        <v>3075</v>
      </c>
    </row>
    <row r="66" spans="1:12" hidden="1" x14ac:dyDescent="0.55000000000000004">
      <c r="A66" s="12" t="s">
        <v>2826</v>
      </c>
      <c r="B66" s="12" t="s">
        <v>4298</v>
      </c>
      <c r="C66" s="12" t="s">
        <v>4906</v>
      </c>
      <c r="D66" s="12" t="s">
        <v>4752</v>
      </c>
      <c r="E66" s="12" t="s">
        <v>4907</v>
      </c>
      <c r="F66" s="12" t="s">
        <v>3078</v>
      </c>
      <c r="G66" s="12" t="s">
        <v>4908</v>
      </c>
      <c r="H66" s="12" t="s">
        <v>4909</v>
      </c>
      <c r="I66" s="12" t="s">
        <v>3059</v>
      </c>
      <c r="J66" s="12" t="s">
        <v>4910</v>
      </c>
      <c r="K66" s="12" t="s">
        <v>4911</v>
      </c>
      <c r="L66" s="13">
        <v>8</v>
      </c>
    </row>
    <row r="67" spans="1:12" hidden="1" x14ac:dyDescent="0.55000000000000004">
      <c r="A67" s="12" t="s">
        <v>2827</v>
      </c>
      <c r="B67" s="12" t="s">
        <v>4298</v>
      </c>
      <c r="C67" s="12" t="s">
        <v>4912</v>
      </c>
      <c r="D67" s="12" t="s">
        <v>4752</v>
      </c>
      <c r="E67" s="12" t="s">
        <v>4913</v>
      </c>
      <c r="F67" s="12" t="s">
        <v>119</v>
      </c>
      <c r="G67" s="12" t="s">
        <v>120</v>
      </c>
      <c r="H67" s="12" t="s">
        <v>4322</v>
      </c>
      <c r="I67" s="12" t="s">
        <v>3059</v>
      </c>
      <c r="J67" s="12" t="s">
        <v>4910</v>
      </c>
      <c r="K67" s="12" t="s">
        <v>3286</v>
      </c>
      <c r="L67" s="13">
        <v>5</v>
      </c>
    </row>
    <row r="68" spans="1:12" x14ac:dyDescent="0.55000000000000004">
      <c r="A68" s="12" t="s">
        <v>2827</v>
      </c>
      <c r="B68" s="12" t="s">
        <v>4298</v>
      </c>
      <c r="C68" s="12" t="s">
        <v>4912</v>
      </c>
      <c r="D68" s="12" t="s">
        <v>4752</v>
      </c>
      <c r="E68" s="12" t="s">
        <v>4914</v>
      </c>
      <c r="F68" s="12" t="s">
        <v>121</v>
      </c>
      <c r="G68" s="12" t="s">
        <v>122</v>
      </c>
      <c r="H68" s="12" t="s">
        <v>4322</v>
      </c>
      <c r="I68" s="12" t="s">
        <v>3059</v>
      </c>
      <c r="J68" s="12" t="s">
        <v>4910</v>
      </c>
      <c r="K68" s="12" t="s">
        <v>3287</v>
      </c>
      <c r="L68" s="13">
        <v>6</v>
      </c>
    </row>
    <row r="69" spans="1:12" hidden="1" x14ac:dyDescent="0.55000000000000004">
      <c r="A69" s="12" t="s">
        <v>2826</v>
      </c>
      <c r="B69" s="12" t="s">
        <v>4298</v>
      </c>
      <c r="C69" s="12" t="s">
        <v>4912</v>
      </c>
      <c r="D69" s="12" t="s">
        <v>4752</v>
      </c>
      <c r="E69" s="12" t="s">
        <v>4915</v>
      </c>
      <c r="F69" s="12" t="s">
        <v>1524</v>
      </c>
      <c r="G69" s="12" t="s">
        <v>921</v>
      </c>
      <c r="H69" s="12" t="s">
        <v>4909</v>
      </c>
      <c r="I69" s="12" t="s">
        <v>3060</v>
      </c>
      <c r="J69" s="12" t="s">
        <v>4910</v>
      </c>
      <c r="K69" s="12" t="s">
        <v>4916</v>
      </c>
      <c r="L69" s="13">
        <v>6</v>
      </c>
    </row>
    <row r="70" spans="1:12" hidden="1" x14ac:dyDescent="0.55000000000000004">
      <c r="A70" s="12" t="s">
        <v>2826</v>
      </c>
      <c r="B70" s="12" t="s">
        <v>4298</v>
      </c>
      <c r="C70" s="12" t="s">
        <v>4912</v>
      </c>
      <c r="D70" s="12" t="s">
        <v>4752</v>
      </c>
      <c r="E70" s="12" t="s">
        <v>5656</v>
      </c>
      <c r="F70" s="12" t="s">
        <v>118</v>
      </c>
      <c r="G70" s="12" t="s">
        <v>5657</v>
      </c>
      <c r="H70" s="12" t="s">
        <v>4909</v>
      </c>
      <c r="I70" s="12" t="s">
        <v>3075</v>
      </c>
      <c r="J70" s="12" t="s">
        <v>4910</v>
      </c>
      <c r="K70" s="12" t="s">
        <v>5658</v>
      </c>
      <c r="L70" s="13" t="s">
        <v>3075</v>
      </c>
    </row>
    <row r="71" spans="1:12" hidden="1" x14ac:dyDescent="0.55000000000000004">
      <c r="A71" s="12" t="s">
        <v>2825</v>
      </c>
      <c r="B71" s="12" t="s">
        <v>4298</v>
      </c>
      <c r="C71" s="12" t="s">
        <v>4906</v>
      </c>
      <c r="D71" s="12" t="s">
        <v>4752</v>
      </c>
      <c r="E71" s="12" t="s">
        <v>4917</v>
      </c>
      <c r="F71" s="12" t="s">
        <v>4918</v>
      </c>
      <c r="G71" s="12" t="s">
        <v>4919</v>
      </c>
      <c r="H71" s="12" t="s">
        <v>4920</v>
      </c>
      <c r="I71" s="12" t="s">
        <v>3075</v>
      </c>
      <c r="J71" s="12" t="s">
        <v>4910</v>
      </c>
      <c r="K71" s="12" t="s">
        <v>4921</v>
      </c>
      <c r="L71" s="13" t="s">
        <v>3075</v>
      </c>
    </row>
    <row r="72" spans="1:12" hidden="1" x14ac:dyDescent="0.55000000000000004">
      <c r="A72" s="12" t="s">
        <v>2825</v>
      </c>
      <c r="B72" s="12" t="s">
        <v>4298</v>
      </c>
      <c r="C72" s="12" t="s">
        <v>4922</v>
      </c>
      <c r="D72" s="12" t="s">
        <v>4752</v>
      </c>
      <c r="E72" s="12" t="s">
        <v>4923</v>
      </c>
      <c r="F72" s="12" t="s">
        <v>1332</v>
      </c>
      <c r="G72" s="12" t="s">
        <v>4924</v>
      </c>
      <c r="H72" s="12" t="s">
        <v>4920</v>
      </c>
      <c r="I72" s="12" t="s">
        <v>3059</v>
      </c>
      <c r="J72" s="12" t="s">
        <v>4910</v>
      </c>
      <c r="K72" s="12" t="s">
        <v>4925</v>
      </c>
      <c r="L72" s="13">
        <v>5</v>
      </c>
    </row>
    <row r="73" spans="1:12" hidden="1" x14ac:dyDescent="0.55000000000000004">
      <c r="A73" s="12" t="s">
        <v>2825</v>
      </c>
      <c r="B73" s="12" t="s">
        <v>4298</v>
      </c>
      <c r="C73" s="12" t="s">
        <v>4922</v>
      </c>
      <c r="D73" s="12" t="s">
        <v>4752</v>
      </c>
      <c r="E73" s="12" t="s">
        <v>4926</v>
      </c>
      <c r="F73" s="12" t="s">
        <v>2657</v>
      </c>
      <c r="G73" s="12" t="s">
        <v>4927</v>
      </c>
      <c r="H73" s="12" t="s">
        <v>4920</v>
      </c>
      <c r="I73" s="12" t="s">
        <v>3059</v>
      </c>
      <c r="J73" s="12" t="s">
        <v>4910</v>
      </c>
      <c r="K73" s="12" t="s">
        <v>4928</v>
      </c>
      <c r="L73" s="13">
        <v>6</v>
      </c>
    </row>
    <row r="74" spans="1:12" hidden="1" x14ac:dyDescent="0.55000000000000004">
      <c r="A74" s="12" t="s">
        <v>2825</v>
      </c>
      <c r="B74" s="12" t="s">
        <v>4298</v>
      </c>
      <c r="C74" s="12" t="s">
        <v>4922</v>
      </c>
      <c r="D74" s="12" t="s">
        <v>4752</v>
      </c>
      <c r="E74" s="12" t="s">
        <v>4929</v>
      </c>
      <c r="F74" s="12" t="s">
        <v>4930</v>
      </c>
      <c r="G74" s="12" t="s">
        <v>4931</v>
      </c>
      <c r="H74" s="12" t="s">
        <v>4920</v>
      </c>
      <c r="I74" s="12" t="s">
        <v>3075</v>
      </c>
      <c r="J74" s="12" t="s">
        <v>4910</v>
      </c>
      <c r="K74" s="12" t="s">
        <v>4932</v>
      </c>
      <c r="L74" s="13" t="s">
        <v>3075</v>
      </c>
    </row>
    <row r="75" spans="1:12" hidden="1" x14ac:dyDescent="0.55000000000000004">
      <c r="A75" s="12" t="s">
        <v>2825</v>
      </c>
      <c r="B75" s="12" t="s">
        <v>4298</v>
      </c>
      <c r="C75" s="12" t="s">
        <v>4922</v>
      </c>
      <c r="D75" s="12" t="s">
        <v>4752</v>
      </c>
      <c r="E75" s="12" t="s">
        <v>4933</v>
      </c>
      <c r="F75" s="12" t="s">
        <v>305</v>
      </c>
      <c r="G75" s="12" t="s">
        <v>4934</v>
      </c>
      <c r="H75" s="12" t="s">
        <v>4920</v>
      </c>
      <c r="I75" s="12" t="s">
        <v>3075</v>
      </c>
      <c r="J75" s="12" t="s">
        <v>4910</v>
      </c>
      <c r="K75" s="12" t="s">
        <v>4935</v>
      </c>
      <c r="L75" s="13" t="s">
        <v>3075</v>
      </c>
    </row>
    <row r="76" spans="1:12" hidden="1" x14ac:dyDescent="0.55000000000000004">
      <c r="A76" s="12" t="s">
        <v>2825</v>
      </c>
      <c r="B76" s="12" t="s">
        <v>4298</v>
      </c>
      <c r="C76" s="12" t="s">
        <v>4922</v>
      </c>
      <c r="D76" s="12" t="s">
        <v>4752</v>
      </c>
      <c r="E76" s="12" t="s">
        <v>4936</v>
      </c>
      <c r="F76" s="12" t="s">
        <v>4937</v>
      </c>
      <c r="G76" s="12" t="s">
        <v>4938</v>
      </c>
      <c r="H76" s="12" t="s">
        <v>4920</v>
      </c>
      <c r="I76" s="12" t="s">
        <v>3059</v>
      </c>
      <c r="J76" s="12" t="s">
        <v>4910</v>
      </c>
      <c r="K76" s="12" t="s">
        <v>4939</v>
      </c>
      <c r="L76" s="13">
        <v>9</v>
      </c>
    </row>
    <row r="77" spans="1:12" hidden="1" x14ac:dyDescent="0.55000000000000004">
      <c r="A77" s="12" t="s">
        <v>2825</v>
      </c>
      <c r="B77" s="12" t="s">
        <v>4298</v>
      </c>
      <c r="C77" s="12" t="s">
        <v>4922</v>
      </c>
      <c r="D77" s="12" t="s">
        <v>4752</v>
      </c>
      <c r="E77" s="12" t="s">
        <v>4940</v>
      </c>
      <c r="F77" s="12" t="s">
        <v>4941</v>
      </c>
      <c r="G77" s="12" t="s">
        <v>4942</v>
      </c>
      <c r="H77" s="12" t="s">
        <v>4920</v>
      </c>
      <c r="I77" s="12" t="s">
        <v>3059</v>
      </c>
      <c r="J77" s="12" t="s">
        <v>4910</v>
      </c>
      <c r="K77" s="12" t="s">
        <v>4943</v>
      </c>
      <c r="L77" s="13">
        <v>9</v>
      </c>
    </row>
    <row r="78" spans="1:12" hidden="1" x14ac:dyDescent="0.55000000000000004">
      <c r="A78" s="12" t="s">
        <v>2825</v>
      </c>
      <c r="B78" s="12" t="s">
        <v>4298</v>
      </c>
      <c r="C78" s="12" t="s">
        <v>4922</v>
      </c>
      <c r="D78" s="12" t="s">
        <v>4752</v>
      </c>
      <c r="E78" s="12" t="s">
        <v>4944</v>
      </c>
      <c r="F78" s="12" t="s">
        <v>25</v>
      </c>
      <c r="G78" s="12" t="s">
        <v>4945</v>
      </c>
      <c r="H78" s="12" t="s">
        <v>4920</v>
      </c>
      <c r="I78" s="12" t="s">
        <v>3075</v>
      </c>
      <c r="J78" s="12" t="s">
        <v>4910</v>
      </c>
      <c r="K78" s="12" t="s">
        <v>4946</v>
      </c>
      <c r="L78" s="13" t="s">
        <v>3075</v>
      </c>
    </row>
    <row r="79" spans="1:12" hidden="1" x14ac:dyDescent="0.55000000000000004">
      <c r="A79" s="12" t="s">
        <v>2814</v>
      </c>
      <c r="B79" s="12" t="s">
        <v>4298</v>
      </c>
      <c r="C79" s="12" t="s">
        <v>4906</v>
      </c>
      <c r="D79" s="12" t="s">
        <v>4752</v>
      </c>
      <c r="E79" s="12" t="s">
        <v>4947</v>
      </c>
      <c r="F79" s="12" t="s">
        <v>4948</v>
      </c>
      <c r="G79" s="12" t="s">
        <v>4949</v>
      </c>
      <c r="H79" s="12" t="s">
        <v>4950</v>
      </c>
      <c r="I79" s="12" t="s">
        <v>3059</v>
      </c>
      <c r="J79" s="12" t="s">
        <v>4910</v>
      </c>
      <c r="K79" s="12" t="s">
        <v>4951</v>
      </c>
      <c r="L79" s="13">
        <v>5</v>
      </c>
    </row>
    <row r="80" spans="1:12" hidden="1" x14ac:dyDescent="0.55000000000000004">
      <c r="A80" s="12" t="s">
        <v>2814</v>
      </c>
      <c r="B80" s="12" t="s">
        <v>4298</v>
      </c>
      <c r="C80" s="12" t="s">
        <v>4906</v>
      </c>
      <c r="D80" s="12" t="s">
        <v>4752</v>
      </c>
      <c r="E80" s="12" t="s">
        <v>4952</v>
      </c>
      <c r="F80" s="12" t="s">
        <v>405</v>
      </c>
      <c r="G80" s="12" t="s">
        <v>4953</v>
      </c>
      <c r="H80" s="12" t="s">
        <v>4950</v>
      </c>
      <c r="I80" s="12" t="s">
        <v>3075</v>
      </c>
      <c r="J80" s="12" t="s">
        <v>4910</v>
      </c>
      <c r="K80" s="12" t="s">
        <v>4954</v>
      </c>
      <c r="L80" s="13" t="s">
        <v>3075</v>
      </c>
    </row>
    <row r="81" spans="1:12" hidden="1" x14ac:dyDescent="0.55000000000000004">
      <c r="A81" s="12" t="s">
        <v>4955</v>
      </c>
      <c r="B81" s="12" t="s">
        <v>4374</v>
      </c>
      <c r="C81" s="12" t="s">
        <v>4956</v>
      </c>
      <c r="D81" s="12" t="s">
        <v>4752</v>
      </c>
      <c r="E81" s="12" t="s">
        <v>4958</v>
      </c>
      <c r="F81" s="12" t="s">
        <v>3079</v>
      </c>
      <c r="G81" s="12" t="s">
        <v>4959</v>
      </c>
      <c r="H81" s="12" t="s">
        <v>4957</v>
      </c>
      <c r="I81" s="12" t="s">
        <v>3075</v>
      </c>
      <c r="J81" s="12" t="s">
        <v>4898</v>
      </c>
      <c r="K81" s="12" t="s">
        <v>4960</v>
      </c>
      <c r="L81" s="13" t="s">
        <v>3075</v>
      </c>
    </row>
    <row r="82" spans="1:12" hidden="1" x14ac:dyDescent="0.55000000000000004">
      <c r="A82" s="12" t="s">
        <v>4955</v>
      </c>
      <c r="B82" s="12" t="s">
        <v>4374</v>
      </c>
      <c r="C82" s="12" t="s">
        <v>4956</v>
      </c>
      <c r="D82" s="12" t="s">
        <v>4752</v>
      </c>
      <c r="E82" s="12" t="s">
        <v>4961</v>
      </c>
      <c r="F82" s="12" t="s">
        <v>836</v>
      </c>
      <c r="G82" s="12" t="s">
        <v>4962</v>
      </c>
      <c r="H82" s="12" t="s">
        <v>4957</v>
      </c>
      <c r="I82" s="12" t="s">
        <v>3075</v>
      </c>
      <c r="J82" s="12" t="s">
        <v>4898</v>
      </c>
      <c r="K82" s="12" t="s">
        <v>4963</v>
      </c>
      <c r="L82" s="13" t="s">
        <v>3075</v>
      </c>
    </row>
    <row r="83" spans="1:12" hidden="1" x14ac:dyDescent="0.55000000000000004">
      <c r="A83" s="12" t="s">
        <v>4955</v>
      </c>
      <c r="B83" s="12" t="s">
        <v>4374</v>
      </c>
      <c r="C83" s="12" t="s">
        <v>4956</v>
      </c>
      <c r="D83" s="12" t="s">
        <v>4752</v>
      </c>
      <c r="E83" s="12" t="s">
        <v>4964</v>
      </c>
      <c r="F83" s="12" t="s">
        <v>147</v>
      </c>
      <c r="G83" s="12" t="s">
        <v>3080</v>
      </c>
      <c r="H83" s="12" t="s">
        <v>4957</v>
      </c>
      <c r="I83" s="12" t="s">
        <v>3075</v>
      </c>
      <c r="J83" s="12" t="s">
        <v>4898</v>
      </c>
      <c r="K83" s="12" t="s">
        <v>4262</v>
      </c>
      <c r="L83" s="13" t="s">
        <v>3075</v>
      </c>
    </row>
    <row r="84" spans="1:12" hidden="1" x14ac:dyDescent="0.55000000000000004">
      <c r="A84" s="12" t="s">
        <v>4955</v>
      </c>
      <c r="B84" s="12" t="s">
        <v>4374</v>
      </c>
      <c r="C84" s="12" t="s">
        <v>4956</v>
      </c>
      <c r="D84" s="12" t="s">
        <v>4752</v>
      </c>
      <c r="E84" s="12" t="s">
        <v>4965</v>
      </c>
      <c r="F84" s="12" t="s">
        <v>844</v>
      </c>
      <c r="G84" s="12" t="s">
        <v>4966</v>
      </c>
      <c r="H84" s="12" t="s">
        <v>4957</v>
      </c>
      <c r="I84" s="12" t="s">
        <v>3075</v>
      </c>
      <c r="J84" s="12" t="s">
        <v>4898</v>
      </c>
      <c r="K84" s="12" t="s">
        <v>4967</v>
      </c>
      <c r="L84" s="13" t="s">
        <v>3075</v>
      </c>
    </row>
    <row r="85" spans="1:12" hidden="1" x14ac:dyDescent="0.55000000000000004">
      <c r="A85" s="12" t="s">
        <v>4955</v>
      </c>
      <c r="B85" s="12" t="s">
        <v>4374</v>
      </c>
      <c r="C85" s="12" t="s">
        <v>4956</v>
      </c>
      <c r="D85" s="12" t="s">
        <v>4752</v>
      </c>
      <c r="E85" s="12" t="s">
        <v>4968</v>
      </c>
      <c r="F85" s="12" t="s">
        <v>3081</v>
      </c>
      <c r="G85" s="12" t="s">
        <v>3082</v>
      </c>
      <c r="H85" s="12" t="s">
        <v>4957</v>
      </c>
      <c r="I85" s="12" t="s">
        <v>3075</v>
      </c>
      <c r="J85" s="12" t="s">
        <v>4898</v>
      </c>
      <c r="K85" s="12" t="s">
        <v>4263</v>
      </c>
      <c r="L85" s="13" t="s">
        <v>3075</v>
      </c>
    </row>
    <row r="86" spans="1:12" hidden="1" x14ac:dyDescent="0.55000000000000004">
      <c r="A86" s="12" t="s">
        <v>4955</v>
      </c>
      <c r="B86" s="12" t="s">
        <v>4374</v>
      </c>
      <c r="C86" s="12" t="s">
        <v>4956</v>
      </c>
      <c r="D86" s="12" t="s">
        <v>4752</v>
      </c>
      <c r="E86" s="12" t="s">
        <v>4969</v>
      </c>
      <c r="F86" s="12" t="s">
        <v>3083</v>
      </c>
      <c r="G86" s="12" t="s">
        <v>4970</v>
      </c>
      <c r="H86" s="12" t="s">
        <v>4957</v>
      </c>
      <c r="I86" s="12" t="s">
        <v>3075</v>
      </c>
      <c r="J86" s="12" t="s">
        <v>4898</v>
      </c>
      <c r="K86" s="12" t="s">
        <v>4971</v>
      </c>
      <c r="L86" s="13" t="s">
        <v>3075</v>
      </c>
    </row>
    <row r="87" spans="1:12" hidden="1" x14ac:dyDescent="0.55000000000000004">
      <c r="A87" s="12" t="s">
        <v>4955</v>
      </c>
      <c r="B87" s="12" t="s">
        <v>4374</v>
      </c>
      <c r="C87" s="12" t="s">
        <v>4956</v>
      </c>
      <c r="D87" s="12" t="s">
        <v>4752</v>
      </c>
      <c r="E87" s="12" t="s">
        <v>5659</v>
      </c>
      <c r="F87" s="12" t="s">
        <v>3085</v>
      </c>
      <c r="G87" s="12" t="s">
        <v>292</v>
      </c>
      <c r="H87" s="12" t="s">
        <v>4957</v>
      </c>
      <c r="I87" s="12" t="s">
        <v>3075</v>
      </c>
      <c r="J87" s="12" t="s">
        <v>4898</v>
      </c>
      <c r="K87" s="12" t="s">
        <v>5660</v>
      </c>
      <c r="L87" s="13" t="s">
        <v>3075</v>
      </c>
    </row>
    <row r="88" spans="1:12" hidden="1" x14ac:dyDescent="0.55000000000000004">
      <c r="A88" s="12" t="s">
        <v>4955</v>
      </c>
      <c r="B88" s="12" t="s">
        <v>4374</v>
      </c>
      <c r="C88" s="12" t="s">
        <v>4956</v>
      </c>
      <c r="D88" s="12" t="s">
        <v>4752</v>
      </c>
      <c r="E88" s="12" t="s">
        <v>5661</v>
      </c>
      <c r="F88" s="12" t="s">
        <v>2756</v>
      </c>
      <c r="G88" s="12" t="s">
        <v>5662</v>
      </c>
      <c r="H88" s="12" t="s">
        <v>4957</v>
      </c>
      <c r="I88" s="12" t="s">
        <v>3075</v>
      </c>
      <c r="J88" s="12" t="s">
        <v>4898</v>
      </c>
      <c r="K88" s="12" t="s">
        <v>5663</v>
      </c>
      <c r="L88" s="13" t="s">
        <v>3075</v>
      </c>
    </row>
    <row r="89" spans="1:12" hidden="1" x14ac:dyDescent="0.55000000000000004">
      <c r="A89" s="12" t="s">
        <v>4955</v>
      </c>
      <c r="B89" s="12" t="s">
        <v>4374</v>
      </c>
      <c r="C89" s="12" t="s">
        <v>4972</v>
      </c>
      <c r="D89" s="12" t="s">
        <v>4752</v>
      </c>
      <c r="E89" s="12" t="s">
        <v>4973</v>
      </c>
      <c r="F89" s="12" t="s">
        <v>4974</v>
      </c>
      <c r="G89" s="12" t="s">
        <v>4975</v>
      </c>
      <c r="H89" s="12" t="s">
        <v>4957</v>
      </c>
      <c r="I89" s="12" t="s">
        <v>3075</v>
      </c>
      <c r="J89" s="12" t="s">
        <v>4898</v>
      </c>
      <c r="K89" s="12" t="s">
        <v>4976</v>
      </c>
      <c r="L89" s="13" t="s">
        <v>3075</v>
      </c>
    </row>
    <row r="90" spans="1:12" hidden="1" x14ac:dyDescent="0.55000000000000004">
      <c r="A90" s="12" t="s">
        <v>4955</v>
      </c>
      <c r="B90" s="12" t="s">
        <v>4374</v>
      </c>
      <c r="C90" s="12" t="s">
        <v>5664</v>
      </c>
      <c r="D90" s="12" t="s">
        <v>4752</v>
      </c>
      <c r="E90" s="12" t="s">
        <v>5665</v>
      </c>
      <c r="F90" s="12" t="s">
        <v>5666</v>
      </c>
      <c r="G90" s="12" t="s">
        <v>5621</v>
      </c>
      <c r="H90" s="12" t="s">
        <v>4957</v>
      </c>
      <c r="I90" s="12" t="s">
        <v>3075</v>
      </c>
      <c r="J90" s="12" t="s">
        <v>4898</v>
      </c>
      <c r="K90" s="12" t="s">
        <v>5667</v>
      </c>
      <c r="L90" s="13" t="s">
        <v>3075</v>
      </c>
    </row>
    <row r="91" spans="1:12" hidden="1" x14ac:dyDescent="0.55000000000000004">
      <c r="A91" s="12" t="s">
        <v>4955</v>
      </c>
      <c r="B91" s="12" t="s">
        <v>4374</v>
      </c>
      <c r="C91" s="12" t="s">
        <v>5664</v>
      </c>
      <c r="D91" s="12" t="s">
        <v>4752</v>
      </c>
      <c r="E91" s="12" t="s">
        <v>5668</v>
      </c>
      <c r="F91" s="12" t="s">
        <v>5669</v>
      </c>
      <c r="G91" s="12" t="s">
        <v>5670</v>
      </c>
      <c r="H91" s="12" t="s">
        <v>4957</v>
      </c>
      <c r="I91" s="12" t="s">
        <v>3075</v>
      </c>
      <c r="J91" s="12" t="s">
        <v>4898</v>
      </c>
      <c r="K91" s="12" t="s">
        <v>5671</v>
      </c>
      <c r="L91" s="13" t="s">
        <v>3075</v>
      </c>
    </row>
    <row r="92" spans="1:12" hidden="1" x14ac:dyDescent="0.55000000000000004">
      <c r="A92" s="12" t="s">
        <v>4955</v>
      </c>
      <c r="B92" s="12" t="s">
        <v>4374</v>
      </c>
      <c r="C92" s="12" t="s">
        <v>5664</v>
      </c>
      <c r="D92" s="12" t="s">
        <v>4752</v>
      </c>
      <c r="E92" s="12" t="s">
        <v>5672</v>
      </c>
      <c r="F92" s="12" t="s">
        <v>2606</v>
      </c>
      <c r="G92" s="12" t="s">
        <v>2607</v>
      </c>
      <c r="H92" s="12" t="s">
        <v>4957</v>
      </c>
      <c r="I92" s="12" t="s">
        <v>3059</v>
      </c>
      <c r="J92" s="12" t="s">
        <v>4898</v>
      </c>
      <c r="K92" s="12" t="s">
        <v>4119</v>
      </c>
      <c r="L92" s="13">
        <v>5</v>
      </c>
    </row>
    <row r="93" spans="1:12" hidden="1" x14ac:dyDescent="0.55000000000000004">
      <c r="A93" s="12" t="s">
        <v>4955</v>
      </c>
      <c r="B93" s="12" t="s">
        <v>4374</v>
      </c>
      <c r="C93" s="12" t="s">
        <v>5664</v>
      </c>
      <c r="D93" s="12" t="s">
        <v>4752</v>
      </c>
      <c r="E93" s="12" t="s">
        <v>5673</v>
      </c>
      <c r="F93" s="12" t="s">
        <v>3076</v>
      </c>
      <c r="G93" s="12" t="s">
        <v>5674</v>
      </c>
      <c r="H93" s="12" t="s">
        <v>4957</v>
      </c>
      <c r="I93" s="12" t="s">
        <v>3075</v>
      </c>
      <c r="J93" s="12" t="s">
        <v>4898</v>
      </c>
      <c r="K93" s="12" t="s">
        <v>5675</v>
      </c>
      <c r="L93" s="13" t="s">
        <v>3075</v>
      </c>
    </row>
    <row r="94" spans="1:12" hidden="1" x14ac:dyDescent="0.55000000000000004">
      <c r="A94" s="12" t="s">
        <v>3074</v>
      </c>
      <c r="B94" s="12" t="s">
        <v>4374</v>
      </c>
      <c r="C94" s="12" t="s">
        <v>4977</v>
      </c>
      <c r="D94" s="12" t="s">
        <v>4752</v>
      </c>
      <c r="E94" s="12" t="s">
        <v>4978</v>
      </c>
      <c r="F94" s="12" t="s">
        <v>1711</v>
      </c>
      <c r="G94" s="12" t="s">
        <v>4979</v>
      </c>
      <c r="H94" s="12" t="s">
        <v>4980</v>
      </c>
      <c r="I94" s="12" t="s">
        <v>3059</v>
      </c>
      <c r="J94" s="12" t="s">
        <v>4898</v>
      </c>
      <c r="K94" s="12" t="s">
        <v>4981</v>
      </c>
      <c r="L94" s="13">
        <v>10</v>
      </c>
    </row>
    <row r="95" spans="1:12" hidden="1" x14ac:dyDescent="0.55000000000000004">
      <c r="A95" s="12" t="s">
        <v>3074</v>
      </c>
      <c r="B95" s="12" t="s">
        <v>4374</v>
      </c>
      <c r="C95" s="12" t="s">
        <v>4977</v>
      </c>
      <c r="D95" s="12" t="s">
        <v>4752</v>
      </c>
      <c r="E95" s="12" t="s">
        <v>4982</v>
      </c>
      <c r="F95" s="12" t="s">
        <v>4983</v>
      </c>
      <c r="G95" s="12" t="s">
        <v>4984</v>
      </c>
      <c r="H95" s="12" t="s">
        <v>4980</v>
      </c>
      <c r="I95" s="12" t="s">
        <v>3075</v>
      </c>
      <c r="J95" s="12" t="s">
        <v>4898</v>
      </c>
      <c r="K95" s="12" t="s">
        <v>4985</v>
      </c>
      <c r="L95" s="13" t="s">
        <v>3075</v>
      </c>
    </row>
    <row r="96" spans="1:12" hidden="1" x14ac:dyDescent="0.55000000000000004">
      <c r="A96" s="12" t="s">
        <v>3074</v>
      </c>
      <c r="B96" s="12" t="s">
        <v>4374</v>
      </c>
      <c r="C96" s="12" t="s">
        <v>4977</v>
      </c>
      <c r="D96" s="12" t="s">
        <v>4752</v>
      </c>
      <c r="E96" s="12" t="s">
        <v>4986</v>
      </c>
      <c r="F96" s="12" t="s">
        <v>165</v>
      </c>
      <c r="G96" s="12" t="s">
        <v>4987</v>
      </c>
      <c r="H96" s="12" t="s">
        <v>4980</v>
      </c>
      <c r="I96" s="12" t="s">
        <v>3075</v>
      </c>
      <c r="J96" s="12" t="s">
        <v>4898</v>
      </c>
      <c r="K96" s="12" t="s">
        <v>4988</v>
      </c>
      <c r="L96" s="13" t="s">
        <v>3075</v>
      </c>
    </row>
    <row r="97" spans="1:12" hidden="1" x14ac:dyDescent="0.55000000000000004">
      <c r="A97" s="12" t="s">
        <v>3074</v>
      </c>
      <c r="B97" s="12" t="s">
        <v>4374</v>
      </c>
      <c r="C97" s="12" t="s">
        <v>4977</v>
      </c>
      <c r="D97" s="12" t="s">
        <v>4752</v>
      </c>
      <c r="E97" s="12" t="s">
        <v>4989</v>
      </c>
      <c r="F97" s="12" t="s">
        <v>2041</v>
      </c>
      <c r="G97" s="12" t="s">
        <v>4990</v>
      </c>
      <c r="H97" s="12" t="s">
        <v>4980</v>
      </c>
      <c r="I97" s="12" t="s">
        <v>3075</v>
      </c>
      <c r="J97" s="12" t="s">
        <v>4898</v>
      </c>
      <c r="K97" s="12" t="s">
        <v>4991</v>
      </c>
      <c r="L97" s="13" t="s">
        <v>3075</v>
      </c>
    </row>
    <row r="98" spans="1:12" hidden="1" x14ac:dyDescent="0.55000000000000004">
      <c r="A98" s="12" t="s">
        <v>3063</v>
      </c>
      <c r="B98" s="12" t="s">
        <v>4374</v>
      </c>
      <c r="C98" s="12" t="s">
        <v>4977</v>
      </c>
      <c r="D98" s="12" t="s">
        <v>4752</v>
      </c>
      <c r="E98" s="12" t="s">
        <v>4992</v>
      </c>
      <c r="F98" s="12" t="s">
        <v>949</v>
      </c>
      <c r="G98" s="12" t="s">
        <v>4993</v>
      </c>
      <c r="H98" s="12" t="s">
        <v>4994</v>
      </c>
      <c r="I98" s="12" t="s">
        <v>3059</v>
      </c>
      <c r="J98" s="12" t="s">
        <v>4898</v>
      </c>
      <c r="K98" s="12" t="s">
        <v>4995</v>
      </c>
      <c r="L98" s="13">
        <v>10</v>
      </c>
    </row>
    <row r="99" spans="1:12" hidden="1" x14ac:dyDescent="0.55000000000000004">
      <c r="A99" s="12" t="s">
        <v>3063</v>
      </c>
      <c r="B99" s="12" t="s">
        <v>4374</v>
      </c>
      <c r="C99" s="12" t="s">
        <v>4977</v>
      </c>
      <c r="D99" s="12" t="s">
        <v>4752</v>
      </c>
      <c r="E99" s="12" t="s">
        <v>4996</v>
      </c>
      <c r="F99" s="12" t="s">
        <v>4997</v>
      </c>
      <c r="G99" s="12" t="s">
        <v>4998</v>
      </c>
      <c r="H99" s="12" t="s">
        <v>4994</v>
      </c>
      <c r="I99" s="12" t="s">
        <v>3059</v>
      </c>
      <c r="J99" s="12" t="s">
        <v>4898</v>
      </c>
      <c r="K99" s="12" t="s">
        <v>4999</v>
      </c>
      <c r="L99" s="13">
        <v>10</v>
      </c>
    </row>
    <row r="100" spans="1:12" hidden="1" x14ac:dyDescent="0.55000000000000004">
      <c r="A100" s="12" t="s">
        <v>3062</v>
      </c>
      <c r="B100" s="12" t="s">
        <v>4374</v>
      </c>
      <c r="C100" s="12" t="s">
        <v>5000</v>
      </c>
      <c r="D100" s="12" t="s">
        <v>4752</v>
      </c>
      <c r="E100" s="12" t="s">
        <v>5001</v>
      </c>
      <c r="F100" s="12" t="s">
        <v>5002</v>
      </c>
      <c r="G100" s="12" t="s">
        <v>5003</v>
      </c>
      <c r="H100" s="12" t="s">
        <v>5004</v>
      </c>
      <c r="I100" s="12" t="s">
        <v>3059</v>
      </c>
      <c r="J100" s="12" t="s">
        <v>4898</v>
      </c>
      <c r="K100" s="12" t="s">
        <v>5005</v>
      </c>
      <c r="L100" s="13">
        <v>9</v>
      </c>
    </row>
    <row r="101" spans="1:12" hidden="1" x14ac:dyDescent="0.55000000000000004">
      <c r="A101" s="12" t="s">
        <v>3062</v>
      </c>
      <c r="B101" s="12" t="s">
        <v>4374</v>
      </c>
      <c r="C101" s="12" t="s">
        <v>5000</v>
      </c>
      <c r="D101" s="12" t="s">
        <v>4752</v>
      </c>
      <c r="E101" s="12" t="s">
        <v>5006</v>
      </c>
      <c r="F101" s="12" t="s">
        <v>2791</v>
      </c>
      <c r="G101" s="12" t="s">
        <v>5007</v>
      </c>
      <c r="H101" s="12" t="s">
        <v>5004</v>
      </c>
      <c r="I101" s="12" t="s">
        <v>3059</v>
      </c>
      <c r="J101" s="12" t="s">
        <v>4898</v>
      </c>
      <c r="K101" s="12" t="s">
        <v>5008</v>
      </c>
      <c r="L101" s="13">
        <v>2</v>
      </c>
    </row>
    <row r="102" spans="1:12" hidden="1" x14ac:dyDescent="0.55000000000000004">
      <c r="A102" s="12" t="s">
        <v>3062</v>
      </c>
      <c r="B102" s="12" t="s">
        <v>4374</v>
      </c>
      <c r="C102" s="12" t="s">
        <v>5000</v>
      </c>
      <c r="D102" s="12" t="s">
        <v>4752</v>
      </c>
      <c r="E102" s="12" t="s">
        <v>5009</v>
      </c>
      <c r="F102" s="12" t="s">
        <v>5010</v>
      </c>
      <c r="G102" s="12" t="s">
        <v>5011</v>
      </c>
      <c r="H102" s="12" t="s">
        <v>5004</v>
      </c>
      <c r="I102" s="12" t="s">
        <v>3059</v>
      </c>
      <c r="J102" s="12" t="s">
        <v>4898</v>
      </c>
      <c r="K102" s="12" t="s">
        <v>5012</v>
      </c>
      <c r="L102" s="13">
        <v>9</v>
      </c>
    </row>
    <row r="103" spans="1:12" hidden="1" x14ac:dyDescent="0.55000000000000004">
      <c r="A103" s="12" t="s">
        <v>3062</v>
      </c>
      <c r="B103" s="12" t="s">
        <v>4374</v>
      </c>
      <c r="C103" s="12" t="s">
        <v>5000</v>
      </c>
      <c r="D103" s="12" t="s">
        <v>4752</v>
      </c>
      <c r="E103" s="12" t="s">
        <v>5013</v>
      </c>
      <c r="F103" s="12" t="s">
        <v>5014</v>
      </c>
      <c r="G103" s="12" t="s">
        <v>243</v>
      </c>
      <c r="H103" s="12" t="s">
        <v>5004</v>
      </c>
      <c r="I103" s="12" t="s">
        <v>3059</v>
      </c>
      <c r="J103" s="12" t="s">
        <v>4898</v>
      </c>
      <c r="K103" s="12" t="s">
        <v>5015</v>
      </c>
      <c r="L103" s="13">
        <v>5</v>
      </c>
    </row>
    <row r="104" spans="1:12" hidden="1" x14ac:dyDescent="0.55000000000000004">
      <c r="A104" s="12" t="s">
        <v>3062</v>
      </c>
      <c r="B104" s="12" t="s">
        <v>4374</v>
      </c>
      <c r="C104" s="12" t="s">
        <v>5000</v>
      </c>
      <c r="D104" s="12" t="s">
        <v>4752</v>
      </c>
      <c r="E104" s="12" t="s">
        <v>5016</v>
      </c>
      <c r="F104" s="12" t="s">
        <v>5017</v>
      </c>
      <c r="G104" s="12" t="s">
        <v>5018</v>
      </c>
      <c r="H104" s="12" t="s">
        <v>5004</v>
      </c>
      <c r="I104" s="12" t="s">
        <v>3075</v>
      </c>
      <c r="J104" s="12" t="s">
        <v>4898</v>
      </c>
      <c r="K104" s="12" t="s">
        <v>5019</v>
      </c>
      <c r="L104" s="13" t="s">
        <v>3075</v>
      </c>
    </row>
    <row r="105" spans="1:12" hidden="1" x14ac:dyDescent="0.55000000000000004">
      <c r="A105" s="12" t="s">
        <v>3062</v>
      </c>
      <c r="B105" s="12" t="s">
        <v>4374</v>
      </c>
      <c r="C105" s="12" t="s">
        <v>5000</v>
      </c>
      <c r="D105" s="12" t="s">
        <v>4752</v>
      </c>
      <c r="E105" s="12" t="s">
        <v>5020</v>
      </c>
      <c r="F105" s="12" t="s">
        <v>5021</v>
      </c>
      <c r="G105" s="12" t="s">
        <v>5022</v>
      </c>
      <c r="H105" s="12" t="s">
        <v>5004</v>
      </c>
      <c r="I105" s="12" t="s">
        <v>3059</v>
      </c>
      <c r="J105" s="12" t="s">
        <v>4898</v>
      </c>
      <c r="K105" s="12" t="s">
        <v>5023</v>
      </c>
      <c r="L105" s="13">
        <v>5</v>
      </c>
    </row>
    <row r="106" spans="1:12" hidden="1" x14ac:dyDescent="0.55000000000000004">
      <c r="A106" s="12" t="s">
        <v>3062</v>
      </c>
      <c r="B106" s="12" t="s">
        <v>4374</v>
      </c>
      <c r="C106" s="12" t="s">
        <v>5000</v>
      </c>
      <c r="D106" s="12" t="s">
        <v>4752</v>
      </c>
      <c r="E106" s="12" t="s">
        <v>5024</v>
      </c>
      <c r="F106" s="12" t="s">
        <v>1419</v>
      </c>
      <c r="G106" s="12" t="s">
        <v>5025</v>
      </c>
      <c r="H106" s="12" t="s">
        <v>5004</v>
      </c>
      <c r="I106" s="12" t="s">
        <v>3075</v>
      </c>
      <c r="J106" s="12" t="s">
        <v>4898</v>
      </c>
      <c r="K106" s="12" t="s">
        <v>5026</v>
      </c>
      <c r="L106" s="13" t="s">
        <v>3075</v>
      </c>
    </row>
    <row r="107" spans="1:12" hidden="1" x14ac:dyDescent="0.55000000000000004">
      <c r="A107" s="12" t="s">
        <v>3062</v>
      </c>
      <c r="B107" s="12" t="s">
        <v>4374</v>
      </c>
      <c r="C107" s="12" t="s">
        <v>5000</v>
      </c>
      <c r="D107" s="12" t="s">
        <v>4752</v>
      </c>
      <c r="E107" s="12" t="s">
        <v>5027</v>
      </c>
      <c r="F107" s="12" t="s">
        <v>693</v>
      </c>
      <c r="G107" s="12" t="s">
        <v>5028</v>
      </c>
      <c r="H107" s="12" t="s">
        <v>5004</v>
      </c>
      <c r="I107" s="12" t="s">
        <v>3075</v>
      </c>
      <c r="J107" s="12" t="s">
        <v>4898</v>
      </c>
      <c r="K107" s="12" t="s">
        <v>5029</v>
      </c>
      <c r="L107" s="13" t="s">
        <v>3075</v>
      </c>
    </row>
    <row r="108" spans="1:12" hidden="1" x14ac:dyDescent="0.55000000000000004">
      <c r="A108" s="12" t="s">
        <v>3062</v>
      </c>
      <c r="B108" s="12" t="s">
        <v>4374</v>
      </c>
      <c r="C108" s="12" t="s">
        <v>5000</v>
      </c>
      <c r="D108" s="12" t="s">
        <v>4752</v>
      </c>
      <c r="E108" s="12" t="s">
        <v>5030</v>
      </c>
      <c r="F108" s="12" t="s">
        <v>5031</v>
      </c>
      <c r="G108" s="12" t="s">
        <v>5032</v>
      </c>
      <c r="H108" s="12" t="s">
        <v>5004</v>
      </c>
      <c r="I108" s="12" t="s">
        <v>3059</v>
      </c>
      <c r="J108" s="12" t="s">
        <v>4898</v>
      </c>
      <c r="K108" s="12" t="s">
        <v>5033</v>
      </c>
      <c r="L108" s="13">
        <v>9</v>
      </c>
    </row>
    <row r="109" spans="1:12" hidden="1" x14ac:dyDescent="0.55000000000000004">
      <c r="A109" s="12" t="s">
        <v>2904</v>
      </c>
      <c r="B109" s="12" t="s">
        <v>4417</v>
      </c>
      <c r="C109" s="12" t="s">
        <v>5034</v>
      </c>
      <c r="D109" s="12" t="s">
        <v>4752</v>
      </c>
      <c r="E109" s="12" t="s">
        <v>5035</v>
      </c>
      <c r="F109" s="12" t="s">
        <v>5036</v>
      </c>
      <c r="G109" s="12" t="s">
        <v>2157</v>
      </c>
      <c r="H109" s="12" t="s">
        <v>5037</v>
      </c>
      <c r="I109" s="12" t="s">
        <v>3059</v>
      </c>
      <c r="J109" s="12" t="s">
        <v>579</v>
      </c>
      <c r="K109" s="12" t="s">
        <v>5038</v>
      </c>
      <c r="L109" s="13">
        <v>5</v>
      </c>
    </row>
    <row r="110" spans="1:12" hidden="1" x14ac:dyDescent="0.55000000000000004">
      <c r="A110" s="12" t="s">
        <v>2904</v>
      </c>
      <c r="B110" s="12" t="s">
        <v>4417</v>
      </c>
      <c r="C110" s="12" t="s">
        <v>5034</v>
      </c>
      <c r="D110" s="12" t="s">
        <v>4752</v>
      </c>
      <c r="E110" s="12" t="s">
        <v>5039</v>
      </c>
      <c r="F110" s="12" t="s">
        <v>341</v>
      </c>
      <c r="G110" s="12" t="s">
        <v>5040</v>
      </c>
      <c r="H110" s="12" t="s">
        <v>5037</v>
      </c>
      <c r="I110" s="12" t="s">
        <v>3059</v>
      </c>
      <c r="J110" s="12" t="s">
        <v>579</v>
      </c>
      <c r="K110" s="12" t="s">
        <v>5041</v>
      </c>
      <c r="L110" s="13">
        <v>5</v>
      </c>
    </row>
    <row r="111" spans="1:12" hidden="1" x14ac:dyDescent="0.55000000000000004">
      <c r="A111" s="12" t="s">
        <v>2904</v>
      </c>
      <c r="B111" s="12" t="s">
        <v>4417</v>
      </c>
      <c r="C111" s="12" t="s">
        <v>5034</v>
      </c>
      <c r="D111" s="12" t="s">
        <v>4752</v>
      </c>
      <c r="E111" s="12" t="s">
        <v>5042</v>
      </c>
      <c r="F111" s="12" t="s">
        <v>2558</v>
      </c>
      <c r="G111" s="12" t="s">
        <v>5043</v>
      </c>
      <c r="H111" s="12" t="s">
        <v>5037</v>
      </c>
      <c r="I111" s="12" t="s">
        <v>3059</v>
      </c>
      <c r="J111" s="12" t="s">
        <v>579</v>
      </c>
      <c r="K111" s="12" t="s">
        <v>5044</v>
      </c>
      <c r="L111" s="13">
        <v>5</v>
      </c>
    </row>
    <row r="112" spans="1:12" hidden="1" x14ac:dyDescent="0.55000000000000004">
      <c r="A112" s="12" t="s">
        <v>2904</v>
      </c>
      <c r="B112" s="12" t="s">
        <v>4417</v>
      </c>
      <c r="C112" s="12" t="s">
        <v>5034</v>
      </c>
      <c r="D112" s="12" t="s">
        <v>4752</v>
      </c>
      <c r="E112" s="12" t="s">
        <v>5045</v>
      </c>
      <c r="F112" s="12" t="s">
        <v>4802</v>
      </c>
      <c r="G112" s="12" t="s">
        <v>5046</v>
      </c>
      <c r="H112" s="12" t="s">
        <v>5037</v>
      </c>
      <c r="I112" s="12" t="s">
        <v>3059</v>
      </c>
      <c r="J112" s="12" t="s">
        <v>579</v>
      </c>
      <c r="K112" s="12" t="s">
        <v>5047</v>
      </c>
      <c r="L112" s="13">
        <v>5</v>
      </c>
    </row>
    <row r="113" spans="1:12" hidden="1" x14ac:dyDescent="0.55000000000000004">
      <c r="A113" s="12" t="s">
        <v>2904</v>
      </c>
      <c r="B113" s="12" t="s">
        <v>4417</v>
      </c>
      <c r="C113" s="12" t="s">
        <v>5034</v>
      </c>
      <c r="D113" s="12" t="s">
        <v>4752</v>
      </c>
      <c r="E113" s="12" t="s">
        <v>5048</v>
      </c>
      <c r="F113" s="12" t="s">
        <v>5049</v>
      </c>
      <c r="G113" s="12" t="s">
        <v>5050</v>
      </c>
      <c r="H113" s="12" t="s">
        <v>5037</v>
      </c>
      <c r="I113" s="12" t="s">
        <v>3059</v>
      </c>
      <c r="J113" s="12" t="s">
        <v>579</v>
      </c>
      <c r="K113" s="12" t="s">
        <v>5051</v>
      </c>
      <c r="L113" s="13">
        <v>6</v>
      </c>
    </row>
    <row r="114" spans="1:12" hidden="1" x14ac:dyDescent="0.55000000000000004">
      <c r="A114" s="12" t="s">
        <v>2903</v>
      </c>
      <c r="B114" s="12" t="s">
        <v>4417</v>
      </c>
      <c r="C114" s="12" t="s">
        <v>5052</v>
      </c>
      <c r="D114" s="12" t="s">
        <v>4752</v>
      </c>
      <c r="E114" s="12" t="s">
        <v>5053</v>
      </c>
      <c r="F114" s="12" t="s">
        <v>836</v>
      </c>
      <c r="G114" s="12" t="s">
        <v>5054</v>
      </c>
      <c r="H114" s="12" t="s">
        <v>5055</v>
      </c>
      <c r="I114" s="12" t="s">
        <v>3075</v>
      </c>
      <c r="J114" s="12" t="s">
        <v>579</v>
      </c>
      <c r="K114" s="12" t="s">
        <v>5056</v>
      </c>
      <c r="L114" s="13" t="s">
        <v>3075</v>
      </c>
    </row>
    <row r="115" spans="1:12" hidden="1" x14ac:dyDescent="0.55000000000000004">
      <c r="A115" s="12" t="s">
        <v>2903</v>
      </c>
      <c r="B115" s="12" t="s">
        <v>4417</v>
      </c>
      <c r="C115" s="12" t="s">
        <v>5057</v>
      </c>
      <c r="D115" s="12" t="s">
        <v>4752</v>
      </c>
      <c r="E115" s="12" t="s">
        <v>5058</v>
      </c>
      <c r="F115" s="12" t="s">
        <v>5059</v>
      </c>
      <c r="G115" s="12" t="s">
        <v>5060</v>
      </c>
      <c r="H115" s="12" t="s">
        <v>5055</v>
      </c>
      <c r="I115" s="12" t="s">
        <v>3059</v>
      </c>
      <c r="J115" s="12" t="s">
        <v>579</v>
      </c>
      <c r="K115" s="12" t="s">
        <v>5061</v>
      </c>
      <c r="L115" s="13">
        <v>9</v>
      </c>
    </row>
    <row r="116" spans="1:12" hidden="1" x14ac:dyDescent="0.55000000000000004">
      <c r="A116" s="12" t="s">
        <v>2903</v>
      </c>
      <c r="B116" s="12" t="s">
        <v>4417</v>
      </c>
      <c r="C116" s="12" t="s">
        <v>5057</v>
      </c>
      <c r="D116" s="12" t="s">
        <v>4752</v>
      </c>
      <c r="E116" s="12" t="s">
        <v>5062</v>
      </c>
      <c r="F116" s="12" t="s">
        <v>1485</v>
      </c>
      <c r="G116" s="12" t="s">
        <v>5063</v>
      </c>
      <c r="H116" s="12" t="s">
        <v>5055</v>
      </c>
      <c r="I116" s="12" t="s">
        <v>3059</v>
      </c>
      <c r="J116" s="12" t="s">
        <v>579</v>
      </c>
      <c r="K116" s="12" t="s">
        <v>5064</v>
      </c>
      <c r="L116" s="13">
        <v>3</v>
      </c>
    </row>
    <row r="117" spans="1:12" hidden="1" x14ac:dyDescent="0.55000000000000004">
      <c r="A117" s="12" t="s">
        <v>2905</v>
      </c>
      <c r="B117" s="12" t="s">
        <v>4417</v>
      </c>
      <c r="C117" s="12" t="s">
        <v>5065</v>
      </c>
      <c r="D117" s="12" t="s">
        <v>4752</v>
      </c>
      <c r="E117" s="12" t="s">
        <v>5066</v>
      </c>
      <c r="F117" s="12" t="s">
        <v>5067</v>
      </c>
      <c r="G117" s="12" t="s">
        <v>5068</v>
      </c>
      <c r="H117" s="12" t="s">
        <v>5069</v>
      </c>
      <c r="I117" s="12" t="s">
        <v>3059</v>
      </c>
      <c r="J117" s="12" t="s">
        <v>183</v>
      </c>
      <c r="K117" s="12" t="s">
        <v>5070</v>
      </c>
      <c r="L117" s="13">
        <v>4</v>
      </c>
    </row>
    <row r="118" spans="1:12" hidden="1" x14ac:dyDescent="0.55000000000000004">
      <c r="A118" s="12" t="s">
        <v>2905</v>
      </c>
      <c r="B118" s="12" t="s">
        <v>4417</v>
      </c>
      <c r="C118" s="12" t="s">
        <v>5071</v>
      </c>
      <c r="D118" s="12" t="s">
        <v>4752</v>
      </c>
      <c r="E118" s="12" t="s">
        <v>5072</v>
      </c>
      <c r="F118" s="12" t="s">
        <v>5073</v>
      </c>
      <c r="G118" s="12" t="s">
        <v>5074</v>
      </c>
      <c r="H118" s="12" t="s">
        <v>5069</v>
      </c>
      <c r="I118" s="12" t="s">
        <v>3059</v>
      </c>
      <c r="J118" s="12" t="s">
        <v>183</v>
      </c>
      <c r="K118" s="12" t="s">
        <v>5075</v>
      </c>
      <c r="L118" s="13">
        <v>9</v>
      </c>
    </row>
    <row r="119" spans="1:12" hidden="1" x14ac:dyDescent="0.55000000000000004">
      <c r="A119" s="12" t="s">
        <v>2905</v>
      </c>
      <c r="B119" s="12" t="s">
        <v>4417</v>
      </c>
      <c r="C119" s="12" t="s">
        <v>5071</v>
      </c>
      <c r="D119" s="12" t="s">
        <v>4752</v>
      </c>
      <c r="E119" s="12" t="s">
        <v>5076</v>
      </c>
      <c r="F119" s="12" t="s">
        <v>5077</v>
      </c>
      <c r="G119" s="12" t="s">
        <v>5078</v>
      </c>
      <c r="H119" s="12" t="s">
        <v>5069</v>
      </c>
      <c r="I119" s="12" t="s">
        <v>3075</v>
      </c>
      <c r="J119" s="12" t="s">
        <v>183</v>
      </c>
      <c r="K119" s="12" t="s">
        <v>5079</v>
      </c>
      <c r="L119" s="13" t="s">
        <v>3075</v>
      </c>
    </row>
    <row r="120" spans="1:12" hidden="1" x14ac:dyDescent="0.55000000000000004">
      <c r="A120" s="12" t="s">
        <v>2905</v>
      </c>
      <c r="B120" s="12" t="s">
        <v>4417</v>
      </c>
      <c r="C120" s="12" t="s">
        <v>5071</v>
      </c>
      <c r="D120" s="12" t="s">
        <v>4752</v>
      </c>
      <c r="E120" s="12" t="s">
        <v>5080</v>
      </c>
      <c r="F120" s="12" t="s">
        <v>3085</v>
      </c>
      <c r="G120" s="12" t="s">
        <v>5081</v>
      </c>
      <c r="H120" s="12" t="s">
        <v>5069</v>
      </c>
      <c r="I120" s="12" t="s">
        <v>3059</v>
      </c>
      <c r="J120" s="12" t="s">
        <v>183</v>
      </c>
      <c r="K120" s="12" t="s">
        <v>5082</v>
      </c>
      <c r="L120" s="13">
        <v>9</v>
      </c>
    </row>
    <row r="121" spans="1:12" hidden="1" x14ac:dyDescent="0.55000000000000004">
      <c r="A121" s="12" t="s">
        <v>2930</v>
      </c>
      <c r="B121" s="12" t="s">
        <v>4442</v>
      </c>
      <c r="C121" s="12" t="s">
        <v>5083</v>
      </c>
      <c r="D121" s="12" t="s">
        <v>4752</v>
      </c>
      <c r="E121" s="12" t="s">
        <v>5084</v>
      </c>
      <c r="F121" s="12" t="s">
        <v>5085</v>
      </c>
      <c r="G121" s="12" t="s">
        <v>5086</v>
      </c>
      <c r="H121" s="12" t="s">
        <v>5087</v>
      </c>
      <c r="I121" s="12" t="s">
        <v>3075</v>
      </c>
      <c r="J121" s="12" t="s">
        <v>4872</v>
      </c>
      <c r="K121" s="12" t="s">
        <v>5088</v>
      </c>
      <c r="L121" s="13" t="s">
        <v>3075</v>
      </c>
    </row>
    <row r="122" spans="1:12" hidden="1" x14ac:dyDescent="0.55000000000000004">
      <c r="A122" s="12" t="s">
        <v>2930</v>
      </c>
      <c r="B122" s="12" t="s">
        <v>4442</v>
      </c>
      <c r="C122" s="12" t="s">
        <v>5083</v>
      </c>
      <c r="D122" s="12" t="s">
        <v>4752</v>
      </c>
      <c r="E122" s="12" t="s">
        <v>5089</v>
      </c>
      <c r="F122" s="12" t="s">
        <v>1086</v>
      </c>
      <c r="G122" s="12" t="s">
        <v>5090</v>
      </c>
      <c r="H122" s="12" t="s">
        <v>5087</v>
      </c>
      <c r="I122" s="12" t="s">
        <v>3075</v>
      </c>
      <c r="J122" s="12" t="s">
        <v>4872</v>
      </c>
      <c r="K122" s="12" t="s">
        <v>5091</v>
      </c>
      <c r="L122" s="13" t="s">
        <v>3075</v>
      </c>
    </row>
    <row r="123" spans="1:12" hidden="1" x14ac:dyDescent="0.55000000000000004">
      <c r="A123" s="12" t="s">
        <v>2930</v>
      </c>
      <c r="B123" s="12" t="s">
        <v>4442</v>
      </c>
      <c r="C123" s="12" t="s">
        <v>5083</v>
      </c>
      <c r="D123" s="12" t="s">
        <v>4752</v>
      </c>
      <c r="E123" s="12" t="s">
        <v>5092</v>
      </c>
      <c r="F123" s="12" t="s">
        <v>1545</v>
      </c>
      <c r="G123" s="12" t="s">
        <v>5093</v>
      </c>
      <c r="H123" s="12" t="s">
        <v>5087</v>
      </c>
      <c r="I123" s="12" t="s">
        <v>3075</v>
      </c>
      <c r="J123" s="12" t="s">
        <v>4872</v>
      </c>
      <c r="K123" s="12" t="s">
        <v>5094</v>
      </c>
      <c r="L123" s="13" t="s">
        <v>3075</v>
      </c>
    </row>
    <row r="124" spans="1:12" hidden="1" x14ac:dyDescent="0.55000000000000004">
      <c r="A124" s="12" t="s">
        <v>2930</v>
      </c>
      <c r="B124" s="12" t="s">
        <v>4442</v>
      </c>
      <c r="C124" s="12" t="s">
        <v>5083</v>
      </c>
      <c r="D124" s="12" t="s">
        <v>4752</v>
      </c>
      <c r="E124" s="12" t="s">
        <v>5095</v>
      </c>
      <c r="F124" s="12" t="s">
        <v>5096</v>
      </c>
      <c r="G124" s="12" t="s">
        <v>5097</v>
      </c>
      <c r="H124" s="12" t="s">
        <v>5087</v>
      </c>
      <c r="I124" s="12" t="s">
        <v>3075</v>
      </c>
      <c r="J124" s="12" t="s">
        <v>4872</v>
      </c>
      <c r="K124" s="12" t="s">
        <v>5098</v>
      </c>
      <c r="L124" s="13" t="s">
        <v>3075</v>
      </c>
    </row>
    <row r="125" spans="1:12" hidden="1" x14ac:dyDescent="0.55000000000000004">
      <c r="A125" s="12" t="s">
        <v>2930</v>
      </c>
      <c r="B125" s="12" t="s">
        <v>4442</v>
      </c>
      <c r="C125" s="12" t="s">
        <v>5083</v>
      </c>
      <c r="D125" s="12" t="s">
        <v>4752</v>
      </c>
      <c r="E125" s="12" t="s">
        <v>5099</v>
      </c>
      <c r="F125" s="12" t="s">
        <v>669</v>
      </c>
      <c r="G125" s="12" t="s">
        <v>5100</v>
      </c>
      <c r="H125" s="12" t="s">
        <v>5087</v>
      </c>
      <c r="I125" s="12" t="s">
        <v>3059</v>
      </c>
      <c r="J125" s="12" t="s">
        <v>4872</v>
      </c>
      <c r="K125" s="12" t="s">
        <v>5101</v>
      </c>
      <c r="L125" s="13">
        <v>2</v>
      </c>
    </row>
    <row r="126" spans="1:12" hidden="1" x14ac:dyDescent="0.55000000000000004">
      <c r="A126" s="12" t="s">
        <v>2930</v>
      </c>
      <c r="B126" s="12" t="s">
        <v>4442</v>
      </c>
      <c r="C126" s="12" t="s">
        <v>5083</v>
      </c>
      <c r="D126" s="12" t="s">
        <v>4752</v>
      </c>
      <c r="E126" s="12" t="s">
        <v>5102</v>
      </c>
      <c r="F126" s="12" t="s">
        <v>5103</v>
      </c>
      <c r="G126" s="12" t="s">
        <v>5104</v>
      </c>
      <c r="H126" s="12" t="s">
        <v>5087</v>
      </c>
      <c r="I126" s="12" t="s">
        <v>3075</v>
      </c>
      <c r="J126" s="12" t="s">
        <v>4872</v>
      </c>
      <c r="K126" s="12" t="s">
        <v>5105</v>
      </c>
      <c r="L126" s="13" t="s">
        <v>3075</v>
      </c>
    </row>
    <row r="127" spans="1:12" hidden="1" x14ac:dyDescent="0.55000000000000004">
      <c r="A127" s="12" t="s">
        <v>2930</v>
      </c>
      <c r="B127" s="12" t="s">
        <v>4442</v>
      </c>
      <c r="C127" s="12" t="s">
        <v>5083</v>
      </c>
      <c r="D127" s="12" t="s">
        <v>4752</v>
      </c>
      <c r="E127" s="12" t="s">
        <v>5106</v>
      </c>
      <c r="F127" s="12" t="s">
        <v>88</v>
      </c>
      <c r="G127" s="12" t="s">
        <v>5107</v>
      </c>
      <c r="H127" s="12" t="s">
        <v>5087</v>
      </c>
      <c r="I127" s="12" t="s">
        <v>3075</v>
      </c>
      <c r="J127" s="12" t="s">
        <v>4872</v>
      </c>
      <c r="K127" s="12" t="s">
        <v>5108</v>
      </c>
      <c r="L127" s="13" t="s">
        <v>3075</v>
      </c>
    </row>
    <row r="128" spans="1:12" hidden="1" x14ac:dyDescent="0.55000000000000004">
      <c r="A128" s="12" t="s">
        <v>2930</v>
      </c>
      <c r="B128" s="12" t="s">
        <v>4442</v>
      </c>
      <c r="C128" s="12" t="s">
        <v>5511</v>
      </c>
      <c r="D128" s="12" t="s">
        <v>4752</v>
      </c>
      <c r="E128" s="12" t="s">
        <v>5512</v>
      </c>
      <c r="F128" s="12" t="s">
        <v>254</v>
      </c>
      <c r="G128" s="12" t="s">
        <v>5513</v>
      </c>
      <c r="H128" s="12" t="s">
        <v>5087</v>
      </c>
      <c r="I128" s="12" t="s">
        <v>3059</v>
      </c>
      <c r="J128" s="12" t="s">
        <v>4872</v>
      </c>
      <c r="K128" s="12" t="s">
        <v>5514</v>
      </c>
      <c r="L128" s="13">
        <v>2</v>
      </c>
    </row>
    <row r="129" spans="1:12" hidden="1" x14ac:dyDescent="0.55000000000000004">
      <c r="A129" s="12" t="s">
        <v>2930</v>
      </c>
      <c r="B129" s="12" t="s">
        <v>4442</v>
      </c>
      <c r="C129" s="12" t="s">
        <v>5515</v>
      </c>
      <c r="D129" s="12" t="s">
        <v>4752</v>
      </c>
      <c r="E129" s="12" t="s">
        <v>5516</v>
      </c>
      <c r="F129" s="12" t="s">
        <v>1023</v>
      </c>
      <c r="G129" s="12" t="s">
        <v>5517</v>
      </c>
      <c r="H129" s="12" t="s">
        <v>5087</v>
      </c>
      <c r="I129" s="12" t="s">
        <v>3059</v>
      </c>
      <c r="J129" s="12" t="s">
        <v>4872</v>
      </c>
      <c r="K129" s="12" t="s">
        <v>5518</v>
      </c>
      <c r="L129" s="13">
        <v>8</v>
      </c>
    </row>
    <row r="130" spans="1:12" hidden="1" x14ac:dyDescent="0.55000000000000004">
      <c r="A130" s="12" t="s">
        <v>2930</v>
      </c>
      <c r="B130" s="12" t="s">
        <v>4442</v>
      </c>
      <c r="C130" s="12" t="s">
        <v>5515</v>
      </c>
      <c r="D130" s="12" t="s">
        <v>4752</v>
      </c>
      <c r="E130" s="12" t="s">
        <v>5519</v>
      </c>
      <c r="F130" s="12" t="s">
        <v>5520</v>
      </c>
      <c r="G130" s="12" t="s">
        <v>5521</v>
      </c>
      <c r="H130" s="12" t="s">
        <v>5087</v>
      </c>
      <c r="I130" s="12" t="s">
        <v>3059</v>
      </c>
      <c r="J130" s="12" t="s">
        <v>4872</v>
      </c>
      <c r="K130" s="12" t="s">
        <v>5522</v>
      </c>
      <c r="L130" s="13">
        <v>9</v>
      </c>
    </row>
    <row r="131" spans="1:12" hidden="1" x14ac:dyDescent="0.55000000000000004">
      <c r="A131" s="12" t="s">
        <v>2930</v>
      </c>
      <c r="B131" s="12" t="s">
        <v>4442</v>
      </c>
      <c r="C131" s="12" t="s">
        <v>5515</v>
      </c>
      <c r="D131" s="12" t="s">
        <v>4752</v>
      </c>
      <c r="E131" s="12" t="s">
        <v>5523</v>
      </c>
      <c r="F131" s="12" t="s">
        <v>5524</v>
      </c>
      <c r="G131" s="12" t="s">
        <v>5525</v>
      </c>
      <c r="H131" s="12" t="s">
        <v>5087</v>
      </c>
      <c r="I131" s="12" t="s">
        <v>3059</v>
      </c>
      <c r="J131" s="12" t="s">
        <v>4872</v>
      </c>
      <c r="K131" s="12" t="s">
        <v>5526</v>
      </c>
      <c r="L131" s="13">
        <v>2</v>
      </c>
    </row>
    <row r="132" spans="1:12" hidden="1" x14ac:dyDescent="0.55000000000000004">
      <c r="A132" s="12" t="s">
        <v>2930</v>
      </c>
      <c r="B132" s="12" t="s">
        <v>4442</v>
      </c>
      <c r="C132" s="12" t="s">
        <v>5515</v>
      </c>
      <c r="D132" s="12" t="s">
        <v>4752</v>
      </c>
      <c r="E132" s="12" t="s">
        <v>5527</v>
      </c>
      <c r="F132" s="12" t="s">
        <v>5528</v>
      </c>
      <c r="G132" s="12" t="s">
        <v>5529</v>
      </c>
      <c r="H132" s="12" t="s">
        <v>5087</v>
      </c>
      <c r="I132" s="12" t="s">
        <v>3059</v>
      </c>
      <c r="J132" s="12" t="s">
        <v>4872</v>
      </c>
      <c r="K132" s="12" t="s">
        <v>5530</v>
      </c>
      <c r="L132" s="13">
        <v>2</v>
      </c>
    </row>
    <row r="133" spans="1:12" hidden="1" x14ac:dyDescent="0.55000000000000004">
      <c r="A133" s="12" t="s">
        <v>2930</v>
      </c>
      <c r="B133" s="12" t="s">
        <v>4442</v>
      </c>
      <c r="C133" s="12" t="s">
        <v>5515</v>
      </c>
      <c r="D133" s="12" t="s">
        <v>4752</v>
      </c>
      <c r="E133" s="12" t="s">
        <v>5531</v>
      </c>
      <c r="F133" s="12" t="s">
        <v>5532</v>
      </c>
      <c r="G133" s="12" t="s">
        <v>5533</v>
      </c>
      <c r="H133" s="12" t="s">
        <v>5087</v>
      </c>
      <c r="I133" s="12" t="s">
        <v>3059</v>
      </c>
      <c r="J133" s="12" t="s">
        <v>4872</v>
      </c>
      <c r="K133" s="12" t="s">
        <v>5534</v>
      </c>
      <c r="L133" s="13">
        <v>2</v>
      </c>
    </row>
    <row r="134" spans="1:12" hidden="1" x14ac:dyDescent="0.55000000000000004">
      <c r="A134" s="12" t="s">
        <v>2930</v>
      </c>
      <c r="B134" s="12" t="s">
        <v>4442</v>
      </c>
      <c r="C134" s="12" t="s">
        <v>5515</v>
      </c>
      <c r="D134" s="12" t="s">
        <v>4752</v>
      </c>
      <c r="E134" s="12" t="s">
        <v>5535</v>
      </c>
      <c r="F134" s="12" t="s">
        <v>5536</v>
      </c>
      <c r="G134" s="12" t="s">
        <v>5537</v>
      </c>
      <c r="H134" s="12" t="s">
        <v>5087</v>
      </c>
      <c r="I134" s="12" t="s">
        <v>3059</v>
      </c>
      <c r="J134" s="12" t="s">
        <v>4872</v>
      </c>
      <c r="K134" s="12" t="s">
        <v>5538</v>
      </c>
      <c r="L134" s="13">
        <v>2</v>
      </c>
    </row>
    <row r="135" spans="1:12" hidden="1" x14ac:dyDescent="0.55000000000000004">
      <c r="A135" s="12" t="s">
        <v>2930</v>
      </c>
      <c r="B135" s="12" t="s">
        <v>4442</v>
      </c>
      <c r="C135" s="12" t="s">
        <v>5515</v>
      </c>
      <c r="D135" s="12" t="s">
        <v>4752</v>
      </c>
      <c r="E135" s="12" t="s">
        <v>5539</v>
      </c>
      <c r="F135" s="12" t="s">
        <v>5540</v>
      </c>
      <c r="G135" s="12" t="s">
        <v>5541</v>
      </c>
      <c r="H135" s="12" t="s">
        <v>5087</v>
      </c>
      <c r="I135" s="12" t="s">
        <v>3059</v>
      </c>
      <c r="J135" s="12" t="s">
        <v>4872</v>
      </c>
      <c r="K135" s="12" t="s">
        <v>5542</v>
      </c>
      <c r="L135" s="13">
        <v>2</v>
      </c>
    </row>
    <row r="136" spans="1:12" hidden="1" x14ac:dyDescent="0.55000000000000004">
      <c r="A136" s="12" t="s">
        <v>2930</v>
      </c>
      <c r="B136" s="12" t="s">
        <v>4442</v>
      </c>
      <c r="C136" s="12" t="s">
        <v>5515</v>
      </c>
      <c r="D136" s="12" t="s">
        <v>4752</v>
      </c>
      <c r="E136" s="12" t="s">
        <v>5543</v>
      </c>
      <c r="F136" s="12" t="s">
        <v>5544</v>
      </c>
      <c r="G136" s="12" t="s">
        <v>5517</v>
      </c>
      <c r="H136" s="12" t="s">
        <v>5087</v>
      </c>
      <c r="I136" s="12" t="s">
        <v>3059</v>
      </c>
      <c r="J136" s="12" t="s">
        <v>4872</v>
      </c>
      <c r="K136" s="12" t="s">
        <v>5545</v>
      </c>
      <c r="L136" s="13">
        <v>9</v>
      </c>
    </row>
    <row r="137" spans="1:12" hidden="1" x14ac:dyDescent="0.55000000000000004">
      <c r="A137" s="12" t="s">
        <v>2930</v>
      </c>
      <c r="B137" s="12" t="s">
        <v>4442</v>
      </c>
      <c r="C137" s="12" t="s">
        <v>5515</v>
      </c>
      <c r="D137" s="12" t="s">
        <v>4752</v>
      </c>
      <c r="E137" s="12" t="s">
        <v>5546</v>
      </c>
      <c r="F137" s="12" t="s">
        <v>1970</v>
      </c>
      <c r="G137" s="12" t="s">
        <v>5547</v>
      </c>
      <c r="H137" s="12" t="s">
        <v>5087</v>
      </c>
      <c r="I137" s="12" t="s">
        <v>3059</v>
      </c>
      <c r="J137" s="12" t="s">
        <v>4872</v>
      </c>
      <c r="K137" s="12" t="s">
        <v>5548</v>
      </c>
      <c r="L137" s="13">
        <v>2</v>
      </c>
    </row>
    <row r="138" spans="1:12" hidden="1" x14ac:dyDescent="0.55000000000000004">
      <c r="A138" s="12" t="s">
        <v>2930</v>
      </c>
      <c r="B138" s="12" t="s">
        <v>4442</v>
      </c>
      <c r="C138" s="12" t="s">
        <v>5515</v>
      </c>
      <c r="D138" s="12" t="s">
        <v>4752</v>
      </c>
      <c r="E138" s="12" t="s">
        <v>5549</v>
      </c>
      <c r="F138" s="12" t="s">
        <v>700</v>
      </c>
      <c r="G138" s="12" t="s">
        <v>5550</v>
      </c>
      <c r="H138" s="12" t="s">
        <v>5087</v>
      </c>
      <c r="I138" s="12" t="s">
        <v>3059</v>
      </c>
      <c r="J138" s="12" t="s">
        <v>4872</v>
      </c>
      <c r="K138" s="12" t="s">
        <v>5551</v>
      </c>
      <c r="L138" s="13">
        <v>2</v>
      </c>
    </row>
    <row r="139" spans="1:12" hidden="1" x14ac:dyDescent="0.55000000000000004">
      <c r="A139" s="12" t="s">
        <v>2978</v>
      </c>
      <c r="B139" s="12" t="s">
        <v>4486</v>
      </c>
      <c r="C139" s="12" t="s">
        <v>5109</v>
      </c>
      <c r="D139" s="12" t="s">
        <v>4752</v>
      </c>
      <c r="E139" s="12" t="s">
        <v>5110</v>
      </c>
      <c r="F139" s="12" t="s">
        <v>5111</v>
      </c>
      <c r="G139" s="12" t="s">
        <v>5112</v>
      </c>
      <c r="H139" s="12" t="s">
        <v>5113</v>
      </c>
      <c r="I139" s="12" t="s">
        <v>3075</v>
      </c>
      <c r="J139" s="12" t="s">
        <v>3091</v>
      </c>
      <c r="K139" s="12" t="s">
        <v>5114</v>
      </c>
      <c r="L139" s="13" t="s">
        <v>3075</v>
      </c>
    </row>
    <row r="140" spans="1:12" hidden="1" x14ac:dyDescent="0.55000000000000004">
      <c r="A140" s="12" t="s">
        <v>2978</v>
      </c>
      <c r="B140" s="12" t="s">
        <v>4486</v>
      </c>
      <c r="C140" s="12" t="s">
        <v>5109</v>
      </c>
      <c r="D140" s="12" t="s">
        <v>4752</v>
      </c>
      <c r="E140" s="12" t="s">
        <v>5676</v>
      </c>
      <c r="F140" s="12" t="s">
        <v>5677</v>
      </c>
      <c r="G140" s="12" t="s">
        <v>839</v>
      </c>
      <c r="H140" s="12" t="s">
        <v>5113</v>
      </c>
      <c r="I140" s="12" t="s">
        <v>3075</v>
      </c>
      <c r="J140" s="12" t="s">
        <v>3091</v>
      </c>
      <c r="K140" s="12" t="s">
        <v>5678</v>
      </c>
      <c r="L140" s="13" t="s">
        <v>3075</v>
      </c>
    </row>
    <row r="141" spans="1:12" hidden="1" x14ac:dyDescent="0.55000000000000004">
      <c r="A141" s="12" t="s">
        <v>3030</v>
      </c>
      <c r="B141" s="12" t="s">
        <v>4486</v>
      </c>
      <c r="C141" s="12" t="s">
        <v>1919</v>
      </c>
      <c r="D141" s="12" t="s">
        <v>4752</v>
      </c>
      <c r="E141" s="12" t="s">
        <v>1916</v>
      </c>
      <c r="F141" s="12" t="s">
        <v>1917</v>
      </c>
      <c r="G141" s="12" t="s">
        <v>1918</v>
      </c>
      <c r="H141" s="12" t="s">
        <v>5115</v>
      </c>
      <c r="I141" s="12" t="s">
        <v>3075</v>
      </c>
      <c r="J141" s="12" t="s">
        <v>545</v>
      </c>
      <c r="K141" s="12" t="s">
        <v>3922</v>
      </c>
      <c r="L141" s="13" t="s">
        <v>3075</v>
      </c>
    </row>
    <row r="142" spans="1:12" hidden="1" x14ac:dyDescent="0.55000000000000004">
      <c r="A142" s="12" t="s">
        <v>3030</v>
      </c>
      <c r="B142" s="12" t="s">
        <v>4486</v>
      </c>
      <c r="C142" s="12" t="s">
        <v>1919</v>
      </c>
      <c r="D142" s="12" t="s">
        <v>4752</v>
      </c>
      <c r="E142" s="12" t="s">
        <v>1921</v>
      </c>
      <c r="F142" s="12" t="s">
        <v>1922</v>
      </c>
      <c r="G142" s="12" t="s">
        <v>1923</v>
      </c>
      <c r="H142" s="12" t="s">
        <v>5115</v>
      </c>
      <c r="I142" s="12" t="s">
        <v>3075</v>
      </c>
      <c r="J142" s="12" t="s">
        <v>545</v>
      </c>
      <c r="K142" s="12" t="s">
        <v>3923</v>
      </c>
      <c r="L142" s="13" t="s">
        <v>3075</v>
      </c>
    </row>
    <row r="143" spans="1:12" hidden="1" x14ac:dyDescent="0.55000000000000004">
      <c r="A143" s="12" t="s">
        <v>3030</v>
      </c>
      <c r="B143" s="12" t="s">
        <v>4486</v>
      </c>
      <c r="C143" s="12" t="s">
        <v>1919</v>
      </c>
      <c r="D143" s="12" t="s">
        <v>4752</v>
      </c>
      <c r="E143" s="12" t="s">
        <v>5552</v>
      </c>
      <c r="F143" s="12" t="s">
        <v>5553</v>
      </c>
      <c r="G143" s="12" t="s">
        <v>5554</v>
      </c>
      <c r="H143" s="12" t="s">
        <v>5115</v>
      </c>
      <c r="I143" s="12" t="s">
        <v>3075</v>
      </c>
      <c r="J143" s="12" t="s">
        <v>545</v>
      </c>
      <c r="K143" s="12" t="s">
        <v>5555</v>
      </c>
      <c r="L143" s="13" t="s">
        <v>3075</v>
      </c>
    </row>
    <row r="144" spans="1:12" hidden="1" x14ac:dyDescent="0.55000000000000004">
      <c r="A144" s="12" t="s">
        <v>3030</v>
      </c>
      <c r="B144" s="12" t="s">
        <v>4486</v>
      </c>
      <c r="C144" s="12" t="s">
        <v>1919</v>
      </c>
      <c r="D144" s="12" t="s">
        <v>4752</v>
      </c>
      <c r="E144" s="12" t="s">
        <v>1924</v>
      </c>
      <c r="F144" s="12" t="s">
        <v>1925</v>
      </c>
      <c r="G144" s="12" t="s">
        <v>1926</v>
      </c>
      <c r="H144" s="12" t="s">
        <v>5115</v>
      </c>
      <c r="I144" s="12" t="s">
        <v>3075</v>
      </c>
      <c r="J144" s="12" t="s">
        <v>545</v>
      </c>
      <c r="K144" s="12" t="s">
        <v>3924</v>
      </c>
      <c r="L144" s="13" t="s">
        <v>3075</v>
      </c>
    </row>
    <row r="145" spans="1:12" hidden="1" x14ac:dyDescent="0.55000000000000004">
      <c r="A145" s="12" t="s">
        <v>3030</v>
      </c>
      <c r="B145" s="12" t="s">
        <v>4486</v>
      </c>
      <c r="C145" s="12" t="s">
        <v>1919</v>
      </c>
      <c r="D145" s="12" t="s">
        <v>4752</v>
      </c>
      <c r="E145" s="12" t="s">
        <v>1929</v>
      </c>
      <c r="F145" s="12" t="s">
        <v>693</v>
      </c>
      <c r="G145" s="12" t="s">
        <v>1930</v>
      </c>
      <c r="H145" s="12" t="s">
        <v>5115</v>
      </c>
      <c r="I145" s="12" t="s">
        <v>3075</v>
      </c>
      <c r="J145" s="12" t="s">
        <v>545</v>
      </c>
      <c r="K145" s="12" t="s">
        <v>3926</v>
      </c>
      <c r="L145" s="13" t="s">
        <v>3075</v>
      </c>
    </row>
    <row r="146" spans="1:12" hidden="1" x14ac:dyDescent="0.55000000000000004">
      <c r="A146" s="12" t="s">
        <v>3030</v>
      </c>
      <c r="B146" s="12" t="s">
        <v>4486</v>
      </c>
      <c r="C146" s="12" t="s">
        <v>1919</v>
      </c>
      <c r="D146" s="12" t="s">
        <v>4752</v>
      </c>
      <c r="E146" s="12" t="s">
        <v>5679</v>
      </c>
      <c r="F146" s="12" t="s">
        <v>1920</v>
      </c>
      <c r="G146" s="12" t="s">
        <v>5680</v>
      </c>
      <c r="H146" s="12" t="s">
        <v>5115</v>
      </c>
      <c r="I146" s="12" t="s">
        <v>3075</v>
      </c>
      <c r="J146" s="12" t="s">
        <v>545</v>
      </c>
      <c r="K146" s="12" t="s">
        <v>5681</v>
      </c>
      <c r="L146" s="13" t="s">
        <v>3075</v>
      </c>
    </row>
    <row r="147" spans="1:12" hidden="1" x14ac:dyDescent="0.55000000000000004">
      <c r="A147" s="12" t="s">
        <v>3002</v>
      </c>
      <c r="B147" s="12" t="s">
        <v>4486</v>
      </c>
      <c r="C147" s="12" t="s">
        <v>1053</v>
      </c>
      <c r="D147" s="12" t="s">
        <v>4752</v>
      </c>
      <c r="E147" s="12" t="s">
        <v>1050</v>
      </c>
      <c r="F147" s="12" t="s">
        <v>1051</v>
      </c>
      <c r="G147" s="12" t="s">
        <v>1052</v>
      </c>
      <c r="H147" s="12" t="s">
        <v>5116</v>
      </c>
      <c r="I147" s="12" t="s">
        <v>3060</v>
      </c>
      <c r="J147" s="12" t="s">
        <v>1222</v>
      </c>
      <c r="K147" s="12" t="s">
        <v>3611</v>
      </c>
      <c r="L147" s="13">
        <v>5</v>
      </c>
    </row>
    <row r="148" spans="1:12" hidden="1" x14ac:dyDescent="0.55000000000000004">
      <c r="A148" s="12" t="s">
        <v>3002</v>
      </c>
      <c r="B148" s="12" t="s">
        <v>4486</v>
      </c>
      <c r="C148" s="12" t="s">
        <v>1053</v>
      </c>
      <c r="D148" s="12" t="s">
        <v>4752</v>
      </c>
      <c r="E148" s="12" t="s">
        <v>5556</v>
      </c>
      <c r="F148" s="12" t="s">
        <v>5557</v>
      </c>
      <c r="G148" s="12" t="s">
        <v>5558</v>
      </c>
      <c r="H148" s="12" t="s">
        <v>5116</v>
      </c>
      <c r="I148" s="12" t="s">
        <v>3075</v>
      </c>
      <c r="J148" s="12" t="s">
        <v>1222</v>
      </c>
      <c r="K148" s="12" t="s">
        <v>5559</v>
      </c>
      <c r="L148" s="13" t="s">
        <v>3075</v>
      </c>
    </row>
    <row r="149" spans="1:12" hidden="1" x14ac:dyDescent="0.55000000000000004">
      <c r="A149" s="12" t="s">
        <v>2894</v>
      </c>
      <c r="B149" s="12" t="s">
        <v>4374</v>
      </c>
      <c r="C149" s="12" t="s">
        <v>1295</v>
      </c>
      <c r="D149" s="12" t="s">
        <v>4752</v>
      </c>
      <c r="E149" s="12" t="s">
        <v>1293</v>
      </c>
      <c r="F149" s="12" t="s">
        <v>1205</v>
      </c>
      <c r="G149" s="12" t="s">
        <v>1294</v>
      </c>
      <c r="H149" s="12" t="s">
        <v>4402</v>
      </c>
      <c r="I149" s="12" t="s">
        <v>3075</v>
      </c>
      <c r="J149" s="12" t="s">
        <v>3093</v>
      </c>
      <c r="K149" s="12" t="s">
        <v>3695</v>
      </c>
      <c r="L149" s="13" t="s">
        <v>3075</v>
      </c>
    </row>
    <row r="150" spans="1:12" hidden="1" x14ac:dyDescent="0.55000000000000004">
      <c r="A150" s="12" t="s">
        <v>2894</v>
      </c>
      <c r="B150" s="12" t="s">
        <v>4374</v>
      </c>
      <c r="C150" s="12" t="s">
        <v>1295</v>
      </c>
      <c r="D150" s="12" t="s">
        <v>4752</v>
      </c>
      <c r="E150" s="12" t="s">
        <v>1296</v>
      </c>
      <c r="F150" s="12" t="s">
        <v>1297</v>
      </c>
      <c r="G150" s="12" t="s">
        <v>1298</v>
      </c>
      <c r="H150" s="12" t="s">
        <v>4402</v>
      </c>
      <c r="I150" s="12" t="s">
        <v>3075</v>
      </c>
      <c r="J150" s="12" t="s">
        <v>3093</v>
      </c>
      <c r="K150" s="12" t="s">
        <v>3696</v>
      </c>
      <c r="L150" s="13" t="s">
        <v>3075</v>
      </c>
    </row>
    <row r="151" spans="1:12" hidden="1" x14ac:dyDescent="0.55000000000000004">
      <c r="A151" s="12" t="s">
        <v>2894</v>
      </c>
      <c r="B151" s="12" t="s">
        <v>4374</v>
      </c>
      <c r="C151" s="12" t="s">
        <v>1295</v>
      </c>
      <c r="D151" s="12" t="s">
        <v>4752</v>
      </c>
      <c r="E151" s="12" t="s">
        <v>1299</v>
      </c>
      <c r="F151" s="12" t="s">
        <v>1300</v>
      </c>
      <c r="G151" s="12" t="s">
        <v>1301</v>
      </c>
      <c r="H151" s="12" t="s">
        <v>4402</v>
      </c>
      <c r="I151" s="12" t="s">
        <v>3075</v>
      </c>
      <c r="J151" s="12" t="s">
        <v>3093</v>
      </c>
      <c r="K151" s="12" t="s">
        <v>3697</v>
      </c>
      <c r="L151" s="13" t="s">
        <v>3075</v>
      </c>
    </row>
    <row r="152" spans="1:12" hidden="1" x14ac:dyDescent="0.55000000000000004">
      <c r="A152" s="12" t="s">
        <v>2894</v>
      </c>
      <c r="B152" s="12" t="s">
        <v>4374</v>
      </c>
      <c r="C152" s="12" t="s">
        <v>1295</v>
      </c>
      <c r="D152" s="12" t="s">
        <v>4752</v>
      </c>
      <c r="E152" s="12" t="s">
        <v>1302</v>
      </c>
      <c r="F152" s="12" t="s">
        <v>1303</v>
      </c>
      <c r="G152" s="12" t="s">
        <v>1304</v>
      </c>
      <c r="H152" s="12" t="s">
        <v>4402</v>
      </c>
      <c r="I152" s="12" t="s">
        <v>3075</v>
      </c>
      <c r="J152" s="12" t="s">
        <v>3093</v>
      </c>
      <c r="K152" s="12" t="s">
        <v>3698</v>
      </c>
      <c r="L152" s="13" t="s">
        <v>3075</v>
      </c>
    </row>
    <row r="153" spans="1:12" hidden="1" x14ac:dyDescent="0.55000000000000004">
      <c r="A153" s="12" t="s">
        <v>2894</v>
      </c>
      <c r="B153" s="12" t="s">
        <v>4374</v>
      </c>
      <c r="C153" s="12" t="s">
        <v>1295</v>
      </c>
      <c r="D153" s="12" t="s">
        <v>4752</v>
      </c>
      <c r="E153" s="12" t="s">
        <v>1305</v>
      </c>
      <c r="F153" s="12" t="s">
        <v>1306</v>
      </c>
      <c r="G153" s="12" t="s">
        <v>1307</v>
      </c>
      <c r="H153" s="12" t="s">
        <v>4402</v>
      </c>
      <c r="I153" s="12" t="s">
        <v>3075</v>
      </c>
      <c r="J153" s="12" t="s">
        <v>3093</v>
      </c>
      <c r="K153" s="12" t="s">
        <v>3699</v>
      </c>
      <c r="L153" s="13" t="s">
        <v>3075</v>
      </c>
    </row>
    <row r="154" spans="1:12" hidden="1" x14ac:dyDescent="0.55000000000000004">
      <c r="A154" s="12" t="s">
        <v>2894</v>
      </c>
      <c r="B154" s="12" t="s">
        <v>4374</v>
      </c>
      <c r="C154" s="12" t="s">
        <v>1295</v>
      </c>
      <c r="D154" s="12" t="s">
        <v>4752</v>
      </c>
      <c r="E154" s="12" t="s">
        <v>5682</v>
      </c>
      <c r="F154" s="12" t="s">
        <v>5683</v>
      </c>
      <c r="G154" s="12" t="s">
        <v>5684</v>
      </c>
      <c r="H154" s="12" t="s">
        <v>4402</v>
      </c>
      <c r="I154" s="12" t="s">
        <v>3075</v>
      </c>
      <c r="J154" s="12" t="s">
        <v>3093</v>
      </c>
      <c r="K154" s="12" t="s">
        <v>5685</v>
      </c>
      <c r="L154" s="13" t="s">
        <v>3075</v>
      </c>
    </row>
    <row r="155" spans="1:12" hidden="1" x14ac:dyDescent="0.55000000000000004">
      <c r="A155" s="12" t="s">
        <v>2855</v>
      </c>
      <c r="B155" s="12" t="s">
        <v>4298</v>
      </c>
      <c r="C155" s="12" t="s">
        <v>1352</v>
      </c>
      <c r="D155" s="12" t="s">
        <v>4752</v>
      </c>
      <c r="E155" s="12" t="s">
        <v>1349</v>
      </c>
      <c r="F155" s="12" t="s">
        <v>1350</v>
      </c>
      <c r="G155" s="12" t="s">
        <v>1351</v>
      </c>
      <c r="H155" s="12" t="s">
        <v>4353</v>
      </c>
      <c r="I155" s="12" t="s">
        <v>3075</v>
      </c>
      <c r="J155" s="12" t="s">
        <v>689</v>
      </c>
      <c r="K155" s="12" t="s">
        <v>3713</v>
      </c>
      <c r="L155" s="13" t="s">
        <v>3075</v>
      </c>
    </row>
    <row r="156" spans="1:12" hidden="1" x14ac:dyDescent="0.55000000000000004">
      <c r="A156" s="12" t="s">
        <v>2855</v>
      </c>
      <c r="B156" s="12" t="s">
        <v>4298</v>
      </c>
      <c r="C156" s="12" t="s">
        <v>1352</v>
      </c>
      <c r="D156" s="12" t="s">
        <v>4752</v>
      </c>
      <c r="E156" s="12" t="s">
        <v>1353</v>
      </c>
      <c r="F156" s="12" t="s">
        <v>169</v>
      </c>
      <c r="G156" s="12" t="s">
        <v>1354</v>
      </c>
      <c r="H156" s="12" t="s">
        <v>4353</v>
      </c>
      <c r="I156" s="12" t="s">
        <v>3075</v>
      </c>
      <c r="J156" s="12" t="s">
        <v>689</v>
      </c>
      <c r="K156" s="12" t="s">
        <v>3714</v>
      </c>
      <c r="L156" s="13" t="s">
        <v>3075</v>
      </c>
    </row>
    <row r="157" spans="1:12" hidden="1" x14ac:dyDescent="0.55000000000000004">
      <c r="A157" s="12" t="s">
        <v>2922</v>
      </c>
      <c r="B157" s="12" t="s">
        <v>4422</v>
      </c>
      <c r="C157" s="12" t="s">
        <v>3061</v>
      </c>
      <c r="D157" s="12" t="s">
        <v>4752</v>
      </c>
      <c r="E157" s="12" t="s">
        <v>316</v>
      </c>
      <c r="F157" s="12" t="s">
        <v>317</v>
      </c>
      <c r="G157" s="12" t="s">
        <v>318</v>
      </c>
      <c r="H157" s="12" t="s">
        <v>4440</v>
      </c>
      <c r="I157" s="12" t="s">
        <v>3059</v>
      </c>
      <c r="J157" s="12" t="s">
        <v>338</v>
      </c>
      <c r="K157" s="12" t="s">
        <v>3351</v>
      </c>
      <c r="L157" s="13">
        <v>2</v>
      </c>
    </row>
    <row r="158" spans="1:12" hidden="1" x14ac:dyDescent="0.55000000000000004">
      <c r="A158" s="12" t="s">
        <v>2922</v>
      </c>
      <c r="B158" s="12" t="s">
        <v>4422</v>
      </c>
      <c r="C158" s="12" t="s">
        <v>3061</v>
      </c>
      <c r="D158" s="12" t="s">
        <v>4752</v>
      </c>
      <c r="E158" s="12" t="s">
        <v>319</v>
      </c>
      <c r="F158" s="12" t="s">
        <v>320</v>
      </c>
      <c r="G158" s="12" t="s">
        <v>321</v>
      </c>
      <c r="H158" s="12" t="s">
        <v>4440</v>
      </c>
      <c r="I158" s="12" t="s">
        <v>3059</v>
      </c>
      <c r="J158" s="12" t="s">
        <v>338</v>
      </c>
      <c r="K158" s="12" t="s">
        <v>3352</v>
      </c>
      <c r="L158" s="13">
        <v>2</v>
      </c>
    </row>
    <row r="159" spans="1:12" hidden="1" x14ac:dyDescent="0.55000000000000004">
      <c r="A159" s="12" t="s">
        <v>2922</v>
      </c>
      <c r="B159" s="12" t="s">
        <v>4422</v>
      </c>
      <c r="C159" s="12" t="s">
        <v>3061</v>
      </c>
      <c r="D159" s="12" t="s">
        <v>4752</v>
      </c>
      <c r="E159" s="12" t="s">
        <v>322</v>
      </c>
      <c r="F159" s="12" t="s">
        <v>323</v>
      </c>
      <c r="G159" s="12" t="s">
        <v>324</v>
      </c>
      <c r="H159" s="12" t="s">
        <v>4440</v>
      </c>
      <c r="I159" s="12" t="s">
        <v>3059</v>
      </c>
      <c r="J159" s="12" t="s">
        <v>338</v>
      </c>
      <c r="K159" s="12" t="s">
        <v>3353</v>
      </c>
      <c r="L159" s="13">
        <v>2</v>
      </c>
    </row>
    <row r="160" spans="1:12" hidden="1" x14ac:dyDescent="0.55000000000000004">
      <c r="A160" s="12" t="s">
        <v>2922</v>
      </c>
      <c r="B160" s="12" t="s">
        <v>4422</v>
      </c>
      <c r="C160" s="12" t="s">
        <v>3061</v>
      </c>
      <c r="D160" s="12" t="s">
        <v>4752</v>
      </c>
      <c r="E160" s="12" t="s">
        <v>325</v>
      </c>
      <c r="F160" s="12" t="s">
        <v>326</v>
      </c>
      <c r="G160" s="12" t="s">
        <v>327</v>
      </c>
      <c r="H160" s="12" t="s">
        <v>4440</v>
      </c>
      <c r="I160" s="12" t="s">
        <v>3059</v>
      </c>
      <c r="J160" s="12" t="s">
        <v>338</v>
      </c>
      <c r="K160" s="12" t="s">
        <v>3354</v>
      </c>
      <c r="L160" s="13">
        <v>2</v>
      </c>
    </row>
    <row r="161" spans="1:12" hidden="1" x14ac:dyDescent="0.55000000000000004">
      <c r="A161" s="12" t="s">
        <v>2929</v>
      </c>
      <c r="B161" s="12" t="s">
        <v>4442</v>
      </c>
      <c r="C161" s="12" t="s">
        <v>5117</v>
      </c>
      <c r="D161" s="12" t="s">
        <v>4752</v>
      </c>
      <c r="E161" s="12" t="s">
        <v>649</v>
      </c>
      <c r="F161" s="12" t="s">
        <v>650</v>
      </c>
      <c r="G161" s="12" t="s">
        <v>651</v>
      </c>
      <c r="H161" s="12" t="s">
        <v>4448</v>
      </c>
      <c r="I161" s="12" t="s">
        <v>3075</v>
      </c>
      <c r="J161" s="12" t="s">
        <v>1991</v>
      </c>
      <c r="K161" s="12" t="s">
        <v>3468</v>
      </c>
      <c r="L161" s="13" t="s">
        <v>3075</v>
      </c>
    </row>
    <row r="162" spans="1:12" hidden="1" x14ac:dyDescent="0.55000000000000004">
      <c r="A162" s="12" t="s">
        <v>2929</v>
      </c>
      <c r="B162" s="12" t="s">
        <v>4442</v>
      </c>
      <c r="C162" s="12" t="s">
        <v>5117</v>
      </c>
      <c r="D162" s="12" t="s">
        <v>4752</v>
      </c>
      <c r="E162" s="12" t="s">
        <v>652</v>
      </c>
      <c r="F162" s="12" t="s">
        <v>653</v>
      </c>
      <c r="G162" s="12" t="s">
        <v>651</v>
      </c>
      <c r="H162" s="12" t="s">
        <v>4448</v>
      </c>
      <c r="I162" s="12" t="s">
        <v>3075</v>
      </c>
      <c r="J162" s="12" t="s">
        <v>1991</v>
      </c>
      <c r="K162" s="12" t="s">
        <v>3469</v>
      </c>
      <c r="L162" s="13" t="s">
        <v>3075</v>
      </c>
    </row>
    <row r="163" spans="1:12" hidden="1" x14ac:dyDescent="0.55000000000000004">
      <c r="A163" s="12" t="s">
        <v>2929</v>
      </c>
      <c r="B163" s="12" t="s">
        <v>4442</v>
      </c>
      <c r="C163" s="12" t="s">
        <v>5117</v>
      </c>
      <c r="D163" s="12" t="s">
        <v>4752</v>
      </c>
      <c r="E163" s="12" t="s">
        <v>654</v>
      </c>
      <c r="F163" s="12" t="s">
        <v>615</v>
      </c>
      <c r="G163" s="12" t="s">
        <v>655</v>
      </c>
      <c r="H163" s="12" t="s">
        <v>4448</v>
      </c>
      <c r="I163" s="12" t="s">
        <v>3075</v>
      </c>
      <c r="J163" s="12" t="s">
        <v>1991</v>
      </c>
      <c r="K163" s="12" t="s">
        <v>3470</v>
      </c>
      <c r="L163" s="13" t="s">
        <v>3075</v>
      </c>
    </row>
    <row r="164" spans="1:12" hidden="1" x14ac:dyDescent="0.55000000000000004">
      <c r="A164" s="12" t="s">
        <v>3025</v>
      </c>
      <c r="B164" s="12" t="s">
        <v>4486</v>
      </c>
      <c r="C164" s="12" t="s">
        <v>1935</v>
      </c>
      <c r="D164" s="12" t="s">
        <v>4752</v>
      </c>
      <c r="E164" s="12" t="s">
        <v>1933</v>
      </c>
      <c r="F164" s="12" t="s">
        <v>5118</v>
      </c>
      <c r="G164" s="12" t="s">
        <v>1934</v>
      </c>
      <c r="H164" s="12" t="s">
        <v>5119</v>
      </c>
      <c r="I164" s="12" t="s">
        <v>3075</v>
      </c>
      <c r="J164" s="12" t="s">
        <v>118</v>
      </c>
      <c r="K164" s="12" t="s">
        <v>5120</v>
      </c>
      <c r="L164" s="13" t="s">
        <v>3075</v>
      </c>
    </row>
    <row r="165" spans="1:12" hidden="1" x14ac:dyDescent="0.55000000000000004">
      <c r="A165" s="12" t="s">
        <v>3025</v>
      </c>
      <c r="B165" s="12" t="s">
        <v>4486</v>
      </c>
      <c r="C165" s="12" t="s">
        <v>1935</v>
      </c>
      <c r="D165" s="12" t="s">
        <v>4752</v>
      </c>
      <c r="E165" s="12" t="s">
        <v>1936</v>
      </c>
      <c r="F165" s="12" t="s">
        <v>1937</v>
      </c>
      <c r="G165" s="12" t="s">
        <v>1938</v>
      </c>
      <c r="H165" s="12" t="s">
        <v>5119</v>
      </c>
      <c r="I165" s="12" t="s">
        <v>3059</v>
      </c>
      <c r="J165" s="12" t="s">
        <v>118</v>
      </c>
      <c r="K165" s="12" t="s">
        <v>3928</v>
      </c>
      <c r="L165" s="13">
        <v>2</v>
      </c>
    </row>
    <row r="166" spans="1:12" hidden="1" x14ac:dyDescent="0.55000000000000004">
      <c r="A166" s="12" t="s">
        <v>3025</v>
      </c>
      <c r="B166" s="12" t="s">
        <v>4486</v>
      </c>
      <c r="C166" s="12" t="s">
        <v>1935</v>
      </c>
      <c r="D166" s="12" t="s">
        <v>4752</v>
      </c>
      <c r="E166" s="12" t="s">
        <v>5686</v>
      </c>
      <c r="F166" s="12" t="s">
        <v>719</v>
      </c>
      <c r="G166" s="12" t="s">
        <v>5687</v>
      </c>
      <c r="H166" s="12" t="s">
        <v>5119</v>
      </c>
      <c r="I166" s="12" t="s">
        <v>3075</v>
      </c>
      <c r="J166" s="12" t="s">
        <v>118</v>
      </c>
      <c r="K166" s="12" t="s">
        <v>5688</v>
      </c>
      <c r="L166" s="13" t="s">
        <v>3075</v>
      </c>
    </row>
    <row r="167" spans="1:12" hidden="1" x14ac:dyDescent="0.55000000000000004">
      <c r="A167" s="12" t="s">
        <v>3025</v>
      </c>
      <c r="B167" s="12" t="s">
        <v>4486</v>
      </c>
      <c r="C167" s="12" t="s">
        <v>1935</v>
      </c>
      <c r="D167" s="12" t="s">
        <v>4752</v>
      </c>
      <c r="E167" s="12" t="s">
        <v>5689</v>
      </c>
      <c r="F167" s="12" t="s">
        <v>5690</v>
      </c>
      <c r="G167" s="12" t="s">
        <v>5691</v>
      </c>
      <c r="H167" s="12" t="s">
        <v>5119</v>
      </c>
      <c r="I167" s="12" t="s">
        <v>3075</v>
      </c>
      <c r="J167" s="12" t="s">
        <v>118</v>
      </c>
      <c r="K167" s="12" t="s">
        <v>5692</v>
      </c>
      <c r="L167" s="13" t="s">
        <v>3075</v>
      </c>
    </row>
    <row r="168" spans="1:12" hidden="1" x14ac:dyDescent="0.55000000000000004">
      <c r="A168" s="12" t="s">
        <v>3025</v>
      </c>
      <c r="B168" s="12" t="s">
        <v>4486</v>
      </c>
      <c r="C168" s="12" t="s">
        <v>1935</v>
      </c>
      <c r="D168" s="12" t="s">
        <v>4752</v>
      </c>
      <c r="E168" s="12" t="s">
        <v>5693</v>
      </c>
      <c r="F168" s="12" t="s">
        <v>5694</v>
      </c>
      <c r="G168" s="12" t="s">
        <v>5695</v>
      </c>
      <c r="H168" s="12" t="s">
        <v>5119</v>
      </c>
      <c r="I168" s="12" t="s">
        <v>3075</v>
      </c>
      <c r="J168" s="12" t="s">
        <v>118</v>
      </c>
      <c r="K168" s="12" t="s">
        <v>5696</v>
      </c>
      <c r="L168" s="13" t="s">
        <v>3075</v>
      </c>
    </row>
    <row r="169" spans="1:12" hidden="1" x14ac:dyDescent="0.55000000000000004">
      <c r="A169" s="12" t="s">
        <v>3025</v>
      </c>
      <c r="B169" s="12" t="s">
        <v>4486</v>
      </c>
      <c r="C169" s="12" t="s">
        <v>1935</v>
      </c>
      <c r="D169" s="12" t="s">
        <v>4752</v>
      </c>
      <c r="E169" s="12" t="s">
        <v>5697</v>
      </c>
      <c r="F169" s="12" t="s">
        <v>5698</v>
      </c>
      <c r="G169" s="12" t="s">
        <v>5699</v>
      </c>
      <c r="H169" s="12" t="s">
        <v>5119</v>
      </c>
      <c r="I169" s="12" t="s">
        <v>3075</v>
      </c>
      <c r="J169" s="12" t="s">
        <v>118</v>
      </c>
      <c r="K169" s="12" t="s">
        <v>5700</v>
      </c>
      <c r="L169" s="13" t="s">
        <v>3075</v>
      </c>
    </row>
    <row r="170" spans="1:12" hidden="1" x14ac:dyDescent="0.55000000000000004">
      <c r="A170" s="12" t="s">
        <v>3025</v>
      </c>
      <c r="B170" s="12" t="s">
        <v>4486</v>
      </c>
      <c r="C170" s="12" t="s">
        <v>1935</v>
      </c>
      <c r="D170" s="12" t="s">
        <v>4752</v>
      </c>
      <c r="E170" s="12" t="s">
        <v>5701</v>
      </c>
      <c r="F170" s="12" t="s">
        <v>5702</v>
      </c>
      <c r="G170" s="12" t="s">
        <v>5703</v>
      </c>
      <c r="H170" s="12" t="s">
        <v>5119</v>
      </c>
      <c r="I170" s="12" t="s">
        <v>3075</v>
      </c>
      <c r="J170" s="12" t="s">
        <v>118</v>
      </c>
      <c r="K170" s="12" t="s">
        <v>5704</v>
      </c>
      <c r="L170" s="13" t="s">
        <v>3075</v>
      </c>
    </row>
    <row r="171" spans="1:12" hidden="1" x14ac:dyDescent="0.55000000000000004">
      <c r="A171" s="12" t="s">
        <v>2953</v>
      </c>
      <c r="B171" s="12" t="s">
        <v>4442</v>
      </c>
      <c r="C171" s="12" t="s">
        <v>639</v>
      </c>
      <c r="D171" s="12" t="s">
        <v>4752</v>
      </c>
      <c r="E171" s="12" t="s">
        <v>637</v>
      </c>
      <c r="F171" s="12" t="s">
        <v>638</v>
      </c>
      <c r="G171" s="12" t="s">
        <v>292</v>
      </c>
      <c r="H171" s="12" t="s">
        <v>4474</v>
      </c>
      <c r="I171" s="12" t="s">
        <v>3059</v>
      </c>
      <c r="J171" s="12" t="s">
        <v>1991</v>
      </c>
      <c r="K171" s="12" t="s">
        <v>3463</v>
      </c>
      <c r="L171" s="13">
        <v>7</v>
      </c>
    </row>
    <row r="172" spans="1:12" hidden="1" x14ac:dyDescent="0.55000000000000004">
      <c r="A172" s="12" t="s">
        <v>2953</v>
      </c>
      <c r="B172" s="12" t="s">
        <v>4442</v>
      </c>
      <c r="C172" s="12" t="s">
        <v>639</v>
      </c>
      <c r="D172" s="12" t="s">
        <v>4752</v>
      </c>
      <c r="E172" s="12" t="s">
        <v>640</v>
      </c>
      <c r="F172" s="12" t="s">
        <v>641</v>
      </c>
      <c r="G172" s="12" t="s">
        <v>292</v>
      </c>
      <c r="H172" s="12" t="s">
        <v>4474</v>
      </c>
      <c r="I172" s="12" t="s">
        <v>3059</v>
      </c>
      <c r="J172" s="12" t="s">
        <v>1991</v>
      </c>
      <c r="K172" s="12" t="s">
        <v>3464</v>
      </c>
      <c r="L172" s="13">
        <v>7</v>
      </c>
    </row>
    <row r="173" spans="1:12" hidden="1" x14ac:dyDescent="0.55000000000000004">
      <c r="A173" s="12" t="s">
        <v>2953</v>
      </c>
      <c r="B173" s="12" t="s">
        <v>4442</v>
      </c>
      <c r="C173" s="12" t="s">
        <v>639</v>
      </c>
      <c r="D173" s="12" t="s">
        <v>4752</v>
      </c>
      <c r="E173" s="12" t="s">
        <v>645</v>
      </c>
      <c r="F173" s="12" t="s">
        <v>113</v>
      </c>
      <c r="G173" s="12" t="s">
        <v>646</v>
      </c>
      <c r="H173" s="12" t="s">
        <v>4474</v>
      </c>
      <c r="I173" s="12" t="s">
        <v>3059</v>
      </c>
      <c r="J173" s="12" t="s">
        <v>1991</v>
      </c>
      <c r="K173" s="12" t="s">
        <v>3466</v>
      </c>
      <c r="L173" s="13">
        <v>7</v>
      </c>
    </row>
    <row r="174" spans="1:12" hidden="1" x14ac:dyDescent="0.55000000000000004">
      <c r="A174" s="12" t="s">
        <v>2958</v>
      </c>
      <c r="B174" s="12" t="s">
        <v>4442</v>
      </c>
      <c r="C174" s="12" t="s">
        <v>115</v>
      </c>
      <c r="D174" s="12" t="s">
        <v>4752</v>
      </c>
      <c r="E174" s="12" t="s">
        <v>5121</v>
      </c>
      <c r="F174" s="12" t="s">
        <v>113</v>
      </c>
      <c r="G174" s="12" t="s">
        <v>114</v>
      </c>
      <c r="H174" s="12" t="s">
        <v>4480</v>
      </c>
      <c r="I174" s="12" t="s">
        <v>3059</v>
      </c>
      <c r="J174" s="12" t="s">
        <v>3085</v>
      </c>
      <c r="K174" s="12" t="s">
        <v>3284</v>
      </c>
      <c r="L174" s="13">
        <v>2</v>
      </c>
    </row>
    <row r="175" spans="1:12" hidden="1" x14ac:dyDescent="0.55000000000000004">
      <c r="A175" s="12" t="s">
        <v>2958</v>
      </c>
      <c r="B175" s="12" t="s">
        <v>4442</v>
      </c>
      <c r="C175" s="12" t="s">
        <v>115</v>
      </c>
      <c r="D175" s="12" t="s">
        <v>4752</v>
      </c>
      <c r="E175" s="12" t="s">
        <v>5122</v>
      </c>
      <c r="F175" s="12" t="s">
        <v>116</v>
      </c>
      <c r="G175" s="12" t="s">
        <v>117</v>
      </c>
      <c r="H175" s="12" t="s">
        <v>4480</v>
      </c>
      <c r="I175" s="12" t="s">
        <v>3059</v>
      </c>
      <c r="J175" s="12" t="s">
        <v>3085</v>
      </c>
      <c r="K175" s="12" t="s">
        <v>3285</v>
      </c>
      <c r="L175" s="13">
        <v>2</v>
      </c>
    </row>
    <row r="176" spans="1:12" hidden="1" x14ac:dyDescent="0.55000000000000004">
      <c r="A176" s="12" t="s">
        <v>2958</v>
      </c>
      <c r="B176" s="12" t="s">
        <v>4442</v>
      </c>
      <c r="C176" s="12" t="s">
        <v>115</v>
      </c>
      <c r="D176" s="12" t="s">
        <v>4752</v>
      </c>
      <c r="E176" s="12" t="s">
        <v>1461</v>
      </c>
      <c r="F176" s="12" t="s">
        <v>618</v>
      </c>
      <c r="G176" s="12" t="s">
        <v>1462</v>
      </c>
      <c r="H176" s="12" t="s">
        <v>4480</v>
      </c>
      <c r="I176" s="12" t="s">
        <v>3059</v>
      </c>
      <c r="J176" s="12" t="s">
        <v>3085</v>
      </c>
      <c r="K176" s="12" t="s">
        <v>3754</v>
      </c>
      <c r="L176" s="13">
        <v>2</v>
      </c>
    </row>
    <row r="177" spans="1:12" hidden="1" x14ac:dyDescent="0.55000000000000004">
      <c r="A177" s="12" t="s">
        <v>2958</v>
      </c>
      <c r="B177" s="12" t="s">
        <v>4442</v>
      </c>
      <c r="C177" s="12" t="s">
        <v>115</v>
      </c>
      <c r="D177" s="12" t="s">
        <v>4752</v>
      </c>
      <c r="E177" s="12" t="s">
        <v>1464</v>
      </c>
      <c r="F177" s="12" t="s">
        <v>270</v>
      </c>
      <c r="G177" s="12" t="s">
        <v>1465</v>
      </c>
      <c r="H177" s="12" t="s">
        <v>4480</v>
      </c>
      <c r="I177" s="12" t="s">
        <v>3059</v>
      </c>
      <c r="J177" s="12" t="s">
        <v>3085</v>
      </c>
      <c r="K177" s="12" t="s">
        <v>3755</v>
      </c>
      <c r="L177" s="13">
        <v>2</v>
      </c>
    </row>
    <row r="178" spans="1:12" hidden="1" x14ac:dyDescent="0.55000000000000004">
      <c r="A178" s="12" t="s">
        <v>2958</v>
      </c>
      <c r="B178" s="12" t="s">
        <v>4442</v>
      </c>
      <c r="C178" s="12" t="s">
        <v>115</v>
      </c>
      <c r="D178" s="12" t="s">
        <v>4752</v>
      </c>
      <c r="E178" s="12" t="s">
        <v>1466</v>
      </c>
      <c r="F178" s="12" t="s">
        <v>1467</v>
      </c>
      <c r="G178" s="12" t="s">
        <v>1468</v>
      </c>
      <c r="H178" s="12" t="s">
        <v>4480</v>
      </c>
      <c r="I178" s="12" t="s">
        <v>3059</v>
      </c>
      <c r="J178" s="12" t="s">
        <v>3085</v>
      </c>
      <c r="K178" s="12" t="s">
        <v>3756</v>
      </c>
      <c r="L178" s="13">
        <v>2</v>
      </c>
    </row>
    <row r="179" spans="1:12" hidden="1" x14ac:dyDescent="0.55000000000000004">
      <c r="A179" s="12" t="s">
        <v>2958</v>
      </c>
      <c r="B179" s="12" t="s">
        <v>4442</v>
      </c>
      <c r="C179" s="12" t="s">
        <v>115</v>
      </c>
      <c r="D179" s="12" t="s">
        <v>4752</v>
      </c>
      <c r="E179" s="12" t="s">
        <v>1469</v>
      </c>
      <c r="F179" s="12" t="s">
        <v>1470</v>
      </c>
      <c r="G179" s="12" t="s">
        <v>1471</v>
      </c>
      <c r="H179" s="12" t="s">
        <v>4480</v>
      </c>
      <c r="I179" s="12" t="s">
        <v>3059</v>
      </c>
      <c r="J179" s="12" t="s">
        <v>3085</v>
      </c>
      <c r="K179" s="12" t="s">
        <v>3757</v>
      </c>
      <c r="L179" s="13">
        <v>2</v>
      </c>
    </row>
    <row r="180" spans="1:12" hidden="1" x14ac:dyDescent="0.55000000000000004">
      <c r="A180" s="12" t="s">
        <v>2958</v>
      </c>
      <c r="B180" s="12" t="s">
        <v>4442</v>
      </c>
      <c r="C180" s="12" t="s">
        <v>115</v>
      </c>
      <c r="D180" s="12" t="s">
        <v>4752</v>
      </c>
      <c r="E180" s="12" t="s">
        <v>1487</v>
      </c>
      <c r="F180" s="12" t="s">
        <v>1488</v>
      </c>
      <c r="G180" s="12" t="s">
        <v>1489</v>
      </c>
      <c r="H180" s="12" t="s">
        <v>4480</v>
      </c>
      <c r="I180" s="12" t="s">
        <v>3059</v>
      </c>
      <c r="J180" s="12" t="s">
        <v>3085</v>
      </c>
      <c r="K180" s="12" t="s">
        <v>3762</v>
      </c>
      <c r="L180" s="13">
        <v>2</v>
      </c>
    </row>
    <row r="181" spans="1:12" hidden="1" x14ac:dyDescent="0.55000000000000004">
      <c r="A181" s="12" t="s">
        <v>2958</v>
      </c>
      <c r="B181" s="12" t="s">
        <v>4442</v>
      </c>
      <c r="C181" s="12" t="s">
        <v>115</v>
      </c>
      <c r="D181" s="12" t="s">
        <v>4752</v>
      </c>
      <c r="E181" s="12" t="s">
        <v>5705</v>
      </c>
      <c r="F181" s="12" t="s">
        <v>405</v>
      </c>
      <c r="G181" s="12" t="s">
        <v>5706</v>
      </c>
      <c r="H181" s="12" t="s">
        <v>4480</v>
      </c>
      <c r="I181" s="12" t="s">
        <v>3075</v>
      </c>
      <c r="J181" s="12" t="s">
        <v>3085</v>
      </c>
      <c r="K181" s="12" t="s">
        <v>5707</v>
      </c>
      <c r="L181" s="13" t="s">
        <v>3075</v>
      </c>
    </row>
    <row r="182" spans="1:12" hidden="1" x14ac:dyDescent="0.55000000000000004">
      <c r="A182" s="12" t="s">
        <v>3484</v>
      </c>
      <c r="B182" s="12" t="s">
        <v>4486</v>
      </c>
      <c r="C182" s="12" t="s">
        <v>3135</v>
      </c>
      <c r="D182" s="12" t="s">
        <v>4752</v>
      </c>
      <c r="E182" s="12" t="s">
        <v>4652</v>
      </c>
      <c r="F182" s="12" t="s">
        <v>411</v>
      </c>
      <c r="G182" s="12" t="s">
        <v>4653</v>
      </c>
      <c r="H182" s="12" t="s">
        <v>5123</v>
      </c>
      <c r="I182" s="12" t="s">
        <v>3059</v>
      </c>
      <c r="J182" s="12" t="e">
        <v>#N/A</v>
      </c>
      <c r="K182" s="12" t="s">
        <v>4654</v>
      </c>
      <c r="L182" s="13">
        <v>6</v>
      </c>
    </row>
    <row r="183" spans="1:12" hidden="1" x14ac:dyDescent="0.55000000000000004">
      <c r="A183" s="12" t="s">
        <v>2972</v>
      </c>
      <c r="B183" s="12" t="s">
        <v>4486</v>
      </c>
      <c r="C183" s="12" t="s">
        <v>5124</v>
      </c>
      <c r="D183" s="12" t="s">
        <v>4752</v>
      </c>
      <c r="E183" s="12" t="s">
        <v>3121</v>
      </c>
      <c r="F183" s="12" t="s">
        <v>268</v>
      </c>
      <c r="G183" s="12" t="s">
        <v>3122</v>
      </c>
      <c r="H183" s="12" t="s">
        <v>5125</v>
      </c>
      <c r="I183" s="12" t="s">
        <v>3059</v>
      </c>
      <c r="J183" s="12" t="s">
        <v>1071</v>
      </c>
      <c r="K183" s="12" t="s">
        <v>3335</v>
      </c>
      <c r="L183" s="13">
        <v>9</v>
      </c>
    </row>
    <row r="184" spans="1:12" hidden="1" x14ac:dyDescent="0.55000000000000004">
      <c r="A184" s="12" t="s">
        <v>2972</v>
      </c>
      <c r="B184" s="12" t="s">
        <v>4486</v>
      </c>
      <c r="C184" s="12" t="s">
        <v>5124</v>
      </c>
      <c r="D184" s="12" t="s">
        <v>4752</v>
      </c>
      <c r="E184" s="12" t="s">
        <v>3123</v>
      </c>
      <c r="F184" s="12" t="s">
        <v>960</v>
      </c>
      <c r="G184" s="12" t="s">
        <v>3124</v>
      </c>
      <c r="H184" s="12" t="s">
        <v>5125</v>
      </c>
      <c r="I184" s="12" t="s">
        <v>3059</v>
      </c>
      <c r="J184" s="12" t="s">
        <v>1071</v>
      </c>
      <c r="K184" s="12" t="s">
        <v>4627</v>
      </c>
      <c r="L184" s="13">
        <v>9</v>
      </c>
    </row>
    <row r="185" spans="1:12" hidden="1" x14ac:dyDescent="0.55000000000000004">
      <c r="A185" s="12" t="s">
        <v>2866</v>
      </c>
      <c r="B185" s="12" t="s">
        <v>4298</v>
      </c>
      <c r="C185" s="12" t="s">
        <v>5126</v>
      </c>
      <c r="D185" s="12" t="s">
        <v>4752</v>
      </c>
      <c r="E185" s="12" t="s">
        <v>1532</v>
      </c>
      <c r="F185" s="12" t="s">
        <v>676</v>
      </c>
      <c r="G185" s="12" t="s">
        <v>1533</v>
      </c>
      <c r="H185" s="12" t="s">
        <v>4369</v>
      </c>
      <c r="I185" s="12" t="s">
        <v>3075</v>
      </c>
      <c r="J185" s="12" t="s">
        <v>1404</v>
      </c>
      <c r="K185" s="12" t="s">
        <v>3777</v>
      </c>
      <c r="L185" s="13" t="s">
        <v>3075</v>
      </c>
    </row>
    <row r="186" spans="1:12" hidden="1" x14ac:dyDescent="0.55000000000000004">
      <c r="A186" s="12" t="s">
        <v>2866</v>
      </c>
      <c r="B186" s="12" t="s">
        <v>4298</v>
      </c>
      <c r="C186" s="12" t="s">
        <v>5126</v>
      </c>
      <c r="D186" s="12" t="s">
        <v>4752</v>
      </c>
      <c r="E186" s="12" t="s">
        <v>1537</v>
      </c>
      <c r="F186" s="12" t="s">
        <v>1538</v>
      </c>
      <c r="G186" s="12" t="s">
        <v>1539</v>
      </c>
      <c r="H186" s="12" t="s">
        <v>4369</v>
      </c>
      <c r="I186" s="12" t="s">
        <v>3059</v>
      </c>
      <c r="J186" s="12" t="s">
        <v>1404</v>
      </c>
      <c r="K186" s="12" t="s">
        <v>3779</v>
      </c>
      <c r="L186" s="13">
        <v>6</v>
      </c>
    </row>
    <row r="187" spans="1:12" hidden="1" x14ac:dyDescent="0.55000000000000004">
      <c r="A187" s="12" t="s">
        <v>2866</v>
      </c>
      <c r="B187" s="12" t="s">
        <v>4298</v>
      </c>
      <c r="C187" s="12" t="s">
        <v>5126</v>
      </c>
      <c r="D187" s="12" t="s">
        <v>4752</v>
      </c>
      <c r="E187" s="12" t="s">
        <v>1555</v>
      </c>
      <c r="F187" s="12" t="s">
        <v>1556</v>
      </c>
      <c r="G187" s="12" t="s">
        <v>1557</v>
      </c>
      <c r="H187" s="12" t="s">
        <v>4369</v>
      </c>
      <c r="I187" s="12" t="s">
        <v>3059</v>
      </c>
      <c r="J187" s="12" t="s">
        <v>1404</v>
      </c>
      <c r="K187" s="12" t="s">
        <v>3785</v>
      </c>
      <c r="L187" s="13">
        <v>6</v>
      </c>
    </row>
    <row r="188" spans="1:12" hidden="1" x14ac:dyDescent="0.55000000000000004">
      <c r="A188" s="12" t="s">
        <v>2866</v>
      </c>
      <c r="B188" s="12" t="s">
        <v>4298</v>
      </c>
      <c r="C188" s="12" t="s">
        <v>5126</v>
      </c>
      <c r="D188" s="12" t="s">
        <v>4752</v>
      </c>
      <c r="E188" s="12" t="s">
        <v>1558</v>
      </c>
      <c r="F188" s="12" t="s">
        <v>1559</v>
      </c>
      <c r="G188" s="12" t="s">
        <v>1560</v>
      </c>
      <c r="H188" s="12" t="s">
        <v>4369</v>
      </c>
      <c r="I188" s="12" t="s">
        <v>3059</v>
      </c>
      <c r="J188" s="12" t="s">
        <v>1404</v>
      </c>
      <c r="K188" s="12" t="s">
        <v>3786</v>
      </c>
      <c r="L188" s="13">
        <v>3</v>
      </c>
    </row>
    <row r="189" spans="1:12" hidden="1" x14ac:dyDescent="0.55000000000000004">
      <c r="A189" s="12" t="s">
        <v>2866</v>
      </c>
      <c r="B189" s="12" t="s">
        <v>4298</v>
      </c>
      <c r="C189" s="12" t="s">
        <v>5126</v>
      </c>
      <c r="D189" s="12" t="s">
        <v>4752</v>
      </c>
      <c r="E189" s="12" t="s">
        <v>1564</v>
      </c>
      <c r="F189" s="12" t="s">
        <v>1565</v>
      </c>
      <c r="G189" s="12" t="s">
        <v>1566</v>
      </c>
      <c r="H189" s="12" t="s">
        <v>4369</v>
      </c>
      <c r="I189" s="12" t="s">
        <v>3059</v>
      </c>
      <c r="J189" s="12" t="s">
        <v>1404</v>
      </c>
      <c r="K189" s="12" t="s">
        <v>3788</v>
      </c>
      <c r="L189" s="13">
        <v>5</v>
      </c>
    </row>
    <row r="190" spans="1:12" hidden="1" x14ac:dyDescent="0.55000000000000004">
      <c r="A190" s="12" t="s">
        <v>2866</v>
      </c>
      <c r="B190" s="12" t="s">
        <v>4298</v>
      </c>
      <c r="C190" s="12" t="s">
        <v>5126</v>
      </c>
      <c r="D190" s="12" t="s">
        <v>4752</v>
      </c>
      <c r="E190" s="12" t="s">
        <v>1567</v>
      </c>
      <c r="F190" s="12" t="s">
        <v>1568</v>
      </c>
      <c r="G190" s="12" t="s">
        <v>1569</v>
      </c>
      <c r="H190" s="12" t="s">
        <v>4369</v>
      </c>
      <c r="I190" s="12" t="s">
        <v>3059</v>
      </c>
      <c r="J190" s="12" t="s">
        <v>1404</v>
      </c>
      <c r="K190" s="12" t="s">
        <v>3789</v>
      </c>
      <c r="L190" s="13">
        <v>6</v>
      </c>
    </row>
    <row r="191" spans="1:12" hidden="1" x14ac:dyDescent="0.55000000000000004">
      <c r="A191" s="12" t="s">
        <v>2866</v>
      </c>
      <c r="B191" s="12" t="s">
        <v>4298</v>
      </c>
      <c r="C191" s="12" t="s">
        <v>1531</v>
      </c>
      <c r="D191" s="12" t="s">
        <v>4752</v>
      </c>
      <c r="E191" s="12" t="s">
        <v>1529</v>
      </c>
      <c r="F191" s="12" t="s">
        <v>1463</v>
      </c>
      <c r="G191" s="12" t="s">
        <v>1530</v>
      </c>
      <c r="H191" s="12" t="s">
        <v>4369</v>
      </c>
      <c r="I191" s="12" t="s">
        <v>3059</v>
      </c>
      <c r="J191" s="12" t="s">
        <v>1404</v>
      </c>
      <c r="K191" s="12" t="s">
        <v>3776</v>
      </c>
      <c r="L191" s="13">
        <v>5</v>
      </c>
    </row>
    <row r="192" spans="1:12" hidden="1" x14ac:dyDescent="0.55000000000000004">
      <c r="A192" s="12" t="s">
        <v>2866</v>
      </c>
      <c r="B192" s="12" t="s">
        <v>4298</v>
      </c>
      <c r="C192" s="12" t="s">
        <v>1531</v>
      </c>
      <c r="D192" s="12" t="s">
        <v>4752</v>
      </c>
      <c r="E192" s="12" t="s">
        <v>1534</v>
      </c>
      <c r="F192" s="12" t="s">
        <v>1535</v>
      </c>
      <c r="G192" s="12" t="s">
        <v>1536</v>
      </c>
      <c r="H192" s="12" t="s">
        <v>4369</v>
      </c>
      <c r="I192" s="12" t="s">
        <v>3059</v>
      </c>
      <c r="J192" s="12" t="s">
        <v>1404</v>
      </c>
      <c r="K192" s="12" t="s">
        <v>3778</v>
      </c>
      <c r="L192" s="13">
        <v>6</v>
      </c>
    </row>
    <row r="193" spans="1:12" hidden="1" x14ac:dyDescent="0.55000000000000004">
      <c r="A193" s="12" t="s">
        <v>2866</v>
      </c>
      <c r="B193" s="12" t="s">
        <v>4298</v>
      </c>
      <c r="C193" s="12" t="s">
        <v>1531</v>
      </c>
      <c r="D193" s="12" t="s">
        <v>4752</v>
      </c>
      <c r="E193" s="12" t="s">
        <v>1540</v>
      </c>
      <c r="F193" s="12" t="s">
        <v>1541</v>
      </c>
      <c r="G193" s="12" t="s">
        <v>1542</v>
      </c>
      <c r="H193" s="12" t="s">
        <v>4369</v>
      </c>
      <c r="I193" s="12" t="s">
        <v>3059</v>
      </c>
      <c r="J193" s="12" t="s">
        <v>1404</v>
      </c>
      <c r="K193" s="12" t="s">
        <v>3780</v>
      </c>
      <c r="L193" s="13">
        <v>5</v>
      </c>
    </row>
    <row r="194" spans="1:12" hidden="1" x14ac:dyDescent="0.55000000000000004">
      <c r="A194" s="12" t="s">
        <v>2866</v>
      </c>
      <c r="B194" s="12" t="s">
        <v>4298</v>
      </c>
      <c r="C194" s="12" t="s">
        <v>1531</v>
      </c>
      <c r="D194" s="12" t="s">
        <v>4752</v>
      </c>
      <c r="E194" s="12" t="s">
        <v>1543</v>
      </c>
      <c r="F194" s="12" t="s">
        <v>1544</v>
      </c>
      <c r="G194" s="12" t="s">
        <v>1545</v>
      </c>
      <c r="H194" s="12" t="s">
        <v>4369</v>
      </c>
      <c r="I194" s="12" t="s">
        <v>3059</v>
      </c>
      <c r="J194" s="12" t="s">
        <v>1404</v>
      </c>
      <c r="K194" s="12" t="s">
        <v>3781</v>
      </c>
      <c r="L194" s="13">
        <v>3</v>
      </c>
    </row>
    <row r="195" spans="1:12" hidden="1" x14ac:dyDescent="0.55000000000000004">
      <c r="A195" s="12" t="s">
        <v>2866</v>
      </c>
      <c r="B195" s="12" t="s">
        <v>4298</v>
      </c>
      <c r="C195" s="12" t="s">
        <v>1531</v>
      </c>
      <c r="D195" s="12" t="s">
        <v>4752</v>
      </c>
      <c r="E195" s="12" t="s">
        <v>1546</v>
      </c>
      <c r="F195" s="12" t="s">
        <v>1547</v>
      </c>
      <c r="G195" s="12" t="s">
        <v>1548</v>
      </c>
      <c r="H195" s="12" t="s">
        <v>4369</v>
      </c>
      <c r="I195" s="12" t="s">
        <v>3075</v>
      </c>
      <c r="J195" s="12" t="s">
        <v>1404</v>
      </c>
      <c r="K195" s="12" t="s">
        <v>3782</v>
      </c>
      <c r="L195" s="13" t="s">
        <v>3075</v>
      </c>
    </row>
    <row r="196" spans="1:12" hidden="1" x14ac:dyDescent="0.55000000000000004">
      <c r="A196" s="12" t="s">
        <v>2866</v>
      </c>
      <c r="B196" s="12" t="s">
        <v>4298</v>
      </c>
      <c r="C196" s="12" t="s">
        <v>1531</v>
      </c>
      <c r="D196" s="12" t="s">
        <v>4752</v>
      </c>
      <c r="E196" s="12" t="s">
        <v>1549</v>
      </c>
      <c r="F196" s="12" t="s">
        <v>1550</v>
      </c>
      <c r="G196" s="12" t="s">
        <v>1551</v>
      </c>
      <c r="H196" s="12" t="s">
        <v>4369</v>
      </c>
      <c r="I196" s="12" t="s">
        <v>3059</v>
      </c>
      <c r="J196" s="12" t="s">
        <v>1404</v>
      </c>
      <c r="K196" s="12" t="s">
        <v>3783</v>
      </c>
      <c r="L196" s="13">
        <v>4</v>
      </c>
    </row>
    <row r="197" spans="1:12" hidden="1" x14ac:dyDescent="0.55000000000000004">
      <c r="A197" s="12" t="s">
        <v>2866</v>
      </c>
      <c r="B197" s="12" t="s">
        <v>4298</v>
      </c>
      <c r="C197" s="12" t="s">
        <v>1531</v>
      </c>
      <c r="D197" s="12" t="s">
        <v>4752</v>
      </c>
      <c r="E197" s="12" t="s">
        <v>1552</v>
      </c>
      <c r="F197" s="12" t="s">
        <v>1553</v>
      </c>
      <c r="G197" s="12" t="s">
        <v>1554</v>
      </c>
      <c r="H197" s="12" t="s">
        <v>4369</v>
      </c>
      <c r="I197" s="12" t="s">
        <v>3059</v>
      </c>
      <c r="J197" s="12" t="s">
        <v>1404</v>
      </c>
      <c r="K197" s="12" t="s">
        <v>3784</v>
      </c>
      <c r="L197" s="13">
        <v>5</v>
      </c>
    </row>
    <row r="198" spans="1:12" hidden="1" x14ac:dyDescent="0.55000000000000004">
      <c r="A198" s="12" t="s">
        <v>2866</v>
      </c>
      <c r="B198" s="12" t="s">
        <v>4298</v>
      </c>
      <c r="C198" s="12" t="s">
        <v>1531</v>
      </c>
      <c r="D198" s="12" t="s">
        <v>4752</v>
      </c>
      <c r="E198" s="12" t="s">
        <v>1561</v>
      </c>
      <c r="F198" s="12" t="s">
        <v>1562</v>
      </c>
      <c r="G198" s="12" t="s">
        <v>400</v>
      </c>
      <c r="H198" s="12" t="s">
        <v>4369</v>
      </c>
      <c r="I198" s="12" t="s">
        <v>3075</v>
      </c>
      <c r="J198" s="12" t="s">
        <v>1404</v>
      </c>
      <c r="K198" s="12" t="s">
        <v>3787</v>
      </c>
      <c r="L198" s="13" t="s">
        <v>3075</v>
      </c>
    </row>
    <row r="199" spans="1:12" hidden="1" x14ac:dyDescent="0.55000000000000004">
      <c r="A199" s="12" t="s">
        <v>2866</v>
      </c>
      <c r="B199" s="12" t="s">
        <v>4298</v>
      </c>
      <c r="C199" s="12" t="s">
        <v>1531</v>
      </c>
      <c r="D199" s="12" t="s">
        <v>4752</v>
      </c>
      <c r="E199" s="12" t="s">
        <v>1571</v>
      </c>
      <c r="F199" s="12" t="s">
        <v>1572</v>
      </c>
      <c r="G199" s="12" t="s">
        <v>1573</v>
      </c>
      <c r="H199" s="12" t="s">
        <v>4369</v>
      </c>
      <c r="I199" s="12" t="s">
        <v>3075</v>
      </c>
      <c r="J199" s="12" t="s">
        <v>1404</v>
      </c>
      <c r="K199" s="12" t="s">
        <v>3791</v>
      </c>
      <c r="L199" s="13" t="s">
        <v>3075</v>
      </c>
    </row>
    <row r="200" spans="1:12" hidden="1" x14ac:dyDescent="0.55000000000000004">
      <c r="A200" s="12" t="s">
        <v>2866</v>
      </c>
      <c r="B200" s="12" t="s">
        <v>4298</v>
      </c>
      <c r="C200" s="12" t="s">
        <v>1531</v>
      </c>
      <c r="D200" s="12" t="s">
        <v>4752</v>
      </c>
      <c r="E200" s="12" t="s">
        <v>5708</v>
      </c>
      <c r="F200" s="12" t="s">
        <v>1563</v>
      </c>
      <c r="G200" s="12" t="s">
        <v>5709</v>
      </c>
      <c r="H200" s="12" t="s">
        <v>4369</v>
      </c>
      <c r="I200" s="12" t="s">
        <v>3075</v>
      </c>
      <c r="J200" s="12" t="s">
        <v>1404</v>
      </c>
      <c r="K200" s="12" t="s">
        <v>5710</v>
      </c>
      <c r="L200" s="13" t="s">
        <v>3075</v>
      </c>
    </row>
    <row r="201" spans="1:12" hidden="1" x14ac:dyDescent="0.55000000000000004">
      <c r="A201" s="12" t="s">
        <v>2871</v>
      </c>
      <c r="B201" s="12" t="s">
        <v>4374</v>
      </c>
      <c r="C201" s="12" t="s">
        <v>5127</v>
      </c>
      <c r="D201" s="12" t="s">
        <v>4752</v>
      </c>
      <c r="E201" s="12" t="s">
        <v>1167</v>
      </c>
      <c r="F201" s="12" t="s">
        <v>1168</v>
      </c>
      <c r="G201" s="12" t="s">
        <v>1169</v>
      </c>
      <c r="H201" s="12" t="s">
        <v>4375</v>
      </c>
      <c r="I201" s="12" t="s">
        <v>3075</v>
      </c>
      <c r="J201" s="12" t="s">
        <v>3093</v>
      </c>
      <c r="K201" s="12" t="s">
        <v>3651</v>
      </c>
      <c r="L201" s="13" t="s">
        <v>3075</v>
      </c>
    </row>
    <row r="202" spans="1:12" hidden="1" x14ac:dyDescent="0.55000000000000004">
      <c r="A202" s="12" t="s">
        <v>2871</v>
      </c>
      <c r="B202" s="12" t="s">
        <v>4374</v>
      </c>
      <c r="C202" s="12" t="s">
        <v>5127</v>
      </c>
      <c r="D202" s="12" t="s">
        <v>4752</v>
      </c>
      <c r="E202" s="12" t="s">
        <v>1170</v>
      </c>
      <c r="F202" s="12" t="s">
        <v>1171</v>
      </c>
      <c r="G202" s="12" t="s">
        <v>1172</v>
      </c>
      <c r="H202" s="12" t="s">
        <v>4375</v>
      </c>
      <c r="I202" s="12" t="s">
        <v>3075</v>
      </c>
      <c r="J202" s="12" t="s">
        <v>3093</v>
      </c>
      <c r="K202" s="12" t="s">
        <v>3652</v>
      </c>
      <c r="L202" s="13" t="s">
        <v>3075</v>
      </c>
    </row>
    <row r="203" spans="1:12" hidden="1" x14ac:dyDescent="0.55000000000000004">
      <c r="A203" s="12" t="s">
        <v>2891</v>
      </c>
      <c r="B203" s="12" t="s">
        <v>4374</v>
      </c>
      <c r="C203" s="12" t="s">
        <v>5128</v>
      </c>
      <c r="D203" s="12" t="s">
        <v>4752</v>
      </c>
      <c r="E203" s="12" t="s">
        <v>1245</v>
      </c>
      <c r="F203" s="12" t="s">
        <v>568</v>
      </c>
      <c r="G203" s="12" t="s">
        <v>1246</v>
      </c>
      <c r="H203" s="12" t="s">
        <v>4399</v>
      </c>
      <c r="I203" s="12" t="s">
        <v>3075</v>
      </c>
      <c r="J203" s="12" t="s">
        <v>3093</v>
      </c>
      <c r="K203" s="12" t="s">
        <v>3677</v>
      </c>
      <c r="L203" s="13" t="s">
        <v>3075</v>
      </c>
    </row>
    <row r="204" spans="1:12" hidden="1" x14ac:dyDescent="0.55000000000000004">
      <c r="A204" s="12" t="s">
        <v>2891</v>
      </c>
      <c r="B204" s="12" t="s">
        <v>4374</v>
      </c>
      <c r="C204" s="12" t="s">
        <v>5128</v>
      </c>
      <c r="D204" s="12" t="s">
        <v>4752</v>
      </c>
      <c r="E204" s="12" t="s">
        <v>1247</v>
      </c>
      <c r="F204" s="12" t="s">
        <v>136</v>
      </c>
      <c r="G204" s="12" t="s">
        <v>1248</v>
      </c>
      <c r="H204" s="12" t="s">
        <v>4399</v>
      </c>
      <c r="I204" s="12" t="s">
        <v>3075</v>
      </c>
      <c r="J204" s="12" t="s">
        <v>3093</v>
      </c>
      <c r="K204" s="12" t="s">
        <v>3678</v>
      </c>
      <c r="L204" s="13" t="s">
        <v>3075</v>
      </c>
    </row>
    <row r="205" spans="1:12" hidden="1" x14ac:dyDescent="0.55000000000000004">
      <c r="A205" s="12" t="s">
        <v>2891</v>
      </c>
      <c r="B205" s="12" t="s">
        <v>4374</v>
      </c>
      <c r="C205" s="12" t="s">
        <v>5128</v>
      </c>
      <c r="D205" s="12" t="s">
        <v>4752</v>
      </c>
      <c r="E205" s="12" t="s">
        <v>1249</v>
      </c>
      <c r="F205" s="12" t="s">
        <v>1117</v>
      </c>
      <c r="G205" s="12" t="s">
        <v>1250</v>
      </c>
      <c r="H205" s="12" t="s">
        <v>4399</v>
      </c>
      <c r="I205" s="12" t="s">
        <v>3075</v>
      </c>
      <c r="J205" s="12" t="s">
        <v>3093</v>
      </c>
      <c r="K205" s="12" t="s">
        <v>3679</v>
      </c>
      <c r="L205" s="13" t="s">
        <v>3075</v>
      </c>
    </row>
    <row r="206" spans="1:12" hidden="1" x14ac:dyDescent="0.55000000000000004">
      <c r="A206" s="12" t="s">
        <v>2891</v>
      </c>
      <c r="B206" s="12" t="s">
        <v>4374</v>
      </c>
      <c r="C206" s="12" t="s">
        <v>5128</v>
      </c>
      <c r="D206" s="12" t="s">
        <v>4752</v>
      </c>
      <c r="E206" s="12" t="s">
        <v>1251</v>
      </c>
      <c r="F206" s="12" t="s">
        <v>547</v>
      </c>
      <c r="G206" s="12" t="s">
        <v>1252</v>
      </c>
      <c r="H206" s="12" t="s">
        <v>4399</v>
      </c>
      <c r="I206" s="12" t="s">
        <v>3059</v>
      </c>
      <c r="J206" s="12" t="s">
        <v>3093</v>
      </c>
      <c r="K206" s="12" t="s">
        <v>3680</v>
      </c>
      <c r="L206" s="13">
        <v>3</v>
      </c>
    </row>
    <row r="207" spans="1:12" hidden="1" x14ac:dyDescent="0.55000000000000004">
      <c r="A207" s="12" t="s">
        <v>2891</v>
      </c>
      <c r="B207" s="12" t="s">
        <v>4374</v>
      </c>
      <c r="C207" s="12" t="s">
        <v>5128</v>
      </c>
      <c r="D207" s="12" t="s">
        <v>4752</v>
      </c>
      <c r="E207" s="12" t="s">
        <v>1253</v>
      </c>
      <c r="F207" s="12" t="s">
        <v>1254</v>
      </c>
      <c r="G207" s="12" t="s">
        <v>1255</v>
      </c>
      <c r="H207" s="12" t="s">
        <v>4399</v>
      </c>
      <c r="I207" s="12" t="s">
        <v>3059</v>
      </c>
      <c r="J207" s="12" t="s">
        <v>3093</v>
      </c>
      <c r="K207" s="12" t="s">
        <v>3681</v>
      </c>
      <c r="L207" s="13">
        <v>3</v>
      </c>
    </row>
    <row r="208" spans="1:12" hidden="1" x14ac:dyDescent="0.55000000000000004">
      <c r="A208" s="12" t="s">
        <v>2891</v>
      </c>
      <c r="B208" s="12" t="s">
        <v>4374</v>
      </c>
      <c r="C208" s="12" t="s">
        <v>5128</v>
      </c>
      <c r="D208" s="12" t="s">
        <v>4752</v>
      </c>
      <c r="E208" s="12" t="s">
        <v>1256</v>
      </c>
      <c r="F208" s="12" t="s">
        <v>1257</v>
      </c>
      <c r="G208" s="12" t="s">
        <v>1258</v>
      </c>
      <c r="H208" s="12" t="s">
        <v>4399</v>
      </c>
      <c r="I208" s="12" t="s">
        <v>3075</v>
      </c>
      <c r="J208" s="12" t="s">
        <v>3093</v>
      </c>
      <c r="K208" s="12" t="s">
        <v>3682</v>
      </c>
      <c r="L208" s="13" t="s">
        <v>3075</v>
      </c>
    </row>
    <row r="209" spans="1:12" hidden="1" x14ac:dyDescent="0.55000000000000004">
      <c r="A209" s="12" t="s">
        <v>2880</v>
      </c>
      <c r="B209" s="12" t="s">
        <v>4374</v>
      </c>
      <c r="C209" s="12" t="s">
        <v>5129</v>
      </c>
      <c r="D209" s="12" t="s">
        <v>4752</v>
      </c>
      <c r="E209" s="12" t="s">
        <v>1315</v>
      </c>
      <c r="F209" s="12" t="s">
        <v>1316</v>
      </c>
      <c r="G209" s="12" t="s">
        <v>1317</v>
      </c>
      <c r="H209" s="12" t="s">
        <v>823</v>
      </c>
      <c r="I209" s="12" t="s">
        <v>3059</v>
      </c>
      <c r="J209" s="12" t="s">
        <v>3095</v>
      </c>
      <c r="K209" s="12" t="s">
        <v>3702</v>
      </c>
      <c r="L209" s="13">
        <v>3</v>
      </c>
    </row>
    <row r="210" spans="1:12" hidden="1" x14ac:dyDescent="0.55000000000000004">
      <c r="A210" s="12" t="s">
        <v>2880</v>
      </c>
      <c r="B210" s="12" t="s">
        <v>4374</v>
      </c>
      <c r="C210" s="12" t="s">
        <v>5129</v>
      </c>
      <c r="D210" s="12" t="s">
        <v>4752</v>
      </c>
      <c r="E210" s="12" t="s">
        <v>1318</v>
      </c>
      <c r="F210" s="12" t="s">
        <v>1319</v>
      </c>
      <c r="G210" s="12" t="s">
        <v>1320</v>
      </c>
      <c r="H210" s="12" t="s">
        <v>823</v>
      </c>
      <c r="I210" s="12" t="s">
        <v>3059</v>
      </c>
      <c r="J210" s="12" t="s">
        <v>3095</v>
      </c>
      <c r="K210" s="12" t="s">
        <v>3703</v>
      </c>
      <c r="L210" s="13">
        <v>3</v>
      </c>
    </row>
    <row r="211" spans="1:12" hidden="1" x14ac:dyDescent="0.55000000000000004">
      <c r="A211" s="12" t="s">
        <v>2880</v>
      </c>
      <c r="B211" s="12" t="s">
        <v>4374</v>
      </c>
      <c r="C211" s="12" t="s">
        <v>5129</v>
      </c>
      <c r="D211" s="12" t="s">
        <v>4752</v>
      </c>
      <c r="E211" s="12" t="s">
        <v>1321</v>
      </c>
      <c r="F211" s="12" t="s">
        <v>1071</v>
      </c>
      <c r="G211" s="12" t="s">
        <v>1322</v>
      </c>
      <c r="H211" s="12" t="s">
        <v>823</v>
      </c>
      <c r="I211" s="12" t="s">
        <v>3059</v>
      </c>
      <c r="J211" s="12" t="s">
        <v>3095</v>
      </c>
      <c r="K211" s="12" t="s">
        <v>3704</v>
      </c>
      <c r="L211" s="13">
        <v>3</v>
      </c>
    </row>
    <row r="212" spans="1:12" hidden="1" x14ac:dyDescent="0.55000000000000004">
      <c r="A212" s="12" t="s">
        <v>2880</v>
      </c>
      <c r="B212" s="12" t="s">
        <v>4374</v>
      </c>
      <c r="C212" s="12" t="s">
        <v>5129</v>
      </c>
      <c r="D212" s="12" t="s">
        <v>4752</v>
      </c>
      <c r="E212" s="12" t="s">
        <v>1323</v>
      </c>
      <c r="F212" s="12" t="s">
        <v>292</v>
      </c>
      <c r="G212" s="12" t="s">
        <v>1324</v>
      </c>
      <c r="H212" s="12" t="s">
        <v>823</v>
      </c>
      <c r="I212" s="12" t="s">
        <v>3059</v>
      </c>
      <c r="J212" s="12" t="s">
        <v>3095</v>
      </c>
      <c r="K212" s="12" t="s">
        <v>3705</v>
      </c>
      <c r="L212" s="13">
        <v>3</v>
      </c>
    </row>
    <row r="213" spans="1:12" hidden="1" x14ac:dyDescent="0.55000000000000004">
      <c r="A213" s="12" t="s">
        <v>2880</v>
      </c>
      <c r="B213" s="12" t="s">
        <v>4374</v>
      </c>
      <c r="C213" s="12" t="s">
        <v>5129</v>
      </c>
      <c r="D213" s="12" t="s">
        <v>4752</v>
      </c>
      <c r="E213" s="12" t="s">
        <v>1325</v>
      </c>
      <c r="F213" s="12" t="s">
        <v>1326</v>
      </c>
      <c r="G213" s="12" t="s">
        <v>1327</v>
      </c>
      <c r="H213" s="12" t="s">
        <v>823</v>
      </c>
      <c r="I213" s="12" t="s">
        <v>3059</v>
      </c>
      <c r="J213" s="12" t="s">
        <v>3095</v>
      </c>
      <c r="K213" s="12" t="s">
        <v>3706</v>
      </c>
      <c r="L213" s="13">
        <v>3</v>
      </c>
    </row>
    <row r="214" spans="1:12" hidden="1" x14ac:dyDescent="0.55000000000000004">
      <c r="A214" s="12" t="s">
        <v>2880</v>
      </c>
      <c r="B214" s="12" t="s">
        <v>4374</v>
      </c>
      <c r="C214" s="12" t="s">
        <v>5129</v>
      </c>
      <c r="D214" s="12" t="s">
        <v>4752</v>
      </c>
      <c r="E214" s="12" t="s">
        <v>1328</v>
      </c>
      <c r="F214" s="12" t="s">
        <v>1329</v>
      </c>
      <c r="G214" s="12" t="s">
        <v>1330</v>
      </c>
      <c r="H214" s="12" t="s">
        <v>823</v>
      </c>
      <c r="I214" s="12" t="s">
        <v>3059</v>
      </c>
      <c r="J214" s="12" t="s">
        <v>3095</v>
      </c>
      <c r="K214" s="12" t="s">
        <v>3707</v>
      </c>
      <c r="L214" s="13">
        <v>3</v>
      </c>
    </row>
    <row r="215" spans="1:12" hidden="1" x14ac:dyDescent="0.55000000000000004">
      <c r="A215" s="12" t="s">
        <v>2880</v>
      </c>
      <c r="B215" s="12" t="s">
        <v>4374</v>
      </c>
      <c r="C215" s="12" t="s">
        <v>5129</v>
      </c>
      <c r="D215" s="12" t="s">
        <v>4752</v>
      </c>
      <c r="E215" s="12" t="s">
        <v>1331</v>
      </c>
      <c r="F215" s="12" t="s">
        <v>1332</v>
      </c>
      <c r="G215" s="12" t="s">
        <v>1333</v>
      </c>
      <c r="H215" s="12" t="s">
        <v>823</v>
      </c>
      <c r="I215" s="12" t="s">
        <v>3059</v>
      </c>
      <c r="J215" s="12" t="s">
        <v>3095</v>
      </c>
      <c r="K215" s="12" t="s">
        <v>3708</v>
      </c>
      <c r="L215" s="13">
        <v>3</v>
      </c>
    </row>
    <row r="216" spans="1:12" hidden="1" x14ac:dyDescent="0.55000000000000004">
      <c r="A216" s="12" t="s">
        <v>2880</v>
      </c>
      <c r="B216" s="12" t="s">
        <v>4374</v>
      </c>
      <c r="C216" s="12" t="s">
        <v>5129</v>
      </c>
      <c r="D216" s="12" t="s">
        <v>4752</v>
      </c>
      <c r="E216" s="12" t="s">
        <v>1334</v>
      </c>
      <c r="F216" s="12" t="s">
        <v>1335</v>
      </c>
      <c r="G216" s="12" t="s">
        <v>1336</v>
      </c>
      <c r="H216" s="12" t="s">
        <v>823</v>
      </c>
      <c r="I216" s="12" t="s">
        <v>3059</v>
      </c>
      <c r="J216" s="12" t="s">
        <v>3095</v>
      </c>
      <c r="K216" s="12" t="s">
        <v>3709</v>
      </c>
      <c r="L216" s="13">
        <v>3</v>
      </c>
    </row>
    <row r="217" spans="1:12" hidden="1" x14ac:dyDescent="0.55000000000000004">
      <c r="A217" s="12" t="s">
        <v>3010</v>
      </c>
      <c r="B217" s="12" t="s">
        <v>4486</v>
      </c>
      <c r="C217" s="12" t="s">
        <v>913</v>
      </c>
      <c r="D217" s="12" t="s">
        <v>4752</v>
      </c>
      <c r="E217" s="12" t="s">
        <v>4665</v>
      </c>
      <c r="F217" s="12" t="s">
        <v>308</v>
      </c>
      <c r="G217" s="12" t="s">
        <v>4666</v>
      </c>
      <c r="H217" s="12" t="s">
        <v>5130</v>
      </c>
      <c r="I217" s="12" t="s">
        <v>3059</v>
      </c>
      <c r="J217" s="12" t="s">
        <v>3089</v>
      </c>
      <c r="K217" s="12" t="s">
        <v>4667</v>
      </c>
      <c r="L217" s="13">
        <v>9</v>
      </c>
    </row>
    <row r="218" spans="1:12" hidden="1" x14ac:dyDescent="0.55000000000000004">
      <c r="A218" s="12" t="s">
        <v>3010</v>
      </c>
      <c r="B218" s="12" t="s">
        <v>4486</v>
      </c>
      <c r="C218" s="12" t="s">
        <v>913</v>
      </c>
      <c r="D218" s="12" t="s">
        <v>4752</v>
      </c>
      <c r="E218" s="12" t="s">
        <v>910</v>
      </c>
      <c r="F218" s="12" t="s">
        <v>911</v>
      </c>
      <c r="G218" s="12" t="s">
        <v>912</v>
      </c>
      <c r="H218" s="12" t="s">
        <v>5130</v>
      </c>
      <c r="I218" s="12" t="s">
        <v>3059</v>
      </c>
      <c r="J218" s="12" t="s">
        <v>3089</v>
      </c>
      <c r="K218" s="12" t="s">
        <v>3560</v>
      </c>
      <c r="L218" s="13">
        <v>9</v>
      </c>
    </row>
    <row r="219" spans="1:12" hidden="1" x14ac:dyDescent="0.55000000000000004">
      <c r="A219" s="12" t="s">
        <v>3010</v>
      </c>
      <c r="B219" s="12" t="s">
        <v>4486</v>
      </c>
      <c r="C219" s="12" t="s">
        <v>913</v>
      </c>
      <c r="D219" s="12" t="s">
        <v>4752</v>
      </c>
      <c r="E219" s="12" t="s">
        <v>914</v>
      </c>
      <c r="F219" s="12" t="s">
        <v>266</v>
      </c>
      <c r="G219" s="12" t="s">
        <v>915</v>
      </c>
      <c r="H219" s="12" t="s">
        <v>5130</v>
      </c>
      <c r="I219" s="12" t="s">
        <v>3059</v>
      </c>
      <c r="J219" s="12" t="s">
        <v>3089</v>
      </c>
      <c r="K219" s="12" t="s">
        <v>3561</v>
      </c>
      <c r="L219" s="13">
        <v>9</v>
      </c>
    </row>
    <row r="220" spans="1:12" hidden="1" x14ac:dyDescent="0.55000000000000004">
      <c r="A220" s="12" t="s">
        <v>3010</v>
      </c>
      <c r="B220" s="12" t="s">
        <v>4486</v>
      </c>
      <c r="C220" s="12" t="s">
        <v>913</v>
      </c>
      <c r="D220" s="12" t="s">
        <v>4752</v>
      </c>
      <c r="E220" s="12" t="s">
        <v>916</v>
      </c>
      <c r="F220" s="12" t="s">
        <v>917</v>
      </c>
      <c r="G220" s="12" t="s">
        <v>918</v>
      </c>
      <c r="H220" s="12" t="s">
        <v>5130</v>
      </c>
      <c r="I220" s="12" t="s">
        <v>3059</v>
      </c>
      <c r="J220" s="12" t="s">
        <v>3089</v>
      </c>
      <c r="K220" s="12" t="s">
        <v>3562</v>
      </c>
      <c r="L220" s="13">
        <v>9</v>
      </c>
    </row>
    <row r="221" spans="1:12" hidden="1" x14ac:dyDescent="0.55000000000000004">
      <c r="A221" s="12" t="s">
        <v>3010</v>
      </c>
      <c r="B221" s="12" t="s">
        <v>4486</v>
      </c>
      <c r="C221" s="12" t="s">
        <v>913</v>
      </c>
      <c r="D221" s="12" t="s">
        <v>4752</v>
      </c>
      <c r="E221" s="12" t="s">
        <v>919</v>
      </c>
      <c r="F221" s="12" t="s">
        <v>1871</v>
      </c>
      <c r="G221" s="12" t="s">
        <v>4668</v>
      </c>
      <c r="H221" s="12" t="s">
        <v>5130</v>
      </c>
      <c r="I221" s="12" t="s">
        <v>3059</v>
      </c>
      <c r="J221" s="12" t="s">
        <v>3089</v>
      </c>
      <c r="K221" s="12" t="s">
        <v>4669</v>
      </c>
      <c r="L221" s="13">
        <v>9</v>
      </c>
    </row>
    <row r="222" spans="1:12" hidden="1" x14ac:dyDescent="0.55000000000000004">
      <c r="A222" s="12" t="s">
        <v>3010</v>
      </c>
      <c r="B222" s="12" t="s">
        <v>4486</v>
      </c>
      <c r="C222" s="12" t="s">
        <v>913</v>
      </c>
      <c r="D222" s="12" t="s">
        <v>4752</v>
      </c>
      <c r="E222" s="12" t="s">
        <v>920</v>
      </c>
      <c r="F222" s="12" t="s">
        <v>921</v>
      </c>
      <c r="G222" s="12" t="s">
        <v>922</v>
      </c>
      <c r="H222" s="12" t="s">
        <v>5130</v>
      </c>
      <c r="I222" s="12" t="s">
        <v>3059</v>
      </c>
      <c r="J222" s="12" t="s">
        <v>3089</v>
      </c>
      <c r="K222" s="12" t="s">
        <v>3563</v>
      </c>
      <c r="L222" s="13">
        <v>9</v>
      </c>
    </row>
    <row r="223" spans="1:12" hidden="1" x14ac:dyDescent="0.55000000000000004">
      <c r="A223" s="12" t="s">
        <v>3010</v>
      </c>
      <c r="B223" s="12" t="s">
        <v>4486</v>
      </c>
      <c r="C223" s="12" t="s">
        <v>913</v>
      </c>
      <c r="D223" s="12" t="s">
        <v>4752</v>
      </c>
      <c r="E223" s="12" t="s">
        <v>5560</v>
      </c>
      <c r="F223" s="12" t="s">
        <v>5561</v>
      </c>
      <c r="G223" s="12" t="s">
        <v>5562</v>
      </c>
      <c r="H223" s="12" t="s">
        <v>5130</v>
      </c>
      <c r="I223" s="12" t="s">
        <v>3059</v>
      </c>
      <c r="J223" s="12" t="s">
        <v>3089</v>
      </c>
      <c r="K223" s="12" t="s">
        <v>5563</v>
      </c>
      <c r="L223" s="13">
        <v>9</v>
      </c>
    </row>
    <row r="224" spans="1:12" hidden="1" x14ac:dyDescent="0.55000000000000004">
      <c r="A224" s="12" t="s">
        <v>2923</v>
      </c>
      <c r="B224" s="12" t="s">
        <v>4422</v>
      </c>
      <c r="C224" s="12" t="s">
        <v>3067</v>
      </c>
      <c r="D224" s="12" t="s">
        <v>4752</v>
      </c>
      <c r="E224" s="12" t="s">
        <v>2200</v>
      </c>
      <c r="F224" s="12" t="s">
        <v>161</v>
      </c>
      <c r="G224" s="12" t="s">
        <v>2201</v>
      </c>
      <c r="H224" s="12" t="s">
        <v>4441</v>
      </c>
      <c r="I224" s="12" t="s">
        <v>3059</v>
      </c>
      <c r="J224" s="12" t="s">
        <v>338</v>
      </c>
      <c r="K224" s="12" t="s">
        <v>4030</v>
      </c>
      <c r="L224" s="13">
        <v>2</v>
      </c>
    </row>
    <row r="225" spans="1:12" hidden="1" x14ac:dyDescent="0.55000000000000004">
      <c r="A225" s="12" t="s">
        <v>2923</v>
      </c>
      <c r="B225" s="12" t="s">
        <v>4422</v>
      </c>
      <c r="C225" s="12" t="s">
        <v>3067</v>
      </c>
      <c r="D225" s="12" t="s">
        <v>4752</v>
      </c>
      <c r="E225" s="12" t="s">
        <v>2203</v>
      </c>
      <c r="F225" s="12" t="s">
        <v>2204</v>
      </c>
      <c r="G225" s="12" t="s">
        <v>2205</v>
      </c>
      <c r="H225" s="12" t="s">
        <v>4441</v>
      </c>
      <c r="I225" s="12" t="s">
        <v>3059</v>
      </c>
      <c r="J225" s="12" t="s">
        <v>338</v>
      </c>
      <c r="K225" s="12" t="s">
        <v>4031</v>
      </c>
      <c r="L225" s="13">
        <v>2</v>
      </c>
    </row>
    <row r="226" spans="1:12" hidden="1" x14ac:dyDescent="0.55000000000000004">
      <c r="A226" s="12" t="s">
        <v>2923</v>
      </c>
      <c r="B226" s="12" t="s">
        <v>4422</v>
      </c>
      <c r="C226" s="12" t="s">
        <v>3067</v>
      </c>
      <c r="D226" s="12" t="s">
        <v>4752</v>
      </c>
      <c r="E226" s="12" t="s">
        <v>2206</v>
      </c>
      <c r="F226" s="12" t="s">
        <v>2207</v>
      </c>
      <c r="G226" s="12" t="s">
        <v>2208</v>
      </c>
      <c r="H226" s="12" t="s">
        <v>4441</v>
      </c>
      <c r="I226" s="12" t="s">
        <v>3059</v>
      </c>
      <c r="J226" s="12" t="s">
        <v>338</v>
      </c>
      <c r="K226" s="12" t="s">
        <v>4032</v>
      </c>
      <c r="L226" s="13">
        <v>2</v>
      </c>
    </row>
    <row r="227" spans="1:12" hidden="1" x14ac:dyDescent="0.55000000000000004">
      <c r="A227" s="12" t="s">
        <v>2923</v>
      </c>
      <c r="B227" s="12" t="s">
        <v>4422</v>
      </c>
      <c r="C227" s="12" t="s">
        <v>3067</v>
      </c>
      <c r="D227" s="12" t="s">
        <v>4752</v>
      </c>
      <c r="E227" s="12" t="s">
        <v>2210</v>
      </c>
      <c r="F227" s="12" t="s">
        <v>2211</v>
      </c>
      <c r="G227" s="12" t="s">
        <v>2209</v>
      </c>
      <c r="H227" s="12" t="s">
        <v>4441</v>
      </c>
      <c r="I227" s="12" t="s">
        <v>3059</v>
      </c>
      <c r="J227" s="12" t="s">
        <v>338</v>
      </c>
      <c r="K227" s="12" t="s">
        <v>4033</v>
      </c>
      <c r="L227" s="13">
        <v>3</v>
      </c>
    </row>
    <row r="228" spans="1:12" hidden="1" x14ac:dyDescent="0.55000000000000004">
      <c r="A228" s="12" t="s">
        <v>2923</v>
      </c>
      <c r="B228" s="12" t="s">
        <v>4422</v>
      </c>
      <c r="C228" s="12" t="s">
        <v>3067</v>
      </c>
      <c r="D228" s="12" t="s">
        <v>4752</v>
      </c>
      <c r="E228" s="12" t="s">
        <v>2212</v>
      </c>
      <c r="F228" s="12" t="s">
        <v>2213</v>
      </c>
      <c r="G228" s="12" t="s">
        <v>2214</v>
      </c>
      <c r="H228" s="12" t="s">
        <v>4441</v>
      </c>
      <c r="I228" s="12" t="s">
        <v>3059</v>
      </c>
      <c r="J228" s="12" t="s">
        <v>338</v>
      </c>
      <c r="K228" s="12" t="s">
        <v>4034</v>
      </c>
      <c r="L228" s="13">
        <v>2</v>
      </c>
    </row>
    <row r="229" spans="1:12" hidden="1" x14ac:dyDescent="0.55000000000000004">
      <c r="A229" s="12" t="s">
        <v>2923</v>
      </c>
      <c r="B229" s="12" t="s">
        <v>4422</v>
      </c>
      <c r="C229" s="12" t="s">
        <v>3067</v>
      </c>
      <c r="D229" s="12" t="s">
        <v>4752</v>
      </c>
      <c r="E229" s="12" t="s">
        <v>5711</v>
      </c>
      <c r="F229" s="12" t="s">
        <v>5712</v>
      </c>
      <c r="G229" s="12" t="s">
        <v>5713</v>
      </c>
      <c r="H229" s="12" t="s">
        <v>4441</v>
      </c>
      <c r="I229" s="12" t="s">
        <v>3075</v>
      </c>
      <c r="J229" s="12" t="s">
        <v>338</v>
      </c>
      <c r="K229" s="12" t="s">
        <v>5714</v>
      </c>
      <c r="L229" s="13" t="s">
        <v>3075</v>
      </c>
    </row>
    <row r="230" spans="1:12" hidden="1" x14ac:dyDescent="0.55000000000000004">
      <c r="A230" s="12" t="s">
        <v>2831</v>
      </c>
      <c r="B230" s="12" t="s">
        <v>4298</v>
      </c>
      <c r="C230" s="12" t="s">
        <v>5131</v>
      </c>
      <c r="D230" s="12" t="s">
        <v>4752</v>
      </c>
      <c r="E230" s="12" t="s">
        <v>772</v>
      </c>
      <c r="F230" s="12" t="s">
        <v>773</v>
      </c>
      <c r="G230" s="12" t="s">
        <v>774</v>
      </c>
      <c r="H230" s="12" t="s">
        <v>2699</v>
      </c>
      <c r="I230" s="12" t="s">
        <v>3059</v>
      </c>
      <c r="J230" s="12" t="s">
        <v>1404</v>
      </c>
      <c r="K230" s="12" t="s">
        <v>3510</v>
      </c>
      <c r="L230" s="13">
        <v>5</v>
      </c>
    </row>
    <row r="231" spans="1:12" hidden="1" x14ac:dyDescent="0.55000000000000004">
      <c r="A231" s="12" t="s">
        <v>2831</v>
      </c>
      <c r="B231" s="12" t="s">
        <v>4298</v>
      </c>
      <c r="C231" s="12" t="s">
        <v>5131</v>
      </c>
      <c r="D231" s="12" t="s">
        <v>4752</v>
      </c>
      <c r="E231" s="12" t="s">
        <v>775</v>
      </c>
      <c r="F231" s="12" t="s">
        <v>776</v>
      </c>
      <c r="G231" s="12" t="s">
        <v>777</v>
      </c>
      <c r="H231" s="12" t="s">
        <v>2699</v>
      </c>
      <c r="I231" s="12" t="s">
        <v>3059</v>
      </c>
      <c r="J231" s="12" t="s">
        <v>1404</v>
      </c>
      <c r="K231" s="12" t="s">
        <v>3511</v>
      </c>
      <c r="L231" s="13">
        <v>2</v>
      </c>
    </row>
    <row r="232" spans="1:12" hidden="1" x14ac:dyDescent="0.55000000000000004">
      <c r="A232" s="12" t="s">
        <v>2831</v>
      </c>
      <c r="B232" s="12" t="s">
        <v>4298</v>
      </c>
      <c r="C232" s="12" t="s">
        <v>5131</v>
      </c>
      <c r="D232" s="12" t="s">
        <v>4752</v>
      </c>
      <c r="E232" s="12" t="s">
        <v>781</v>
      </c>
      <c r="F232" s="12" t="s">
        <v>782</v>
      </c>
      <c r="G232" s="12" t="s">
        <v>783</v>
      </c>
      <c r="H232" s="12" t="s">
        <v>2699</v>
      </c>
      <c r="I232" s="12" t="s">
        <v>3059</v>
      </c>
      <c r="J232" s="12" t="s">
        <v>1404</v>
      </c>
      <c r="K232" s="12" t="s">
        <v>3513</v>
      </c>
      <c r="L232" s="13">
        <v>4</v>
      </c>
    </row>
    <row r="233" spans="1:12" hidden="1" x14ac:dyDescent="0.55000000000000004">
      <c r="A233" s="12" t="s">
        <v>2831</v>
      </c>
      <c r="B233" s="12" t="s">
        <v>4298</v>
      </c>
      <c r="C233" s="12" t="s">
        <v>5131</v>
      </c>
      <c r="D233" s="12" t="s">
        <v>4752</v>
      </c>
      <c r="E233" s="12" t="s">
        <v>784</v>
      </c>
      <c r="F233" s="12" t="s">
        <v>785</v>
      </c>
      <c r="G233" s="12" t="s">
        <v>786</v>
      </c>
      <c r="H233" s="12" t="s">
        <v>2699</v>
      </c>
      <c r="I233" s="12" t="s">
        <v>3059</v>
      </c>
      <c r="J233" s="12" t="s">
        <v>1404</v>
      </c>
      <c r="K233" s="12" t="s">
        <v>3514</v>
      </c>
      <c r="L233" s="13">
        <v>4</v>
      </c>
    </row>
    <row r="234" spans="1:12" hidden="1" x14ac:dyDescent="0.55000000000000004">
      <c r="A234" s="12" t="s">
        <v>2831</v>
      </c>
      <c r="B234" s="12" t="s">
        <v>4298</v>
      </c>
      <c r="C234" s="12" t="s">
        <v>5131</v>
      </c>
      <c r="D234" s="12" t="s">
        <v>4752</v>
      </c>
      <c r="E234" s="12" t="s">
        <v>792</v>
      </c>
      <c r="F234" s="12" t="s">
        <v>793</v>
      </c>
      <c r="G234" s="12" t="s">
        <v>794</v>
      </c>
      <c r="H234" s="12" t="s">
        <v>2699</v>
      </c>
      <c r="I234" s="12" t="s">
        <v>3059</v>
      </c>
      <c r="J234" s="12" t="s">
        <v>1404</v>
      </c>
      <c r="K234" s="12" t="s">
        <v>3517</v>
      </c>
      <c r="L234" s="13">
        <v>2</v>
      </c>
    </row>
    <row r="235" spans="1:12" hidden="1" x14ac:dyDescent="0.55000000000000004">
      <c r="A235" s="12" t="s">
        <v>2831</v>
      </c>
      <c r="B235" s="12" t="s">
        <v>4298</v>
      </c>
      <c r="C235" s="12" t="s">
        <v>5131</v>
      </c>
      <c r="D235" s="12" t="s">
        <v>4752</v>
      </c>
      <c r="E235" s="12" t="s">
        <v>795</v>
      </c>
      <c r="F235" s="12" t="s">
        <v>796</v>
      </c>
      <c r="G235" s="12" t="s">
        <v>797</v>
      </c>
      <c r="H235" s="12" t="s">
        <v>2699</v>
      </c>
      <c r="I235" s="12" t="s">
        <v>3059</v>
      </c>
      <c r="J235" s="12" t="s">
        <v>1404</v>
      </c>
      <c r="K235" s="12" t="s">
        <v>3518</v>
      </c>
      <c r="L235" s="13">
        <v>2</v>
      </c>
    </row>
    <row r="236" spans="1:12" hidden="1" x14ac:dyDescent="0.55000000000000004">
      <c r="A236" s="12" t="s">
        <v>2831</v>
      </c>
      <c r="B236" s="12" t="s">
        <v>4298</v>
      </c>
      <c r="C236" s="12" t="s">
        <v>5131</v>
      </c>
      <c r="D236" s="12" t="s">
        <v>4752</v>
      </c>
      <c r="E236" s="12" t="s">
        <v>798</v>
      </c>
      <c r="F236" s="12" t="s">
        <v>254</v>
      </c>
      <c r="G236" s="12" t="s">
        <v>799</v>
      </c>
      <c r="H236" s="12" t="s">
        <v>2699</v>
      </c>
      <c r="I236" s="12" t="s">
        <v>3075</v>
      </c>
      <c r="J236" s="12" t="s">
        <v>1404</v>
      </c>
      <c r="K236" s="12" t="s">
        <v>3519</v>
      </c>
      <c r="L236" s="13" t="s">
        <v>3075</v>
      </c>
    </row>
    <row r="237" spans="1:12" hidden="1" x14ac:dyDescent="0.55000000000000004">
      <c r="A237" s="12" t="s">
        <v>2831</v>
      </c>
      <c r="B237" s="12" t="s">
        <v>4298</v>
      </c>
      <c r="C237" s="12" t="s">
        <v>5131</v>
      </c>
      <c r="D237" s="12" t="s">
        <v>4752</v>
      </c>
      <c r="E237" s="12" t="s">
        <v>800</v>
      </c>
      <c r="F237" s="12" t="s">
        <v>801</v>
      </c>
      <c r="G237" s="12" t="s">
        <v>802</v>
      </c>
      <c r="H237" s="12" t="s">
        <v>2699</v>
      </c>
      <c r="I237" s="12" t="s">
        <v>3059</v>
      </c>
      <c r="J237" s="12" t="s">
        <v>1404</v>
      </c>
      <c r="K237" s="12" t="s">
        <v>3520</v>
      </c>
      <c r="L237" s="13">
        <v>4</v>
      </c>
    </row>
    <row r="238" spans="1:12" hidden="1" x14ac:dyDescent="0.55000000000000004">
      <c r="A238" s="12" t="s">
        <v>2831</v>
      </c>
      <c r="B238" s="12" t="s">
        <v>4298</v>
      </c>
      <c r="C238" s="12" t="s">
        <v>5131</v>
      </c>
      <c r="D238" s="12" t="s">
        <v>4752</v>
      </c>
      <c r="E238" s="12" t="s">
        <v>829</v>
      </c>
      <c r="F238" s="12" t="s">
        <v>830</v>
      </c>
      <c r="G238" s="12" t="s">
        <v>622</v>
      </c>
      <c r="H238" s="12" t="s">
        <v>2699</v>
      </c>
      <c r="I238" s="12" t="s">
        <v>3059</v>
      </c>
      <c r="J238" s="12" t="s">
        <v>1404</v>
      </c>
      <c r="K238" s="12" t="s">
        <v>3530</v>
      </c>
      <c r="L238" s="13">
        <v>4</v>
      </c>
    </row>
    <row r="239" spans="1:12" hidden="1" x14ac:dyDescent="0.55000000000000004">
      <c r="A239" s="12" t="s">
        <v>2831</v>
      </c>
      <c r="B239" s="12" t="s">
        <v>4298</v>
      </c>
      <c r="C239" s="12" t="s">
        <v>5131</v>
      </c>
      <c r="D239" s="12" t="s">
        <v>4752</v>
      </c>
      <c r="E239" s="12" t="s">
        <v>831</v>
      </c>
      <c r="F239" s="12" t="s">
        <v>268</v>
      </c>
      <c r="G239" s="12" t="s">
        <v>832</v>
      </c>
      <c r="H239" s="12" t="s">
        <v>2699</v>
      </c>
      <c r="I239" s="12" t="s">
        <v>3059</v>
      </c>
      <c r="J239" s="12" t="s">
        <v>1404</v>
      </c>
      <c r="K239" s="12" t="s">
        <v>3531</v>
      </c>
      <c r="L239" s="13">
        <v>4</v>
      </c>
    </row>
    <row r="240" spans="1:12" hidden="1" x14ac:dyDescent="0.55000000000000004">
      <c r="A240" s="12" t="s">
        <v>2831</v>
      </c>
      <c r="B240" s="12" t="s">
        <v>4298</v>
      </c>
      <c r="C240" s="12" t="s">
        <v>5131</v>
      </c>
      <c r="D240" s="12" t="s">
        <v>4752</v>
      </c>
      <c r="E240" s="12" t="s">
        <v>3225</v>
      </c>
      <c r="F240" s="12" t="s">
        <v>768</v>
      </c>
      <c r="G240" s="12" t="s">
        <v>769</v>
      </c>
      <c r="H240" s="12" t="s">
        <v>2699</v>
      </c>
      <c r="I240" s="12" t="s">
        <v>3075</v>
      </c>
      <c r="J240" s="12" t="s">
        <v>1404</v>
      </c>
      <c r="K240" s="12" t="s">
        <v>3508</v>
      </c>
      <c r="L240" s="13" t="s">
        <v>3075</v>
      </c>
    </row>
    <row r="241" spans="1:12" hidden="1" x14ac:dyDescent="0.55000000000000004">
      <c r="A241" s="12" t="s">
        <v>2831</v>
      </c>
      <c r="B241" s="12" t="s">
        <v>4298</v>
      </c>
      <c r="C241" s="12" t="s">
        <v>5131</v>
      </c>
      <c r="D241" s="12" t="s">
        <v>4752</v>
      </c>
      <c r="E241" s="12" t="s">
        <v>833</v>
      </c>
      <c r="F241" s="12" t="s">
        <v>773</v>
      </c>
      <c r="G241" s="12" t="s">
        <v>834</v>
      </c>
      <c r="H241" s="12" t="s">
        <v>2699</v>
      </c>
      <c r="I241" s="12" t="s">
        <v>3075</v>
      </c>
      <c r="J241" s="12" t="s">
        <v>1404</v>
      </c>
      <c r="K241" s="12" t="s">
        <v>3532</v>
      </c>
      <c r="L241" s="13" t="s">
        <v>3075</v>
      </c>
    </row>
    <row r="242" spans="1:12" hidden="1" x14ac:dyDescent="0.55000000000000004">
      <c r="A242" s="12" t="s">
        <v>2831</v>
      </c>
      <c r="B242" s="12" t="s">
        <v>4298</v>
      </c>
      <c r="C242" s="12" t="s">
        <v>5131</v>
      </c>
      <c r="D242" s="12" t="s">
        <v>4752</v>
      </c>
      <c r="E242" s="12" t="s">
        <v>840</v>
      </c>
      <c r="F242" s="12" t="s">
        <v>841</v>
      </c>
      <c r="G242" s="12" t="s">
        <v>842</v>
      </c>
      <c r="H242" s="12" t="s">
        <v>2699</v>
      </c>
      <c r="I242" s="12" t="s">
        <v>3075</v>
      </c>
      <c r="J242" s="12" t="s">
        <v>1404</v>
      </c>
      <c r="K242" s="12" t="s">
        <v>3535</v>
      </c>
      <c r="L242" s="13" t="s">
        <v>3075</v>
      </c>
    </row>
    <row r="243" spans="1:12" hidden="1" x14ac:dyDescent="0.55000000000000004">
      <c r="A243" s="12" t="s">
        <v>2831</v>
      </c>
      <c r="B243" s="12" t="s">
        <v>4298</v>
      </c>
      <c r="C243" s="12" t="s">
        <v>5131</v>
      </c>
      <c r="D243" s="12" t="s">
        <v>4752</v>
      </c>
      <c r="E243" s="12" t="s">
        <v>843</v>
      </c>
      <c r="F243" s="12" t="s">
        <v>844</v>
      </c>
      <c r="G243" s="12" t="s">
        <v>845</v>
      </c>
      <c r="H243" s="12" t="s">
        <v>2699</v>
      </c>
      <c r="I243" s="12" t="s">
        <v>3059</v>
      </c>
      <c r="J243" s="12" t="s">
        <v>1404</v>
      </c>
      <c r="K243" s="12" t="s">
        <v>3536</v>
      </c>
      <c r="L243" s="13">
        <v>4</v>
      </c>
    </row>
    <row r="244" spans="1:12" hidden="1" x14ac:dyDescent="0.55000000000000004">
      <c r="A244" s="12" t="s">
        <v>2831</v>
      </c>
      <c r="B244" s="12" t="s">
        <v>4298</v>
      </c>
      <c r="C244" s="12" t="s">
        <v>5131</v>
      </c>
      <c r="D244" s="12" t="s">
        <v>4752</v>
      </c>
      <c r="E244" s="12" t="s">
        <v>848</v>
      </c>
      <c r="F244" s="12" t="s">
        <v>849</v>
      </c>
      <c r="G244" s="12" t="s">
        <v>850</v>
      </c>
      <c r="H244" s="12" t="s">
        <v>2699</v>
      </c>
      <c r="I244" s="12" t="s">
        <v>3075</v>
      </c>
      <c r="J244" s="12" t="s">
        <v>1404</v>
      </c>
      <c r="K244" s="12" t="s">
        <v>3538</v>
      </c>
      <c r="L244" s="13" t="s">
        <v>3075</v>
      </c>
    </row>
    <row r="245" spans="1:12" hidden="1" x14ac:dyDescent="0.55000000000000004">
      <c r="A245" s="12" t="s">
        <v>2831</v>
      </c>
      <c r="B245" s="12" t="s">
        <v>4298</v>
      </c>
      <c r="C245" s="12" t="s">
        <v>5131</v>
      </c>
      <c r="D245" s="12" t="s">
        <v>4752</v>
      </c>
      <c r="E245" s="12" t="s">
        <v>851</v>
      </c>
      <c r="F245" s="12" t="s">
        <v>852</v>
      </c>
      <c r="G245" s="12" t="s">
        <v>853</v>
      </c>
      <c r="H245" s="12" t="s">
        <v>2699</v>
      </c>
      <c r="I245" s="12" t="s">
        <v>3059</v>
      </c>
      <c r="J245" s="12" t="s">
        <v>1404</v>
      </c>
      <c r="K245" s="12" t="s">
        <v>3539</v>
      </c>
      <c r="L245" s="13">
        <v>4</v>
      </c>
    </row>
    <row r="246" spans="1:12" hidden="1" x14ac:dyDescent="0.55000000000000004">
      <c r="A246" s="12" t="s">
        <v>2831</v>
      </c>
      <c r="B246" s="12" t="s">
        <v>4298</v>
      </c>
      <c r="C246" s="12" t="s">
        <v>5131</v>
      </c>
      <c r="D246" s="12" t="s">
        <v>4752</v>
      </c>
      <c r="E246" s="12" t="s">
        <v>854</v>
      </c>
      <c r="F246" s="12" t="s">
        <v>855</v>
      </c>
      <c r="G246" s="12" t="s">
        <v>856</v>
      </c>
      <c r="H246" s="12" t="s">
        <v>2699</v>
      </c>
      <c r="I246" s="12" t="s">
        <v>3075</v>
      </c>
      <c r="J246" s="12" t="s">
        <v>1404</v>
      </c>
      <c r="K246" s="12" t="s">
        <v>3540</v>
      </c>
      <c r="L246" s="13" t="s">
        <v>3075</v>
      </c>
    </row>
    <row r="247" spans="1:12" hidden="1" x14ac:dyDescent="0.55000000000000004">
      <c r="A247" s="12" t="s">
        <v>2831</v>
      </c>
      <c r="B247" s="12" t="s">
        <v>4298</v>
      </c>
      <c r="C247" s="12" t="s">
        <v>5131</v>
      </c>
      <c r="D247" s="12" t="s">
        <v>4752</v>
      </c>
      <c r="E247" s="12" t="s">
        <v>857</v>
      </c>
      <c r="F247" s="12" t="s">
        <v>858</v>
      </c>
      <c r="G247" s="12" t="s">
        <v>859</v>
      </c>
      <c r="H247" s="12" t="s">
        <v>2699</v>
      </c>
      <c r="I247" s="12" t="s">
        <v>3059</v>
      </c>
      <c r="J247" s="12" t="s">
        <v>1404</v>
      </c>
      <c r="K247" s="12" t="s">
        <v>3541</v>
      </c>
      <c r="L247" s="13">
        <v>5</v>
      </c>
    </row>
    <row r="248" spans="1:12" hidden="1" x14ac:dyDescent="0.55000000000000004">
      <c r="A248" s="12" t="s">
        <v>2831</v>
      </c>
      <c r="B248" s="12" t="s">
        <v>4298</v>
      </c>
      <c r="C248" s="12" t="s">
        <v>5131</v>
      </c>
      <c r="D248" s="12" t="s">
        <v>4752</v>
      </c>
      <c r="E248" s="12" t="s">
        <v>860</v>
      </c>
      <c r="F248" s="12" t="s">
        <v>861</v>
      </c>
      <c r="G248" s="12" t="s">
        <v>862</v>
      </c>
      <c r="H248" s="12" t="s">
        <v>2699</v>
      </c>
      <c r="I248" s="12" t="s">
        <v>3059</v>
      </c>
      <c r="J248" s="12" t="s">
        <v>1404</v>
      </c>
      <c r="K248" s="12" t="s">
        <v>3542</v>
      </c>
      <c r="L248" s="13">
        <v>4</v>
      </c>
    </row>
    <row r="249" spans="1:12" hidden="1" x14ac:dyDescent="0.55000000000000004">
      <c r="A249" s="12" t="s">
        <v>2879</v>
      </c>
      <c r="B249" s="12" t="s">
        <v>4374</v>
      </c>
      <c r="C249" s="12" t="s">
        <v>5132</v>
      </c>
      <c r="D249" s="12" t="s">
        <v>4752</v>
      </c>
      <c r="E249" s="12" t="s">
        <v>1308</v>
      </c>
      <c r="F249" s="12" t="s">
        <v>5715</v>
      </c>
      <c r="G249" s="12" t="s">
        <v>5716</v>
      </c>
      <c r="H249" s="12" t="s">
        <v>4383</v>
      </c>
      <c r="I249" s="12" t="s">
        <v>3075</v>
      </c>
      <c r="J249" s="12" t="s">
        <v>3095</v>
      </c>
      <c r="K249" s="12" t="s">
        <v>5717</v>
      </c>
      <c r="L249" s="13" t="s">
        <v>3075</v>
      </c>
    </row>
    <row r="250" spans="1:12" hidden="1" x14ac:dyDescent="0.55000000000000004">
      <c r="A250" s="12" t="s">
        <v>2879</v>
      </c>
      <c r="B250" s="12" t="s">
        <v>4374</v>
      </c>
      <c r="C250" s="12" t="s">
        <v>5132</v>
      </c>
      <c r="D250" s="12" t="s">
        <v>4752</v>
      </c>
      <c r="E250" s="12" t="s">
        <v>1309</v>
      </c>
      <c r="F250" s="12" t="s">
        <v>1310</v>
      </c>
      <c r="G250" s="12" t="s">
        <v>1311</v>
      </c>
      <c r="H250" s="12" t="s">
        <v>4383</v>
      </c>
      <c r="I250" s="12" t="s">
        <v>3059</v>
      </c>
      <c r="J250" s="12" t="s">
        <v>3095</v>
      </c>
      <c r="K250" s="12" t="s">
        <v>3700</v>
      </c>
      <c r="L250" s="13">
        <v>3</v>
      </c>
    </row>
    <row r="251" spans="1:12" hidden="1" x14ac:dyDescent="0.55000000000000004">
      <c r="A251" s="12" t="s">
        <v>2879</v>
      </c>
      <c r="B251" s="12" t="s">
        <v>4374</v>
      </c>
      <c r="C251" s="12" t="s">
        <v>5132</v>
      </c>
      <c r="D251" s="12" t="s">
        <v>4752</v>
      </c>
      <c r="E251" s="12" t="s">
        <v>1312</v>
      </c>
      <c r="F251" s="12" t="s">
        <v>341</v>
      </c>
      <c r="G251" s="12" t="s">
        <v>1313</v>
      </c>
      <c r="H251" s="12" t="s">
        <v>4383</v>
      </c>
      <c r="I251" s="12" t="s">
        <v>3059</v>
      </c>
      <c r="J251" s="12" t="s">
        <v>3095</v>
      </c>
      <c r="K251" s="12" t="s">
        <v>3701</v>
      </c>
      <c r="L251" s="13">
        <v>4</v>
      </c>
    </row>
    <row r="252" spans="1:12" hidden="1" x14ac:dyDescent="0.55000000000000004">
      <c r="A252" s="12" t="s">
        <v>3003</v>
      </c>
      <c r="B252" s="12" t="s">
        <v>4486</v>
      </c>
      <c r="C252" s="12" t="s">
        <v>5133</v>
      </c>
      <c r="D252" s="12" t="s">
        <v>4752</v>
      </c>
      <c r="E252" s="12" t="s">
        <v>1067</v>
      </c>
      <c r="F252" s="12" t="s">
        <v>1068</v>
      </c>
      <c r="G252" s="12" t="s">
        <v>1069</v>
      </c>
      <c r="H252" s="12" t="s">
        <v>5134</v>
      </c>
      <c r="I252" s="12" t="s">
        <v>3059</v>
      </c>
      <c r="J252" s="12" t="s">
        <v>1222</v>
      </c>
      <c r="K252" s="12" t="s">
        <v>3617</v>
      </c>
      <c r="L252" s="13">
        <v>5</v>
      </c>
    </row>
    <row r="253" spans="1:12" hidden="1" x14ac:dyDescent="0.55000000000000004">
      <c r="A253" s="12" t="s">
        <v>3003</v>
      </c>
      <c r="B253" s="12" t="s">
        <v>4486</v>
      </c>
      <c r="C253" s="12" t="s">
        <v>5133</v>
      </c>
      <c r="D253" s="12" t="s">
        <v>4752</v>
      </c>
      <c r="E253" s="12" t="s">
        <v>1070</v>
      </c>
      <c r="F253" s="12" t="s">
        <v>1071</v>
      </c>
      <c r="G253" s="12" t="s">
        <v>1072</v>
      </c>
      <c r="H253" s="12" t="s">
        <v>5134</v>
      </c>
      <c r="I253" s="12" t="s">
        <v>3059</v>
      </c>
      <c r="J253" s="12" t="s">
        <v>1222</v>
      </c>
      <c r="K253" s="12" t="s">
        <v>3618</v>
      </c>
      <c r="L253" s="13">
        <v>5</v>
      </c>
    </row>
    <row r="254" spans="1:12" hidden="1" x14ac:dyDescent="0.55000000000000004">
      <c r="A254" s="12" t="s">
        <v>3003</v>
      </c>
      <c r="B254" s="12" t="s">
        <v>4486</v>
      </c>
      <c r="C254" s="12" t="s">
        <v>5133</v>
      </c>
      <c r="D254" s="12" t="s">
        <v>4752</v>
      </c>
      <c r="E254" s="12" t="s">
        <v>1073</v>
      </c>
      <c r="F254" s="12" t="s">
        <v>1074</v>
      </c>
      <c r="G254" s="12" t="s">
        <v>1075</v>
      </c>
      <c r="H254" s="12" t="s">
        <v>5134</v>
      </c>
      <c r="I254" s="12" t="s">
        <v>3059</v>
      </c>
      <c r="J254" s="12" t="s">
        <v>1222</v>
      </c>
      <c r="K254" s="12" t="s">
        <v>3619</v>
      </c>
      <c r="L254" s="13">
        <v>4</v>
      </c>
    </row>
    <row r="255" spans="1:12" hidden="1" x14ac:dyDescent="0.55000000000000004">
      <c r="A255" s="12" t="s">
        <v>2952</v>
      </c>
      <c r="B255" s="12" t="s">
        <v>4442</v>
      </c>
      <c r="C255" s="12" t="s">
        <v>5135</v>
      </c>
      <c r="D255" s="12" t="s">
        <v>4752</v>
      </c>
      <c r="E255" s="12" t="s">
        <v>1865</v>
      </c>
      <c r="F255" s="12" t="s">
        <v>1866</v>
      </c>
      <c r="G255" s="12" t="s">
        <v>1867</v>
      </c>
      <c r="H255" s="12" t="s">
        <v>4473</v>
      </c>
      <c r="I255" s="12" t="s">
        <v>3059</v>
      </c>
      <c r="J255" s="12" t="s">
        <v>3085</v>
      </c>
      <c r="K255" s="12" t="s">
        <v>3904</v>
      </c>
      <c r="L255" s="13">
        <v>6</v>
      </c>
    </row>
    <row r="256" spans="1:12" hidden="1" x14ac:dyDescent="0.55000000000000004">
      <c r="A256" s="12" t="s">
        <v>2952</v>
      </c>
      <c r="B256" s="12" t="s">
        <v>4442</v>
      </c>
      <c r="C256" s="12" t="s">
        <v>5135</v>
      </c>
      <c r="D256" s="12" t="s">
        <v>4752</v>
      </c>
      <c r="E256" s="12" t="s">
        <v>1868</v>
      </c>
      <c r="F256" s="12" t="s">
        <v>250</v>
      </c>
      <c r="G256" s="12" t="s">
        <v>1869</v>
      </c>
      <c r="H256" s="12" t="s">
        <v>4473</v>
      </c>
      <c r="I256" s="12" t="s">
        <v>3060</v>
      </c>
      <c r="J256" s="12" t="s">
        <v>3085</v>
      </c>
      <c r="K256" s="12" t="s">
        <v>3905</v>
      </c>
      <c r="L256" s="13">
        <v>3</v>
      </c>
    </row>
    <row r="257" spans="1:12" hidden="1" x14ac:dyDescent="0.55000000000000004">
      <c r="A257" s="12" t="s">
        <v>2806</v>
      </c>
      <c r="B257" s="12" t="s">
        <v>4298</v>
      </c>
      <c r="C257" s="12" t="s">
        <v>5136</v>
      </c>
      <c r="D257" s="12" t="s">
        <v>4752</v>
      </c>
      <c r="E257" s="12" t="s">
        <v>1452</v>
      </c>
      <c r="F257" s="12" t="s">
        <v>1453</v>
      </c>
      <c r="G257" s="12" t="s">
        <v>1454</v>
      </c>
      <c r="H257" s="12" t="s">
        <v>4299</v>
      </c>
      <c r="I257" s="12" t="s">
        <v>3075</v>
      </c>
      <c r="J257" s="12" t="s">
        <v>1603</v>
      </c>
      <c r="K257" s="12" t="s">
        <v>3750</v>
      </c>
      <c r="L257" s="13" t="s">
        <v>3075</v>
      </c>
    </row>
    <row r="258" spans="1:12" hidden="1" x14ac:dyDescent="0.55000000000000004">
      <c r="A258" s="12" t="s">
        <v>2806</v>
      </c>
      <c r="B258" s="12" t="s">
        <v>4298</v>
      </c>
      <c r="C258" s="12" t="s">
        <v>5136</v>
      </c>
      <c r="D258" s="12" t="s">
        <v>4752</v>
      </c>
      <c r="E258" s="12" t="s">
        <v>1455</v>
      </c>
      <c r="F258" s="12" t="s">
        <v>1456</v>
      </c>
      <c r="G258" s="12" t="s">
        <v>1457</v>
      </c>
      <c r="H258" s="12" t="s">
        <v>4299</v>
      </c>
      <c r="I258" s="12" t="s">
        <v>3075</v>
      </c>
      <c r="J258" s="12" t="s">
        <v>1603</v>
      </c>
      <c r="K258" s="12" t="s">
        <v>3751</v>
      </c>
      <c r="L258" s="13" t="s">
        <v>3075</v>
      </c>
    </row>
    <row r="259" spans="1:12" hidden="1" x14ac:dyDescent="0.55000000000000004">
      <c r="A259" s="12" t="s">
        <v>2939</v>
      </c>
      <c r="B259" s="12" t="s">
        <v>4442</v>
      </c>
      <c r="C259" s="12" t="s">
        <v>5137</v>
      </c>
      <c r="D259" s="12" t="s">
        <v>4752</v>
      </c>
      <c r="E259" s="12" t="s">
        <v>123</v>
      </c>
      <c r="F259" s="12" t="s">
        <v>124</v>
      </c>
      <c r="G259" s="12" t="s">
        <v>125</v>
      </c>
      <c r="H259" s="12" t="s">
        <v>4457</v>
      </c>
      <c r="I259" s="12" t="s">
        <v>3075</v>
      </c>
      <c r="J259" s="12" t="s">
        <v>1991</v>
      </c>
      <c r="K259" s="12" t="s">
        <v>3288</v>
      </c>
      <c r="L259" s="13" t="s">
        <v>3075</v>
      </c>
    </row>
    <row r="260" spans="1:12" hidden="1" x14ac:dyDescent="0.55000000000000004">
      <c r="A260" s="12" t="s">
        <v>2939</v>
      </c>
      <c r="B260" s="12" t="s">
        <v>4442</v>
      </c>
      <c r="C260" s="12" t="s">
        <v>5137</v>
      </c>
      <c r="D260" s="12" t="s">
        <v>4752</v>
      </c>
      <c r="E260" s="12" t="s">
        <v>126</v>
      </c>
      <c r="F260" s="12" t="s">
        <v>127</v>
      </c>
      <c r="G260" s="12" t="s">
        <v>128</v>
      </c>
      <c r="H260" s="12" t="s">
        <v>4457</v>
      </c>
      <c r="I260" s="12" t="s">
        <v>3075</v>
      </c>
      <c r="J260" s="12" t="s">
        <v>1991</v>
      </c>
      <c r="K260" s="12" t="s">
        <v>3289</v>
      </c>
      <c r="L260" s="13" t="s">
        <v>3075</v>
      </c>
    </row>
    <row r="261" spans="1:12" hidden="1" x14ac:dyDescent="0.55000000000000004">
      <c r="A261" s="12" t="s">
        <v>2939</v>
      </c>
      <c r="B261" s="12" t="s">
        <v>4442</v>
      </c>
      <c r="C261" s="12" t="s">
        <v>5137</v>
      </c>
      <c r="D261" s="12" t="s">
        <v>4752</v>
      </c>
      <c r="E261" s="12" t="s">
        <v>129</v>
      </c>
      <c r="F261" s="12" t="s">
        <v>130</v>
      </c>
      <c r="G261" s="12" t="s">
        <v>131</v>
      </c>
      <c r="H261" s="12" t="s">
        <v>4457</v>
      </c>
      <c r="I261" s="12" t="s">
        <v>3075</v>
      </c>
      <c r="J261" s="12" t="s">
        <v>1991</v>
      </c>
      <c r="K261" s="12" t="s">
        <v>3290</v>
      </c>
      <c r="L261" s="13" t="s">
        <v>3075</v>
      </c>
    </row>
    <row r="262" spans="1:12" hidden="1" x14ac:dyDescent="0.55000000000000004">
      <c r="A262" s="12" t="s">
        <v>2939</v>
      </c>
      <c r="B262" s="12" t="s">
        <v>4442</v>
      </c>
      <c r="C262" s="12" t="s">
        <v>5137</v>
      </c>
      <c r="D262" s="12" t="s">
        <v>4752</v>
      </c>
      <c r="E262" s="12" t="s">
        <v>132</v>
      </c>
      <c r="F262" s="12" t="s">
        <v>133</v>
      </c>
      <c r="G262" s="12" t="s">
        <v>134</v>
      </c>
      <c r="H262" s="12" t="s">
        <v>4457</v>
      </c>
      <c r="I262" s="12" t="s">
        <v>3075</v>
      </c>
      <c r="J262" s="12" t="s">
        <v>1991</v>
      </c>
      <c r="K262" s="12" t="s">
        <v>3291</v>
      </c>
      <c r="L262" s="13" t="s">
        <v>3075</v>
      </c>
    </row>
    <row r="263" spans="1:12" hidden="1" x14ac:dyDescent="0.55000000000000004">
      <c r="A263" s="12" t="s">
        <v>2939</v>
      </c>
      <c r="B263" s="12" t="s">
        <v>4442</v>
      </c>
      <c r="C263" s="12" t="s">
        <v>5137</v>
      </c>
      <c r="D263" s="12" t="s">
        <v>4752</v>
      </c>
      <c r="E263" s="12" t="s">
        <v>328</v>
      </c>
      <c r="F263" s="12" t="s">
        <v>329</v>
      </c>
      <c r="G263" s="12" t="s">
        <v>330</v>
      </c>
      <c r="H263" s="12" t="s">
        <v>4457</v>
      </c>
      <c r="I263" s="12" t="s">
        <v>3075</v>
      </c>
      <c r="J263" s="12" t="s">
        <v>1991</v>
      </c>
      <c r="K263" s="12" t="s">
        <v>3355</v>
      </c>
      <c r="L263" s="13" t="s">
        <v>3075</v>
      </c>
    </row>
    <row r="264" spans="1:12" hidden="1" x14ac:dyDescent="0.55000000000000004">
      <c r="A264" s="12" t="s">
        <v>2939</v>
      </c>
      <c r="B264" s="12" t="s">
        <v>4442</v>
      </c>
      <c r="C264" s="12" t="s">
        <v>5137</v>
      </c>
      <c r="D264" s="12" t="s">
        <v>4752</v>
      </c>
      <c r="E264" s="12" t="s">
        <v>333</v>
      </c>
      <c r="F264" s="12" t="s">
        <v>254</v>
      </c>
      <c r="G264" s="12" t="s">
        <v>334</v>
      </c>
      <c r="H264" s="12" t="s">
        <v>4457</v>
      </c>
      <c r="I264" s="12" t="s">
        <v>3075</v>
      </c>
      <c r="J264" s="12" t="s">
        <v>1991</v>
      </c>
      <c r="K264" s="12" t="s">
        <v>3357</v>
      </c>
      <c r="L264" s="13" t="s">
        <v>3075</v>
      </c>
    </row>
    <row r="265" spans="1:12" hidden="1" x14ac:dyDescent="0.55000000000000004">
      <c r="A265" s="12" t="s">
        <v>2939</v>
      </c>
      <c r="B265" s="12" t="s">
        <v>4442</v>
      </c>
      <c r="C265" s="12" t="s">
        <v>5137</v>
      </c>
      <c r="D265" s="12" t="s">
        <v>4752</v>
      </c>
      <c r="E265" s="12" t="s">
        <v>337</v>
      </c>
      <c r="F265" s="12" t="s">
        <v>338</v>
      </c>
      <c r="G265" s="12" t="s">
        <v>339</v>
      </c>
      <c r="H265" s="12" t="s">
        <v>4457</v>
      </c>
      <c r="I265" s="12" t="s">
        <v>3075</v>
      </c>
      <c r="J265" s="12" t="s">
        <v>1991</v>
      </c>
      <c r="K265" s="12" t="s">
        <v>3359</v>
      </c>
      <c r="L265" s="13" t="s">
        <v>3075</v>
      </c>
    </row>
    <row r="266" spans="1:12" hidden="1" x14ac:dyDescent="0.55000000000000004">
      <c r="A266" s="12" t="s">
        <v>2939</v>
      </c>
      <c r="B266" s="12" t="s">
        <v>4442</v>
      </c>
      <c r="C266" s="12" t="s">
        <v>5137</v>
      </c>
      <c r="D266" s="12" t="s">
        <v>4752</v>
      </c>
      <c r="E266" s="12" t="s">
        <v>348</v>
      </c>
      <c r="F266" s="12" t="s">
        <v>349</v>
      </c>
      <c r="G266" s="12" t="s">
        <v>292</v>
      </c>
      <c r="H266" s="12" t="s">
        <v>4457</v>
      </c>
      <c r="I266" s="12" t="s">
        <v>3075</v>
      </c>
      <c r="J266" s="12" t="s">
        <v>1991</v>
      </c>
      <c r="K266" s="12" t="s">
        <v>3363</v>
      </c>
      <c r="L266" s="13" t="s">
        <v>3075</v>
      </c>
    </row>
    <row r="267" spans="1:12" hidden="1" x14ac:dyDescent="0.55000000000000004">
      <c r="A267" s="12" t="s">
        <v>2939</v>
      </c>
      <c r="B267" s="12" t="s">
        <v>4442</v>
      </c>
      <c r="C267" s="12" t="s">
        <v>5137</v>
      </c>
      <c r="D267" s="12" t="s">
        <v>4752</v>
      </c>
      <c r="E267" s="12" t="s">
        <v>351</v>
      </c>
      <c r="F267" s="12" t="s">
        <v>352</v>
      </c>
      <c r="G267" s="12" t="s">
        <v>353</v>
      </c>
      <c r="H267" s="12" t="s">
        <v>4457</v>
      </c>
      <c r="I267" s="12" t="s">
        <v>3075</v>
      </c>
      <c r="J267" s="12" t="s">
        <v>1991</v>
      </c>
      <c r="K267" s="12" t="s">
        <v>3364</v>
      </c>
      <c r="L267" s="13" t="s">
        <v>3075</v>
      </c>
    </row>
    <row r="268" spans="1:12" hidden="1" x14ac:dyDescent="0.55000000000000004">
      <c r="A268" s="12" t="s">
        <v>2939</v>
      </c>
      <c r="B268" s="12" t="s">
        <v>4442</v>
      </c>
      <c r="C268" s="12" t="s">
        <v>5137</v>
      </c>
      <c r="D268" s="12" t="s">
        <v>4752</v>
      </c>
      <c r="E268" s="12" t="s">
        <v>357</v>
      </c>
      <c r="F268" s="12" t="s">
        <v>358</v>
      </c>
      <c r="G268" s="12" t="s">
        <v>359</v>
      </c>
      <c r="H268" s="12" t="s">
        <v>4457</v>
      </c>
      <c r="I268" s="12" t="s">
        <v>3060</v>
      </c>
      <c r="J268" s="12" t="s">
        <v>1991</v>
      </c>
      <c r="K268" s="12" t="s">
        <v>3366</v>
      </c>
      <c r="L268" s="13">
        <v>6</v>
      </c>
    </row>
    <row r="269" spans="1:12" hidden="1" x14ac:dyDescent="0.55000000000000004">
      <c r="A269" s="12" t="s">
        <v>2939</v>
      </c>
      <c r="B269" s="12" t="s">
        <v>4442</v>
      </c>
      <c r="C269" s="12" t="s">
        <v>5137</v>
      </c>
      <c r="D269" s="12" t="s">
        <v>4752</v>
      </c>
      <c r="E269" s="12" t="s">
        <v>360</v>
      </c>
      <c r="F269" s="12" t="s">
        <v>361</v>
      </c>
      <c r="G269" s="12" t="s">
        <v>362</v>
      </c>
      <c r="H269" s="12" t="s">
        <v>4457</v>
      </c>
      <c r="I269" s="12" t="s">
        <v>3075</v>
      </c>
      <c r="J269" s="12" t="s">
        <v>1991</v>
      </c>
      <c r="K269" s="12" t="s">
        <v>3367</v>
      </c>
      <c r="L269" s="13" t="s">
        <v>3075</v>
      </c>
    </row>
    <row r="270" spans="1:12" hidden="1" x14ac:dyDescent="0.55000000000000004">
      <c r="A270" s="12" t="s">
        <v>2939</v>
      </c>
      <c r="B270" s="12" t="s">
        <v>4442</v>
      </c>
      <c r="C270" s="12" t="s">
        <v>5137</v>
      </c>
      <c r="D270" s="12" t="s">
        <v>4752</v>
      </c>
      <c r="E270" s="12" t="s">
        <v>5718</v>
      </c>
      <c r="F270" s="12" t="s">
        <v>5719</v>
      </c>
      <c r="G270" s="12" t="s">
        <v>5720</v>
      </c>
      <c r="H270" s="12" t="s">
        <v>4457</v>
      </c>
      <c r="I270" s="12" t="s">
        <v>3075</v>
      </c>
      <c r="J270" s="12" t="s">
        <v>1991</v>
      </c>
      <c r="K270" s="12" t="s">
        <v>5721</v>
      </c>
      <c r="L270" s="13" t="s">
        <v>3075</v>
      </c>
    </row>
    <row r="271" spans="1:12" hidden="1" x14ac:dyDescent="0.55000000000000004">
      <c r="A271" s="12" t="s">
        <v>2939</v>
      </c>
      <c r="B271" s="12" t="s">
        <v>4442</v>
      </c>
      <c r="C271" s="12" t="s">
        <v>5137</v>
      </c>
      <c r="D271" s="12" t="s">
        <v>4752</v>
      </c>
      <c r="E271" s="12" t="s">
        <v>5722</v>
      </c>
      <c r="F271" s="12" t="s">
        <v>5723</v>
      </c>
      <c r="G271" s="12" t="s">
        <v>350</v>
      </c>
      <c r="H271" s="12" t="s">
        <v>4457</v>
      </c>
      <c r="I271" s="12" t="s">
        <v>3075</v>
      </c>
      <c r="J271" s="12" t="s">
        <v>1991</v>
      </c>
      <c r="K271" s="12" t="s">
        <v>5724</v>
      </c>
      <c r="L271" s="13" t="s">
        <v>3075</v>
      </c>
    </row>
    <row r="272" spans="1:12" hidden="1" x14ac:dyDescent="0.55000000000000004">
      <c r="A272" s="12" t="s">
        <v>2939</v>
      </c>
      <c r="B272" s="12" t="s">
        <v>4442</v>
      </c>
      <c r="C272" s="12" t="s">
        <v>5137</v>
      </c>
      <c r="D272" s="12" t="s">
        <v>4752</v>
      </c>
      <c r="E272" s="12" t="s">
        <v>5725</v>
      </c>
      <c r="F272" s="12" t="s">
        <v>5726</v>
      </c>
      <c r="G272" s="12" t="s">
        <v>5727</v>
      </c>
      <c r="H272" s="12" t="s">
        <v>4457</v>
      </c>
      <c r="I272" s="12" t="s">
        <v>3075</v>
      </c>
      <c r="J272" s="12" t="s">
        <v>1991</v>
      </c>
      <c r="K272" s="12" t="s">
        <v>5728</v>
      </c>
      <c r="L272" s="13" t="s">
        <v>3075</v>
      </c>
    </row>
    <row r="273" spans="1:12" hidden="1" x14ac:dyDescent="0.55000000000000004">
      <c r="A273" s="12" t="s">
        <v>3803</v>
      </c>
      <c r="B273" s="12" t="s">
        <v>4422</v>
      </c>
      <c r="C273" s="12" t="s">
        <v>5138</v>
      </c>
      <c r="D273" s="12" t="s">
        <v>4752</v>
      </c>
      <c r="E273" s="12" t="s">
        <v>1590</v>
      </c>
      <c r="F273" s="12" t="s">
        <v>1591</v>
      </c>
      <c r="G273" s="12" t="s">
        <v>1592</v>
      </c>
      <c r="H273" s="12" t="s">
        <v>5139</v>
      </c>
      <c r="I273" s="12" t="s">
        <v>3059</v>
      </c>
      <c r="J273" s="12" t="e">
        <v>#N/A</v>
      </c>
      <c r="K273" s="12" t="s">
        <v>3798</v>
      </c>
      <c r="L273" s="13">
        <v>4</v>
      </c>
    </row>
    <row r="274" spans="1:12" hidden="1" x14ac:dyDescent="0.55000000000000004">
      <c r="A274" s="12" t="s">
        <v>3803</v>
      </c>
      <c r="B274" s="12" t="s">
        <v>4422</v>
      </c>
      <c r="C274" s="12" t="s">
        <v>5138</v>
      </c>
      <c r="D274" s="12" t="s">
        <v>4752</v>
      </c>
      <c r="E274" s="12" t="s">
        <v>3146</v>
      </c>
      <c r="F274" s="12" t="s">
        <v>3147</v>
      </c>
      <c r="G274" s="12" t="s">
        <v>3148</v>
      </c>
      <c r="H274" s="12" t="s">
        <v>5139</v>
      </c>
      <c r="I274" s="12" t="s">
        <v>3060</v>
      </c>
      <c r="J274" s="12" t="e">
        <v>#N/A</v>
      </c>
      <c r="K274" s="12" t="s">
        <v>3804</v>
      </c>
      <c r="L274" s="13">
        <v>5</v>
      </c>
    </row>
    <row r="275" spans="1:12" hidden="1" x14ac:dyDescent="0.55000000000000004">
      <c r="A275" s="12" t="s">
        <v>3803</v>
      </c>
      <c r="B275" s="12" t="s">
        <v>4422</v>
      </c>
      <c r="C275" s="12" t="s">
        <v>5138</v>
      </c>
      <c r="D275" s="12" t="s">
        <v>4752</v>
      </c>
      <c r="E275" s="12" t="s">
        <v>3150</v>
      </c>
      <c r="F275" s="12" t="s">
        <v>3151</v>
      </c>
      <c r="G275" s="12" t="s">
        <v>1617</v>
      </c>
      <c r="H275" s="12" t="s">
        <v>5139</v>
      </c>
      <c r="I275" s="12" t="s">
        <v>3075</v>
      </c>
      <c r="J275" s="12" t="e">
        <v>#N/A</v>
      </c>
      <c r="K275" s="12" t="s">
        <v>3810</v>
      </c>
      <c r="L275" s="13" t="s">
        <v>3075</v>
      </c>
    </row>
    <row r="276" spans="1:12" hidden="1" x14ac:dyDescent="0.55000000000000004">
      <c r="A276" s="12" t="s">
        <v>3803</v>
      </c>
      <c r="B276" s="12" t="s">
        <v>4422</v>
      </c>
      <c r="C276" s="12" t="s">
        <v>5138</v>
      </c>
      <c r="D276" s="12" t="s">
        <v>4752</v>
      </c>
      <c r="E276" s="12" t="s">
        <v>1618</v>
      </c>
      <c r="F276" s="12" t="s">
        <v>100</v>
      </c>
      <c r="G276" s="12" t="s">
        <v>1619</v>
      </c>
      <c r="H276" s="12" t="s">
        <v>5139</v>
      </c>
      <c r="I276" s="12" t="s">
        <v>3059</v>
      </c>
      <c r="J276" s="12" t="e">
        <v>#N/A</v>
      </c>
      <c r="K276" s="12" t="s">
        <v>3811</v>
      </c>
      <c r="L276" s="13">
        <v>4</v>
      </c>
    </row>
    <row r="277" spans="1:12" hidden="1" x14ac:dyDescent="0.55000000000000004">
      <c r="A277" s="12" t="s">
        <v>2811</v>
      </c>
      <c r="B277" s="12" t="s">
        <v>4298</v>
      </c>
      <c r="C277" s="12" t="s">
        <v>5140</v>
      </c>
      <c r="D277" s="12" t="s">
        <v>4752</v>
      </c>
      <c r="E277" s="12" t="s">
        <v>179</v>
      </c>
      <c r="F277" s="12" t="s">
        <v>180</v>
      </c>
      <c r="G277" s="12" t="s">
        <v>181</v>
      </c>
      <c r="H277" s="12" t="s">
        <v>4304</v>
      </c>
      <c r="I277" s="12" t="s">
        <v>3059</v>
      </c>
      <c r="J277" s="12" t="s">
        <v>3086</v>
      </c>
      <c r="K277" s="12" t="s">
        <v>3305</v>
      </c>
      <c r="L277" s="13">
        <v>5</v>
      </c>
    </row>
    <row r="278" spans="1:12" hidden="1" x14ac:dyDescent="0.55000000000000004">
      <c r="A278" s="12" t="s">
        <v>2811</v>
      </c>
      <c r="B278" s="12" t="s">
        <v>4298</v>
      </c>
      <c r="C278" s="12" t="s">
        <v>5140</v>
      </c>
      <c r="D278" s="12" t="s">
        <v>4752</v>
      </c>
      <c r="E278" s="12" t="s">
        <v>185</v>
      </c>
      <c r="F278" s="12" t="s">
        <v>186</v>
      </c>
      <c r="G278" s="12" t="s">
        <v>187</v>
      </c>
      <c r="H278" s="12" t="s">
        <v>4304</v>
      </c>
      <c r="I278" s="12" t="s">
        <v>3059</v>
      </c>
      <c r="J278" s="12" t="s">
        <v>3086</v>
      </c>
      <c r="K278" s="12" t="s">
        <v>3307</v>
      </c>
      <c r="L278" s="13">
        <v>6</v>
      </c>
    </row>
    <row r="279" spans="1:12" hidden="1" x14ac:dyDescent="0.55000000000000004">
      <c r="A279" s="12" t="s">
        <v>2811</v>
      </c>
      <c r="B279" s="12" t="s">
        <v>4298</v>
      </c>
      <c r="C279" s="12" t="s">
        <v>5140</v>
      </c>
      <c r="D279" s="12" t="s">
        <v>4752</v>
      </c>
      <c r="E279" s="12" t="s">
        <v>191</v>
      </c>
      <c r="F279" s="12" t="s">
        <v>192</v>
      </c>
      <c r="G279" s="12" t="s">
        <v>193</v>
      </c>
      <c r="H279" s="12" t="s">
        <v>4304</v>
      </c>
      <c r="I279" s="12" t="s">
        <v>3059</v>
      </c>
      <c r="J279" s="12" t="s">
        <v>3086</v>
      </c>
      <c r="K279" s="12" t="s">
        <v>3309</v>
      </c>
      <c r="L279" s="13">
        <v>5</v>
      </c>
    </row>
    <row r="280" spans="1:12" hidden="1" x14ac:dyDescent="0.55000000000000004">
      <c r="A280" s="12" t="s">
        <v>2811</v>
      </c>
      <c r="B280" s="12" t="s">
        <v>4298</v>
      </c>
      <c r="C280" s="12" t="s">
        <v>5140</v>
      </c>
      <c r="D280" s="12" t="s">
        <v>4752</v>
      </c>
      <c r="E280" s="12" t="s">
        <v>199</v>
      </c>
      <c r="F280" s="12" t="s">
        <v>200</v>
      </c>
      <c r="G280" s="12" t="s">
        <v>201</v>
      </c>
      <c r="H280" s="12" t="s">
        <v>4304</v>
      </c>
      <c r="I280" s="12" t="s">
        <v>3059</v>
      </c>
      <c r="J280" s="12" t="s">
        <v>3086</v>
      </c>
      <c r="K280" s="12" t="s">
        <v>3312</v>
      </c>
      <c r="L280" s="13">
        <v>3</v>
      </c>
    </row>
    <row r="281" spans="1:12" hidden="1" x14ac:dyDescent="0.55000000000000004">
      <c r="A281" s="12" t="s">
        <v>2811</v>
      </c>
      <c r="B281" s="12" t="s">
        <v>4298</v>
      </c>
      <c r="C281" s="12" t="s">
        <v>5140</v>
      </c>
      <c r="D281" s="12" t="s">
        <v>4752</v>
      </c>
      <c r="E281" s="12" t="s">
        <v>211</v>
      </c>
      <c r="F281" s="12" t="s">
        <v>212</v>
      </c>
      <c r="G281" s="12" t="s">
        <v>213</v>
      </c>
      <c r="H281" s="12" t="s">
        <v>4304</v>
      </c>
      <c r="I281" s="12" t="s">
        <v>3060</v>
      </c>
      <c r="J281" s="12" t="s">
        <v>3086</v>
      </c>
      <c r="K281" s="12" t="s">
        <v>3316</v>
      </c>
      <c r="L281" s="13">
        <v>9</v>
      </c>
    </row>
    <row r="282" spans="1:12" hidden="1" x14ac:dyDescent="0.55000000000000004">
      <c r="A282" s="12" t="s">
        <v>2811</v>
      </c>
      <c r="B282" s="12" t="s">
        <v>4298</v>
      </c>
      <c r="C282" s="12" t="s">
        <v>5140</v>
      </c>
      <c r="D282" s="12" t="s">
        <v>4752</v>
      </c>
      <c r="E282" s="12" t="s">
        <v>3115</v>
      </c>
      <c r="F282" s="12" t="s">
        <v>147</v>
      </c>
      <c r="G282" s="12" t="s">
        <v>3116</v>
      </c>
      <c r="H282" s="12" t="s">
        <v>4304</v>
      </c>
      <c r="I282" s="12" t="s">
        <v>3059</v>
      </c>
      <c r="J282" s="12" t="s">
        <v>3086</v>
      </c>
      <c r="K282" s="12" t="s">
        <v>3317</v>
      </c>
      <c r="L282" s="13">
        <v>6</v>
      </c>
    </row>
    <row r="283" spans="1:12" hidden="1" x14ac:dyDescent="0.55000000000000004">
      <c r="A283" s="12" t="s">
        <v>2811</v>
      </c>
      <c r="B283" s="12" t="s">
        <v>4298</v>
      </c>
      <c r="C283" s="12" t="s">
        <v>5140</v>
      </c>
      <c r="D283" s="12" t="s">
        <v>4752</v>
      </c>
      <c r="E283" s="12" t="s">
        <v>3117</v>
      </c>
      <c r="F283" s="12" t="s">
        <v>214</v>
      </c>
      <c r="G283" s="12" t="s">
        <v>3118</v>
      </c>
      <c r="H283" s="12" t="s">
        <v>4304</v>
      </c>
      <c r="I283" s="12" t="s">
        <v>3059</v>
      </c>
      <c r="J283" s="12" t="s">
        <v>3086</v>
      </c>
      <c r="K283" s="12" t="s">
        <v>3318</v>
      </c>
      <c r="L283" s="13">
        <v>6</v>
      </c>
    </row>
    <row r="284" spans="1:12" hidden="1" x14ac:dyDescent="0.55000000000000004">
      <c r="A284" s="12" t="s">
        <v>2811</v>
      </c>
      <c r="B284" s="12" t="s">
        <v>4298</v>
      </c>
      <c r="C284" s="12" t="s">
        <v>5140</v>
      </c>
      <c r="D284" s="12" t="s">
        <v>4752</v>
      </c>
      <c r="E284" s="12" t="s">
        <v>215</v>
      </c>
      <c r="F284" s="12" t="s">
        <v>216</v>
      </c>
      <c r="G284" s="12" t="s">
        <v>217</v>
      </c>
      <c r="H284" s="12" t="s">
        <v>4304</v>
      </c>
      <c r="I284" s="12" t="s">
        <v>3059</v>
      </c>
      <c r="J284" s="12" t="s">
        <v>3086</v>
      </c>
      <c r="K284" s="12" t="s">
        <v>3319</v>
      </c>
      <c r="L284" s="13">
        <v>3</v>
      </c>
    </row>
    <row r="285" spans="1:12" hidden="1" x14ac:dyDescent="0.55000000000000004">
      <c r="A285" s="12" t="s">
        <v>2811</v>
      </c>
      <c r="B285" s="12" t="s">
        <v>4298</v>
      </c>
      <c r="C285" s="12" t="s">
        <v>5140</v>
      </c>
      <c r="D285" s="12" t="s">
        <v>4752</v>
      </c>
      <c r="E285" s="12" t="s">
        <v>5729</v>
      </c>
      <c r="F285" s="12" t="s">
        <v>5730</v>
      </c>
      <c r="G285" s="12" t="s">
        <v>5731</v>
      </c>
      <c r="H285" s="12" t="s">
        <v>4304</v>
      </c>
      <c r="I285" s="12" t="s">
        <v>3075</v>
      </c>
      <c r="J285" s="12" t="s">
        <v>3086</v>
      </c>
      <c r="K285" s="12" t="s">
        <v>5732</v>
      </c>
      <c r="L285" s="13" t="s">
        <v>3075</v>
      </c>
    </row>
    <row r="286" spans="1:12" hidden="1" x14ac:dyDescent="0.55000000000000004">
      <c r="A286" s="12" t="s">
        <v>2812</v>
      </c>
      <c r="B286" s="12" t="s">
        <v>4298</v>
      </c>
      <c r="C286" s="12" t="s">
        <v>5140</v>
      </c>
      <c r="D286" s="12" t="s">
        <v>4752</v>
      </c>
      <c r="E286" s="12" t="s">
        <v>176</v>
      </c>
      <c r="F286" s="12" t="s">
        <v>177</v>
      </c>
      <c r="G286" s="12" t="s">
        <v>178</v>
      </c>
      <c r="H286" s="12" t="s">
        <v>4305</v>
      </c>
      <c r="I286" s="12" t="s">
        <v>3075</v>
      </c>
      <c r="J286" s="12" t="s">
        <v>3086</v>
      </c>
      <c r="K286" s="12" t="s">
        <v>3304</v>
      </c>
      <c r="L286" s="13" t="s">
        <v>3075</v>
      </c>
    </row>
    <row r="287" spans="1:12" hidden="1" x14ac:dyDescent="0.55000000000000004">
      <c r="A287" s="12" t="s">
        <v>2812</v>
      </c>
      <c r="B287" s="12" t="s">
        <v>4298</v>
      </c>
      <c r="C287" s="12" t="s">
        <v>5140</v>
      </c>
      <c r="D287" s="12" t="s">
        <v>4752</v>
      </c>
      <c r="E287" s="12" t="s">
        <v>182</v>
      </c>
      <c r="F287" s="12" t="s">
        <v>183</v>
      </c>
      <c r="G287" s="12" t="s">
        <v>184</v>
      </c>
      <c r="H287" s="12" t="s">
        <v>4305</v>
      </c>
      <c r="I287" s="12" t="s">
        <v>3075</v>
      </c>
      <c r="J287" s="12" t="s">
        <v>3086</v>
      </c>
      <c r="K287" s="12" t="s">
        <v>3306</v>
      </c>
      <c r="L287" s="13" t="s">
        <v>3075</v>
      </c>
    </row>
    <row r="288" spans="1:12" hidden="1" x14ac:dyDescent="0.55000000000000004">
      <c r="A288" s="12" t="s">
        <v>2812</v>
      </c>
      <c r="B288" s="12" t="s">
        <v>4298</v>
      </c>
      <c r="C288" s="12" t="s">
        <v>5140</v>
      </c>
      <c r="D288" s="12" t="s">
        <v>4752</v>
      </c>
      <c r="E288" s="12" t="s">
        <v>194</v>
      </c>
      <c r="F288" s="12" t="s">
        <v>195</v>
      </c>
      <c r="G288" s="12" t="s">
        <v>196</v>
      </c>
      <c r="H288" s="12" t="s">
        <v>4305</v>
      </c>
      <c r="I288" s="12" t="s">
        <v>3075</v>
      </c>
      <c r="J288" s="12" t="s">
        <v>3086</v>
      </c>
      <c r="K288" s="12" t="s">
        <v>3310</v>
      </c>
      <c r="L288" s="13" t="s">
        <v>3075</v>
      </c>
    </row>
    <row r="289" spans="1:12" hidden="1" x14ac:dyDescent="0.55000000000000004">
      <c r="A289" s="12" t="s">
        <v>2812</v>
      </c>
      <c r="B289" s="12" t="s">
        <v>4298</v>
      </c>
      <c r="C289" s="12" t="s">
        <v>5140</v>
      </c>
      <c r="D289" s="12" t="s">
        <v>4752</v>
      </c>
      <c r="E289" s="12" t="s">
        <v>197</v>
      </c>
      <c r="F289" s="12" t="s">
        <v>198</v>
      </c>
      <c r="G289" s="12" t="s">
        <v>193</v>
      </c>
      <c r="H289" s="12" t="s">
        <v>4305</v>
      </c>
      <c r="I289" s="12" t="s">
        <v>3075</v>
      </c>
      <c r="J289" s="12" t="s">
        <v>3086</v>
      </c>
      <c r="K289" s="12" t="s">
        <v>3311</v>
      </c>
      <c r="L289" s="13" t="s">
        <v>3075</v>
      </c>
    </row>
    <row r="290" spans="1:12" hidden="1" x14ac:dyDescent="0.55000000000000004">
      <c r="A290" s="12" t="s">
        <v>2812</v>
      </c>
      <c r="B290" s="12" t="s">
        <v>4298</v>
      </c>
      <c r="C290" s="12" t="s">
        <v>5140</v>
      </c>
      <c r="D290" s="12" t="s">
        <v>4752</v>
      </c>
      <c r="E290" s="12" t="s">
        <v>208</v>
      </c>
      <c r="F290" s="12" t="s">
        <v>209</v>
      </c>
      <c r="G290" s="12" t="s">
        <v>210</v>
      </c>
      <c r="H290" s="12" t="s">
        <v>4305</v>
      </c>
      <c r="I290" s="12" t="s">
        <v>3075</v>
      </c>
      <c r="J290" s="12" t="s">
        <v>3086</v>
      </c>
      <c r="K290" s="12" t="s">
        <v>3315</v>
      </c>
      <c r="L290" s="13" t="s">
        <v>3075</v>
      </c>
    </row>
    <row r="291" spans="1:12" hidden="1" x14ac:dyDescent="0.55000000000000004">
      <c r="A291" s="12" t="s">
        <v>2812</v>
      </c>
      <c r="B291" s="12" t="s">
        <v>4298</v>
      </c>
      <c r="C291" s="12" t="s">
        <v>5140</v>
      </c>
      <c r="D291" s="12" t="s">
        <v>4752</v>
      </c>
      <c r="E291" s="12" t="s">
        <v>218</v>
      </c>
      <c r="F291" s="12" t="s">
        <v>219</v>
      </c>
      <c r="G291" s="12" t="s">
        <v>220</v>
      </c>
      <c r="H291" s="12" t="s">
        <v>4305</v>
      </c>
      <c r="I291" s="12" t="s">
        <v>3075</v>
      </c>
      <c r="J291" s="12" t="s">
        <v>3086</v>
      </c>
      <c r="K291" s="12" t="s">
        <v>3320</v>
      </c>
      <c r="L291" s="13" t="s">
        <v>3075</v>
      </c>
    </row>
    <row r="292" spans="1:12" hidden="1" x14ac:dyDescent="0.55000000000000004">
      <c r="A292" s="12" t="s">
        <v>2812</v>
      </c>
      <c r="B292" s="12" t="s">
        <v>4298</v>
      </c>
      <c r="C292" s="12" t="s">
        <v>5140</v>
      </c>
      <c r="D292" s="12" t="s">
        <v>4752</v>
      </c>
      <c r="E292" s="12" t="s">
        <v>221</v>
      </c>
      <c r="F292" s="12" t="s">
        <v>222</v>
      </c>
      <c r="G292" s="12" t="s">
        <v>223</v>
      </c>
      <c r="H292" s="12" t="s">
        <v>4305</v>
      </c>
      <c r="I292" s="12" t="s">
        <v>3075</v>
      </c>
      <c r="J292" s="12" t="s">
        <v>3086</v>
      </c>
      <c r="K292" s="12" t="s">
        <v>3321</v>
      </c>
      <c r="L292" s="13" t="s">
        <v>3075</v>
      </c>
    </row>
    <row r="293" spans="1:12" hidden="1" x14ac:dyDescent="0.55000000000000004">
      <c r="A293" s="12" t="s">
        <v>3049</v>
      </c>
      <c r="B293" s="12" t="s">
        <v>4486</v>
      </c>
      <c r="C293" s="12" t="s">
        <v>923</v>
      </c>
      <c r="D293" s="12" t="s">
        <v>4752</v>
      </c>
      <c r="E293" s="12" t="s">
        <v>924</v>
      </c>
      <c r="F293" s="12" t="s">
        <v>925</v>
      </c>
      <c r="G293" s="12" t="s">
        <v>926</v>
      </c>
      <c r="H293" s="12" t="s">
        <v>5141</v>
      </c>
      <c r="I293" s="12" t="s">
        <v>3059</v>
      </c>
      <c r="J293" s="12" t="s">
        <v>3089</v>
      </c>
      <c r="K293" s="12" t="s">
        <v>3564</v>
      </c>
      <c r="L293" s="13">
        <v>6</v>
      </c>
    </row>
    <row r="294" spans="1:12" hidden="1" x14ac:dyDescent="0.55000000000000004">
      <c r="A294" s="12" t="s">
        <v>3049</v>
      </c>
      <c r="B294" s="12" t="s">
        <v>4486</v>
      </c>
      <c r="C294" s="12" t="s">
        <v>923</v>
      </c>
      <c r="D294" s="12" t="s">
        <v>4752</v>
      </c>
      <c r="E294" s="12" t="s">
        <v>932</v>
      </c>
      <c r="F294" s="12" t="s">
        <v>933</v>
      </c>
      <c r="G294" s="12" t="s">
        <v>934</v>
      </c>
      <c r="H294" s="12" t="s">
        <v>5141</v>
      </c>
      <c r="I294" s="12" t="s">
        <v>3075</v>
      </c>
      <c r="J294" s="12" t="s">
        <v>3089</v>
      </c>
      <c r="K294" s="12" t="s">
        <v>3567</v>
      </c>
      <c r="L294" s="13" t="s">
        <v>3075</v>
      </c>
    </row>
    <row r="295" spans="1:12" hidden="1" x14ac:dyDescent="0.55000000000000004">
      <c r="A295" s="12" t="s">
        <v>3049</v>
      </c>
      <c r="B295" s="12" t="s">
        <v>4486</v>
      </c>
      <c r="C295" s="12" t="s">
        <v>923</v>
      </c>
      <c r="D295" s="12" t="s">
        <v>4752</v>
      </c>
      <c r="E295" s="12" t="s">
        <v>938</v>
      </c>
      <c r="F295" s="12" t="s">
        <v>939</v>
      </c>
      <c r="G295" s="12" t="s">
        <v>940</v>
      </c>
      <c r="H295" s="12" t="s">
        <v>5141</v>
      </c>
      <c r="I295" s="12" t="s">
        <v>3059</v>
      </c>
      <c r="J295" s="12" t="s">
        <v>3089</v>
      </c>
      <c r="K295" s="12" t="s">
        <v>3569</v>
      </c>
      <c r="L295" s="13">
        <v>6</v>
      </c>
    </row>
    <row r="296" spans="1:12" hidden="1" x14ac:dyDescent="0.55000000000000004">
      <c r="A296" s="12" t="s">
        <v>3049</v>
      </c>
      <c r="B296" s="12" t="s">
        <v>4486</v>
      </c>
      <c r="C296" s="12" t="s">
        <v>923</v>
      </c>
      <c r="D296" s="12" t="s">
        <v>4752</v>
      </c>
      <c r="E296" s="12" t="s">
        <v>944</v>
      </c>
      <c r="F296" s="12" t="s">
        <v>945</v>
      </c>
      <c r="G296" s="12" t="s">
        <v>946</v>
      </c>
      <c r="H296" s="12" t="s">
        <v>5141</v>
      </c>
      <c r="I296" s="12" t="s">
        <v>3059</v>
      </c>
      <c r="J296" s="12" t="s">
        <v>3089</v>
      </c>
      <c r="K296" s="12" t="s">
        <v>3571</v>
      </c>
      <c r="L296" s="13">
        <v>6</v>
      </c>
    </row>
    <row r="297" spans="1:12" hidden="1" x14ac:dyDescent="0.55000000000000004">
      <c r="A297" s="12" t="s">
        <v>3049</v>
      </c>
      <c r="B297" s="12" t="s">
        <v>4486</v>
      </c>
      <c r="C297" s="12" t="s">
        <v>923</v>
      </c>
      <c r="D297" s="12" t="s">
        <v>4752</v>
      </c>
      <c r="E297" s="12" t="s">
        <v>950</v>
      </c>
      <c r="F297" s="12" t="s">
        <v>951</v>
      </c>
      <c r="G297" s="12" t="s">
        <v>952</v>
      </c>
      <c r="H297" s="12" t="s">
        <v>5141</v>
      </c>
      <c r="I297" s="12" t="s">
        <v>3075</v>
      </c>
      <c r="J297" s="12" t="s">
        <v>3089</v>
      </c>
      <c r="K297" s="12" t="s">
        <v>3573</v>
      </c>
      <c r="L297" s="13" t="s">
        <v>3075</v>
      </c>
    </row>
    <row r="298" spans="1:12" hidden="1" x14ac:dyDescent="0.55000000000000004">
      <c r="A298" s="12" t="s">
        <v>3049</v>
      </c>
      <c r="B298" s="12" t="s">
        <v>4486</v>
      </c>
      <c r="C298" s="12" t="s">
        <v>923</v>
      </c>
      <c r="D298" s="12" t="s">
        <v>4752</v>
      </c>
      <c r="E298" s="12" t="s">
        <v>970</v>
      </c>
      <c r="F298" s="12" t="s">
        <v>971</v>
      </c>
      <c r="G298" s="12" t="s">
        <v>972</v>
      </c>
      <c r="H298" s="12" t="s">
        <v>5141</v>
      </c>
      <c r="I298" s="12" t="s">
        <v>3059</v>
      </c>
      <c r="J298" s="12" t="s">
        <v>3089</v>
      </c>
      <c r="K298" s="12" t="s">
        <v>3580</v>
      </c>
      <c r="L298" s="13">
        <v>5</v>
      </c>
    </row>
    <row r="299" spans="1:12" hidden="1" x14ac:dyDescent="0.55000000000000004">
      <c r="A299" s="12" t="s">
        <v>3049</v>
      </c>
      <c r="B299" s="12" t="s">
        <v>4486</v>
      </c>
      <c r="C299" s="12" t="s">
        <v>923</v>
      </c>
      <c r="D299" s="12" t="s">
        <v>4752</v>
      </c>
      <c r="E299" s="12" t="s">
        <v>982</v>
      </c>
      <c r="F299" s="12" t="s">
        <v>983</v>
      </c>
      <c r="G299" s="12" t="s">
        <v>984</v>
      </c>
      <c r="H299" s="12" t="s">
        <v>5141</v>
      </c>
      <c r="I299" s="12" t="s">
        <v>3059</v>
      </c>
      <c r="J299" s="12" t="s">
        <v>3089</v>
      </c>
      <c r="K299" s="12" t="s">
        <v>3584</v>
      </c>
      <c r="L299" s="13">
        <v>6</v>
      </c>
    </row>
    <row r="300" spans="1:12" hidden="1" x14ac:dyDescent="0.55000000000000004">
      <c r="A300" s="12" t="s">
        <v>3049</v>
      </c>
      <c r="B300" s="12" t="s">
        <v>4486</v>
      </c>
      <c r="C300" s="12" t="s">
        <v>923</v>
      </c>
      <c r="D300" s="12" t="s">
        <v>4752</v>
      </c>
      <c r="E300" s="12" t="s">
        <v>985</v>
      </c>
      <c r="F300" s="12" t="s">
        <v>986</v>
      </c>
      <c r="G300" s="12" t="s">
        <v>987</v>
      </c>
      <c r="H300" s="12" t="s">
        <v>5141</v>
      </c>
      <c r="I300" s="12" t="s">
        <v>3059</v>
      </c>
      <c r="J300" s="12" t="s">
        <v>3089</v>
      </c>
      <c r="K300" s="12" t="s">
        <v>3585</v>
      </c>
      <c r="L300" s="13">
        <v>5</v>
      </c>
    </row>
    <row r="301" spans="1:12" hidden="1" x14ac:dyDescent="0.55000000000000004">
      <c r="A301" s="12" t="s">
        <v>3049</v>
      </c>
      <c r="B301" s="12" t="s">
        <v>4486</v>
      </c>
      <c r="C301" s="12" t="s">
        <v>923</v>
      </c>
      <c r="D301" s="12" t="s">
        <v>4752</v>
      </c>
      <c r="E301" s="12" t="s">
        <v>1006</v>
      </c>
      <c r="F301" s="12" t="s">
        <v>1007</v>
      </c>
      <c r="G301" s="12" t="s">
        <v>1008</v>
      </c>
      <c r="H301" s="12" t="s">
        <v>5141</v>
      </c>
      <c r="I301" s="12" t="s">
        <v>3075</v>
      </c>
      <c r="J301" s="12" t="s">
        <v>3089</v>
      </c>
      <c r="K301" s="12" t="s">
        <v>3593</v>
      </c>
      <c r="L301" s="13" t="s">
        <v>3075</v>
      </c>
    </row>
    <row r="302" spans="1:12" hidden="1" x14ac:dyDescent="0.55000000000000004">
      <c r="A302" s="12" t="s">
        <v>3049</v>
      </c>
      <c r="B302" s="12" t="s">
        <v>4486</v>
      </c>
      <c r="C302" s="12" t="s">
        <v>923</v>
      </c>
      <c r="D302" s="12" t="s">
        <v>4752</v>
      </c>
      <c r="E302" s="12" t="s">
        <v>1009</v>
      </c>
      <c r="F302" s="12" t="s">
        <v>1010</v>
      </c>
      <c r="G302" s="12" t="s">
        <v>1011</v>
      </c>
      <c r="H302" s="12" t="s">
        <v>5141</v>
      </c>
      <c r="I302" s="12" t="s">
        <v>3075</v>
      </c>
      <c r="J302" s="12" t="s">
        <v>3089</v>
      </c>
      <c r="K302" s="12" t="s">
        <v>3594</v>
      </c>
      <c r="L302" s="13" t="s">
        <v>3075</v>
      </c>
    </row>
    <row r="303" spans="1:12" hidden="1" x14ac:dyDescent="0.55000000000000004">
      <c r="A303" s="12" t="s">
        <v>3049</v>
      </c>
      <c r="B303" s="12" t="s">
        <v>4486</v>
      </c>
      <c r="C303" s="12" t="s">
        <v>923</v>
      </c>
      <c r="D303" s="12" t="s">
        <v>4752</v>
      </c>
      <c r="E303" s="12" t="s">
        <v>1030</v>
      </c>
      <c r="F303" s="12" t="s">
        <v>894</v>
      </c>
      <c r="G303" s="12" t="s">
        <v>1031</v>
      </c>
      <c r="H303" s="12" t="s">
        <v>5141</v>
      </c>
      <c r="I303" s="12" t="s">
        <v>3075</v>
      </c>
      <c r="J303" s="12" t="s">
        <v>3089</v>
      </c>
      <c r="K303" s="12" t="s">
        <v>3602</v>
      </c>
      <c r="L303" s="13" t="s">
        <v>3075</v>
      </c>
    </row>
    <row r="304" spans="1:12" hidden="1" x14ac:dyDescent="0.55000000000000004">
      <c r="A304" s="12" t="s">
        <v>3049</v>
      </c>
      <c r="B304" s="12" t="s">
        <v>4486</v>
      </c>
      <c r="C304" s="12" t="s">
        <v>923</v>
      </c>
      <c r="D304" s="12" t="s">
        <v>4752</v>
      </c>
      <c r="E304" s="12" t="s">
        <v>1032</v>
      </c>
      <c r="F304" s="12" t="s">
        <v>1033</v>
      </c>
      <c r="G304" s="12" t="s">
        <v>1034</v>
      </c>
      <c r="H304" s="12" t="s">
        <v>5141</v>
      </c>
      <c r="I304" s="12" t="s">
        <v>3059</v>
      </c>
      <c r="J304" s="12" t="s">
        <v>3089</v>
      </c>
      <c r="K304" s="12" t="s">
        <v>3603</v>
      </c>
      <c r="L304" s="13">
        <v>5</v>
      </c>
    </row>
    <row r="305" spans="1:12" hidden="1" x14ac:dyDescent="0.55000000000000004">
      <c r="A305" s="12" t="s">
        <v>3049</v>
      </c>
      <c r="B305" s="12" t="s">
        <v>4486</v>
      </c>
      <c r="C305" s="12" t="s">
        <v>923</v>
      </c>
      <c r="D305" s="12" t="s">
        <v>4752</v>
      </c>
      <c r="E305" s="12" t="s">
        <v>1035</v>
      </c>
      <c r="F305" s="12" t="s">
        <v>1036</v>
      </c>
      <c r="G305" s="12" t="s">
        <v>1037</v>
      </c>
      <c r="H305" s="12" t="s">
        <v>5141</v>
      </c>
      <c r="I305" s="12" t="s">
        <v>3059</v>
      </c>
      <c r="J305" s="12" t="s">
        <v>3089</v>
      </c>
      <c r="K305" s="12" t="s">
        <v>3604</v>
      </c>
      <c r="L305" s="13">
        <v>6</v>
      </c>
    </row>
    <row r="306" spans="1:12" hidden="1" x14ac:dyDescent="0.55000000000000004">
      <c r="A306" s="12" t="s">
        <v>3049</v>
      </c>
      <c r="B306" s="12" t="s">
        <v>4486</v>
      </c>
      <c r="C306" s="12" t="s">
        <v>923</v>
      </c>
      <c r="D306" s="12" t="s">
        <v>4752</v>
      </c>
      <c r="E306" s="12" t="s">
        <v>1038</v>
      </c>
      <c r="F306" s="12" t="s">
        <v>1039</v>
      </c>
      <c r="G306" s="12" t="s">
        <v>1040</v>
      </c>
      <c r="H306" s="12" t="s">
        <v>5141</v>
      </c>
      <c r="I306" s="12" t="s">
        <v>3075</v>
      </c>
      <c r="J306" s="12" t="s">
        <v>3089</v>
      </c>
      <c r="K306" s="12" t="s">
        <v>3605</v>
      </c>
      <c r="L306" s="13" t="s">
        <v>3075</v>
      </c>
    </row>
    <row r="307" spans="1:12" hidden="1" x14ac:dyDescent="0.55000000000000004">
      <c r="A307" s="12" t="s">
        <v>3049</v>
      </c>
      <c r="B307" s="12" t="s">
        <v>4486</v>
      </c>
      <c r="C307" s="12" t="s">
        <v>923</v>
      </c>
      <c r="D307" s="12" t="s">
        <v>4752</v>
      </c>
      <c r="E307" s="12" t="s">
        <v>1041</v>
      </c>
      <c r="F307" s="12" t="s">
        <v>1042</v>
      </c>
      <c r="G307" s="12" t="s">
        <v>1043</v>
      </c>
      <c r="H307" s="12" t="s">
        <v>5141</v>
      </c>
      <c r="I307" s="12" t="s">
        <v>3059</v>
      </c>
      <c r="J307" s="12" t="s">
        <v>3089</v>
      </c>
      <c r="K307" s="12" t="s">
        <v>3606</v>
      </c>
      <c r="L307" s="13">
        <v>6</v>
      </c>
    </row>
    <row r="308" spans="1:12" hidden="1" x14ac:dyDescent="0.55000000000000004">
      <c r="A308" s="12" t="s">
        <v>2833</v>
      </c>
      <c r="B308" s="12" t="s">
        <v>4298</v>
      </c>
      <c r="C308" s="12" t="s">
        <v>5131</v>
      </c>
      <c r="D308" s="12" t="s">
        <v>4752</v>
      </c>
      <c r="E308" s="12" t="s">
        <v>764</v>
      </c>
      <c r="F308" s="12" t="s">
        <v>155</v>
      </c>
      <c r="G308" s="12" t="s">
        <v>2412</v>
      </c>
      <c r="H308" s="12" t="s">
        <v>4326</v>
      </c>
      <c r="I308" s="12" t="s">
        <v>3059</v>
      </c>
      <c r="J308" s="12" t="s">
        <v>1404</v>
      </c>
      <c r="K308" s="12" t="s">
        <v>5564</v>
      </c>
      <c r="L308" s="13">
        <v>4</v>
      </c>
    </row>
    <row r="309" spans="1:12" hidden="1" x14ac:dyDescent="0.55000000000000004">
      <c r="A309" s="12" t="s">
        <v>2833</v>
      </c>
      <c r="B309" s="12" t="s">
        <v>4298</v>
      </c>
      <c r="C309" s="12" t="s">
        <v>5131</v>
      </c>
      <c r="D309" s="12" t="s">
        <v>4752</v>
      </c>
      <c r="E309" s="12" t="s">
        <v>765</v>
      </c>
      <c r="F309" s="12" t="s">
        <v>766</v>
      </c>
      <c r="G309" s="12" t="s">
        <v>767</v>
      </c>
      <c r="H309" s="12" t="s">
        <v>4326</v>
      </c>
      <c r="I309" s="12" t="s">
        <v>3059</v>
      </c>
      <c r="J309" s="12" t="s">
        <v>1404</v>
      </c>
      <c r="K309" s="12" t="s">
        <v>3507</v>
      </c>
      <c r="L309" s="13">
        <v>2</v>
      </c>
    </row>
    <row r="310" spans="1:12" hidden="1" x14ac:dyDescent="0.55000000000000004">
      <c r="A310" s="12" t="s">
        <v>2833</v>
      </c>
      <c r="B310" s="12" t="s">
        <v>4298</v>
      </c>
      <c r="C310" s="12" t="s">
        <v>5131</v>
      </c>
      <c r="D310" s="12" t="s">
        <v>4752</v>
      </c>
      <c r="E310" s="12" t="s">
        <v>770</v>
      </c>
      <c r="F310" s="12" t="s">
        <v>428</v>
      </c>
      <c r="G310" s="12" t="s">
        <v>771</v>
      </c>
      <c r="H310" s="12" t="s">
        <v>4326</v>
      </c>
      <c r="I310" s="12" t="s">
        <v>3059</v>
      </c>
      <c r="J310" s="12" t="s">
        <v>1404</v>
      </c>
      <c r="K310" s="12" t="s">
        <v>3509</v>
      </c>
      <c r="L310" s="13">
        <v>2</v>
      </c>
    </row>
    <row r="311" spans="1:12" hidden="1" x14ac:dyDescent="0.55000000000000004">
      <c r="A311" s="12" t="s">
        <v>2833</v>
      </c>
      <c r="B311" s="12" t="s">
        <v>4298</v>
      </c>
      <c r="C311" s="12" t="s">
        <v>5131</v>
      </c>
      <c r="D311" s="12" t="s">
        <v>4752</v>
      </c>
      <c r="E311" s="12" t="s">
        <v>787</v>
      </c>
      <c r="F311" s="12" t="s">
        <v>378</v>
      </c>
      <c r="G311" s="12" t="s">
        <v>788</v>
      </c>
      <c r="H311" s="12" t="s">
        <v>4326</v>
      </c>
      <c r="I311" s="12" t="s">
        <v>3075</v>
      </c>
      <c r="J311" s="12" t="s">
        <v>1404</v>
      </c>
      <c r="K311" s="12" t="s">
        <v>3515</v>
      </c>
      <c r="L311" s="13" t="s">
        <v>3075</v>
      </c>
    </row>
    <row r="312" spans="1:12" hidden="1" x14ac:dyDescent="0.55000000000000004">
      <c r="A312" s="12" t="s">
        <v>2833</v>
      </c>
      <c r="B312" s="12" t="s">
        <v>4298</v>
      </c>
      <c r="C312" s="12" t="s">
        <v>5131</v>
      </c>
      <c r="D312" s="12" t="s">
        <v>4752</v>
      </c>
      <c r="E312" s="12" t="s">
        <v>789</v>
      </c>
      <c r="F312" s="12" t="s">
        <v>790</v>
      </c>
      <c r="G312" s="12" t="s">
        <v>791</v>
      </c>
      <c r="H312" s="12" t="s">
        <v>4326</v>
      </c>
      <c r="I312" s="12" t="s">
        <v>3059</v>
      </c>
      <c r="J312" s="12" t="s">
        <v>1404</v>
      </c>
      <c r="K312" s="12" t="s">
        <v>3516</v>
      </c>
      <c r="L312" s="13">
        <v>2</v>
      </c>
    </row>
    <row r="313" spans="1:12" hidden="1" x14ac:dyDescent="0.55000000000000004">
      <c r="A313" s="12" t="s">
        <v>2833</v>
      </c>
      <c r="B313" s="12" t="s">
        <v>4298</v>
      </c>
      <c r="C313" s="12" t="s">
        <v>5131</v>
      </c>
      <c r="D313" s="12" t="s">
        <v>4752</v>
      </c>
      <c r="E313" s="12" t="s">
        <v>809</v>
      </c>
      <c r="F313" s="12" t="s">
        <v>810</v>
      </c>
      <c r="G313" s="12" t="s">
        <v>811</v>
      </c>
      <c r="H313" s="12" t="s">
        <v>4326</v>
      </c>
      <c r="I313" s="12" t="s">
        <v>3059</v>
      </c>
      <c r="J313" s="12" t="s">
        <v>1404</v>
      </c>
      <c r="K313" s="12" t="s">
        <v>3523</v>
      </c>
      <c r="L313" s="13">
        <v>2</v>
      </c>
    </row>
    <row r="314" spans="1:12" hidden="1" x14ac:dyDescent="0.55000000000000004">
      <c r="A314" s="12" t="s">
        <v>2833</v>
      </c>
      <c r="B314" s="12" t="s">
        <v>4298</v>
      </c>
      <c r="C314" s="12" t="s">
        <v>5131</v>
      </c>
      <c r="D314" s="12" t="s">
        <v>4752</v>
      </c>
      <c r="E314" s="12" t="s">
        <v>812</v>
      </c>
      <c r="F314" s="12" t="s">
        <v>813</v>
      </c>
      <c r="G314" s="12" t="s">
        <v>814</v>
      </c>
      <c r="H314" s="12" t="s">
        <v>4326</v>
      </c>
      <c r="I314" s="12" t="s">
        <v>3059</v>
      </c>
      <c r="J314" s="12" t="s">
        <v>1404</v>
      </c>
      <c r="K314" s="12" t="s">
        <v>3524</v>
      </c>
      <c r="L314" s="13">
        <v>2</v>
      </c>
    </row>
    <row r="315" spans="1:12" hidden="1" x14ac:dyDescent="0.55000000000000004">
      <c r="A315" s="12" t="s">
        <v>2833</v>
      </c>
      <c r="B315" s="12" t="s">
        <v>4298</v>
      </c>
      <c r="C315" s="12" t="s">
        <v>5131</v>
      </c>
      <c r="D315" s="12" t="s">
        <v>4752</v>
      </c>
      <c r="E315" s="12" t="s">
        <v>818</v>
      </c>
      <c r="F315" s="12" t="s">
        <v>616</v>
      </c>
      <c r="G315" s="12" t="s">
        <v>819</v>
      </c>
      <c r="H315" s="12" t="s">
        <v>4326</v>
      </c>
      <c r="I315" s="12" t="s">
        <v>3059</v>
      </c>
      <c r="J315" s="12" t="s">
        <v>1404</v>
      </c>
      <c r="K315" s="12" t="s">
        <v>3526</v>
      </c>
      <c r="L315" s="13">
        <v>4</v>
      </c>
    </row>
    <row r="316" spans="1:12" hidden="1" x14ac:dyDescent="0.55000000000000004">
      <c r="A316" s="12" t="s">
        <v>2833</v>
      </c>
      <c r="B316" s="12" t="s">
        <v>4298</v>
      </c>
      <c r="C316" s="12" t="s">
        <v>5131</v>
      </c>
      <c r="D316" s="12" t="s">
        <v>4752</v>
      </c>
      <c r="E316" s="12" t="s">
        <v>820</v>
      </c>
      <c r="F316" s="12" t="s">
        <v>782</v>
      </c>
      <c r="G316" s="12" t="s">
        <v>821</v>
      </c>
      <c r="H316" s="12" t="s">
        <v>4326</v>
      </c>
      <c r="I316" s="12" t="s">
        <v>3059</v>
      </c>
      <c r="J316" s="12" t="s">
        <v>1404</v>
      </c>
      <c r="K316" s="12" t="s">
        <v>3527</v>
      </c>
      <c r="L316" s="13">
        <v>4</v>
      </c>
    </row>
    <row r="317" spans="1:12" hidden="1" x14ac:dyDescent="0.55000000000000004">
      <c r="A317" s="12" t="s">
        <v>2833</v>
      </c>
      <c r="B317" s="12" t="s">
        <v>4298</v>
      </c>
      <c r="C317" s="12" t="s">
        <v>5131</v>
      </c>
      <c r="D317" s="12" t="s">
        <v>4752</v>
      </c>
      <c r="E317" s="12" t="s">
        <v>825</v>
      </c>
      <c r="F317" s="12" t="s">
        <v>826</v>
      </c>
      <c r="G317" s="12" t="s">
        <v>827</v>
      </c>
      <c r="H317" s="12" t="s">
        <v>4326</v>
      </c>
      <c r="I317" s="12" t="s">
        <v>3059</v>
      </c>
      <c r="J317" s="12" t="s">
        <v>1404</v>
      </c>
      <c r="K317" s="12" t="s">
        <v>3529</v>
      </c>
      <c r="L317" s="13">
        <v>4</v>
      </c>
    </row>
    <row r="318" spans="1:12" hidden="1" x14ac:dyDescent="0.55000000000000004">
      <c r="A318" s="12" t="s">
        <v>2833</v>
      </c>
      <c r="B318" s="12" t="s">
        <v>4298</v>
      </c>
      <c r="C318" s="12" t="s">
        <v>5131</v>
      </c>
      <c r="D318" s="12" t="s">
        <v>4752</v>
      </c>
      <c r="E318" s="12" t="s">
        <v>863</v>
      </c>
      <c r="F318" s="12" t="s">
        <v>864</v>
      </c>
      <c r="G318" s="12" t="s">
        <v>865</v>
      </c>
      <c r="H318" s="12" t="s">
        <v>4326</v>
      </c>
      <c r="I318" s="12" t="s">
        <v>3059</v>
      </c>
      <c r="J318" s="12" t="s">
        <v>1404</v>
      </c>
      <c r="K318" s="12" t="s">
        <v>3543</v>
      </c>
      <c r="L318" s="13">
        <v>5</v>
      </c>
    </row>
    <row r="319" spans="1:12" hidden="1" x14ac:dyDescent="0.55000000000000004">
      <c r="A319" s="12" t="s">
        <v>2833</v>
      </c>
      <c r="B319" s="12" t="s">
        <v>4298</v>
      </c>
      <c r="C319" s="12" t="s">
        <v>5131</v>
      </c>
      <c r="D319" s="12" t="s">
        <v>4752</v>
      </c>
      <c r="E319" s="12" t="s">
        <v>5733</v>
      </c>
      <c r="F319" s="12" t="s">
        <v>5734</v>
      </c>
      <c r="G319" s="12" t="s">
        <v>5735</v>
      </c>
      <c r="H319" s="12" t="s">
        <v>4326</v>
      </c>
      <c r="I319" s="12" t="s">
        <v>3075</v>
      </c>
      <c r="J319" s="12" t="s">
        <v>1404</v>
      </c>
      <c r="K319" s="12" t="s">
        <v>5736</v>
      </c>
      <c r="L319" s="13" t="s">
        <v>3075</v>
      </c>
    </row>
    <row r="320" spans="1:12" hidden="1" x14ac:dyDescent="0.55000000000000004">
      <c r="A320" s="12" t="s">
        <v>2832</v>
      </c>
      <c r="B320" s="12" t="s">
        <v>4298</v>
      </c>
      <c r="C320" s="12" t="s">
        <v>5131</v>
      </c>
      <c r="D320" s="12" t="s">
        <v>4752</v>
      </c>
      <c r="E320" s="12" t="s">
        <v>806</v>
      </c>
      <c r="F320" s="12" t="s">
        <v>807</v>
      </c>
      <c r="G320" s="12" t="s">
        <v>808</v>
      </c>
      <c r="H320" s="12" t="s">
        <v>4327</v>
      </c>
      <c r="I320" s="12" t="s">
        <v>3075</v>
      </c>
      <c r="J320" s="12" t="s">
        <v>1404</v>
      </c>
      <c r="K320" s="12" t="s">
        <v>3522</v>
      </c>
      <c r="L320" s="13" t="s">
        <v>3075</v>
      </c>
    </row>
    <row r="321" spans="1:12" hidden="1" x14ac:dyDescent="0.55000000000000004">
      <c r="A321" s="12" t="s">
        <v>2960</v>
      </c>
      <c r="B321" s="12" t="s">
        <v>4442</v>
      </c>
      <c r="C321" s="12" t="s">
        <v>2158</v>
      </c>
      <c r="D321" s="12" t="s">
        <v>4752</v>
      </c>
      <c r="E321" s="12" t="s">
        <v>2156</v>
      </c>
      <c r="F321" s="12" t="s">
        <v>686</v>
      </c>
      <c r="G321" s="12" t="s">
        <v>2157</v>
      </c>
      <c r="H321" s="12" t="s">
        <v>4482</v>
      </c>
      <c r="I321" s="12" t="s">
        <v>3059</v>
      </c>
      <c r="J321" s="12" t="s">
        <v>1991</v>
      </c>
      <c r="K321" s="12" t="s">
        <v>4012</v>
      </c>
      <c r="L321" s="13">
        <v>5</v>
      </c>
    </row>
    <row r="322" spans="1:12" hidden="1" x14ac:dyDescent="0.55000000000000004">
      <c r="A322" s="12" t="s">
        <v>2960</v>
      </c>
      <c r="B322" s="12" t="s">
        <v>4442</v>
      </c>
      <c r="C322" s="12" t="s">
        <v>2158</v>
      </c>
      <c r="D322" s="12" t="s">
        <v>4752</v>
      </c>
      <c r="E322" s="12" t="s">
        <v>2159</v>
      </c>
      <c r="F322" s="12" t="s">
        <v>2092</v>
      </c>
      <c r="G322" s="12" t="s">
        <v>2160</v>
      </c>
      <c r="H322" s="12" t="s">
        <v>4482</v>
      </c>
      <c r="I322" s="12" t="s">
        <v>3059</v>
      </c>
      <c r="J322" s="12" t="s">
        <v>1991</v>
      </c>
      <c r="K322" s="12" t="s">
        <v>4013</v>
      </c>
      <c r="L322" s="13">
        <v>5</v>
      </c>
    </row>
    <row r="323" spans="1:12" hidden="1" x14ac:dyDescent="0.55000000000000004">
      <c r="A323" s="12" t="s">
        <v>2960</v>
      </c>
      <c r="B323" s="12" t="s">
        <v>4442</v>
      </c>
      <c r="C323" s="12" t="s">
        <v>2158</v>
      </c>
      <c r="D323" s="12" t="s">
        <v>4752</v>
      </c>
      <c r="E323" s="12" t="s">
        <v>2161</v>
      </c>
      <c r="F323" s="12" t="s">
        <v>2162</v>
      </c>
      <c r="G323" s="12" t="s">
        <v>2163</v>
      </c>
      <c r="H323" s="12" t="s">
        <v>4482</v>
      </c>
      <c r="I323" s="12" t="s">
        <v>3059</v>
      </c>
      <c r="J323" s="12" t="s">
        <v>1991</v>
      </c>
      <c r="K323" s="12" t="s">
        <v>4014</v>
      </c>
      <c r="L323" s="13">
        <v>5</v>
      </c>
    </row>
    <row r="324" spans="1:12" hidden="1" x14ac:dyDescent="0.55000000000000004">
      <c r="A324" s="12" t="s">
        <v>2960</v>
      </c>
      <c r="B324" s="12" t="s">
        <v>4442</v>
      </c>
      <c r="C324" s="12" t="s">
        <v>2158</v>
      </c>
      <c r="D324" s="12" t="s">
        <v>4752</v>
      </c>
      <c r="E324" s="12" t="s">
        <v>2164</v>
      </c>
      <c r="F324" s="12" t="s">
        <v>2165</v>
      </c>
      <c r="G324" s="12" t="s">
        <v>2166</v>
      </c>
      <c r="H324" s="12" t="s">
        <v>4482</v>
      </c>
      <c r="I324" s="12" t="s">
        <v>3059</v>
      </c>
      <c r="J324" s="12" t="s">
        <v>1991</v>
      </c>
      <c r="K324" s="12" t="s">
        <v>4707</v>
      </c>
      <c r="L324" s="13">
        <v>5</v>
      </c>
    </row>
    <row r="325" spans="1:12" hidden="1" x14ac:dyDescent="0.55000000000000004">
      <c r="A325" s="12" t="s">
        <v>2960</v>
      </c>
      <c r="B325" s="12" t="s">
        <v>4442</v>
      </c>
      <c r="C325" s="12" t="s">
        <v>2158</v>
      </c>
      <c r="D325" s="12" t="s">
        <v>4752</v>
      </c>
      <c r="E325" s="12" t="s">
        <v>2167</v>
      </c>
      <c r="F325" s="12" t="s">
        <v>2168</v>
      </c>
      <c r="G325" s="12" t="s">
        <v>2169</v>
      </c>
      <c r="H325" s="12" t="s">
        <v>4482</v>
      </c>
      <c r="I325" s="12" t="s">
        <v>3059</v>
      </c>
      <c r="J325" s="12" t="s">
        <v>1991</v>
      </c>
      <c r="K325" s="12" t="s">
        <v>4015</v>
      </c>
      <c r="L325" s="13">
        <v>5</v>
      </c>
    </row>
    <row r="326" spans="1:12" hidden="1" x14ac:dyDescent="0.55000000000000004">
      <c r="A326" s="12" t="s">
        <v>2960</v>
      </c>
      <c r="B326" s="12" t="s">
        <v>4442</v>
      </c>
      <c r="C326" s="12" t="s">
        <v>2158</v>
      </c>
      <c r="D326" s="12" t="s">
        <v>4752</v>
      </c>
      <c r="E326" s="12" t="s">
        <v>2170</v>
      </c>
      <c r="F326" s="12" t="s">
        <v>241</v>
      </c>
      <c r="G326" s="12" t="s">
        <v>2171</v>
      </c>
      <c r="H326" s="12" t="s">
        <v>4482</v>
      </c>
      <c r="I326" s="12" t="s">
        <v>3059</v>
      </c>
      <c r="J326" s="12" t="s">
        <v>1991</v>
      </c>
      <c r="K326" s="12" t="s">
        <v>4016</v>
      </c>
      <c r="L326" s="13">
        <v>5</v>
      </c>
    </row>
    <row r="327" spans="1:12" hidden="1" x14ac:dyDescent="0.55000000000000004">
      <c r="A327" s="12" t="s">
        <v>2960</v>
      </c>
      <c r="B327" s="12" t="s">
        <v>4442</v>
      </c>
      <c r="C327" s="12" t="s">
        <v>2158</v>
      </c>
      <c r="D327" s="12" t="s">
        <v>4752</v>
      </c>
      <c r="E327" s="12" t="s">
        <v>2172</v>
      </c>
      <c r="F327" s="12" t="s">
        <v>45</v>
      </c>
      <c r="G327" s="12" t="s">
        <v>2173</v>
      </c>
      <c r="H327" s="12" t="s">
        <v>4482</v>
      </c>
      <c r="I327" s="12" t="s">
        <v>3059</v>
      </c>
      <c r="J327" s="12" t="s">
        <v>1991</v>
      </c>
      <c r="K327" s="12" t="s">
        <v>4017</v>
      </c>
      <c r="L327" s="13">
        <v>5</v>
      </c>
    </row>
    <row r="328" spans="1:12" hidden="1" x14ac:dyDescent="0.55000000000000004">
      <c r="A328" s="12" t="s">
        <v>2960</v>
      </c>
      <c r="B328" s="12" t="s">
        <v>4442</v>
      </c>
      <c r="C328" s="12" t="s">
        <v>2158</v>
      </c>
      <c r="D328" s="12" t="s">
        <v>4752</v>
      </c>
      <c r="E328" s="12" t="s">
        <v>3105</v>
      </c>
      <c r="F328" s="12" t="s">
        <v>3103</v>
      </c>
      <c r="G328" s="12" t="s">
        <v>3104</v>
      </c>
      <c r="H328" s="12" t="s">
        <v>4482</v>
      </c>
      <c r="I328" s="12" t="s">
        <v>3059</v>
      </c>
      <c r="J328" s="12" t="s">
        <v>1991</v>
      </c>
      <c r="K328" s="12" t="s">
        <v>4018</v>
      </c>
      <c r="L328" s="13">
        <v>5</v>
      </c>
    </row>
    <row r="329" spans="1:12" hidden="1" x14ac:dyDescent="0.55000000000000004">
      <c r="A329" s="12" t="s">
        <v>2870</v>
      </c>
      <c r="B329" s="12" t="s">
        <v>4298</v>
      </c>
      <c r="C329" s="12" t="s">
        <v>157</v>
      </c>
      <c r="D329" s="12" t="s">
        <v>4752</v>
      </c>
      <c r="E329" s="12" t="s">
        <v>154</v>
      </c>
      <c r="F329" s="12" t="s">
        <v>155</v>
      </c>
      <c r="G329" s="12" t="s">
        <v>156</v>
      </c>
      <c r="H329" s="12" t="s">
        <v>4373</v>
      </c>
      <c r="I329" s="12" t="s">
        <v>3075</v>
      </c>
      <c r="J329" s="12" t="s">
        <v>3087</v>
      </c>
      <c r="K329" s="12" t="s">
        <v>3298</v>
      </c>
      <c r="L329" s="13" t="s">
        <v>3075</v>
      </c>
    </row>
    <row r="330" spans="1:12" hidden="1" x14ac:dyDescent="0.55000000000000004">
      <c r="A330" s="12" t="s">
        <v>2870</v>
      </c>
      <c r="B330" s="12" t="s">
        <v>4298</v>
      </c>
      <c r="C330" s="12" t="s">
        <v>157</v>
      </c>
      <c r="D330" s="12" t="s">
        <v>4752</v>
      </c>
      <c r="E330" s="12" t="s">
        <v>158</v>
      </c>
      <c r="F330" s="12" t="s">
        <v>159</v>
      </c>
      <c r="G330" s="12" t="s">
        <v>160</v>
      </c>
      <c r="H330" s="12" t="s">
        <v>4373</v>
      </c>
      <c r="I330" s="12" t="s">
        <v>3075</v>
      </c>
      <c r="J330" s="12" t="s">
        <v>3087</v>
      </c>
      <c r="K330" s="12" t="s">
        <v>3299</v>
      </c>
      <c r="L330" s="13" t="s">
        <v>3075</v>
      </c>
    </row>
    <row r="331" spans="1:12" hidden="1" x14ac:dyDescent="0.55000000000000004">
      <c r="A331" s="12" t="s">
        <v>2870</v>
      </c>
      <c r="B331" s="12" t="s">
        <v>4298</v>
      </c>
      <c r="C331" s="12" t="s">
        <v>157</v>
      </c>
      <c r="D331" s="12" t="s">
        <v>4752</v>
      </c>
      <c r="E331" s="12" t="s">
        <v>162</v>
      </c>
      <c r="F331" s="12" t="s">
        <v>163</v>
      </c>
      <c r="G331" s="12" t="s">
        <v>164</v>
      </c>
      <c r="H331" s="12" t="s">
        <v>4373</v>
      </c>
      <c r="I331" s="12" t="s">
        <v>3075</v>
      </c>
      <c r="J331" s="12" t="s">
        <v>3087</v>
      </c>
      <c r="K331" s="12" t="s">
        <v>3300</v>
      </c>
      <c r="L331" s="13" t="s">
        <v>3075</v>
      </c>
    </row>
    <row r="332" spans="1:12" hidden="1" x14ac:dyDescent="0.55000000000000004">
      <c r="A332" s="12" t="s">
        <v>2870</v>
      </c>
      <c r="B332" s="12" t="s">
        <v>4298</v>
      </c>
      <c r="C332" s="12" t="s">
        <v>157</v>
      </c>
      <c r="D332" s="12" t="s">
        <v>4752</v>
      </c>
      <c r="E332" s="12" t="s">
        <v>167</v>
      </c>
      <c r="F332" s="12" t="s">
        <v>168</v>
      </c>
      <c r="G332" s="12" t="s">
        <v>166</v>
      </c>
      <c r="H332" s="12" t="s">
        <v>4373</v>
      </c>
      <c r="I332" s="12" t="s">
        <v>3075</v>
      </c>
      <c r="J332" s="12" t="s">
        <v>3087</v>
      </c>
      <c r="K332" s="12" t="s">
        <v>3301</v>
      </c>
      <c r="L332" s="13" t="s">
        <v>3075</v>
      </c>
    </row>
    <row r="333" spans="1:12" hidden="1" x14ac:dyDescent="0.55000000000000004">
      <c r="A333" s="12" t="s">
        <v>2870</v>
      </c>
      <c r="B333" s="12" t="s">
        <v>4298</v>
      </c>
      <c r="C333" s="12" t="s">
        <v>157</v>
      </c>
      <c r="D333" s="12" t="s">
        <v>4752</v>
      </c>
      <c r="E333" s="12" t="s">
        <v>5737</v>
      </c>
      <c r="F333" s="12" t="s">
        <v>411</v>
      </c>
      <c r="G333" s="12" t="s">
        <v>5738</v>
      </c>
      <c r="H333" s="12" t="s">
        <v>4373</v>
      </c>
      <c r="I333" s="12" t="s">
        <v>3075</v>
      </c>
      <c r="J333" s="12" t="s">
        <v>3087</v>
      </c>
      <c r="K333" s="12" t="s">
        <v>5739</v>
      </c>
      <c r="L333" s="13" t="s">
        <v>3075</v>
      </c>
    </row>
    <row r="334" spans="1:12" hidden="1" x14ac:dyDescent="0.55000000000000004">
      <c r="A334" s="12" t="s">
        <v>2872</v>
      </c>
      <c r="B334" s="12" t="s">
        <v>4374</v>
      </c>
      <c r="C334" s="12" t="s">
        <v>5142</v>
      </c>
      <c r="D334" s="12" t="s">
        <v>4752</v>
      </c>
      <c r="E334" s="12" t="s">
        <v>1392</v>
      </c>
      <c r="F334" s="12" t="s">
        <v>1393</v>
      </c>
      <c r="G334" s="12" t="s">
        <v>1394</v>
      </c>
      <c r="H334" s="12" t="s">
        <v>5143</v>
      </c>
      <c r="I334" s="12" t="s">
        <v>3060</v>
      </c>
      <c r="J334" s="12" t="s">
        <v>3093</v>
      </c>
      <c r="K334" s="12" t="s">
        <v>3728</v>
      </c>
      <c r="L334" s="13">
        <v>6</v>
      </c>
    </row>
    <row r="335" spans="1:12" hidden="1" x14ac:dyDescent="0.55000000000000004">
      <c r="A335" s="12" t="s">
        <v>2872</v>
      </c>
      <c r="B335" s="12" t="s">
        <v>4374</v>
      </c>
      <c r="C335" s="12" t="s">
        <v>5142</v>
      </c>
      <c r="D335" s="12" t="s">
        <v>4752</v>
      </c>
      <c r="E335" s="12" t="s">
        <v>1398</v>
      </c>
      <c r="F335" s="12" t="s">
        <v>702</v>
      </c>
      <c r="G335" s="12" t="s">
        <v>1399</v>
      </c>
      <c r="H335" s="12" t="s">
        <v>5143</v>
      </c>
      <c r="I335" s="12" t="s">
        <v>3059</v>
      </c>
      <c r="J335" s="12" t="s">
        <v>3093</v>
      </c>
      <c r="K335" s="12" t="s">
        <v>3730</v>
      </c>
      <c r="L335" s="13">
        <v>6</v>
      </c>
    </row>
    <row r="336" spans="1:12" hidden="1" x14ac:dyDescent="0.55000000000000004">
      <c r="A336" s="12" t="s">
        <v>3011</v>
      </c>
      <c r="B336" s="12" t="s">
        <v>4486</v>
      </c>
      <c r="C336" s="12" t="s">
        <v>5144</v>
      </c>
      <c r="D336" s="12" t="s">
        <v>4752</v>
      </c>
      <c r="E336" s="12" t="s">
        <v>1725</v>
      </c>
      <c r="F336" s="12" t="s">
        <v>1726</v>
      </c>
      <c r="G336" s="12" t="s">
        <v>1727</v>
      </c>
      <c r="H336" s="12" t="s">
        <v>5145</v>
      </c>
      <c r="I336" s="12" t="s">
        <v>3059</v>
      </c>
      <c r="J336" s="12" t="s">
        <v>3089</v>
      </c>
      <c r="K336" s="12" t="s">
        <v>3852</v>
      </c>
      <c r="L336" s="13">
        <v>5</v>
      </c>
    </row>
    <row r="337" spans="1:12" hidden="1" x14ac:dyDescent="0.55000000000000004">
      <c r="A337" s="12" t="s">
        <v>3011</v>
      </c>
      <c r="B337" s="12" t="s">
        <v>4486</v>
      </c>
      <c r="C337" s="12" t="s">
        <v>5144</v>
      </c>
      <c r="D337" s="12" t="s">
        <v>4752</v>
      </c>
      <c r="E337" s="12" t="s">
        <v>1728</v>
      </c>
      <c r="F337" s="12" t="s">
        <v>1729</v>
      </c>
      <c r="G337" s="12" t="s">
        <v>1730</v>
      </c>
      <c r="H337" s="12" t="s">
        <v>5145</v>
      </c>
      <c r="I337" s="12" t="s">
        <v>3075</v>
      </c>
      <c r="J337" s="12" t="s">
        <v>3089</v>
      </c>
      <c r="K337" s="12" t="s">
        <v>3853</v>
      </c>
      <c r="L337" s="13" t="s">
        <v>3075</v>
      </c>
    </row>
    <row r="338" spans="1:12" hidden="1" x14ac:dyDescent="0.55000000000000004">
      <c r="A338" s="12" t="s">
        <v>3011</v>
      </c>
      <c r="B338" s="12" t="s">
        <v>4486</v>
      </c>
      <c r="C338" s="12" t="s">
        <v>5144</v>
      </c>
      <c r="D338" s="12" t="s">
        <v>4752</v>
      </c>
      <c r="E338" s="12" t="s">
        <v>1731</v>
      </c>
      <c r="F338" s="12" t="s">
        <v>1732</v>
      </c>
      <c r="G338" s="12" t="s">
        <v>1733</v>
      </c>
      <c r="H338" s="12" t="s">
        <v>5145</v>
      </c>
      <c r="I338" s="12" t="s">
        <v>3059</v>
      </c>
      <c r="J338" s="12" t="s">
        <v>3089</v>
      </c>
      <c r="K338" s="12" t="s">
        <v>3854</v>
      </c>
      <c r="L338" s="13">
        <v>5</v>
      </c>
    </row>
    <row r="339" spans="1:12" hidden="1" x14ac:dyDescent="0.55000000000000004">
      <c r="A339" s="12" t="s">
        <v>3011</v>
      </c>
      <c r="B339" s="12" t="s">
        <v>4486</v>
      </c>
      <c r="C339" s="12" t="s">
        <v>5144</v>
      </c>
      <c r="D339" s="12" t="s">
        <v>4752</v>
      </c>
      <c r="E339" s="12" t="s">
        <v>1734</v>
      </c>
      <c r="F339" s="12" t="s">
        <v>165</v>
      </c>
      <c r="G339" s="12" t="s">
        <v>1735</v>
      </c>
      <c r="H339" s="12" t="s">
        <v>5145</v>
      </c>
      <c r="I339" s="12" t="s">
        <v>3059</v>
      </c>
      <c r="J339" s="12" t="s">
        <v>3089</v>
      </c>
      <c r="K339" s="12" t="s">
        <v>3855</v>
      </c>
      <c r="L339" s="13">
        <v>8</v>
      </c>
    </row>
    <row r="340" spans="1:12" hidden="1" x14ac:dyDescent="0.55000000000000004">
      <c r="A340" s="12" t="s">
        <v>3011</v>
      </c>
      <c r="B340" s="12" t="s">
        <v>4486</v>
      </c>
      <c r="C340" s="12" t="s">
        <v>5144</v>
      </c>
      <c r="D340" s="12" t="s">
        <v>4752</v>
      </c>
      <c r="E340" s="12" t="s">
        <v>2801</v>
      </c>
      <c r="F340" s="12" t="s">
        <v>2802</v>
      </c>
      <c r="G340" s="12" t="s">
        <v>2803</v>
      </c>
      <c r="H340" s="12" t="s">
        <v>5145</v>
      </c>
      <c r="I340" s="12" t="s">
        <v>3059</v>
      </c>
      <c r="J340" s="12" t="s">
        <v>3089</v>
      </c>
      <c r="K340" s="12" t="s">
        <v>4260</v>
      </c>
      <c r="L340" s="13">
        <v>5</v>
      </c>
    </row>
    <row r="341" spans="1:12" hidden="1" x14ac:dyDescent="0.55000000000000004">
      <c r="A341" s="12" t="s">
        <v>3011</v>
      </c>
      <c r="B341" s="12" t="s">
        <v>4486</v>
      </c>
      <c r="C341" s="12" t="s">
        <v>5144</v>
      </c>
      <c r="D341" s="12" t="s">
        <v>4752</v>
      </c>
      <c r="E341" s="12" t="s">
        <v>2804</v>
      </c>
      <c r="F341" s="12" t="s">
        <v>2805</v>
      </c>
      <c r="G341" s="12" t="s">
        <v>1730</v>
      </c>
      <c r="H341" s="12" t="s">
        <v>5145</v>
      </c>
      <c r="I341" s="12" t="s">
        <v>3059</v>
      </c>
      <c r="J341" s="12" t="s">
        <v>3089</v>
      </c>
      <c r="K341" s="12" t="s">
        <v>4261</v>
      </c>
      <c r="L341" s="13">
        <v>5</v>
      </c>
    </row>
    <row r="342" spans="1:12" hidden="1" x14ac:dyDescent="0.55000000000000004">
      <c r="A342" s="12" t="s">
        <v>2928</v>
      </c>
      <c r="B342" s="12" t="s">
        <v>4442</v>
      </c>
      <c r="C342" s="12" t="s">
        <v>5146</v>
      </c>
      <c r="D342" s="12" t="s">
        <v>4752</v>
      </c>
      <c r="E342" s="12" t="s">
        <v>366</v>
      </c>
      <c r="F342" s="12" t="s">
        <v>367</v>
      </c>
      <c r="G342" s="12" t="s">
        <v>368</v>
      </c>
      <c r="H342" s="12" t="s">
        <v>4447</v>
      </c>
      <c r="I342" s="12" t="s">
        <v>3059</v>
      </c>
      <c r="J342" s="12" t="s">
        <v>1991</v>
      </c>
      <c r="K342" s="12" t="s">
        <v>3369</v>
      </c>
      <c r="L342" s="13">
        <v>3</v>
      </c>
    </row>
    <row r="343" spans="1:12" hidden="1" x14ac:dyDescent="0.55000000000000004">
      <c r="A343" s="12" t="s">
        <v>2928</v>
      </c>
      <c r="B343" s="12" t="s">
        <v>4442</v>
      </c>
      <c r="C343" s="12" t="s">
        <v>5146</v>
      </c>
      <c r="D343" s="12" t="s">
        <v>4752</v>
      </c>
      <c r="E343" s="12" t="s">
        <v>369</v>
      </c>
      <c r="F343" s="12" t="s">
        <v>370</v>
      </c>
      <c r="G343" s="12" t="s">
        <v>371</v>
      </c>
      <c r="H343" s="12" t="s">
        <v>4447</v>
      </c>
      <c r="I343" s="12" t="s">
        <v>3075</v>
      </c>
      <c r="J343" s="12" t="s">
        <v>1991</v>
      </c>
      <c r="K343" s="12" t="s">
        <v>3370</v>
      </c>
      <c r="L343" s="13" t="s">
        <v>3075</v>
      </c>
    </row>
    <row r="344" spans="1:12" hidden="1" x14ac:dyDescent="0.55000000000000004">
      <c r="A344" s="12" t="s">
        <v>2928</v>
      </c>
      <c r="B344" s="12" t="s">
        <v>4442</v>
      </c>
      <c r="C344" s="12" t="s">
        <v>5146</v>
      </c>
      <c r="D344" s="12" t="s">
        <v>4752</v>
      </c>
      <c r="E344" s="12" t="s">
        <v>372</v>
      </c>
      <c r="F344" s="12" t="s">
        <v>269</v>
      </c>
      <c r="G344" s="12" t="s">
        <v>373</v>
      </c>
      <c r="H344" s="12" t="s">
        <v>4447</v>
      </c>
      <c r="I344" s="12" t="s">
        <v>3059</v>
      </c>
      <c r="J344" s="12" t="s">
        <v>1991</v>
      </c>
      <c r="K344" s="12" t="s">
        <v>3371</v>
      </c>
      <c r="L344" s="13">
        <v>3</v>
      </c>
    </row>
    <row r="345" spans="1:12" hidden="1" x14ac:dyDescent="0.55000000000000004">
      <c r="A345" s="12" t="s">
        <v>2928</v>
      </c>
      <c r="B345" s="12" t="s">
        <v>4442</v>
      </c>
      <c r="C345" s="12" t="s">
        <v>5146</v>
      </c>
      <c r="D345" s="12" t="s">
        <v>4752</v>
      </c>
      <c r="E345" s="12" t="s">
        <v>374</v>
      </c>
      <c r="F345" s="12" t="s">
        <v>375</v>
      </c>
      <c r="G345" s="12" t="s">
        <v>376</v>
      </c>
      <c r="H345" s="12" t="s">
        <v>4447</v>
      </c>
      <c r="I345" s="12" t="s">
        <v>3059</v>
      </c>
      <c r="J345" s="12" t="s">
        <v>1991</v>
      </c>
      <c r="K345" s="12" t="s">
        <v>3372</v>
      </c>
      <c r="L345" s="13">
        <v>3</v>
      </c>
    </row>
    <row r="346" spans="1:12" hidden="1" x14ac:dyDescent="0.55000000000000004">
      <c r="A346" s="12" t="s">
        <v>2928</v>
      </c>
      <c r="B346" s="12" t="s">
        <v>4442</v>
      </c>
      <c r="C346" s="12" t="s">
        <v>5146</v>
      </c>
      <c r="D346" s="12" t="s">
        <v>4752</v>
      </c>
      <c r="E346" s="12" t="s">
        <v>377</v>
      </c>
      <c r="F346" s="12" t="s">
        <v>378</v>
      </c>
      <c r="G346" s="12" t="s">
        <v>379</v>
      </c>
      <c r="H346" s="12" t="s">
        <v>4447</v>
      </c>
      <c r="I346" s="12" t="s">
        <v>3059</v>
      </c>
      <c r="J346" s="12" t="s">
        <v>1991</v>
      </c>
      <c r="K346" s="12" t="s">
        <v>3373</v>
      </c>
      <c r="L346" s="13">
        <v>3</v>
      </c>
    </row>
    <row r="347" spans="1:12" hidden="1" x14ac:dyDescent="0.55000000000000004">
      <c r="A347" s="12" t="s">
        <v>2928</v>
      </c>
      <c r="B347" s="12" t="s">
        <v>4442</v>
      </c>
      <c r="C347" s="12" t="s">
        <v>5146</v>
      </c>
      <c r="D347" s="12" t="s">
        <v>4752</v>
      </c>
      <c r="E347" s="12" t="s">
        <v>380</v>
      </c>
      <c r="F347" s="12" t="s">
        <v>381</v>
      </c>
      <c r="G347" s="12" t="s">
        <v>382</v>
      </c>
      <c r="H347" s="12" t="s">
        <v>4447</v>
      </c>
      <c r="I347" s="12" t="s">
        <v>3059</v>
      </c>
      <c r="J347" s="12" t="s">
        <v>1991</v>
      </c>
      <c r="K347" s="12" t="s">
        <v>3374</v>
      </c>
      <c r="L347" s="13">
        <v>3</v>
      </c>
    </row>
    <row r="348" spans="1:12" hidden="1" x14ac:dyDescent="0.55000000000000004">
      <c r="A348" s="12" t="s">
        <v>2928</v>
      </c>
      <c r="B348" s="12" t="s">
        <v>4442</v>
      </c>
      <c r="C348" s="12" t="s">
        <v>5146</v>
      </c>
      <c r="D348" s="12" t="s">
        <v>4752</v>
      </c>
      <c r="E348" s="12" t="s">
        <v>383</v>
      </c>
      <c r="F348" s="12" t="s">
        <v>384</v>
      </c>
      <c r="G348" s="12" t="s">
        <v>385</v>
      </c>
      <c r="H348" s="12" t="s">
        <v>4447</v>
      </c>
      <c r="I348" s="12" t="s">
        <v>3059</v>
      </c>
      <c r="J348" s="12" t="s">
        <v>1991</v>
      </c>
      <c r="K348" s="12" t="s">
        <v>3375</v>
      </c>
      <c r="L348" s="13">
        <v>3</v>
      </c>
    </row>
    <row r="349" spans="1:12" hidden="1" x14ac:dyDescent="0.55000000000000004">
      <c r="A349" s="12" t="s">
        <v>2928</v>
      </c>
      <c r="B349" s="12" t="s">
        <v>4442</v>
      </c>
      <c r="C349" s="12" t="s">
        <v>5146</v>
      </c>
      <c r="D349" s="12" t="s">
        <v>4752</v>
      </c>
      <c r="E349" s="12" t="s">
        <v>386</v>
      </c>
      <c r="F349" s="12" t="s">
        <v>387</v>
      </c>
      <c r="G349" s="12" t="s">
        <v>388</v>
      </c>
      <c r="H349" s="12" t="s">
        <v>4447</v>
      </c>
      <c r="I349" s="12" t="s">
        <v>3059</v>
      </c>
      <c r="J349" s="12" t="s">
        <v>1991</v>
      </c>
      <c r="K349" s="12" t="s">
        <v>3376</v>
      </c>
      <c r="L349" s="13">
        <v>3</v>
      </c>
    </row>
    <row r="350" spans="1:12" hidden="1" x14ac:dyDescent="0.55000000000000004">
      <c r="A350" s="12" t="s">
        <v>2807</v>
      </c>
      <c r="B350" s="12" t="s">
        <v>4298</v>
      </c>
      <c r="C350" s="12" t="s">
        <v>5147</v>
      </c>
      <c r="D350" s="12" t="s">
        <v>4752</v>
      </c>
      <c r="E350" s="12" t="s">
        <v>1517</v>
      </c>
      <c r="F350" s="12" t="s">
        <v>1518</v>
      </c>
      <c r="G350" s="12" t="s">
        <v>1519</v>
      </c>
      <c r="H350" s="12" t="s">
        <v>4300</v>
      </c>
      <c r="I350" s="12" t="s">
        <v>3059</v>
      </c>
      <c r="J350" s="12" t="s">
        <v>1603</v>
      </c>
      <c r="K350" s="12" t="s">
        <v>3772</v>
      </c>
      <c r="L350" s="13">
        <v>7</v>
      </c>
    </row>
    <row r="351" spans="1:12" hidden="1" x14ac:dyDescent="0.55000000000000004">
      <c r="A351" s="12" t="s">
        <v>2807</v>
      </c>
      <c r="B351" s="12" t="s">
        <v>4298</v>
      </c>
      <c r="C351" s="12" t="s">
        <v>5147</v>
      </c>
      <c r="D351" s="12" t="s">
        <v>4752</v>
      </c>
      <c r="E351" s="12" t="s">
        <v>1520</v>
      </c>
      <c r="F351" s="12" t="s">
        <v>255</v>
      </c>
      <c r="G351" s="12" t="s">
        <v>1521</v>
      </c>
      <c r="H351" s="12" t="s">
        <v>4300</v>
      </c>
      <c r="I351" s="12" t="s">
        <v>3075</v>
      </c>
      <c r="J351" s="12" t="s">
        <v>1603</v>
      </c>
      <c r="K351" s="12" t="s">
        <v>3773</v>
      </c>
      <c r="L351" s="13" t="s">
        <v>3075</v>
      </c>
    </row>
    <row r="352" spans="1:12" hidden="1" x14ac:dyDescent="0.55000000000000004">
      <c r="A352" s="12" t="s">
        <v>2807</v>
      </c>
      <c r="B352" s="12" t="s">
        <v>4298</v>
      </c>
      <c r="C352" s="12" t="s">
        <v>5147</v>
      </c>
      <c r="D352" s="12" t="s">
        <v>4752</v>
      </c>
      <c r="E352" s="12" t="s">
        <v>1522</v>
      </c>
      <c r="F352" s="12" t="s">
        <v>3145</v>
      </c>
      <c r="G352" s="12" t="s">
        <v>1523</v>
      </c>
      <c r="H352" s="12" t="s">
        <v>4300</v>
      </c>
      <c r="I352" s="12" t="s">
        <v>3059</v>
      </c>
      <c r="J352" s="12" t="s">
        <v>1603</v>
      </c>
      <c r="K352" s="12" t="s">
        <v>3774</v>
      </c>
      <c r="L352" s="13">
        <v>7</v>
      </c>
    </row>
    <row r="353" spans="1:12" hidden="1" x14ac:dyDescent="0.55000000000000004">
      <c r="A353" s="12" t="s">
        <v>2807</v>
      </c>
      <c r="B353" s="12" t="s">
        <v>4298</v>
      </c>
      <c r="C353" s="12" t="s">
        <v>5147</v>
      </c>
      <c r="D353" s="12" t="s">
        <v>4752</v>
      </c>
      <c r="E353" s="12" t="s">
        <v>1526</v>
      </c>
      <c r="F353" s="12" t="s">
        <v>1527</v>
      </c>
      <c r="G353" s="12" t="s">
        <v>1528</v>
      </c>
      <c r="H353" s="12" t="s">
        <v>4300</v>
      </c>
      <c r="I353" s="12" t="s">
        <v>3075</v>
      </c>
      <c r="J353" s="12" t="s">
        <v>1603</v>
      </c>
      <c r="K353" s="12" t="s">
        <v>3775</v>
      </c>
      <c r="L353" s="13" t="s">
        <v>3075</v>
      </c>
    </row>
    <row r="354" spans="1:12" hidden="1" x14ac:dyDescent="0.55000000000000004">
      <c r="A354" s="12" t="s">
        <v>2931</v>
      </c>
      <c r="B354" s="12" t="s">
        <v>4442</v>
      </c>
      <c r="C354" s="12" t="s">
        <v>5149</v>
      </c>
      <c r="D354" s="12" t="s">
        <v>4752</v>
      </c>
      <c r="E354" s="12" t="s">
        <v>2224</v>
      </c>
      <c r="F354" s="12" t="s">
        <v>411</v>
      </c>
      <c r="G354" s="12" t="s">
        <v>717</v>
      </c>
      <c r="H354" s="12" t="s">
        <v>5148</v>
      </c>
      <c r="I354" s="12" t="s">
        <v>3059</v>
      </c>
      <c r="J354" s="12" t="s">
        <v>3085</v>
      </c>
      <c r="K354" s="12" t="s">
        <v>4038</v>
      </c>
      <c r="L354" s="13">
        <v>10</v>
      </c>
    </row>
    <row r="355" spans="1:12" hidden="1" x14ac:dyDescent="0.55000000000000004">
      <c r="A355" s="12" t="s">
        <v>2931</v>
      </c>
      <c r="B355" s="12" t="s">
        <v>4442</v>
      </c>
      <c r="C355" s="12" t="s">
        <v>5149</v>
      </c>
      <c r="D355" s="12" t="s">
        <v>4752</v>
      </c>
      <c r="E355" s="12" t="s">
        <v>2225</v>
      </c>
      <c r="F355" s="12" t="s">
        <v>646</v>
      </c>
      <c r="G355" s="12" t="s">
        <v>2226</v>
      </c>
      <c r="H355" s="12" t="s">
        <v>5148</v>
      </c>
      <c r="I355" s="12" t="s">
        <v>3059</v>
      </c>
      <c r="J355" s="12" t="s">
        <v>3085</v>
      </c>
      <c r="K355" s="12" t="s">
        <v>4039</v>
      </c>
      <c r="L355" s="13">
        <v>10</v>
      </c>
    </row>
    <row r="356" spans="1:12" hidden="1" x14ac:dyDescent="0.55000000000000004">
      <c r="A356" s="12" t="s">
        <v>2931</v>
      </c>
      <c r="B356" s="12" t="s">
        <v>4442</v>
      </c>
      <c r="C356" s="12" t="s">
        <v>5149</v>
      </c>
      <c r="D356" s="12" t="s">
        <v>4752</v>
      </c>
      <c r="E356" s="12" t="s">
        <v>2227</v>
      </c>
      <c r="F356" s="12" t="s">
        <v>2228</v>
      </c>
      <c r="G356" s="12" t="s">
        <v>2229</v>
      </c>
      <c r="H356" s="12" t="s">
        <v>5148</v>
      </c>
      <c r="I356" s="12" t="s">
        <v>3059</v>
      </c>
      <c r="J356" s="12" t="s">
        <v>3085</v>
      </c>
      <c r="K356" s="12" t="s">
        <v>4040</v>
      </c>
      <c r="L356" s="13">
        <v>5</v>
      </c>
    </row>
    <row r="357" spans="1:12" hidden="1" x14ac:dyDescent="0.55000000000000004">
      <c r="A357" s="12" t="s">
        <v>2931</v>
      </c>
      <c r="B357" s="12" t="s">
        <v>4442</v>
      </c>
      <c r="C357" s="12" t="s">
        <v>5149</v>
      </c>
      <c r="D357" s="12" t="s">
        <v>4752</v>
      </c>
      <c r="E357" s="12" t="s">
        <v>2230</v>
      </c>
      <c r="F357" s="12" t="s">
        <v>214</v>
      </c>
      <c r="G357" s="12" t="s">
        <v>2231</v>
      </c>
      <c r="H357" s="12" t="s">
        <v>5148</v>
      </c>
      <c r="I357" s="12" t="s">
        <v>3059</v>
      </c>
      <c r="J357" s="12" t="s">
        <v>3085</v>
      </c>
      <c r="K357" s="12" t="s">
        <v>4041</v>
      </c>
      <c r="L357" s="13">
        <v>5</v>
      </c>
    </row>
    <row r="358" spans="1:12" hidden="1" x14ac:dyDescent="0.55000000000000004">
      <c r="A358" s="12" t="s">
        <v>2931</v>
      </c>
      <c r="B358" s="12" t="s">
        <v>4442</v>
      </c>
      <c r="C358" s="12" t="s">
        <v>5149</v>
      </c>
      <c r="D358" s="12" t="s">
        <v>4752</v>
      </c>
      <c r="E358" s="12" t="s">
        <v>2234</v>
      </c>
      <c r="F358" s="12" t="s">
        <v>2235</v>
      </c>
      <c r="G358" s="12" t="s">
        <v>2236</v>
      </c>
      <c r="H358" s="12" t="s">
        <v>5148</v>
      </c>
      <c r="I358" s="12" t="s">
        <v>3059</v>
      </c>
      <c r="J358" s="12" t="s">
        <v>3085</v>
      </c>
      <c r="K358" s="12" t="s">
        <v>4043</v>
      </c>
      <c r="L358" s="13">
        <v>10</v>
      </c>
    </row>
    <row r="359" spans="1:12" hidden="1" x14ac:dyDescent="0.55000000000000004">
      <c r="A359" s="12" t="s">
        <v>2931</v>
      </c>
      <c r="B359" s="12" t="s">
        <v>4442</v>
      </c>
      <c r="C359" s="12" t="s">
        <v>5149</v>
      </c>
      <c r="D359" s="12" t="s">
        <v>4752</v>
      </c>
      <c r="E359" s="12" t="s">
        <v>2237</v>
      </c>
      <c r="F359" s="12" t="s">
        <v>2238</v>
      </c>
      <c r="G359" s="12" t="s">
        <v>2239</v>
      </c>
      <c r="H359" s="12" t="s">
        <v>5148</v>
      </c>
      <c r="I359" s="12" t="s">
        <v>3059</v>
      </c>
      <c r="J359" s="12" t="s">
        <v>3085</v>
      </c>
      <c r="K359" s="12" t="s">
        <v>4044</v>
      </c>
      <c r="L359" s="13">
        <v>10</v>
      </c>
    </row>
    <row r="360" spans="1:12" hidden="1" x14ac:dyDescent="0.55000000000000004">
      <c r="A360" s="12" t="s">
        <v>2931</v>
      </c>
      <c r="B360" s="12" t="s">
        <v>4442</v>
      </c>
      <c r="C360" s="12" t="s">
        <v>5149</v>
      </c>
      <c r="D360" s="12" t="s">
        <v>4752</v>
      </c>
      <c r="E360" s="12" t="s">
        <v>2240</v>
      </c>
      <c r="F360" s="12" t="s">
        <v>2241</v>
      </c>
      <c r="G360" s="12" t="s">
        <v>2242</v>
      </c>
      <c r="H360" s="12" t="s">
        <v>5148</v>
      </c>
      <c r="I360" s="12" t="s">
        <v>3059</v>
      </c>
      <c r="J360" s="12" t="s">
        <v>3085</v>
      </c>
      <c r="K360" s="12" t="s">
        <v>4045</v>
      </c>
      <c r="L360" s="13">
        <v>5</v>
      </c>
    </row>
    <row r="361" spans="1:12" hidden="1" x14ac:dyDescent="0.55000000000000004">
      <c r="A361" s="12" t="s">
        <v>2931</v>
      </c>
      <c r="B361" s="12" t="s">
        <v>4442</v>
      </c>
      <c r="C361" s="12" t="s">
        <v>5149</v>
      </c>
      <c r="D361" s="12" t="s">
        <v>4752</v>
      </c>
      <c r="E361" s="12" t="s">
        <v>2256</v>
      </c>
      <c r="F361" s="12" t="s">
        <v>2257</v>
      </c>
      <c r="G361" s="12" t="s">
        <v>2258</v>
      </c>
      <c r="H361" s="12" t="s">
        <v>5148</v>
      </c>
      <c r="I361" s="12" t="s">
        <v>3059</v>
      </c>
      <c r="J361" s="12" t="s">
        <v>3085</v>
      </c>
      <c r="K361" s="12" t="s">
        <v>4052</v>
      </c>
      <c r="L361" s="13">
        <v>10</v>
      </c>
    </row>
    <row r="362" spans="1:12" hidden="1" x14ac:dyDescent="0.55000000000000004">
      <c r="A362" s="12" t="s">
        <v>2931</v>
      </c>
      <c r="B362" s="12" t="s">
        <v>4442</v>
      </c>
      <c r="C362" s="12" t="s">
        <v>5149</v>
      </c>
      <c r="D362" s="12" t="s">
        <v>4752</v>
      </c>
      <c r="E362" s="12" t="s">
        <v>2259</v>
      </c>
      <c r="F362" s="12" t="s">
        <v>1459</v>
      </c>
      <c r="G362" s="12" t="s">
        <v>2260</v>
      </c>
      <c r="H362" s="12" t="s">
        <v>5148</v>
      </c>
      <c r="I362" s="12" t="s">
        <v>3059</v>
      </c>
      <c r="J362" s="12" t="s">
        <v>3085</v>
      </c>
      <c r="K362" s="12" t="s">
        <v>4053</v>
      </c>
      <c r="L362" s="13">
        <v>10</v>
      </c>
    </row>
    <row r="363" spans="1:12" hidden="1" x14ac:dyDescent="0.55000000000000004">
      <c r="A363" s="12" t="s">
        <v>2931</v>
      </c>
      <c r="B363" s="12" t="s">
        <v>4442</v>
      </c>
      <c r="C363" s="12" t="s">
        <v>5149</v>
      </c>
      <c r="D363" s="12" t="s">
        <v>4752</v>
      </c>
      <c r="E363" s="12" t="s">
        <v>2261</v>
      </c>
      <c r="F363" s="12" t="s">
        <v>2262</v>
      </c>
      <c r="G363" s="12" t="s">
        <v>2263</v>
      </c>
      <c r="H363" s="12" t="s">
        <v>5148</v>
      </c>
      <c r="I363" s="12" t="s">
        <v>3059</v>
      </c>
      <c r="J363" s="12" t="s">
        <v>3085</v>
      </c>
      <c r="K363" s="12" t="s">
        <v>4054</v>
      </c>
      <c r="L363" s="13">
        <v>10</v>
      </c>
    </row>
    <row r="364" spans="1:12" hidden="1" x14ac:dyDescent="0.55000000000000004">
      <c r="A364" s="12" t="s">
        <v>2931</v>
      </c>
      <c r="B364" s="12" t="s">
        <v>4442</v>
      </c>
      <c r="C364" s="12" t="s">
        <v>5149</v>
      </c>
      <c r="D364" s="12" t="s">
        <v>4752</v>
      </c>
      <c r="E364" s="12" t="s">
        <v>2264</v>
      </c>
      <c r="F364" s="12" t="s">
        <v>2265</v>
      </c>
      <c r="G364" s="12" t="s">
        <v>2266</v>
      </c>
      <c r="H364" s="12" t="s">
        <v>5148</v>
      </c>
      <c r="I364" s="12" t="s">
        <v>3059</v>
      </c>
      <c r="J364" s="12" t="s">
        <v>3085</v>
      </c>
      <c r="K364" s="12" t="s">
        <v>4055</v>
      </c>
      <c r="L364" s="13">
        <v>10</v>
      </c>
    </row>
    <row r="365" spans="1:12" hidden="1" x14ac:dyDescent="0.55000000000000004">
      <c r="A365" s="12" t="s">
        <v>2931</v>
      </c>
      <c r="B365" s="12" t="s">
        <v>4442</v>
      </c>
      <c r="C365" s="12" t="s">
        <v>5149</v>
      </c>
      <c r="D365" s="12" t="s">
        <v>4752</v>
      </c>
      <c r="E365" s="12" t="s">
        <v>2267</v>
      </c>
      <c r="F365" s="12" t="s">
        <v>2268</v>
      </c>
      <c r="G365" s="12" t="s">
        <v>2258</v>
      </c>
      <c r="H365" s="12" t="s">
        <v>5148</v>
      </c>
      <c r="I365" s="12" t="s">
        <v>3059</v>
      </c>
      <c r="J365" s="12" t="s">
        <v>3085</v>
      </c>
      <c r="K365" s="12" t="s">
        <v>4056</v>
      </c>
      <c r="L365" s="13">
        <v>5</v>
      </c>
    </row>
    <row r="366" spans="1:12" hidden="1" x14ac:dyDescent="0.55000000000000004">
      <c r="A366" s="12" t="s">
        <v>2931</v>
      </c>
      <c r="B366" s="12" t="s">
        <v>4442</v>
      </c>
      <c r="C366" s="12" t="s">
        <v>5149</v>
      </c>
      <c r="D366" s="12" t="s">
        <v>4752</v>
      </c>
      <c r="E366" s="12" t="s">
        <v>2269</v>
      </c>
      <c r="F366" s="12" t="s">
        <v>198</v>
      </c>
      <c r="G366" s="12" t="s">
        <v>2270</v>
      </c>
      <c r="H366" s="12" t="s">
        <v>5148</v>
      </c>
      <c r="I366" s="12" t="s">
        <v>3059</v>
      </c>
      <c r="J366" s="12" t="s">
        <v>3085</v>
      </c>
      <c r="K366" s="12" t="s">
        <v>4057</v>
      </c>
      <c r="L366" s="13">
        <v>10</v>
      </c>
    </row>
    <row r="367" spans="1:12" hidden="1" x14ac:dyDescent="0.55000000000000004">
      <c r="A367" s="12" t="s">
        <v>2931</v>
      </c>
      <c r="B367" s="12" t="s">
        <v>4442</v>
      </c>
      <c r="C367" s="12" t="s">
        <v>5149</v>
      </c>
      <c r="D367" s="12" t="s">
        <v>4752</v>
      </c>
      <c r="E367" s="12" t="s">
        <v>2271</v>
      </c>
      <c r="F367" s="12" t="s">
        <v>2272</v>
      </c>
      <c r="G367" s="12" t="s">
        <v>2273</v>
      </c>
      <c r="H367" s="12" t="s">
        <v>5148</v>
      </c>
      <c r="I367" s="12" t="s">
        <v>3059</v>
      </c>
      <c r="J367" s="12" t="s">
        <v>3085</v>
      </c>
      <c r="K367" s="12" t="s">
        <v>4058</v>
      </c>
      <c r="L367" s="13">
        <v>5</v>
      </c>
    </row>
    <row r="368" spans="1:12" hidden="1" x14ac:dyDescent="0.55000000000000004">
      <c r="A368" s="12" t="s">
        <v>2931</v>
      </c>
      <c r="B368" s="12" t="s">
        <v>4442</v>
      </c>
      <c r="C368" s="12" t="s">
        <v>5149</v>
      </c>
      <c r="D368" s="12" t="s">
        <v>4752</v>
      </c>
      <c r="E368" s="12" t="s">
        <v>2277</v>
      </c>
      <c r="F368" s="12" t="s">
        <v>2278</v>
      </c>
      <c r="G368" s="12" t="s">
        <v>2279</v>
      </c>
      <c r="H368" s="12" t="s">
        <v>5148</v>
      </c>
      <c r="I368" s="12" t="s">
        <v>3059</v>
      </c>
      <c r="J368" s="12" t="s">
        <v>3085</v>
      </c>
      <c r="K368" s="12" t="s">
        <v>4060</v>
      </c>
      <c r="L368" s="13">
        <v>10</v>
      </c>
    </row>
    <row r="369" spans="1:12" hidden="1" x14ac:dyDescent="0.55000000000000004">
      <c r="A369" s="12" t="s">
        <v>2931</v>
      </c>
      <c r="B369" s="12" t="s">
        <v>4442</v>
      </c>
      <c r="C369" s="12" t="s">
        <v>5149</v>
      </c>
      <c r="D369" s="12" t="s">
        <v>4752</v>
      </c>
      <c r="E369" s="12" t="s">
        <v>2280</v>
      </c>
      <c r="F369" s="12" t="s">
        <v>2281</v>
      </c>
      <c r="G369" s="12" t="s">
        <v>2282</v>
      </c>
      <c r="H369" s="12" t="s">
        <v>5148</v>
      </c>
      <c r="I369" s="12" t="s">
        <v>3059</v>
      </c>
      <c r="J369" s="12" t="s">
        <v>3085</v>
      </c>
      <c r="K369" s="12" t="s">
        <v>4061</v>
      </c>
      <c r="L369" s="13">
        <v>10</v>
      </c>
    </row>
    <row r="370" spans="1:12" hidden="1" x14ac:dyDescent="0.55000000000000004">
      <c r="A370" s="12" t="s">
        <v>2931</v>
      </c>
      <c r="B370" s="12" t="s">
        <v>4442</v>
      </c>
      <c r="C370" s="12" t="s">
        <v>5149</v>
      </c>
      <c r="D370" s="12" t="s">
        <v>4752</v>
      </c>
      <c r="E370" s="12" t="s">
        <v>2283</v>
      </c>
      <c r="F370" s="12" t="s">
        <v>2284</v>
      </c>
      <c r="G370" s="12" t="s">
        <v>2285</v>
      </c>
      <c r="H370" s="12" t="s">
        <v>5148</v>
      </c>
      <c r="I370" s="12" t="s">
        <v>3059</v>
      </c>
      <c r="J370" s="12" t="s">
        <v>3085</v>
      </c>
      <c r="K370" s="12" t="s">
        <v>4062</v>
      </c>
      <c r="L370" s="13">
        <v>10</v>
      </c>
    </row>
    <row r="371" spans="1:12" hidden="1" x14ac:dyDescent="0.55000000000000004">
      <c r="A371" s="12" t="s">
        <v>2931</v>
      </c>
      <c r="B371" s="12" t="s">
        <v>4442</v>
      </c>
      <c r="C371" s="12" t="s">
        <v>5149</v>
      </c>
      <c r="D371" s="12" t="s">
        <v>4752</v>
      </c>
      <c r="E371" s="12" t="s">
        <v>2468</v>
      </c>
      <c r="F371" s="12" t="s">
        <v>2046</v>
      </c>
      <c r="G371" s="12" t="s">
        <v>2469</v>
      </c>
      <c r="H371" s="12" t="s">
        <v>5148</v>
      </c>
      <c r="I371" s="12" t="s">
        <v>3059</v>
      </c>
      <c r="J371" s="12" t="s">
        <v>3085</v>
      </c>
      <c r="K371" s="12" t="s">
        <v>4063</v>
      </c>
      <c r="L371" s="13">
        <v>10</v>
      </c>
    </row>
    <row r="372" spans="1:12" hidden="1" x14ac:dyDescent="0.55000000000000004">
      <c r="A372" s="12" t="s">
        <v>2931</v>
      </c>
      <c r="B372" s="12" t="s">
        <v>4442</v>
      </c>
      <c r="C372" s="12" t="s">
        <v>5149</v>
      </c>
      <c r="D372" s="12" t="s">
        <v>4752</v>
      </c>
      <c r="E372" s="12" t="s">
        <v>2470</v>
      </c>
      <c r="F372" s="12" t="s">
        <v>2471</v>
      </c>
      <c r="G372" s="12" t="s">
        <v>2472</v>
      </c>
      <c r="H372" s="12" t="s">
        <v>5148</v>
      </c>
      <c r="I372" s="12" t="s">
        <v>3059</v>
      </c>
      <c r="J372" s="12" t="s">
        <v>3085</v>
      </c>
      <c r="K372" s="12" t="s">
        <v>4064</v>
      </c>
      <c r="L372" s="13">
        <v>10</v>
      </c>
    </row>
    <row r="373" spans="1:12" hidden="1" x14ac:dyDescent="0.55000000000000004">
      <c r="A373" s="12" t="s">
        <v>2931</v>
      </c>
      <c r="B373" s="12" t="s">
        <v>4442</v>
      </c>
      <c r="C373" s="12" t="s">
        <v>5149</v>
      </c>
      <c r="D373" s="12" t="s">
        <v>4752</v>
      </c>
      <c r="E373" s="12" t="s">
        <v>2473</v>
      </c>
      <c r="F373" s="12" t="s">
        <v>2474</v>
      </c>
      <c r="G373" s="12" t="s">
        <v>2475</v>
      </c>
      <c r="H373" s="12" t="s">
        <v>5148</v>
      </c>
      <c r="I373" s="12" t="s">
        <v>3059</v>
      </c>
      <c r="J373" s="12" t="s">
        <v>3085</v>
      </c>
      <c r="K373" s="12" t="s">
        <v>4065</v>
      </c>
      <c r="L373" s="13">
        <v>10</v>
      </c>
    </row>
    <row r="374" spans="1:12" hidden="1" x14ac:dyDescent="0.55000000000000004">
      <c r="A374" s="12" t="s">
        <v>2931</v>
      </c>
      <c r="B374" s="12" t="s">
        <v>4442</v>
      </c>
      <c r="C374" s="12" t="s">
        <v>5149</v>
      </c>
      <c r="D374" s="12" t="s">
        <v>4752</v>
      </c>
      <c r="E374" s="12" t="s">
        <v>2476</v>
      </c>
      <c r="F374" s="12" t="s">
        <v>2477</v>
      </c>
      <c r="G374" s="12" t="s">
        <v>2478</v>
      </c>
      <c r="H374" s="12" t="s">
        <v>5148</v>
      </c>
      <c r="I374" s="12" t="s">
        <v>3059</v>
      </c>
      <c r="J374" s="12" t="s">
        <v>3085</v>
      </c>
      <c r="K374" s="12" t="s">
        <v>4066</v>
      </c>
      <c r="L374" s="13">
        <v>10</v>
      </c>
    </row>
    <row r="375" spans="1:12" hidden="1" x14ac:dyDescent="0.55000000000000004">
      <c r="A375" s="12" t="s">
        <v>2931</v>
      </c>
      <c r="B375" s="12" t="s">
        <v>4442</v>
      </c>
      <c r="C375" s="12" t="s">
        <v>5149</v>
      </c>
      <c r="D375" s="12" t="s">
        <v>4752</v>
      </c>
      <c r="E375" s="12" t="s">
        <v>2479</v>
      </c>
      <c r="F375" s="12" t="s">
        <v>2480</v>
      </c>
      <c r="G375" s="12" t="s">
        <v>2481</v>
      </c>
      <c r="H375" s="12" t="s">
        <v>5148</v>
      </c>
      <c r="I375" s="12" t="s">
        <v>3059</v>
      </c>
      <c r="J375" s="12" t="s">
        <v>3085</v>
      </c>
      <c r="K375" s="12" t="s">
        <v>4067</v>
      </c>
      <c r="L375" s="13">
        <v>10</v>
      </c>
    </row>
    <row r="376" spans="1:12" hidden="1" x14ac:dyDescent="0.55000000000000004">
      <c r="A376" s="12" t="s">
        <v>2931</v>
      </c>
      <c r="B376" s="12" t="s">
        <v>4442</v>
      </c>
      <c r="C376" s="12" t="s">
        <v>5149</v>
      </c>
      <c r="D376" s="12" t="s">
        <v>4752</v>
      </c>
      <c r="E376" s="12" t="s">
        <v>2490</v>
      </c>
      <c r="F376" s="12" t="s">
        <v>2491</v>
      </c>
      <c r="G376" s="12" t="s">
        <v>1535</v>
      </c>
      <c r="H376" s="12" t="s">
        <v>5148</v>
      </c>
      <c r="I376" s="12" t="s">
        <v>3059</v>
      </c>
      <c r="J376" s="12" t="s">
        <v>3085</v>
      </c>
      <c r="K376" s="12" t="s">
        <v>4071</v>
      </c>
      <c r="L376" s="13">
        <v>5</v>
      </c>
    </row>
    <row r="377" spans="1:12" hidden="1" x14ac:dyDescent="0.55000000000000004">
      <c r="A377" s="12" t="s">
        <v>2931</v>
      </c>
      <c r="B377" s="12" t="s">
        <v>4442</v>
      </c>
      <c r="C377" s="12" t="s">
        <v>5149</v>
      </c>
      <c r="D377" s="12" t="s">
        <v>4752</v>
      </c>
      <c r="E377" s="12" t="s">
        <v>2502</v>
      </c>
      <c r="F377" s="12" t="s">
        <v>2503</v>
      </c>
      <c r="G377" s="12" t="s">
        <v>2504</v>
      </c>
      <c r="H377" s="12" t="s">
        <v>5148</v>
      </c>
      <c r="I377" s="12" t="s">
        <v>3059</v>
      </c>
      <c r="J377" s="12" t="s">
        <v>3085</v>
      </c>
      <c r="K377" s="12" t="s">
        <v>4076</v>
      </c>
      <c r="L377" s="13">
        <v>5</v>
      </c>
    </row>
    <row r="378" spans="1:12" hidden="1" x14ac:dyDescent="0.55000000000000004">
      <c r="A378" s="12" t="s">
        <v>2931</v>
      </c>
      <c r="B378" s="12" t="s">
        <v>4442</v>
      </c>
      <c r="C378" s="12" t="s">
        <v>5149</v>
      </c>
      <c r="D378" s="12" t="s">
        <v>4752</v>
      </c>
      <c r="E378" s="12" t="s">
        <v>2505</v>
      </c>
      <c r="F378" s="12" t="s">
        <v>2506</v>
      </c>
      <c r="G378" s="12" t="s">
        <v>2504</v>
      </c>
      <c r="H378" s="12" t="s">
        <v>5148</v>
      </c>
      <c r="I378" s="12" t="s">
        <v>3059</v>
      </c>
      <c r="J378" s="12" t="s">
        <v>3085</v>
      </c>
      <c r="K378" s="12" t="s">
        <v>4077</v>
      </c>
      <c r="L378" s="13">
        <v>5</v>
      </c>
    </row>
    <row r="379" spans="1:12" hidden="1" x14ac:dyDescent="0.55000000000000004">
      <c r="A379" s="12" t="s">
        <v>2931</v>
      </c>
      <c r="B379" s="12" t="s">
        <v>4442</v>
      </c>
      <c r="C379" s="12" t="s">
        <v>5149</v>
      </c>
      <c r="D379" s="12" t="s">
        <v>4752</v>
      </c>
      <c r="E379" s="12" t="s">
        <v>2514</v>
      </c>
      <c r="F379" s="12" t="s">
        <v>2515</v>
      </c>
      <c r="G379" s="12" t="s">
        <v>2516</v>
      </c>
      <c r="H379" s="12" t="s">
        <v>5148</v>
      </c>
      <c r="I379" s="12" t="s">
        <v>3059</v>
      </c>
      <c r="J379" s="12" t="s">
        <v>3085</v>
      </c>
      <c r="K379" s="12" t="s">
        <v>4081</v>
      </c>
      <c r="L379" s="13">
        <v>5</v>
      </c>
    </row>
    <row r="380" spans="1:12" hidden="1" x14ac:dyDescent="0.55000000000000004">
      <c r="A380" s="12" t="s">
        <v>2931</v>
      </c>
      <c r="B380" s="12" t="s">
        <v>4442</v>
      </c>
      <c r="C380" s="12" t="s">
        <v>5149</v>
      </c>
      <c r="D380" s="12" t="s">
        <v>4752</v>
      </c>
      <c r="E380" s="12" t="s">
        <v>5740</v>
      </c>
      <c r="F380" s="12" t="s">
        <v>1270</v>
      </c>
      <c r="G380" s="12" t="s">
        <v>5741</v>
      </c>
      <c r="H380" s="12" t="s">
        <v>5148</v>
      </c>
      <c r="I380" s="12" t="s">
        <v>3059</v>
      </c>
      <c r="J380" s="12" t="s">
        <v>3085</v>
      </c>
      <c r="K380" s="12" t="s">
        <v>5742</v>
      </c>
      <c r="L380" s="13">
        <v>10</v>
      </c>
    </row>
    <row r="381" spans="1:12" hidden="1" x14ac:dyDescent="0.55000000000000004">
      <c r="A381" s="12" t="s">
        <v>2931</v>
      </c>
      <c r="B381" s="12" t="s">
        <v>4442</v>
      </c>
      <c r="C381" s="12" t="s">
        <v>5149</v>
      </c>
      <c r="D381" s="12" t="s">
        <v>4752</v>
      </c>
      <c r="E381" s="12" t="s">
        <v>5743</v>
      </c>
      <c r="F381" s="12" t="s">
        <v>5744</v>
      </c>
      <c r="G381" s="12" t="s">
        <v>5745</v>
      </c>
      <c r="H381" s="12" t="s">
        <v>5148</v>
      </c>
      <c r="I381" s="12" t="s">
        <v>3059</v>
      </c>
      <c r="J381" s="12" t="s">
        <v>3085</v>
      </c>
      <c r="K381" s="12" t="s">
        <v>5746</v>
      </c>
      <c r="L381" s="13">
        <v>10</v>
      </c>
    </row>
    <row r="382" spans="1:12" hidden="1" x14ac:dyDescent="0.55000000000000004">
      <c r="A382" s="12" t="s">
        <v>2931</v>
      </c>
      <c r="B382" s="12" t="s">
        <v>4442</v>
      </c>
      <c r="C382" s="12" t="s">
        <v>5149</v>
      </c>
      <c r="D382" s="12" t="s">
        <v>4752</v>
      </c>
      <c r="E382" s="12" t="s">
        <v>5747</v>
      </c>
      <c r="F382" s="12" t="s">
        <v>5748</v>
      </c>
      <c r="G382" s="12" t="s">
        <v>5749</v>
      </c>
      <c r="H382" s="12" t="s">
        <v>5148</v>
      </c>
      <c r="I382" s="12" t="s">
        <v>3059</v>
      </c>
      <c r="J382" s="12" t="s">
        <v>3085</v>
      </c>
      <c r="K382" s="12" t="s">
        <v>5750</v>
      </c>
      <c r="L382" s="13">
        <v>10</v>
      </c>
    </row>
    <row r="383" spans="1:12" hidden="1" x14ac:dyDescent="0.55000000000000004">
      <c r="A383" s="12" t="s">
        <v>2931</v>
      </c>
      <c r="B383" s="12" t="s">
        <v>4442</v>
      </c>
      <c r="C383" s="12" t="s">
        <v>5149</v>
      </c>
      <c r="D383" s="12" t="s">
        <v>4752</v>
      </c>
      <c r="E383" s="12" t="s">
        <v>5751</v>
      </c>
      <c r="F383" s="12" t="s">
        <v>5752</v>
      </c>
      <c r="G383" s="12" t="s">
        <v>5753</v>
      </c>
      <c r="H383" s="12" t="s">
        <v>5148</v>
      </c>
      <c r="I383" s="12" t="s">
        <v>3075</v>
      </c>
      <c r="J383" s="12" t="s">
        <v>3085</v>
      </c>
      <c r="K383" s="12" t="s">
        <v>5754</v>
      </c>
      <c r="L383" s="13" t="s">
        <v>3075</v>
      </c>
    </row>
    <row r="384" spans="1:12" hidden="1" x14ac:dyDescent="0.55000000000000004">
      <c r="A384" s="12" t="s">
        <v>2931</v>
      </c>
      <c r="B384" s="12" t="s">
        <v>4442</v>
      </c>
      <c r="C384" s="12" t="s">
        <v>5149</v>
      </c>
      <c r="D384" s="12" t="s">
        <v>4752</v>
      </c>
      <c r="E384" s="12" t="s">
        <v>5755</v>
      </c>
      <c r="F384" s="12" t="s">
        <v>1894</v>
      </c>
      <c r="G384" s="12" t="s">
        <v>5756</v>
      </c>
      <c r="H384" s="12" t="s">
        <v>5148</v>
      </c>
      <c r="I384" s="12" t="s">
        <v>3075</v>
      </c>
      <c r="J384" s="12" t="s">
        <v>3085</v>
      </c>
      <c r="K384" s="12" t="s">
        <v>5757</v>
      </c>
      <c r="L384" s="13" t="s">
        <v>3075</v>
      </c>
    </row>
    <row r="385" spans="1:12" hidden="1" x14ac:dyDescent="0.55000000000000004">
      <c r="A385" s="12" t="s">
        <v>2931</v>
      </c>
      <c r="B385" s="12" t="s">
        <v>4442</v>
      </c>
      <c r="C385" s="12" t="s">
        <v>5149</v>
      </c>
      <c r="D385" s="12" t="s">
        <v>4752</v>
      </c>
      <c r="E385" s="12" t="s">
        <v>5758</v>
      </c>
      <c r="F385" s="12" t="s">
        <v>5759</v>
      </c>
      <c r="G385" s="12" t="s">
        <v>5760</v>
      </c>
      <c r="H385" s="12" t="s">
        <v>5148</v>
      </c>
      <c r="I385" s="12" t="s">
        <v>3075</v>
      </c>
      <c r="J385" s="12" t="s">
        <v>3085</v>
      </c>
      <c r="K385" s="12" t="s">
        <v>5761</v>
      </c>
      <c r="L385" s="13" t="s">
        <v>3075</v>
      </c>
    </row>
    <row r="386" spans="1:12" hidden="1" x14ac:dyDescent="0.55000000000000004">
      <c r="A386" s="12" t="s">
        <v>2911</v>
      </c>
      <c r="B386" s="12" t="s">
        <v>4422</v>
      </c>
      <c r="C386" s="12" t="s">
        <v>5150</v>
      </c>
      <c r="D386" s="12" t="s">
        <v>4752</v>
      </c>
      <c r="E386" s="12" t="s">
        <v>2549</v>
      </c>
      <c r="F386" s="12" t="s">
        <v>1106</v>
      </c>
      <c r="G386" s="12" t="s">
        <v>2550</v>
      </c>
      <c r="H386" s="12" t="s">
        <v>4430</v>
      </c>
      <c r="I386" s="12" t="s">
        <v>3059</v>
      </c>
      <c r="J386" s="12" t="s">
        <v>338</v>
      </c>
      <c r="K386" s="12" t="s">
        <v>4097</v>
      </c>
      <c r="L386" s="13">
        <v>8</v>
      </c>
    </row>
    <row r="387" spans="1:12" hidden="1" x14ac:dyDescent="0.55000000000000004">
      <c r="A387" s="12" t="s">
        <v>2911</v>
      </c>
      <c r="B387" s="12" t="s">
        <v>4422</v>
      </c>
      <c r="C387" s="12" t="s">
        <v>5150</v>
      </c>
      <c r="D387" s="12" t="s">
        <v>4752</v>
      </c>
      <c r="E387" s="12" t="s">
        <v>4712</v>
      </c>
      <c r="F387" s="12" t="s">
        <v>25</v>
      </c>
      <c r="G387" s="12" t="s">
        <v>4713</v>
      </c>
      <c r="H387" s="12" t="s">
        <v>4430</v>
      </c>
      <c r="I387" s="12" t="s">
        <v>3059</v>
      </c>
      <c r="J387" s="12" t="s">
        <v>338</v>
      </c>
      <c r="K387" s="12" t="s">
        <v>4714</v>
      </c>
      <c r="L387" s="13">
        <v>8</v>
      </c>
    </row>
    <row r="388" spans="1:12" hidden="1" x14ac:dyDescent="0.55000000000000004">
      <c r="A388" s="12" t="s">
        <v>2907</v>
      </c>
      <c r="B388" s="12" t="s">
        <v>4422</v>
      </c>
      <c r="C388" s="12" t="s">
        <v>5138</v>
      </c>
      <c r="D388" s="12" t="s">
        <v>4752</v>
      </c>
      <c r="E388" s="12" t="s">
        <v>1596</v>
      </c>
      <c r="F388" s="12" t="s">
        <v>1597</v>
      </c>
      <c r="G388" s="12" t="s">
        <v>1598</v>
      </c>
      <c r="H388" s="12" t="s">
        <v>4424</v>
      </c>
      <c r="I388" s="12" t="s">
        <v>3059</v>
      </c>
      <c r="J388" s="12" t="s">
        <v>338</v>
      </c>
      <c r="K388" s="12" t="s">
        <v>3800</v>
      </c>
      <c r="L388" s="13">
        <v>5</v>
      </c>
    </row>
    <row r="389" spans="1:12" hidden="1" x14ac:dyDescent="0.55000000000000004">
      <c r="A389" s="12" t="s">
        <v>2907</v>
      </c>
      <c r="B389" s="12" t="s">
        <v>4422</v>
      </c>
      <c r="C389" s="12" t="s">
        <v>5138</v>
      </c>
      <c r="D389" s="12" t="s">
        <v>4752</v>
      </c>
      <c r="E389" s="12" t="s">
        <v>1599</v>
      </c>
      <c r="F389" s="12" t="s">
        <v>1600</v>
      </c>
      <c r="G389" s="12" t="s">
        <v>1601</v>
      </c>
      <c r="H389" s="12" t="s">
        <v>4424</v>
      </c>
      <c r="I389" s="12" t="s">
        <v>3075</v>
      </c>
      <c r="J389" s="12" t="s">
        <v>338</v>
      </c>
      <c r="K389" s="12" t="s">
        <v>3801</v>
      </c>
      <c r="L389" s="13" t="s">
        <v>3075</v>
      </c>
    </row>
    <row r="390" spans="1:12" hidden="1" x14ac:dyDescent="0.55000000000000004">
      <c r="A390" s="12" t="s">
        <v>2907</v>
      </c>
      <c r="B390" s="12" t="s">
        <v>4422</v>
      </c>
      <c r="C390" s="12" t="s">
        <v>5138</v>
      </c>
      <c r="D390" s="12" t="s">
        <v>4752</v>
      </c>
      <c r="E390" s="12" t="s">
        <v>1602</v>
      </c>
      <c r="F390" s="12" t="s">
        <v>1603</v>
      </c>
      <c r="G390" s="12" t="s">
        <v>1604</v>
      </c>
      <c r="H390" s="12" t="s">
        <v>4424</v>
      </c>
      <c r="I390" s="12" t="s">
        <v>3059</v>
      </c>
      <c r="J390" s="12" t="s">
        <v>338</v>
      </c>
      <c r="K390" s="12" t="s">
        <v>3802</v>
      </c>
      <c r="L390" s="13">
        <v>5</v>
      </c>
    </row>
    <row r="391" spans="1:12" hidden="1" x14ac:dyDescent="0.55000000000000004">
      <c r="A391" s="12" t="s">
        <v>2907</v>
      </c>
      <c r="B391" s="12" t="s">
        <v>4422</v>
      </c>
      <c r="C391" s="12" t="s">
        <v>5138</v>
      </c>
      <c r="D391" s="12" t="s">
        <v>4752</v>
      </c>
      <c r="E391" s="12" t="s">
        <v>1605</v>
      </c>
      <c r="F391" s="12" t="s">
        <v>428</v>
      </c>
      <c r="G391" s="12" t="s">
        <v>1606</v>
      </c>
      <c r="H391" s="12" t="s">
        <v>4424</v>
      </c>
      <c r="I391" s="12" t="s">
        <v>3060</v>
      </c>
      <c r="J391" s="12" t="s">
        <v>338</v>
      </c>
      <c r="K391" s="12" t="s">
        <v>3805</v>
      </c>
      <c r="L391" s="13">
        <v>5</v>
      </c>
    </row>
    <row r="392" spans="1:12" hidden="1" x14ac:dyDescent="0.55000000000000004">
      <c r="A392" s="12" t="s">
        <v>2907</v>
      </c>
      <c r="B392" s="12" t="s">
        <v>4422</v>
      </c>
      <c r="C392" s="12" t="s">
        <v>5138</v>
      </c>
      <c r="D392" s="12" t="s">
        <v>4752</v>
      </c>
      <c r="E392" s="12" t="s">
        <v>1607</v>
      </c>
      <c r="F392" s="12" t="s">
        <v>1608</v>
      </c>
      <c r="G392" s="12" t="s">
        <v>1609</v>
      </c>
      <c r="H392" s="12" t="s">
        <v>4424</v>
      </c>
      <c r="I392" s="12" t="s">
        <v>3060</v>
      </c>
      <c r="J392" s="12" t="s">
        <v>338</v>
      </c>
      <c r="K392" s="12" t="s">
        <v>3806</v>
      </c>
      <c r="L392" s="13">
        <v>5</v>
      </c>
    </row>
    <row r="393" spans="1:12" hidden="1" x14ac:dyDescent="0.55000000000000004">
      <c r="A393" s="12" t="s">
        <v>2907</v>
      </c>
      <c r="B393" s="12" t="s">
        <v>4422</v>
      </c>
      <c r="C393" s="12" t="s">
        <v>5138</v>
      </c>
      <c r="D393" s="12" t="s">
        <v>4752</v>
      </c>
      <c r="E393" s="12" t="s">
        <v>1610</v>
      </c>
      <c r="F393" s="12" t="s">
        <v>980</v>
      </c>
      <c r="G393" s="12" t="s">
        <v>1611</v>
      </c>
      <c r="H393" s="12" t="s">
        <v>4424</v>
      </c>
      <c r="I393" s="12" t="s">
        <v>3059</v>
      </c>
      <c r="J393" s="12" t="s">
        <v>338</v>
      </c>
      <c r="K393" s="12" t="s">
        <v>3807</v>
      </c>
      <c r="L393" s="13">
        <v>5</v>
      </c>
    </row>
    <row r="394" spans="1:12" hidden="1" x14ac:dyDescent="0.55000000000000004">
      <c r="A394" s="12" t="s">
        <v>2907</v>
      </c>
      <c r="B394" s="12" t="s">
        <v>4422</v>
      </c>
      <c r="C394" s="12" t="s">
        <v>5138</v>
      </c>
      <c r="D394" s="12" t="s">
        <v>4752</v>
      </c>
      <c r="E394" s="12" t="s">
        <v>1612</v>
      </c>
      <c r="F394" s="12" t="s">
        <v>1086</v>
      </c>
      <c r="G394" s="12" t="s">
        <v>3149</v>
      </c>
      <c r="H394" s="12" t="s">
        <v>4424</v>
      </c>
      <c r="I394" s="12" t="s">
        <v>3060</v>
      </c>
      <c r="J394" s="12" t="s">
        <v>338</v>
      </c>
      <c r="K394" s="12" t="s">
        <v>3808</v>
      </c>
      <c r="L394" s="13">
        <v>5</v>
      </c>
    </row>
    <row r="395" spans="1:12" hidden="1" x14ac:dyDescent="0.55000000000000004">
      <c r="A395" s="12" t="s">
        <v>2907</v>
      </c>
      <c r="B395" s="12" t="s">
        <v>4422</v>
      </c>
      <c r="C395" s="12" t="s">
        <v>5138</v>
      </c>
      <c r="D395" s="12" t="s">
        <v>4752</v>
      </c>
      <c r="E395" s="12" t="s">
        <v>1613</v>
      </c>
      <c r="F395" s="12" t="s">
        <v>1614</v>
      </c>
      <c r="G395" s="12" t="s">
        <v>1615</v>
      </c>
      <c r="H395" s="12" t="s">
        <v>4424</v>
      </c>
      <c r="I395" s="12" t="s">
        <v>3075</v>
      </c>
      <c r="J395" s="12" t="s">
        <v>338</v>
      </c>
      <c r="K395" s="12" t="s">
        <v>3809</v>
      </c>
      <c r="L395" s="13" t="s">
        <v>3075</v>
      </c>
    </row>
    <row r="396" spans="1:12" hidden="1" x14ac:dyDescent="0.55000000000000004">
      <c r="A396" s="12" t="s">
        <v>2907</v>
      </c>
      <c r="B396" s="12" t="s">
        <v>4422</v>
      </c>
      <c r="C396" s="12" t="s">
        <v>5138</v>
      </c>
      <c r="D396" s="12" t="s">
        <v>4752</v>
      </c>
      <c r="E396" s="12" t="s">
        <v>1616</v>
      </c>
      <c r="F396" s="12" t="s">
        <v>5151</v>
      </c>
      <c r="G396" s="12" t="s">
        <v>5152</v>
      </c>
      <c r="H396" s="12" t="s">
        <v>4424</v>
      </c>
      <c r="I396" s="12" t="s">
        <v>3075</v>
      </c>
      <c r="J396" s="12" t="s">
        <v>338</v>
      </c>
      <c r="K396" s="12" t="s">
        <v>5153</v>
      </c>
      <c r="L396" s="13" t="s">
        <v>3075</v>
      </c>
    </row>
    <row r="397" spans="1:12" hidden="1" x14ac:dyDescent="0.55000000000000004">
      <c r="A397" s="12" t="s">
        <v>2907</v>
      </c>
      <c r="B397" s="12" t="s">
        <v>4422</v>
      </c>
      <c r="C397" s="12" t="s">
        <v>5138</v>
      </c>
      <c r="D397" s="12" t="s">
        <v>4752</v>
      </c>
      <c r="E397" s="12" t="s">
        <v>5762</v>
      </c>
      <c r="F397" s="12" t="s">
        <v>5763</v>
      </c>
      <c r="G397" s="12" t="s">
        <v>5764</v>
      </c>
      <c r="H397" s="12" t="s">
        <v>4424</v>
      </c>
      <c r="I397" s="12" t="s">
        <v>3075</v>
      </c>
      <c r="J397" s="12" t="s">
        <v>338</v>
      </c>
      <c r="K397" s="12" t="s">
        <v>5765</v>
      </c>
      <c r="L397" s="13" t="s">
        <v>3075</v>
      </c>
    </row>
    <row r="398" spans="1:12" hidden="1" x14ac:dyDescent="0.55000000000000004">
      <c r="A398" s="12" t="s">
        <v>2943</v>
      </c>
      <c r="B398" s="12" t="s">
        <v>4442</v>
      </c>
      <c r="C398" s="12" t="s">
        <v>5154</v>
      </c>
      <c r="D398" s="12" t="s">
        <v>4752</v>
      </c>
      <c r="E398" s="12" t="s">
        <v>448</v>
      </c>
      <c r="F398" s="12" t="s">
        <v>449</v>
      </c>
      <c r="G398" s="12" t="s">
        <v>450</v>
      </c>
      <c r="H398" s="12" t="s">
        <v>4462</v>
      </c>
      <c r="I398" s="12" t="s">
        <v>3059</v>
      </c>
      <c r="J398" s="12" t="s">
        <v>3084</v>
      </c>
      <c r="K398" s="12" t="s">
        <v>3397</v>
      </c>
      <c r="L398" s="13">
        <v>5</v>
      </c>
    </row>
    <row r="399" spans="1:12" hidden="1" x14ac:dyDescent="0.55000000000000004">
      <c r="A399" s="12" t="s">
        <v>2943</v>
      </c>
      <c r="B399" s="12" t="s">
        <v>4442</v>
      </c>
      <c r="C399" s="12" t="s">
        <v>5154</v>
      </c>
      <c r="D399" s="12" t="s">
        <v>4752</v>
      </c>
      <c r="E399" s="12" t="s">
        <v>451</v>
      </c>
      <c r="F399" s="12" t="s">
        <v>169</v>
      </c>
      <c r="G399" s="12" t="s">
        <v>452</v>
      </c>
      <c r="H399" s="12" t="s">
        <v>4462</v>
      </c>
      <c r="I399" s="12" t="s">
        <v>3075</v>
      </c>
      <c r="J399" s="12" t="s">
        <v>3084</v>
      </c>
      <c r="K399" s="12" t="s">
        <v>4648</v>
      </c>
      <c r="L399" s="13" t="s">
        <v>3075</v>
      </c>
    </row>
    <row r="400" spans="1:12" hidden="1" x14ac:dyDescent="0.55000000000000004">
      <c r="A400" s="12" t="s">
        <v>2943</v>
      </c>
      <c r="B400" s="12" t="s">
        <v>4442</v>
      </c>
      <c r="C400" s="12" t="s">
        <v>5154</v>
      </c>
      <c r="D400" s="12" t="s">
        <v>4752</v>
      </c>
      <c r="E400" s="12" t="s">
        <v>453</v>
      </c>
      <c r="F400" s="12" t="s">
        <v>454</v>
      </c>
      <c r="G400" s="12" t="s">
        <v>455</v>
      </c>
      <c r="H400" s="12" t="s">
        <v>4462</v>
      </c>
      <c r="I400" s="12" t="s">
        <v>3059</v>
      </c>
      <c r="J400" s="12" t="s">
        <v>3084</v>
      </c>
      <c r="K400" s="12" t="s">
        <v>3398</v>
      </c>
      <c r="L400" s="13">
        <v>5</v>
      </c>
    </row>
    <row r="401" spans="1:12" hidden="1" x14ac:dyDescent="0.55000000000000004">
      <c r="A401" s="12" t="s">
        <v>2943</v>
      </c>
      <c r="B401" s="12" t="s">
        <v>4442</v>
      </c>
      <c r="C401" s="12" t="s">
        <v>5154</v>
      </c>
      <c r="D401" s="12" t="s">
        <v>4752</v>
      </c>
      <c r="E401" s="12" t="s">
        <v>456</v>
      </c>
      <c r="F401" s="12" t="s">
        <v>457</v>
      </c>
      <c r="G401" s="12" t="s">
        <v>458</v>
      </c>
      <c r="H401" s="12" t="s">
        <v>4462</v>
      </c>
      <c r="I401" s="12" t="s">
        <v>3059</v>
      </c>
      <c r="J401" s="12" t="s">
        <v>3084</v>
      </c>
      <c r="K401" s="12" t="s">
        <v>3399</v>
      </c>
      <c r="L401" s="13">
        <v>5</v>
      </c>
    </row>
    <row r="402" spans="1:12" hidden="1" x14ac:dyDescent="0.55000000000000004">
      <c r="A402" s="12" t="s">
        <v>2943</v>
      </c>
      <c r="B402" s="12" t="s">
        <v>4442</v>
      </c>
      <c r="C402" s="12" t="s">
        <v>5154</v>
      </c>
      <c r="D402" s="12" t="s">
        <v>4752</v>
      </c>
      <c r="E402" s="12" t="s">
        <v>478</v>
      </c>
      <c r="F402" s="12" t="s">
        <v>479</v>
      </c>
      <c r="G402" s="12" t="s">
        <v>480</v>
      </c>
      <c r="H402" s="12" t="s">
        <v>4462</v>
      </c>
      <c r="I402" s="12" t="s">
        <v>3059</v>
      </c>
      <c r="J402" s="12" t="s">
        <v>3084</v>
      </c>
      <c r="K402" s="12" t="s">
        <v>3406</v>
      </c>
      <c r="L402" s="13">
        <v>5</v>
      </c>
    </row>
    <row r="403" spans="1:12" hidden="1" x14ac:dyDescent="0.55000000000000004">
      <c r="A403" s="12" t="s">
        <v>2943</v>
      </c>
      <c r="B403" s="12" t="s">
        <v>4442</v>
      </c>
      <c r="C403" s="12" t="s">
        <v>5154</v>
      </c>
      <c r="D403" s="12" t="s">
        <v>4752</v>
      </c>
      <c r="E403" s="12" t="s">
        <v>506</v>
      </c>
      <c r="F403" s="12" t="s">
        <v>507</v>
      </c>
      <c r="G403" s="12" t="s">
        <v>442</v>
      </c>
      <c r="H403" s="12" t="s">
        <v>4462</v>
      </c>
      <c r="I403" s="12" t="s">
        <v>3059</v>
      </c>
      <c r="J403" s="12" t="s">
        <v>3084</v>
      </c>
      <c r="K403" s="12" t="s">
        <v>3416</v>
      </c>
      <c r="L403" s="13">
        <v>5</v>
      </c>
    </row>
    <row r="404" spans="1:12" hidden="1" x14ac:dyDescent="0.55000000000000004">
      <c r="A404" s="12" t="s">
        <v>2943</v>
      </c>
      <c r="B404" s="12" t="s">
        <v>4442</v>
      </c>
      <c r="C404" s="12" t="s">
        <v>5154</v>
      </c>
      <c r="D404" s="12" t="s">
        <v>4752</v>
      </c>
      <c r="E404" s="12" t="s">
        <v>508</v>
      </c>
      <c r="F404" s="12" t="s">
        <v>239</v>
      </c>
      <c r="G404" s="12" t="s">
        <v>509</v>
      </c>
      <c r="H404" s="12" t="s">
        <v>4462</v>
      </c>
      <c r="I404" s="12" t="s">
        <v>3059</v>
      </c>
      <c r="J404" s="12" t="s">
        <v>3084</v>
      </c>
      <c r="K404" s="12" t="s">
        <v>3417</v>
      </c>
      <c r="L404" s="13">
        <v>5</v>
      </c>
    </row>
    <row r="405" spans="1:12" hidden="1" x14ac:dyDescent="0.55000000000000004">
      <c r="A405" s="12" t="s">
        <v>2943</v>
      </c>
      <c r="B405" s="12" t="s">
        <v>4442</v>
      </c>
      <c r="C405" s="12" t="s">
        <v>5154</v>
      </c>
      <c r="D405" s="12" t="s">
        <v>4752</v>
      </c>
      <c r="E405" s="12" t="s">
        <v>523</v>
      </c>
      <c r="F405" s="12" t="s">
        <v>524</v>
      </c>
      <c r="G405" s="12" t="s">
        <v>525</v>
      </c>
      <c r="H405" s="12" t="s">
        <v>4462</v>
      </c>
      <c r="I405" s="12" t="s">
        <v>3059</v>
      </c>
      <c r="J405" s="12" t="s">
        <v>3084</v>
      </c>
      <c r="K405" s="12" t="s">
        <v>3422</v>
      </c>
      <c r="L405" s="13">
        <v>5</v>
      </c>
    </row>
    <row r="406" spans="1:12" hidden="1" x14ac:dyDescent="0.55000000000000004">
      <c r="A406" s="12" t="s">
        <v>2943</v>
      </c>
      <c r="B406" s="12" t="s">
        <v>4442</v>
      </c>
      <c r="C406" s="12" t="s">
        <v>5154</v>
      </c>
      <c r="D406" s="12" t="s">
        <v>4752</v>
      </c>
      <c r="E406" s="12" t="s">
        <v>526</v>
      </c>
      <c r="F406" s="12" t="s">
        <v>527</v>
      </c>
      <c r="G406" s="12" t="s">
        <v>528</v>
      </c>
      <c r="H406" s="12" t="s">
        <v>4462</v>
      </c>
      <c r="I406" s="12" t="s">
        <v>3059</v>
      </c>
      <c r="J406" s="12" t="s">
        <v>3084</v>
      </c>
      <c r="K406" s="12" t="s">
        <v>3423</v>
      </c>
      <c r="L406" s="13">
        <v>5</v>
      </c>
    </row>
    <row r="407" spans="1:12" hidden="1" x14ac:dyDescent="0.55000000000000004">
      <c r="A407" s="12" t="s">
        <v>2943</v>
      </c>
      <c r="B407" s="12" t="s">
        <v>4442</v>
      </c>
      <c r="C407" s="12" t="s">
        <v>5154</v>
      </c>
      <c r="D407" s="12" t="s">
        <v>4752</v>
      </c>
      <c r="E407" s="12" t="s">
        <v>549</v>
      </c>
      <c r="F407" s="12" t="s">
        <v>550</v>
      </c>
      <c r="G407" s="12" t="s">
        <v>551</v>
      </c>
      <c r="H407" s="12" t="s">
        <v>4462</v>
      </c>
      <c r="I407" s="12" t="s">
        <v>3059</v>
      </c>
      <c r="J407" s="12" t="s">
        <v>3084</v>
      </c>
      <c r="K407" s="12" t="s">
        <v>3431</v>
      </c>
      <c r="L407" s="13">
        <v>5</v>
      </c>
    </row>
    <row r="408" spans="1:12" hidden="1" x14ac:dyDescent="0.55000000000000004">
      <c r="A408" s="12" t="s">
        <v>2943</v>
      </c>
      <c r="B408" s="12" t="s">
        <v>4442</v>
      </c>
      <c r="C408" s="12" t="s">
        <v>5154</v>
      </c>
      <c r="D408" s="12" t="s">
        <v>4752</v>
      </c>
      <c r="E408" s="12" t="s">
        <v>3169</v>
      </c>
      <c r="F408" s="12" t="s">
        <v>3167</v>
      </c>
      <c r="G408" s="12" t="s">
        <v>3168</v>
      </c>
      <c r="H408" s="12" t="s">
        <v>4462</v>
      </c>
      <c r="I408" s="12" t="s">
        <v>3059</v>
      </c>
      <c r="J408" s="12" t="s">
        <v>3084</v>
      </c>
      <c r="K408" s="12" t="s">
        <v>4264</v>
      </c>
      <c r="L408" s="13">
        <v>5</v>
      </c>
    </row>
    <row r="409" spans="1:12" hidden="1" x14ac:dyDescent="0.55000000000000004">
      <c r="A409" s="12" t="s">
        <v>2889</v>
      </c>
      <c r="B409" s="12" t="s">
        <v>4374</v>
      </c>
      <c r="C409" s="12" t="s">
        <v>5155</v>
      </c>
      <c r="D409" s="12" t="s">
        <v>4752</v>
      </c>
      <c r="E409" s="12" t="s">
        <v>1653</v>
      </c>
      <c r="F409" s="12" t="s">
        <v>1654</v>
      </c>
      <c r="G409" s="12" t="s">
        <v>1655</v>
      </c>
      <c r="H409" s="12" t="s">
        <v>4397</v>
      </c>
      <c r="I409" s="12" t="s">
        <v>3059</v>
      </c>
      <c r="J409" s="12" t="s">
        <v>3094</v>
      </c>
      <c r="K409" s="12" t="s">
        <v>3825</v>
      </c>
      <c r="L409" s="13">
        <v>3</v>
      </c>
    </row>
    <row r="410" spans="1:12" hidden="1" x14ac:dyDescent="0.55000000000000004">
      <c r="A410" s="12" t="s">
        <v>2889</v>
      </c>
      <c r="B410" s="12" t="s">
        <v>4374</v>
      </c>
      <c r="C410" s="12" t="s">
        <v>5155</v>
      </c>
      <c r="D410" s="12" t="s">
        <v>4752</v>
      </c>
      <c r="E410" s="12" t="s">
        <v>1656</v>
      </c>
      <c r="F410" s="12" t="s">
        <v>1657</v>
      </c>
      <c r="G410" s="12" t="s">
        <v>1658</v>
      </c>
      <c r="H410" s="12" t="s">
        <v>4397</v>
      </c>
      <c r="I410" s="12" t="s">
        <v>3059</v>
      </c>
      <c r="J410" s="12" t="s">
        <v>3094</v>
      </c>
      <c r="K410" s="12" t="s">
        <v>3826</v>
      </c>
      <c r="L410" s="13">
        <v>3</v>
      </c>
    </row>
    <row r="411" spans="1:12" hidden="1" x14ac:dyDescent="0.55000000000000004">
      <c r="A411" s="12" t="s">
        <v>2889</v>
      </c>
      <c r="B411" s="12" t="s">
        <v>4374</v>
      </c>
      <c r="C411" s="12" t="s">
        <v>5155</v>
      </c>
      <c r="D411" s="12" t="s">
        <v>4752</v>
      </c>
      <c r="E411" s="12" t="s">
        <v>1659</v>
      </c>
      <c r="F411" s="12" t="s">
        <v>1660</v>
      </c>
      <c r="G411" s="12" t="s">
        <v>1661</v>
      </c>
      <c r="H411" s="12" t="s">
        <v>4397</v>
      </c>
      <c r="I411" s="12" t="s">
        <v>3059</v>
      </c>
      <c r="J411" s="12" t="s">
        <v>3094</v>
      </c>
      <c r="K411" s="12" t="s">
        <v>3827</v>
      </c>
      <c r="L411" s="13">
        <v>3</v>
      </c>
    </row>
    <row r="412" spans="1:12" hidden="1" x14ac:dyDescent="0.55000000000000004">
      <c r="A412" s="12" t="s">
        <v>2889</v>
      </c>
      <c r="B412" s="12" t="s">
        <v>4374</v>
      </c>
      <c r="C412" s="12" t="s">
        <v>5155</v>
      </c>
      <c r="D412" s="12" t="s">
        <v>4752</v>
      </c>
      <c r="E412" s="12" t="s">
        <v>1673</v>
      </c>
      <c r="F412" s="12" t="s">
        <v>3154</v>
      </c>
      <c r="G412" s="12" t="s">
        <v>1674</v>
      </c>
      <c r="H412" s="12" t="s">
        <v>4397</v>
      </c>
      <c r="I412" s="12" t="s">
        <v>3059</v>
      </c>
      <c r="J412" s="12" t="s">
        <v>3094</v>
      </c>
      <c r="K412" s="12" t="s">
        <v>3832</v>
      </c>
      <c r="L412" s="13">
        <v>3</v>
      </c>
    </row>
    <row r="413" spans="1:12" hidden="1" x14ac:dyDescent="0.55000000000000004">
      <c r="A413" s="12" t="s">
        <v>2889</v>
      </c>
      <c r="B413" s="12" t="s">
        <v>4374</v>
      </c>
      <c r="C413" s="12" t="s">
        <v>5155</v>
      </c>
      <c r="D413" s="12" t="s">
        <v>4752</v>
      </c>
      <c r="E413" s="12" t="s">
        <v>5766</v>
      </c>
      <c r="F413" s="12" t="s">
        <v>5767</v>
      </c>
      <c r="G413" s="12" t="s">
        <v>5768</v>
      </c>
      <c r="H413" s="12" t="s">
        <v>4397</v>
      </c>
      <c r="I413" s="12" t="s">
        <v>3075</v>
      </c>
      <c r="J413" s="12" t="s">
        <v>3094</v>
      </c>
      <c r="K413" s="12" t="s">
        <v>5769</v>
      </c>
      <c r="L413" s="13" t="s">
        <v>3075</v>
      </c>
    </row>
    <row r="414" spans="1:12" hidden="1" x14ac:dyDescent="0.55000000000000004">
      <c r="A414" s="12" t="s">
        <v>2889</v>
      </c>
      <c r="B414" s="12" t="s">
        <v>4374</v>
      </c>
      <c r="C414" s="12" t="s">
        <v>5156</v>
      </c>
      <c r="D414" s="12" t="s">
        <v>4752</v>
      </c>
      <c r="E414" s="12" t="s">
        <v>4696</v>
      </c>
      <c r="F414" s="12" t="s">
        <v>4697</v>
      </c>
      <c r="G414" s="12" t="s">
        <v>4698</v>
      </c>
      <c r="H414" s="12" t="s">
        <v>4397</v>
      </c>
      <c r="I414" s="12" t="s">
        <v>3075</v>
      </c>
      <c r="J414" s="12" t="s">
        <v>3094</v>
      </c>
      <c r="K414" s="12" t="s">
        <v>4699</v>
      </c>
      <c r="L414" s="13" t="s">
        <v>3075</v>
      </c>
    </row>
    <row r="415" spans="1:12" hidden="1" x14ac:dyDescent="0.55000000000000004">
      <c r="A415" s="12" t="s">
        <v>2889</v>
      </c>
      <c r="B415" s="12" t="s">
        <v>4374</v>
      </c>
      <c r="C415" s="12" t="s">
        <v>5156</v>
      </c>
      <c r="D415" s="12" t="s">
        <v>4752</v>
      </c>
      <c r="E415" s="12" t="s">
        <v>5770</v>
      </c>
      <c r="F415" s="12" t="s">
        <v>5771</v>
      </c>
      <c r="G415" s="12" t="s">
        <v>5772</v>
      </c>
      <c r="H415" s="12" t="s">
        <v>4397</v>
      </c>
      <c r="I415" s="12" t="s">
        <v>3075</v>
      </c>
      <c r="J415" s="12" t="s">
        <v>3094</v>
      </c>
      <c r="K415" s="12" t="s">
        <v>5773</v>
      </c>
      <c r="L415" s="13" t="s">
        <v>3075</v>
      </c>
    </row>
    <row r="416" spans="1:12" hidden="1" x14ac:dyDescent="0.55000000000000004">
      <c r="A416" s="12" t="s">
        <v>2963</v>
      </c>
      <c r="B416" s="12" t="s">
        <v>4486</v>
      </c>
      <c r="C416" s="12" t="s">
        <v>5157</v>
      </c>
      <c r="D416" s="12" t="s">
        <v>4752</v>
      </c>
      <c r="E416" s="12" t="s">
        <v>1076</v>
      </c>
      <c r="F416" s="12" t="s">
        <v>1077</v>
      </c>
      <c r="G416" s="12" t="s">
        <v>1078</v>
      </c>
      <c r="H416" s="12" t="s">
        <v>5158</v>
      </c>
      <c r="I416" s="12" t="s">
        <v>3059</v>
      </c>
      <c r="J416" s="12" t="s">
        <v>3092</v>
      </c>
      <c r="K416" s="12" t="s">
        <v>3620</v>
      </c>
      <c r="L416" s="13">
        <v>3</v>
      </c>
    </row>
    <row r="417" spans="1:12" hidden="1" x14ac:dyDescent="0.55000000000000004">
      <c r="A417" s="12" t="s">
        <v>2963</v>
      </c>
      <c r="B417" s="12" t="s">
        <v>4486</v>
      </c>
      <c r="C417" s="12" t="s">
        <v>5157</v>
      </c>
      <c r="D417" s="12" t="s">
        <v>4752</v>
      </c>
      <c r="E417" s="12" t="s">
        <v>1080</v>
      </c>
      <c r="F417" s="12" t="s">
        <v>1081</v>
      </c>
      <c r="G417" s="12" t="s">
        <v>1082</v>
      </c>
      <c r="H417" s="12" t="s">
        <v>5158</v>
      </c>
      <c r="I417" s="12" t="s">
        <v>3059</v>
      </c>
      <c r="J417" s="12" t="s">
        <v>3092</v>
      </c>
      <c r="K417" s="12" t="s">
        <v>3621</v>
      </c>
      <c r="L417" s="13">
        <v>3</v>
      </c>
    </row>
    <row r="418" spans="1:12" hidden="1" x14ac:dyDescent="0.55000000000000004">
      <c r="A418" s="12" t="s">
        <v>2963</v>
      </c>
      <c r="B418" s="12" t="s">
        <v>4486</v>
      </c>
      <c r="C418" s="12" t="s">
        <v>5157</v>
      </c>
      <c r="D418" s="12" t="s">
        <v>4752</v>
      </c>
      <c r="E418" s="12" t="s">
        <v>1083</v>
      </c>
      <c r="F418" s="12" t="s">
        <v>1084</v>
      </c>
      <c r="G418" s="12" t="s">
        <v>1085</v>
      </c>
      <c r="H418" s="12" t="s">
        <v>5158</v>
      </c>
      <c r="I418" s="12" t="s">
        <v>3059</v>
      </c>
      <c r="J418" s="12" t="s">
        <v>3092</v>
      </c>
      <c r="K418" s="12" t="s">
        <v>3622</v>
      </c>
      <c r="L418" s="13">
        <v>3</v>
      </c>
    </row>
    <row r="419" spans="1:12" hidden="1" x14ac:dyDescent="0.55000000000000004">
      <c r="A419" s="12" t="s">
        <v>2963</v>
      </c>
      <c r="B419" s="12" t="s">
        <v>4486</v>
      </c>
      <c r="C419" s="12" t="s">
        <v>5157</v>
      </c>
      <c r="D419" s="12" t="s">
        <v>4752</v>
      </c>
      <c r="E419" s="12" t="s">
        <v>4681</v>
      </c>
      <c r="F419" s="12" t="s">
        <v>1086</v>
      </c>
      <c r="G419" s="12" t="s">
        <v>4682</v>
      </c>
      <c r="H419" s="12" t="s">
        <v>5158</v>
      </c>
      <c r="I419" s="12" t="s">
        <v>3059</v>
      </c>
      <c r="J419" s="12" t="s">
        <v>3092</v>
      </c>
      <c r="K419" s="12" t="s">
        <v>4683</v>
      </c>
      <c r="L419" s="13">
        <v>8</v>
      </c>
    </row>
    <row r="420" spans="1:12" hidden="1" x14ac:dyDescent="0.55000000000000004">
      <c r="A420" s="12" t="s">
        <v>2963</v>
      </c>
      <c r="B420" s="12" t="s">
        <v>4486</v>
      </c>
      <c r="C420" s="12" t="s">
        <v>5157</v>
      </c>
      <c r="D420" s="12" t="s">
        <v>4752</v>
      </c>
      <c r="E420" s="12" t="s">
        <v>4684</v>
      </c>
      <c r="F420" s="12" t="s">
        <v>4685</v>
      </c>
      <c r="G420" s="12" t="s">
        <v>4686</v>
      </c>
      <c r="H420" s="12" t="s">
        <v>5158</v>
      </c>
      <c r="I420" s="12" t="s">
        <v>3075</v>
      </c>
      <c r="J420" s="12" t="s">
        <v>3092</v>
      </c>
      <c r="K420" s="12" t="s">
        <v>4687</v>
      </c>
      <c r="L420" s="13" t="s">
        <v>3075</v>
      </c>
    </row>
    <row r="421" spans="1:12" hidden="1" x14ac:dyDescent="0.55000000000000004">
      <c r="A421" s="12" t="s">
        <v>2963</v>
      </c>
      <c r="B421" s="12" t="s">
        <v>4486</v>
      </c>
      <c r="C421" s="12" t="s">
        <v>5157</v>
      </c>
      <c r="D421" s="12" t="s">
        <v>4752</v>
      </c>
      <c r="E421" s="12" t="s">
        <v>1087</v>
      </c>
      <c r="F421" s="12" t="s">
        <v>1088</v>
      </c>
      <c r="G421" s="12" t="s">
        <v>292</v>
      </c>
      <c r="H421" s="12" t="s">
        <v>5158</v>
      </c>
      <c r="I421" s="12" t="s">
        <v>3059</v>
      </c>
      <c r="J421" s="12" t="s">
        <v>3092</v>
      </c>
      <c r="K421" s="12" t="s">
        <v>3623</v>
      </c>
      <c r="L421" s="13">
        <v>3</v>
      </c>
    </row>
    <row r="422" spans="1:12" hidden="1" x14ac:dyDescent="0.55000000000000004">
      <c r="A422" s="12" t="s">
        <v>2963</v>
      </c>
      <c r="B422" s="12" t="s">
        <v>4486</v>
      </c>
      <c r="C422" s="12" t="s">
        <v>5157</v>
      </c>
      <c r="D422" s="12" t="s">
        <v>4752</v>
      </c>
      <c r="E422" s="12" t="s">
        <v>1089</v>
      </c>
      <c r="F422" s="12" t="s">
        <v>2222</v>
      </c>
      <c r="G422" s="12" t="s">
        <v>5159</v>
      </c>
      <c r="H422" s="12" t="s">
        <v>5158</v>
      </c>
      <c r="I422" s="12" t="s">
        <v>3075</v>
      </c>
      <c r="J422" s="12" t="s">
        <v>3092</v>
      </c>
      <c r="K422" s="12" t="s">
        <v>5160</v>
      </c>
      <c r="L422" s="13" t="s">
        <v>3075</v>
      </c>
    </row>
    <row r="423" spans="1:12" hidden="1" x14ac:dyDescent="0.55000000000000004">
      <c r="A423" s="12" t="s">
        <v>2963</v>
      </c>
      <c r="B423" s="12" t="s">
        <v>4486</v>
      </c>
      <c r="C423" s="12" t="s">
        <v>5157</v>
      </c>
      <c r="D423" s="12" t="s">
        <v>4752</v>
      </c>
      <c r="E423" s="12" t="s">
        <v>1090</v>
      </c>
      <c r="F423" s="12" t="s">
        <v>1091</v>
      </c>
      <c r="G423" s="12" t="s">
        <v>1092</v>
      </c>
      <c r="H423" s="12" t="s">
        <v>5158</v>
      </c>
      <c r="I423" s="12" t="s">
        <v>3059</v>
      </c>
      <c r="J423" s="12" t="s">
        <v>3092</v>
      </c>
      <c r="K423" s="12" t="s">
        <v>3624</v>
      </c>
      <c r="L423" s="13">
        <v>3</v>
      </c>
    </row>
    <row r="424" spans="1:12" hidden="1" x14ac:dyDescent="0.55000000000000004">
      <c r="A424" s="12" t="s">
        <v>2892</v>
      </c>
      <c r="B424" s="12" t="s">
        <v>4374</v>
      </c>
      <c r="C424" s="12" t="s">
        <v>5161</v>
      </c>
      <c r="D424" s="12" t="s">
        <v>4752</v>
      </c>
      <c r="E424" s="12" t="s">
        <v>1835</v>
      </c>
      <c r="F424" s="12" t="s">
        <v>1836</v>
      </c>
      <c r="G424" s="12" t="s">
        <v>1837</v>
      </c>
      <c r="H424" s="12" t="s">
        <v>4400</v>
      </c>
      <c r="I424" s="12" t="s">
        <v>3059</v>
      </c>
      <c r="J424" s="12" t="s">
        <v>3094</v>
      </c>
      <c r="K424" s="12" t="s">
        <v>3894</v>
      </c>
      <c r="L424" s="13">
        <v>5</v>
      </c>
    </row>
    <row r="425" spans="1:12" hidden="1" x14ac:dyDescent="0.55000000000000004">
      <c r="A425" s="12" t="s">
        <v>2892</v>
      </c>
      <c r="B425" s="12" t="s">
        <v>4374</v>
      </c>
      <c r="C425" s="12" t="s">
        <v>5161</v>
      </c>
      <c r="D425" s="12" t="s">
        <v>4752</v>
      </c>
      <c r="E425" s="12" t="s">
        <v>1838</v>
      </c>
      <c r="F425" s="12" t="s">
        <v>1839</v>
      </c>
      <c r="G425" s="12" t="s">
        <v>1840</v>
      </c>
      <c r="H425" s="12" t="s">
        <v>4400</v>
      </c>
      <c r="I425" s="12" t="s">
        <v>3059</v>
      </c>
      <c r="J425" s="12" t="s">
        <v>3094</v>
      </c>
      <c r="K425" s="12" t="s">
        <v>3895</v>
      </c>
      <c r="L425" s="13">
        <v>3</v>
      </c>
    </row>
    <row r="426" spans="1:12" hidden="1" x14ac:dyDescent="0.55000000000000004">
      <c r="A426" s="12" t="s">
        <v>2892</v>
      </c>
      <c r="B426" s="12" t="s">
        <v>4374</v>
      </c>
      <c r="C426" s="12" t="s">
        <v>5161</v>
      </c>
      <c r="D426" s="12" t="s">
        <v>4752</v>
      </c>
      <c r="E426" s="12" t="s">
        <v>1841</v>
      </c>
      <c r="F426" s="12" t="s">
        <v>1842</v>
      </c>
      <c r="G426" s="12" t="s">
        <v>1843</v>
      </c>
      <c r="H426" s="12" t="s">
        <v>4400</v>
      </c>
      <c r="I426" s="12" t="s">
        <v>3059</v>
      </c>
      <c r="J426" s="12" t="s">
        <v>3094</v>
      </c>
      <c r="K426" s="12" t="s">
        <v>3896</v>
      </c>
      <c r="L426" s="13">
        <v>5</v>
      </c>
    </row>
    <row r="427" spans="1:12" hidden="1" x14ac:dyDescent="0.55000000000000004">
      <c r="A427" s="12" t="s">
        <v>2892</v>
      </c>
      <c r="B427" s="12" t="s">
        <v>4374</v>
      </c>
      <c r="C427" s="12" t="s">
        <v>5161</v>
      </c>
      <c r="D427" s="12" t="s">
        <v>4752</v>
      </c>
      <c r="E427" s="12" t="s">
        <v>1844</v>
      </c>
      <c r="F427" s="12" t="s">
        <v>1845</v>
      </c>
      <c r="G427" s="12" t="s">
        <v>1846</v>
      </c>
      <c r="H427" s="12" t="s">
        <v>4400</v>
      </c>
      <c r="I427" s="12" t="s">
        <v>3059</v>
      </c>
      <c r="J427" s="12" t="s">
        <v>3094</v>
      </c>
      <c r="K427" s="12" t="s">
        <v>3897</v>
      </c>
      <c r="L427" s="13">
        <v>5</v>
      </c>
    </row>
    <row r="428" spans="1:12" hidden="1" x14ac:dyDescent="0.55000000000000004">
      <c r="A428" s="12" t="s">
        <v>2892</v>
      </c>
      <c r="B428" s="12" t="s">
        <v>4374</v>
      </c>
      <c r="C428" s="12" t="s">
        <v>5161</v>
      </c>
      <c r="D428" s="12" t="s">
        <v>4752</v>
      </c>
      <c r="E428" s="12" t="s">
        <v>1850</v>
      </c>
      <c r="F428" s="12" t="s">
        <v>1851</v>
      </c>
      <c r="G428" s="12" t="s">
        <v>1852</v>
      </c>
      <c r="H428" s="12" t="s">
        <v>4400</v>
      </c>
      <c r="I428" s="12" t="s">
        <v>3059</v>
      </c>
      <c r="J428" s="12" t="s">
        <v>3094</v>
      </c>
      <c r="K428" s="12" t="s">
        <v>3899</v>
      </c>
      <c r="L428" s="13">
        <v>5</v>
      </c>
    </row>
    <row r="429" spans="1:12" hidden="1" x14ac:dyDescent="0.55000000000000004">
      <c r="A429" s="12" t="s">
        <v>2892</v>
      </c>
      <c r="B429" s="12" t="s">
        <v>4374</v>
      </c>
      <c r="C429" s="12" t="s">
        <v>5161</v>
      </c>
      <c r="D429" s="12" t="s">
        <v>4752</v>
      </c>
      <c r="E429" s="12" t="s">
        <v>1853</v>
      </c>
      <c r="F429" s="12" t="s">
        <v>1854</v>
      </c>
      <c r="G429" s="12" t="s">
        <v>1855</v>
      </c>
      <c r="H429" s="12" t="s">
        <v>4400</v>
      </c>
      <c r="I429" s="12" t="s">
        <v>3059</v>
      </c>
      <c r="J429" s="12" t="s">
        <v>3094</v>
      </c>
      <c r="K429" s="12" t="s">
        <v>3900</v>
      </c>
      <c r="L429" s="13">
        <v>5</v>
      </c>
    </row>
    <row r="430" spans="1:12" hidden="1" x14ac:dyDescent="0.55000000000000004">
      <c r="A430" s="12" t="s">
        <v>2892</v>
      </c>
      <c r="B430" s="12" t="s">
        <v>4374</v>
      </c>
      <c r="C430" s="12" t="s">
        <v>5161</v>
      </c>
      <c r="D430" s="12" t="s">
        <v>4752</v>
      </c>
      <c r="E430" s="12" t="s">
        <v>1856</v>
      </c>
      <c r="F430" s="12" t="s">
        <v>1857</v>
      </c>
      <c r="G430" s="12" t="s">
        <v>1858</v>
      </c>
      <c r="H430" s="12" t="s">
        <v>4400</v>
      </c>
      <c r="I430" s="12" t="s">
        <v>3059</v>
      </c>
      <c r="J430" s="12" t="s">
        <v>3094</v>
      </c>
      <c r="K430" s="12" t="s">
        <v>3901</v>
      </c>
      <c r="L430" s="13">
        <v>4</v>
      </c>
    </row>
    <row r="431" spans="1:12" hidden="1" x14ac:dyDescent="0.55000000000000004">
      <c r="A431" s="12" t="s">
        <v>2892</v>
      </c>
      <c r="B431" s="12" t="s">
        <v>4374</v>
      </c>
      <c r="C431" s="12" t="s">
        <v>5161</v>
      </c>
      <c r="D431" s="12" t="s">
        <v>4752</v>
      </c>
      <c r="E431" s="12" t="s">
        <v>1859</v>
      </c>
      <c r="F431" s="12" t="s">
        <v>1860</v>
      </c>
      <c r="G431" s="12" t="s">
        <v>1861</v>
      </c>
      <c r="H431" s="12" t="s">
        <v>4400</v>
      </c>
      <c r="I431" s="12" t="s">
        <v>3059</v>
      </c>
      <c r="J431" s="12" t="s">
        <v>3094</v>
      </c>
      <c r="K431" s="12" t="s">
        <v>3902</v>
      </c>
      <c r="L431" s="13">
        <v>5</v>
      </c>
    </row>
    <row r="432" spans="1:12" hidden="1" x14ac:dyDescent="0.55000000000000004">
      <c r="A432" s="12" t="s">
        <v>2956</v>
      </c>
      <c r="B432" s="12" t="s">
        <v>4442</v>
      </c>
      <c r="C432" s="12" t="s">
        <v>658</v>
      </c>
      <c r="D432" s="12" t="s">
        <v>4752</v>
      </c>
      <c r="E432" s="12" t="s">
        <v>662</v>
      </c>
      <c r="F432" s="12" t="s">
        <v>663</v>
      </c>
      <c r="G432" s="12" t="s">
        <v>664</v>
      </c>
      <c r="H432" s="12" t="s">
        <v>5162</v>
      </c>
      <c r="I432" s="12" t="s">
        <v>3059</v>
      </c>
      <c r="J432" s="12" t="s">
        <v>3084</v>
      </c>
      <c r="K432" s="12" t="s">
        <v>3473</v>
      </c>
      <c r="L432" s="13">
        <v>6</v>
      </c>
    </row>
    <row r="433" spans="1:12" hidden="1" x14ac:dyDescent="0.55000000000000004">
      <c r="A433" s="12" t="s">
        <v>2956</v>
      </c>
      <c r="B433" s="12" t="s">
        <v>4442</v>
      </c>
      <c r="C433" s="12" t="s">
        <v>658</v>
      </c>
      <c r="D433" s="12" t="s">
        <v>4752</v>
      </c>
      <c r="E433" s="12" t="s">
        <v>668</v>
      </c>
      <c r="F433" s="12" t="s">
        <v>669</v>
      </c>
      <c r="G433" s="12" t="s">
        <v>670</v>
      </c>
      <c r="H433" s="12" t="s">
        <v>5162</v>
      </c>
      <c r="I433" s="12" t="s">
        <v>3059</v>
      </c>
      <c r="J433" s="12" t="s">
        <v>3084</v>
      </c>
      <c r="K433" s="12" t="s">
        <v>3475</v>
      </c>
      <c r="L433" s="13">
        <v>6</v>
      </c>
    </row>
    <row r="434" spans="1:12" hidden="1" x14ac:dyDescent="0.55000000000000004">
      <c r="A434" s="12" t="s">
        <v>2956</v>
      </c>
      <c r="B434" s="12" t="s">
        <v>4442</v>
      </c>
      <c r="C434" s="12" t="s">
        <v>658</v>
      </c>
      <c r="D434" s="12" t="s">
        <v>4752</v>
      </c>
      <c r="E434" s="12" t="s">
        <v>671</v>
      </c>
      <c r="F434" s="12" t="s">
        <v>672</v>
      </c>
      <c r="G434" s="12" t="s">
        <v>673</v>
      </c>
      <c r="H434" s="12" t="s">
        <v>5162</v>
      </c>
      <c r="I434" s="12" t="s">
        <v>3059</v>
      </c>
      <c r="J434" s="12" t="s">
        <v>3084</v>
      </c>
      <c r="K434" s="12" t="s">
        <v>3476</v>
      </c>
      <c r="L434" s="13">
        <v>6</v>
      </c>
    </row>
    <row r="435" spans="1:12" hidden="1" x14ac:dyDescent="0.55000000000000004">
      <c r="A435" s="12" t="s">
        <v>2956</v>
      </c>
      <c r="B435" s="12" t="s">
        <v>4442</v>
      </c>
      <c r="C435" s="12" t="s">
        <v>658</v>
      </c>
      <c r="D435" s="12" t="s">
        <v>4752</v>
      </c>
      <c r="E435" s="12" t="s">
        <v>674</v>
      </c>
      <c r="F435" s="12" t="s">
        <v>169</v>
      </c>
      <c r="G435" s="12" t="s">
        <v>675</v>
      </c>
      <c r="H435" s="12" t="s">
        <v>5162</v>
      </c>
      <c r="I435" s="12" t="s">
        <v>3075</v>
      </c>
      <c r="J435" s="12" t="s">
        <v>3084</v>
      </c>
      <c r="K435" s="12" t="s">
        <v>4651</v>
      </c>
      <c r="L435" s="13" t="s">
        <v>3075</v>
      </c>
    </row>
    <row r="436" spans="1:12" hidden="1" x14ac:dyDescent="0.55000000000000004">
      <c r="A436" s="12" t="s">
        <v>2998</v>
      </c>
      <c r="B436" s="12" t="s">
        <v>4486</v>
      </c>
      <c r="C436" s="12" t="s">
        <v>5163</v>
      </c>
      <c r="D436" s="12" t="s">
        <v>4752</v>
      </c>
      <c r="E436" s="12" t="s">
        <v>1798</v>
      </c>
      <c r="F436" s="12" t="s">
        <v>1799</v>
      </c>
      <c r="G436" s="12" t="s">
        <v>1800</v>
      </c>
      <c r="H436" s="12" t="s">
        <v>5164</v>
      </c>
      <c r="I436" s="12" t="s">
        <v>3075</v>
      </c>
      <c r="J436" s="12" t="s">
        <v>545</v>
      </c>
      <c r="K436" s="12" t="s">
        <v>3880</v>
      </c>
      <c r="L436" s="13" t="s">
        <v>3075</v>
      </c>
    </row>
    <row r="437" spans="1:12" hidden="1" x14ac:dyDescent="0.55000000000000004">
      <c r="A437" s="12" t="s">
        <v>2998</v>
      </c>
      <c r="B437" s="12" t="s">
        <v>4486</v>
      </c>
      <c r="C437" s="12" t="s">
        <v>5163</v>
      </c>
      <c r="D437" s="12" t="s">
        <v>4752</v>
      </c>
      <c r="E437" s="12" t="s">
        <v>1801</v>
      </c>
      <c r="F437" s="12" t="s">
        <v>1541</v>
      </c>
      <c r="G437" s="12" t="s">
        <v>1802</v>
      </c>
      <c r="H437" s="12" t="s">
        <v>5164</v>
      </c>
      <c r="I437" s="12" t="s">
        <v>3075</v>
      </c>
      <c r="J437" s="12" t="s">
        <v>545</v>
      </c>
      <c r="K437" s="12" t="s">
        <v>3881</v>
      </c>
      <c r="L437" s="13" t="s">
        <v>3075</v>
      </c>
    </row>
    <row r="438" spans="1:12" hidden="1" x14ac:dyDescent="0.55000000000000004">
      <c r="A438" s="12" t="s">
        <v>2998</v>
      </c>
      <c r="B438" s="12" t="s">
        <v>4486</v>
      </c>
      <c r="C438" s="12" t="s">
        <v>5163</v>
      </c>
      <c r="D438" s="12" t="s">
        <v>4752</v>
      </c>
      <c r="E438" s="12" t="s">
        <v>1803</v>
      </c>
      <c r="F438" s="12" t="s">
        <v>1804</v>
      </c>
      <c r="G438" s="12" t="s">
        <v>1805</v>
      </c>
      <c r="H438" s="12" t="s">
        <v>5164</v>
      </c>
      <c r="I438" s="12" t="s">
        <v>3075</v>
      </c>
      <c r="J438" s="12" t="s">
        <v>545</v>
      </c>
      <c r="K438" s="12" t="s">
        <v>3882</v>
      </c>
      <c r="L438" s="13" t="s">
        <v>3075</v>
      </c>
    </row>
    <row r="439" spans="1:12" hidden="1" x14ac:dyDescent="0.55000000000000004">
      <c r="A439" s="12" t="s">
        <v>2998</v>
      </c>
      <c r="B439" s="12" t="s">
        <v>4486</v>
      </c>
      <c r="C439" s="12" t="s">
        <v>5163</v>
      </c>
      <c r="D439" s="12" t="s">
        <v>4752</v>
      </c>
      <c r="E439" s="12" t="s">
        <v>4700</v>
      </c>
      <c r="F439" s="12" t="s">
        <v>691</v>
      </c>
      <c r="G439" s="12" t="s">
        <v>4701</v>
      </c>
      <c r="H439" s="12" t="s">
        <v>5164</v>
      </c>
      <c r="I439" s="12" t="s">
        <v>3059</v>
      </c>
      <c r="J439" s="12" t="s">
        <v>545</v>
      </c>
      <c r="K439" s="12" t="s">
        <v>4702</v>
      </c>
      <c r="L439" s="13">
        <v>7</v>
      </c>
    </row>
    <row r="440" spans="1:12" hidden="1" x14ac:dyDescent="0.55000000000000004">
      <c r="A440" s="12" t="s">
        <v>2998</v>
      </c>
      <c r="B440" s="12" t="s">
        <v>4486</v>
      </c>
      <c r="C440" s="12" t="s">
        <v>5163</v>
      </c>
      <c r="D440" s="12" t="s">
        <v>4752</v>
      </c>
      <c r="E440" s="12" t="s">
        <v>4703</v>
      </c>
      <c r="F440" s="12" t="s">
        <v>4704</v>
      </c>
      <c r="G440" s="12" t="s">
        <v>1004</v>
      </c>
      <c r="H440" s="12" t="s">
        <v>5164</v>
      </c>
      <c r="I440" s="12" t="s">
        <v>3059</v>
      </c>
      <c r="J440" s="12" t="s">
        <v>545</v>
      </c>
      <c r="K440" s="12" t="s">
        <v>4705</v>
      </c>
      <c r="L440" s="13">
        <v>7</v>
      </c>
    </row>
    <row r="441" spans="1:12" hidden="1" x14ac:dyDescent="0.55000000000000004">
      <c r="A441" s="12" t="s">
        <v>2917</v>
      </c>
      <c r="B441" s="12" t="s">
        <v>4422</v>
      </c>
      <c r="C441" s="12" t="s">
        <v>5165</v>
      </c>
      <c r="D441" s="12" t="s">
        <v>4752</v>
      </c>
      <c r="E441" s="12" t="s">
        <v>1379</v>
      </c>
      <c r="F441" s="12" t="s">
        <v>1380</v>
      </c>
      <c r="G441" s="12" t="s">
        <v>1381</v>
      </c>
      <c r="H441" s="12" t="s">
        <v>4434</v>
      </c>
      <c r="I441" s="12" t="s">
        <v>3059</v>
      </c>
      <c r="J441" s="12" t="s">
        <v>341</v>
      </c>
      <c r="K441" s="12" t="s">
        <v>3723</v>
      </c>
      <c r="L441" s="13">
        <v>6</v>
      </c>
    </row>
    <row r="442" spans="1:12" hidden="1" x14ac:dyDescent="0.55000000000000004">
      <c r="A442" s="12" t="s">
        <v>2917</v>
      </c>
      <c r="B442" s="12" t="s">
        <v>4422</v>
      </c>
      <c r="C442" s="12" t="s">
        <v>5165</v>
      </c>
      <c r="D442" s="12" t="s">
        <v>4752</v>
      </c>
      <c r="E442" s="12" t="s">
        <v>1382</v>
      </c>
      <c r="F442" s="12" t="s">
        <v>147</v>
      </c>
      <c r="G442" s="12" t="s">
        <v>1383</v>
      </c>
      <c r="H442" s="12" t="s">
        <v>4434</v>
      </c>
      <c r="I442" s="12" t="s">
        <v>3075</v>
      </c>
      <c r="J442" s="12" t="s">
        <v>341</v>
      </c>
      <c r="K442" s="12" t="s">
        <v>3724</v>
      </c>
      <c r="L442" s="13" t="s">
        <v>3075</v>
      </c>
    </row>
    <row r="443" spans="1:12" hidden="1" x14ac:dyDescent="0.55000000000000004">
      <c r="A443" s="12" t="s">
        <v>2917</v>
      </c>
      <c r="B443" s="12" t="s">
        <v>4422</v>
      </c>
      <c r="C443" s="12" t="s">
        <v>5165</v>
      </c>
      <c r="D443" s="12" t="s">
        <v>4752</v>
      </c>
      <c r="E443" s="12" t="s">
        <v>1388</v>
      </c>
      <c r="F443" s="12" t="s">
        <v>67</v>
      </c>
      <c r="G443" s="12" t="s">
        <v>1389</v>
      </c>
      <c r="H443" s="12" t="s">
        <v>4434</v>
      </c>
      <c r="I443" s="12" t="s">
        <v>3059</v>
      </c>
      <c r="J443" s="12" t="s">
        <v>341</v>
      </c>
      <c r="K443" s="12" t="s">
        <v>3726</v>
      </c>
      <c r="L443" s="13">
        <v>5</v>
      </c>
    </row>
    <row r="444" spans="1:12" hidden="1" x14ac:dyDescent="0.55000000000000004">
      <c r="A444" s="12" t="s">
        <v>2917</v>
      </c>
      <c r="B444" s="12" t="s">
        <v>4422</v>
      </c>
      <c r="C444" s="12" t="s">
        <v>5165</v>
      </c>
      <c r="D444" s="12" t="s">
        <v>4752</v>
      </c>
      <c r="E444" s="12" t="s">
        <v>5774</v>
      </c>
      <c r="F444" s="12" t="s">
        <v>169</v>
      </c>
      <c r="G444" s="12" t="s">
        <v>5775</v>
      </c>
      <c r="H444" s="12" t="s">
        <v>4434</v>
      </c>
      <c r="I444" s="12" t="s">
        <v>3075</v>
      </c>
      <c r="J444" s="12" t="s">
        <v>341</v>
      </c>
      <c r="K444" s="12" t="s">
        <v>5776</v>
      </c>
      <c r="L444" s="13" t="s">
        <v>3075</v>
      </c>
    </row>
    <row r="445" spans="1:12" hidden="1" x14ac:dyDescent="0.55000000000000004">
      <c r="A445" s="12" t="s">
        <v>2917</v>
      </c>
      <c r="B445" s="12" t="s">
        <v>4422</v>
      </c>
      <c r="C445" s="12" t="s">
        <v>5165</v>
      </c>
      <c r="D445" s="12" t="s">
        <v>4752</v>
      </c>
      <c r="E445" s="12" t="s">
        <v>5777</v>
      </c>
      <c r="F445" s="12" t="s">
        <v>828</v>
      </c>
      <c r="G445" s="12" t="s">
        <v>1387</v>
      </c>
      <c r="H445" s="12" t="s">
        <v>4434</v>
      </c>
      <c r="I445" s="12" t="s">
        <v>3059</v>
      </c>
      <c r="J445" s="12" t="s">
        <v>341</v>
      </c>
      <c r="K445" s="12" t="s">
        <v>5778</v>
      </c>
      <c r="L445" s="13">
        <v>4</v>
      </c>
    </row>
    <row r="446" spans="1:12" hidden="1" x14ac:dyDescent="0.55000000000000004">
      <c r="A446" s="12" t="s">
        <v>2917</v>
      </c>
      <c r="B446" s="12" t="s">
        <v>4422</v>
      </c>
      <c r="C446" s="12" t="s">
        <v>5165</v>
      </c>
      <c r="D446" s="12" t="s">
        <v>4752</v>
      </c>
      <c r="E446" s="12" t="s">
        <v>5779</v>
      </c>
      <c r="F446" s="12" t="s">
        <v>5780</v>
      </c>
      <c r="G446" s="12" t="s">
        <v>389</v>
      </c>
      <c r="H446" s="12" t="s">
        <v>4434</v>
      </c>
      <c r="I446" s="12" t="s">
        <v>3075</v>
      </c>
      <c r="J446" s="12" t="s">
        <v>341</v>
      </c>
      <c r="K446" s="12" t="s">
        <v>5781</v>
      </c>
      <c r="L446" s="13" t="s">
        <v>3075</v>
      </c>
    </row>
    <row r="447" spans="1:12" hidden="1" x14ac:dyDescent="0.55000000000000004">
      <c r="A447" s="12" t="s">
        <v>2828</v>
      </c>
      <c r="B447" s="12" t="s">
        <v>4298</v>
      </c>
      <c r="C447" s="12" t="s">
        <v>5166</v>
      </c>
      <c r="D447" s="12" t="s">
        <v>4752</v>
      </c>
      <c r="E447" s="12" t="s">
        <v>750</v>
      </c>
      <c r="F447" s="12" t="s">
        <v>751</v>
      </c>
      <c r="G447" s="12" t="s">
        <v>752</v>
      </c>
      <c r="H447" s="12" t="s">
        <v>4323</v>
      </c>
      <c r="I447" s="12" t="s">
        <v>3059</v>
      </c>
      <c r="J447" s="12" t="s">
        <v>3088</v>
      </c>
      <c r="K447" s="12" t="s">
        <v>3502</v>
      </c>
      <c r="L447" s="13">
        <v>9</v>
      </c>
    </row>
    <row r="448" spans="1:12" hidden="1" x14ac:dyDescent="0.55000000000000004">
      <c r="A448" s="12" t="s">
        <v>2828</v>
      </c>
      <c r="B448" s="12" t="s">
        <v>4298</v>
      </c>
      <c r="C448" s="12" t="s">
        <v>5166</v>
      </c>
      <c r="D448" s="12" t="s">
        <v>4752</v>
      </c>
      <c r="E448" s="12" t="s">
        <v>753</v>
      </c>
      <c r="F448" s="12" t="s">
        <v>507</v>
      </c>
      <c r="G448" s="12" t="s">
        <v>754</v>
      </c>
      <c r="H448" s="12" t="s">
        <v>4323</v>
      </c>
      <c r="I448" s="12" t="s">
        <v>3075</v>
      </c>
      <c r="J448" s="12" t="s">
        <v>3088</v>
      </c>
      <c r="K448" s="12" t="s">
        <v>3503</v>
      </c>
      <c r="L448" s="13" t="s">
        <v>3075</v>
      </c>
    </row>
    <row r="449" spans="1:12" hidden="1" x14ac:dyDescent="0.55000000000000004">
      <c r="A449" s="12" t="s">
        <v>2828</v>
      </c>
      <c r="B449" s="12" t="s">
        <v>4298</v>
      </c>
      <c r="C449" s="12" t="s">
        <v>5166</v>
      </c>
      <c r="D449" s="12" t="s">
        <v>4752</v>
      </c>
      <c r="E449" s="12" t="s">
        <v>755</v>
      </c>
      <c r="F449" s="12" t="s">
        <v>756</v>
      </c>
      <c r="G449" s="12" t="s">
        <v>757</v>
      </c>
      <c r="H449" s="12" t="s">
        <v>4323</v>
      </c>
      <c r="I449" s="12" t="s">
        <v>3059</v>
      </c>
      <c r="J449" s="12" t="s">
        <v>3088</v>
      </c>
      <c r="K449" s="12" t="s">
        <v>3504</v>
      </c>
      <c r="L449" s="13">
        <v>9</v>
      </c>
    </row>
    <row r="450" spans="1:12" hidden="1" x14ac:dyDescent="0.55000000000000004">
      <c r="A450" s="12" t="s">
        <v>2828</v>
      </c>
      <c r="B450" s="12" t="s">
        <v>4298</v>
      </c>
      <c r="C450" s="12" t="s">
        <v>5166</v>
      </c>
      <c r="D450" s="12" t="s">
        <v>4752</v>
      </c>
      <c r="E450" s="12" t="s">
        <v>758</v>
      </c>
      <c r="F450" s="12" t="s">
        <v>759</v>
      </c>
      <c r="G450" s="12" t="s">
        <v>760</v>
      </c>
      <c r="H450" s="12" t="s">
        <v>4323</v>
      </c>
      <c r="I450" s="12" t="s">
        <v>3059</v>
      </c>
      <c r="J450" s="12" t="s">
        <v>3088</v>
      </c>
      <c r="K450" s="12" t="s">
        <v>3505</v>
      </c>
      <c r="L450" s="13">
        <v>9</v>
      </c>
    </row>
    <row r="451" spans="1:12" hidden="1" x14ac:dyDescent="0.55000000000000004">
      <c r="A451" s="12" t="s">
        <v>2940</v>
      </c>
      <c r="B451" s="12" t="s">
        <v>4442</v>
      </c>
      <c r="C451" s="12" t="s">
        <v>5137</v>
      </c>
      <c r="D451" s="12" t="s">
        <v>4752</v>
      </c>
      <c r="E451" s="12" t="s">
        <v>135</v>
      </c>
      <c r="F451" s="12" t="s">
        <v>136</v>
      </c>
      <c r="G451" s="12" t="s">
        <v>137</v>
      </c>
      <c r="H451" s="12" t="s">
        <v>4458</v>
      </c>
      <c r="I451" s="12" t="s">
        <v>3075</v>
      </c>
      <c r="J451" s="12" t="s">
        <v>1991</v>
      </c>
      <c r="K451" s="12" t="s">
        <v>3292</v>
      </c>
      <c r="L451" s="13" t="s">
        <v>3075</v>
      </c>
    </row>
    <row r="452" spans="1:12" hidden="1" x14ac:dyDescent="0.55000000000000004">
      <c r="A452" s="12" t="s">
        <v>2940</v>
      </c>
      <c r="B452" s="12" t="s">
        <v>4442</v>
      </c>
      <c r="C452" s="12" t="s">
        <v>5137</v>
      </c>
      <c r="D452" s="12" t="s">
        <v>4752</v>
      </c>
      <c r="E452" s="12" t="s">
        <v>335</v>
      </c>
      <c r="F452" s="12" t="s">
        <v>250</v>
      </c>
      <c r="G452" s="12" t="s">
        <v>336</v>
      </c>
      <c r="H452" s="12" t="s">
        <v>4458</v>
      </c>
      <c r="I452" s="12" t="s">
        <v>3075</v>
      </c>
      <c r="J452" s="12" t="s">
        <v>1991</v>
      </c>
      <c r="K452" s="12" t="s">
        <v>3358</v>
      </c>
      <c r="L452" s="13" t="s">
        <v>3075</v>
      </c>
    </row>
    <row r="453" spans="1:12" hidden="1" x14ac:dyDescent="0.55000000000000004">
      <c r="A453" s="12" t="s">
        <v>2940</v>
      </c>
      <c r="B453" s="12" t="s">
        <v>4442</v>
      </c>
      <c r="C453" s="12" t="s">
        <v>5137</v>
      </c>
      <c r="D453" s="12" t="s">
        <v>4752</v>
      </c>
      <c r="E453" s="12" t="s">
        <v>363</v>
      </c>
      <c r="F453" s="12" t="s">
        <v>364</v>
      </c>
      <c r="G453" s="12" t="s">
        <v>365</v>
      </c>
      <c r="H453" s="12" t="s">
        <v>4458</v>
      </c>
      <c r="I453" s="12" t="s">
        <v>3075</v>
      </c>
      <c r="J453" s="12" t="s">
        <v>1991</v>
      </c>
      <c r="K453" s="12" t="s">
        <v>3368</v>
      </c>
      <c r="L453" s="13" t="s">
        <v>3075</v>
      </c>
    </row>
    <row r="454" spans="1:12" hidden="1" x14ac:dyDescent="0.55000000000000004">
      <c r="A454" s="12" t="s">
        <v>2940</v>
      </c>
      <c r="B454" s="12" t="s">
        <v>4442</v>
      </c>
      <c r="C454" s="12" t="s">
        <v>5137</v>
      </c>
      <c r="D454" s="12" t="s">
        <v>4752</v>
      </c>
      <c r="E454" s="12" t="s">
        <v>5782</v>
      </c>
      <c r="F454" s="12" t="s">
        <v>5783</v>
      </c>
      <c r="G454" s="12" t="s">
        <v>5784</v>
      </c>
      <c r="H454" s="12" t="s">
        <v>4458</v>
      </c>
      <c r="I454" s="12" t="s">
        <v>3075</v>
      </c>
      <c r="J454" s="12" t="s">
        <v>1991</v>
      </c>
      <c r="K454" s="12" t="s">
        <v>5785</v>
      </c>
      <c r="L454" s="13" t="s">
        <v>3075</v>
      </c>
    </row>
    <row r="455" spans="1:12" hidden="1" x14ac:dyDescent="0.55000000000000004">
      <c r="A455" s="12" t="s">
        <v>2940</v>
      </c>
      <c r="B455" s="12" t="s">
        <v>4442</v>
      </c>
      <c r="C455" s="12" t="s">
        <v>5137</v>
      </c>
      <c r="D455" s="12" t="s">
        <v>4752</v>
      </c>
      <c r="E455" s="12" t="s">
        <v>5786</v>
      </c>
      <c r="F455" s="12" t="s">
        <v>5787</v>
      </c>
      <c r="G455" s="12" t="s">
        <v>5788</v>
      </c>
      <c r="H455" s="12" t="s">
        <v>4458</v>
      </c>
      <c r="I455" s="12" t="s">
        <v>3075</v>
      </c>
      <c r="J455" s="12" t="s">
        <v>1991</v>
      </c>
      <c r="K455" s="12" t="s">
        <v>5789</v>
      </c>
      <c r="L455" s="13" t="s">
        <v>3075</v>
      </c>
    </row>
    <row r="456" spans="1:12" hidden="1" x14ac:dyDescent="0.55000000000000004">
      <c r="A456" s="12" t="s">
        <v>2940</v>
      </c>
      <c r="B456" s="12" t="s">
        <v>4442</v>
      </c>
      <c r="C456" s="12" t="s">
        <v>5137</v>
      </c>
      <c r="D456" s="12" t="s">
        <v>4752</v>
      </c>
      <c r="E456" s="12" t="s">
        <v>5790</v>
      </c>
      <c r="F456" s="12" t="s">
        <v>5791</v>
      </c>
      <c r="G456" s="12" t="s">
        <v>5792</v>
      </c>
      <c r="H456" s="12" t="s">
        <v>4458</v>
      </c>
      <c r="I456" s="12" t="s">
        <v>3075</v>
      </c>
      <c r="J456" s="12" t="s">
        <v>1991</v>
      </c>
      <c r="K456" s="12" t="s">
        <v>5793</v>
      </c>
      <c r="L456" s="13" t="s">
        <v>3075</v>
      </c>
    </row>
    <row r="457" spans="1:12" hidden="1" x14ac:dyDescent="0.55000000000000004">
      <c r="A457" s="12" t="s">
        <v>2940</v>
      </c>
      <c r="B457" s="12" t="s">
        <v>4442</v>
      </c>
      <c r="C457" s="12" t="s">
        <v>5137</v>
      </c>
      <c r="D457" s="12" t="s">
        <v>4752</v>
      </c>
      <c r="E457" s="12" t="s">
        <v>5794</v>
      </c>
      <c r="F457" s="12" t="s">
        <v>5795</v>
      </c>
      <c r="G457" s="12" t="s">
        <v>5796</v>
      </c>
      <c r="H457" s="12" t="s">
        <v>4458</v>
      </c>
      <c r="I457" s="12" t="s">
        <v>3075</v>
      </c>
      <c r="J457" s="12" t="s">
        <v>1991</v>
      </c>
      <c r="K457" s="12" t="s">
        <v>5797</v>
      </c>
      <c r="L457" s="13" t="s">
        <v>3075</v>
      </c>
    </row>
    <row r="458" spans="1:12" hidden="1" x14ac:dyDescent="0.55000000000000004">
      <c r="A458" s="12" t="s">
        <v>2940</v>
      </c>
      <c r="B458" s="12" t="s">
        <v>4442</v>
      </c>
      <c r="C458" s="12" t="s">
        <v>5137</v>
      </c>
      <c r="D458" s="12" t="s">
        <v>4752</v>
      </c>
      <c r="E458" s="12" t="s">
        <v>5798</v>
      </c>
      <c r="F458" s="12" t="s">
        <v>169</v>
      </c>
      <c r="G458" s="12" t="s">
        <v>5799</v>
      </c>
      <c r="H458" s="12" t="s">
        <v>4458</v>
      </c>
      <c r="I458" s="12" t="s">
        <v>3075</v>
      </c>
      <c r="J458" s="12" t="s">
        <v>1991</v>
      </c>
      <c r="K458" s="12" t="s">
        <v>5800</v>
      </c>
      <c r="L458" s="13" t="s">
        <v>3075</v>
      </c>
    </row>
    <row r="459" spans="1:12" hidden="1" x14ac:dyDescent="0.55000000000000004">
      <c r="A459" s="12" t="s">
        <v>2940</v>
      </c>
      <c r="B459" s="12" t="s">
        <v>4442</v>
      </c>
      <c r="C459" s="12" t="s">
        <v>5137</v>
      </c>
      <c r="D459" s="12" t="s">
        <v>4752</v>
      </c>
      <c r="E459" s="12" t="s">
        <v>5801</v>
      </c>
      <c r="F459" s="12" t="s">
        <v>147</v>
      </c>
      <c r="G459" s="12" t="s">
        <v>5802</v>
      </c>
      <c r="H459" s="12" t="s">
        <v>4458</v>
      </c>
      <c r="I459" s="12" t="s">
        <v>3075</v>
      </c>
      <c r="J459" s="12" t="s">
        <v>1991</v>
      </c>
      <c r="K459" s="12" t="s">
        <v>5803</v>
      </c>
      <c r="L459" s="13" t="s">
        <v>3075</v>
      </c>
    </row>
    <row r="460" spans="1:12" hidden="1" x14ac:dyDescent="0.55000000000000004">
      <c r="A460" s="12" t="s">
        <v>2897</v>
      </c>
      <c r="B460" s="12" t="s">
        <v>4374</v>
      </c>
      <c r="C460" s="12" t="s">
        <v>5167</v>
      </c>
      <c r="D460" s="12" t="s">
        <v>4752</v>
      </c>
      <c r="E460" s="12" t="s">
        <v>1263</v>
      </c>
      <c r="F460" s="12" t="s">
        <v>519</v>
      </c>
      <c r="G460" s="12" t="s">
        <v>1259</v>
      </c>
      <c r="H460" s="12" t="s">
        <v>4407</v>
      </c>
      <c r="I460" s="12" t="s">
        <v>3059</v>
      </c>
      <c r="J460" s="12" t="s">
        <v>3096</v>
      </c>
      <c r="K460" s="12" t="s">
        <v>3684</v>
      </c>
      <c r="L460" s="13">
        <v>5</v>
      </c>
    </row>
    <row r="461" spans="1:12" hidden="1" x14ac:dyDescent="0.55000000000000004">
      <c r="A461" s="12" t="s">
        <v>2897</v>
      </c>
      <c r="B461" s="12" t="s">
        <v>4374</v>
      </c>
      <c r="C461" s="12" t="s">
        <v>5167</v>
      </c>
      <c r="D461" s="12" t="s">
        <v>4752</v>
      </c>
      <c r="E461" s="12" t="s">
        <v>1264</v>
      </c>
      <c r="F461" s="12" t="s">
        <v>1265</v>
      </c>
      <c r="G461" s="12" t="s">
        <v>1266</v>
      </c>
      <c r="H461" s="12" t="s">
        <v>4407</v>
      </c>
      <c r="I461" s="12" t="s">
        <v>3059</v>
      </c>
      <c r="J461" s="12" t="s">
        <v>3096</v>
      </c>
      <c r="K461" s="12" t="s">
        <v>3685</v>
      </c>
      <c r="L461" s="13">
        <v>5</v>
      </c>
    </row>
    <row r="462" spans="1:12" hidden="1" x14ac:dyDescent="0.55000000000000004">
      <c r="A462" s="12" t="s">
        <v>2897</v>
      </c>
      <c r="B462" s="12" t="s">
        <v>4374</v>
      </c>
      <c r="C462" s="12" t="s">
        <v>5167</v>
      </c>
      <c r="D462" s="12" t="s">
        <v>4752</v>
      </c>
      <c r="E462" s="12" t="s">
        <v>1273</v>
      </c>
      <c r="F462" s="12" t="s">
        <v>1274</v>
      </c>
      <c r="G462" s="12" t="s">
        <v>1275</v>
      </c>
      <c r="H462" s="12" t="s">
        <v>4407</v>
      </c>
      <c r="I462" s="12" t="s">
        <v>3059</v>
      </c>
      <c r="J462" s="12" t="s">
        <v>3096</v>
      </c>
      <c r="K462" s="12" t="s">
        <v>3688</v>
      </c>
      <c r="L462" s="13">
        <v>5</v>
      </c>
    </row>
    <row r="463" spans="1:12" hidden="1" x14ac:dyDescent="0.55000000000000004">
      <c r="A463" s="12" t="s">
        <v>2897</v>
      </c>
      <c r="B463" s="12" t="s">
        <v>4374</v>
      </c>
      <c r="C463" s="12" t="s">
        <v>5167</v>
      </c>
      <c r="D463" s="12" t="s">
        <v>4752</v>
      </c>
      <c r="E463" s="12" t="s">
        <v>1276</v>
      </c>
      <c r="F463" s="12" t="s">
        <v>1277</v>
      </c>
      <c r="G463" s="12" t="s">
        <v>1278</v>
      </c>
      <c r="H463" s="12" t="s">
        <v>4407</v>
      </c>
      <c r="I463" s="12" t="s">
        <v>3059</v>
      </c>
      <c r="J463" s="12" t="s">
        <v>3096</v>
      </c>
      <c r="K463" s="12" t="s">
        <v>3689</v>
      </c>
      <c r="L463" s="13">
        <v>5</v>
      </c>
    </row>
    <row r="464" spans="1:12" hidden="1" x14ac:dyDescent="0.55000000000000004">
      <c r="A464" s="12" t="s">
        <v>2897</v>
      </c>
      <c r="B464" s="12" t="s">
        <v>4374</v>
      </c>
      <c r="C464" s="12" t="s">
        <v>5167</v>
      </c>
      <c r="D464" s="12" t="s">
        <v>4752</v>
      </c>
      <c r="E464" s="12" t="s">
        <v>1279</v>
      </c>
      <c r="F464" s="12" t="s">
        <v>1280</v>
      </c>
      <c r="G464" s="12" t="s">
        <v>1281</v>
      </c>
      <c r="H464" s="12" t="s">
        <v>4407</v>
      </c>
      <c r="I464" s="12" t="s">
        <v>3059</v>
      </c>
      <c r="J464" s="12" t="s">
        <v>3096</v>
      </c>
      <c r="K464" s="12" t="s">
        <v>3690</v>
      </c>
      <c r="L464" s="13">
        <v>5</v>
      </c>
    </row>
    <row r="465" spans="1:12" hidden="1" x14ac:dyDescent="0.55000000000000004">
      <c r="A465" s="12" t="s">
        <v>2925</v>
      </c>
      <c r="B465" s="12" t="s">
        <v>4442</v>
      </c>
      <c r="C465" s="12" t="s">
        <v>5168</v>
      </c>
      <c r="D465" s="12" t="s">
        <v>4752</v>
      </c>
      <c r="E465" s="12" t="s">
        <v>1359</v>
      </c>
      <c r="F465" s="12" t="s">
        <v>1360</v>
      </c>
      <c r="G465" s="12" t="s">
        <v>1361</v>
      </c>
      <c r="H465" s="12" t="s">
        <v>4445</v>
      </c>
      <c r="I465" s="12" t="s">
        <v>3059</v>
      </c>
      <c r="J465" s="12" t="s">
        <v>3085</v>
      </c>
      <c r="K465" s="12" t="s">
        <v>3715</v>
      </c>
      <c r="L465" s="13">
        <v>5</v>
      </c>
    </row>
    <row r="466" spans="1:12" hidden="1" x14ac:dyDescent="0.55000000000000004">
      <c r="A466" s="12" t="s">
        <v>2925</v>
      </c>
      <c r="B466" s="12" t="s">
        <v>4442</v>
      </c>
      <c r="C466" s="12" t="s">
        <v>5169</v>
      </c>
      <c r="D466" s="12" t="s">
        <v>4752</v>
      </c>
      <c r="E466" s="12" t="s">
        <v>1365</v>
      </c>
      <c r="F466" s="12" t="s">
        <v>1366</v>
      </c>
      <c r="G466" s="12" t="s">
        <v>1367</v>
      </c>
      <c r="H466" s="12" t="s">
        <v>4445</v>
      </c>
      <c r="I466" s="12" t="s">
        <v>3059</v>
      </c>
      <c r="J466" s="12" t="s">
        <v>3085</v>
      </c>
      <c r="K466" s="12" t="s">
        <v>3716</v>
      </c>
      <c r="L466" s="13">
        <v>5</v>
      </c>
    </row>
    <row r="467" spans="1:12" hidden="1" x14ac:dyDescent="0.55000000000000004">
      <c r="A467" s="12" t="s">
        <v>2925</v>
      </c>
      <c r="B467" s="12" t="s">
        <v>4442</v>
      </c>
      <c r="C467" s="12" t="s">
        <v>5169</v>
      </c>
      <c r="D467" s="12" t="s">
        <v>4752</v>
      </c>
      <c r="E467" s="12" t="s">
        <v>1368</v>
      </c>
      <c r="F467" s="12" t="s">
        <v>183</v>
      </c>
      <c r="G467" s="12" t="s">
        <v>266</v>
      </c>
      <c r="H467" s="12" t="s">
        <v>4445</v>
      </c>
      <c r="I467" s="12" t="s">
        <v>3059</v>
      </c>
      <c r="J467" s="12" t="s">
        <v>3085</v>
      </c>
      <c r="K467" s="12" t="s">
        <v>3717</v>
      </c>
      <c r="L467" s="13">
        <v>5</v>
      </c>
    </row>
    <row r="468" spans="1:12" hidden="1" x14ac:dyDescent="0.55000000000000004">
      <c r="A468" s="12" t="s">
        <v>2925</v>
      </c>
      <c r="B468" s="12" t="s">
        <v>4442</v>
      </c>
      <c r="C468" s="12" t="s">
        <v>5169</v>
      </c>
      <c r="D468" s="12" t="s">
        <v>4752</v>
      </c>
      <c r="E468" s="12" t="s">
        <v>1369</v>
      </c>
      <c r="F468" s="12" t="s">
        <v>1370</v>
      </c>
      <c r="G468" s="12" t="s">
        <v>1371</v>
      </c>
      <c r="H468" s="12" t="s">
        <v>4445</v>
      </c>
      <c r="I468" s="12" t="s">
        <v>3059</v>
      </c>
      <c r="J468" s="12" t="s">
        <v>3085</v>
      </c>
      <c r="K468" s="12" t="s">
        <v>3718</v>
      </c>
      <c r="L468" s="13">
        <v>5</v>
      </c>
    </row>
    <row r="469" spans="1:12" hidden="1" x14ac:dyDescent="0.55000000000000004">
      <c r="A469" s="12" t="s">
        <v>2925</v>
      </c>
      <c r="B469" s="12" t="s">
        <v>4442</v>
      </c>
      <c r="C469" s="12" t="s">
        <v>5169</v>
      </c>
      <c r="D469" s="12" t="s">
        <v>4752</v>
      </c>
      <c r="E469" s="12" t="s">
        <v>1372</v>
      </c>
      <c r="F469" s="12" t="s">
        <v>1355</v>
      </c>
      <c r="G469" s="12" t="s">
        <v>1356</v>
      </c>
      <c r="H469" s="12" t="s">
        <v>4445</v>
      </c>
      <c r="I469" s="12" t="s">
        <v>3059</v>
      </c>
      <c r="J469" s="12" t="s">
        <v>3085</v>
      </c>
      <c r="K469" s="12" t="s">
        <v>3719</v>
      </c>
      <c r="L469" s="13">
        <v>5</v>
      </c>
    </row>
    <row r="470" spans="1:12" hidden="1" x14ac:dyDescent="0.55000000000000004">
      <c r="A470" s="12" t="s">
        <v>2925</v>
      </c>
      <c r="B470" s="12" t="s">
        <v>4442</v>
      </c>
      <c r="C470" s="12" t="s">
        <v>5169</v>
      </c>
      <c r="D470" s="12" t="s">
        <v>4752</v>
      </c>
      <c r="E470" s="12" t="s">
        <v>1373</v>
      </c>
      <c r="F470" s="12" t="s">
        <v>1374</v>
      </c>
      <c r="G470" s="12" t="s">
        <v>1364</v>
      </c>
      <c r="H470" s="12" t="s">
        <v>4445</v>
      </c>
      <c r="I470" s="12" t="s">
        <v>3059</v>
      </c>
      <c r="J470" s="12" t="s">
        <v>3085</v>
      </c>
      <c r="K470" s="12" t="s">
        <v>3720</v>
      </c>
      <c r="L470" s="13">
        <v>5</v>
      </c>
    </row>
    <row r="471" spans="1:12" hidden="1" x14ac:dyDescent="0.55000000000000004">
      <c r="A471" s="12" t="s">
        <v>2925</v>
      </c>
      <c r="B471" s="12" t="s">
        <v>4442</v>
      </c>
      <c r="C471" s="12" t="s">
        <v>5169</v>
      </c>
      <c r="D471" s="12" t="s">
        <v>4752</v>
      </c>
      <c r="E471" s="12" t="s">
        <v>1375</v>
      </c>
      <c r="F471" s="12" t="s">
        <v>1376</v>
      </c>
      <c r="G471" s="12" t="s">
        <v>1357</v>
      </c>
      <c r="H471" s="12" t="s">
        <v>4445</v>
      </c>
      <c r="I471" s="12" t="s">
        <v>3059</v>
      </c>
      <c r="J471" s="12" t="s">
        <v>3085</v>
      </c>
      <c r="K471" s="12" t="s">
        <v>3721</v>
      </c>
      <c r="L471" s="13">
        <v>5</v>
      </c>
    </row>
    <row r="472" spans="1:12" hidden="1" x14ac:dyDescent="0.55000000000000004">
      <c r="A472" s="12" t="s">
        <v>2925</v>
      </c>
      <c r="B472" s="12" t="s">
        <v>4442</v>
      </c>
      <c r="C472" s="12" t="s">
        <v>5169</v>
      </c>
      <c r="D472" s="12" t="s">
        <v>4752</v>
      </c>
      <c r="E472" s="12" t="s">
        <v>1377</v>
      </c>
      <c r="F472" s="12" t="s">
        <v>1378</v>
      </c>
      <c r="G472" s="12" t="s">
        <v>1363</v>
      </c>
      <c r="H472" s="12" t="s">
        <v>4445</v>
      </c>
      <c r="I472" s="12" t="s">
        <v>3059</v>
      </c>
      <c r="J472" s="12" t="s">
        <v>3085</v>
      </c>
      <c r="K472" s="12" t="s">
        <v>3722</v>
      </c>
      <c r="L472" s="13">
        <v>5</v>
      </c>
    </row>
    <row r="473" spans="1:12" hidden="1" x14ac:dyDescent="0.55000000000000004">
      <c r="A473" s="12" t="s">
        <v>2938</v>
      </c>
      <c r="B473" s="12" t="s">
        <v>4442</v>
      </c>
      <c r="C473" s="12" t="s">
        <v>5170</v>
      </c>
      <c r="D473" s="12" t="s">
        <v>4752</v>
      </c>
      <c r="E473" s="12" t="s">
        <v>390</v>
      </c>
      <c r="F473" s="12" t="s">
        <v>391</v>
      </c>
      <c r="G473" s="12" t="s">
        <v>392</v>
      </c>
      <c r="H473" s="12" t="s">
        <v>73</v>
      </c>
      <c r="I473" s="12" t="s">
        <v>3059</v>
      </c>
      <c r="J473" s="12" t="s">
        <v>1991</v>
      </c>
      <c r="K473" s="12" t="s">
        <v>3377</v>
      </c>
      <c r="L473" s="13">
        <v>8</v>
      </c>
    </row>
    <row r="474" spans="1:12" hidden="1" x14ac:dyDescent="0.55000000000000004">
      <c r="A474" s="12" t="s">
        <v>2938</v>
      </c>
      <c r="B474" s="12" t="s">
        <v>4442</v>
      </c>
      <c r="C474" s="12" t="s">
        <v>5170</v>
      </c>
      <c r="D474" s="12" t="s">
        <v>4752</v>
      </c>
      <c r="E474" s="12" t="s">
        <v>393</v>
      </c>
      <c r="F474" s="12" t="s">
        <v>19</v>
      </c>
      <c r="G474" s="12" t="s">
        <v>394</v>
      </c>
      <c r="H474" s="12" t="s">
        <v>73</v>
      </c>
      <c r="I474" s="12" t="s">
        <v>3059</v>
      </c>
      <c r="J474" s="12" t="s">
        <v>1991</v>
      </c>
      <c r="K474" s="12" t="s">
        <v>3378</v>
      </c>
      <c r="L474" s="13">
        <v>8</v>
      </c>
    </row>
    <row r="475" spans="1:12" hidden="1" x14ac:dyDescent="0.55000000000000004">
      <c r="A475" s="12" t="s">
        <v>2938</v>
      </c>
      <c r="B475" s="12" t="s">
        <v>4442</v>
      </c>
      <c r="C475" s="12" t="s">
        <v>5170</v>
      </c>
      <c r="D475" s="12" t="s">
        <v>4752</v>
      </c>
      <c r="E475" s="12" t="s">
        <v>395</v>
      </c>
      <c r="F475" s="12" t="s">
        <v>396</v>
      </c>
      <c r="G475" s="12" t="s">
        <v>397</v>
      </c>
      <c r="H475" s="12" t="s">
        <v>73</v>
      </c>
      <c r="I475" s="12" t="s">
        <v>3059</v>
      </c>
      <c r="J475" s="12" t="s">
        <v>1991</v>
      </c>
      <c r="K475" s="12" t="s">
        <v>3379</v>
      </c>
      <c r="L475" s="13">
        <v>8</v>
      </c>
    </row>
    <row r="476" spans="1:12" hidden="1" x14ac:dyDescent="0.55000000000000004">
      <c r="A476" s="12" t="s">
        <v>2938</v>
      </c>
      <c r="B476" s="12" t="s">
        <v>4442</v>
      </c>
      <c r="C476" s="12" t="s">
        <v>5170</v>
      </c>
      <c r="D476" s="12" t="s">
        <v>4752</v>
      </c>
      <c r="E476" s="12" t="s">
        <v>3128</v>
      </c>
      <c r="F476" s="12" t="s">
        <v>30</v>
      </c>
      <c r="G476" s="12" t="s">
        <v>4646</v>
      </c>
      <c r="H476" s="12" t="s">
        <v>73</v>
      </c>
      <c r="I476" s="12" t="s">
        <v>3059</v>
      </c>
      <c r="J476" s="12" t="s">
        <v>1991</v>
      </c>
      <c r="K476" s="12" t="s">
        <v>4647</v>
      </c>
      <c r="L476" s="13">
        <v>8</v>
      </c>
    </row>
    <row r="477" spans="1:12" hidden="1" x14ac:dyDescent="0.55000000000000004">
      <c r="A477" s="12" t="s">
        <v>2938</v>
      </c>
      <c r="B477" s="12" t="s">
        <v>4442</v>
      </c>
      <c r="C477" s="12" t="s">
        <v>5170</v>
      </c>
      <c r="D477" s="12" t="s">
        <v>4752</v>
      </c>
      <c r="E477" s="12" t="s">
        <v>5804</v>
      </c>
      <c r="F477" s="12" t="s">
        <v>130</v>
      </c>
      <c r="G477" s="12" t="s">
        <v>5805</v>
      </c>
      <c r="H477" s="12" t="s">
        <v>73</v>
      </c>
      <c r="I477" s="12" t="s">
        <v>3075</v>
      </c>
      <c r="J477" s="12" t="s">
        <v>1991</v>
      </c>
      <c r="K477" s="12" t="s">
        <v>5806</v>
      </c>
      <c r="L477" s="13" t="s">
        <v>3075</v>
      </c>
    </row>
    <row r="478" spans="1:12" hidden="1" x14ac:dyDescent="0.55000000000000004">
      <c r="A478" s="12" t="s">
        <v>2974</v>
      </c>
      <c r="B478" s="12" t="s">
        <v>4486</v>
      </c>
      <c r="C478" s="12" t="s">
        <v>5171</v>
      </c>
      <c r="D478" s="12" t="s">
        <v>4752</v>
      </c>
      <c r="E478" s="12" t="s">
        <v>227</v>
      </c>
      <c r="F478" s="12" t="s">
        <v>228</v>
      </c>
      <c r="G478" s="12" t="s">
        <v>229</v>
      </c>
      <c r="H478" s="12" t="s">
        <v>5172</v>
      </c>
      <c r="I478" s="12" t="s">
        <v>3059</v>
      </c>
      <c r="J478" s="12" t="s">
        <v>3092</v>
      </c>
      <c r="K478" s="12" t="s">
        <v>3324</v>
      </c>
      <c r="L478" s="13">
        <v>4</v>
      </c>
    </row>
    <row r="479" spans="1:12" hidden="1" x14ac:dyDescent="0.55000000000000004">
      <c r="A479" s="12" t="s">
        <v>2974</v>
      </c>
      <c r="B479" s="12" t="s">
        <v>4486</v>
      </c>
      <c r="C479" s="12" t="s">
        <v>5171</v>
      </c>
      <c r="D479" s="12" t="s">
        <v>4752</v>
      </c>
      <c r="E479" s="12" t="s">
        <v>256</v>
      </c>
      <c r="F479" s="12" t="s">
        <v>257</v>
      </c>
      <c r="G479" s="12" t="s">
        <v>258</v>
      </c>
      <c r="H479" s="12" t="s">
        <v>5172</v>
      </c>
      <c r="I479" s="12" t="s">
        <v>3059</v>
      </c>
      <c r="J479" s="12" t="s">
        <v>3092</v>
      </c>
      <c r="K479" s="12" t="s">
        <v>3332</v>
      </c>
      <c r="L479" s="13">
        <v>4</v>
      </c>
    </row>
    <row r="480" spans="1:12" hidden="1" x14ac:dyDescent="0.55000000000000004">
      <c r="A480" s="12" t="s">
        <v>3050</v>
      </c>
      <c r="B480" s="12" t="s">
        <v>4486</v>
      </c>
      <c r="C480" s="12" t="s">
        <v>923</v>
      </c>
      <c r="D480" s="12" t="s">
        <v>4752</v>
      </c>
      <c r="E480" s="12" t="s">
        <v>935</v>
      </c>
      <c r="F480" s="12" t="s">
        <v>936</v>
      </c>
      <c r="G480" s="12" t="s">
        <v>937</v>
      </c>
      <c r="H480" s="12" t="s">
        <v>5173</v>
      </c>
      <c r="I480" s="12" t="s">
        <v>3075</v>
      </c>
      <c r="J480" s="12" t="s">
        <v>3089</v>
      </c>
      <c r="K480" s="12" t="s">
        <v>3568</v>
      </c>
      <c r="L480" s="13" t="s">
        <v>3075</v>
      </c>
    </row>
    <row r="481" spans="1:12" hidden="1" x14ac:dyDescent="0.55000000000000004">
      <c r="A481" s="12" t="s">
        <v>3050</v>
      </c>
      <c r="B481" s="12" t="s">
        <v>4486</v>
      </c>
      <c r="C481" s="12" t="s">
        <v>923</v>
      </c>
      <c r="D481" s="12" t="s">
        <v>4752</v>
      </c>
      <c r="E481" s="12" t="s">
        <v>947</v>
      </c>
      <c r="F481" s="12" t="s">
        <v>411</v>
      </c>
      <c r="G481" s="12" t="s">
        <v>948</v>
      </c>
      <c r="H481" s="12" t="s">
        <v>5173</v>
      </c>
      <c r="I481" s="12" t="s">
        <v>3075</v>
      </c>
      <c r="J481" s="12" t="s">
        <v>3089</v>
      </c>
      <c r="K481" s="12" t="s">
        <v>3572</v>
      </c>
      <c r="L481" s="13" t="s">
        <v>3075</v>
      </c>
    </row>
    <row r="482" spans="1:12" hidden="1" x14ac:dyDescent="0.55000000000000004">
      <c r="A482" s="12" t="s">
        <v>3050</v>
      </c>
      <c r="B482" s="12" t="s">
        <v>4486</v>
      </c>
      <c r="C482" s="12" t="s">
        <v>923</v>
      </c>
      <c r="D482" s="12" t="s">
        <v>4752</v>
      </c>
      <c r="E482" s="12" t="s">
        <v>959</v>
      </c>
      <c r="F482" s="12" t="s">
        <v>960</v>
      </c>
      <c r="G482" s="12" t="s">
        <v>961</v>
      </c>
      <c r="H482" s="12" t="s">
        <v>5173</v>
      </c>
      <c r="I482" s="12" t="s">
        <v>3059</v>
      </c>
      <c r="J482" s="12" t="s">
        <v>3089</v>
      </c>
      <c r="K482" s="12" t="s">
        <v>3576</v>
      </c>
      <c r="L482" s="13">
        <v>4</v>
      </c>
    </row>
    <row r="483" spans="1:12" hidden="1" x14ac:dyDescent="0.55000000000000004">
      <c r="A483" s="12" t="s">
        <v>3050</v>
      </c>
      <c r="B483" s="12" t="s">
        <v>4486</v>
      </c>
      <c r="C483" s="12" t="s">
        <v>923</v>
      </c>
      <c r="D483" s="12" t="s">
        <v>4752</v>
      </c>
      <c r="E483" s="12" t="s">
        <v>976</v>
      </c>
      <c r="F483" s="12" t="s">
        <v>977</v>
      </c>
      <c r="G483" s="12" t="s">
        <v>978</v>
      </c>
      <c r="H483" s="12" t="s">
        <v>5173</v>
      </c>
      <c r="I483" s="12" t="s">
        <v>3059</v>
      </c>
      <c r="J483" s="12" t="s">
        <v>3089</v>
      </c>
      <c r="K483" s="12" t="s">
        <v>3582</v>
      </c>
      <c r="L483" s="13">
        <v>5</v>
      </c>
    </row>
    <row r="484" spans="1:12" hidden="1" x14ac:dyDescent="0.55000000000000004">
      <c r="A484" s="12" t="s">
        <v>3050</v>
      </c>
      <c r="B484" s="12" t="s">
        <v>4486</v>
      </c>
      <c r="C484" s="12" t="s">
        <v>923</v>
      </c>
      <c r="D484" s="12" t="s">
        <v>4752</v>
      </c>
      <c r="E484" s="12" t="s">
        <v>988</v>
      </c>
      <c r="F484" s="12" t="s">
        <v>989</v>
      </c>
      <c r="G484" s="12" t="s">
        <v>990</v>
      </c>
      <c r="H484" s="12" t="s">
        <v>5173</v>
      </c>
      <c r="I484" s="12" t="s">
        <v>3060</v>
      </c>
      <c r="J484" s="12" t="s">
        <v>3089</v>
      </c>
      <c r="K484" s="12" t="s">
        <v>3586</v>
      </c>
      <c r="L484" s="13">
        <v>6</v>
      </c>
    </row>
    <row r="485" spans="1:12" hidden="1" x14ac:dyDescent="0.55000000000000004">
      <c r="A485" s="12" t="s">
        <v>3050</v>
      </c>
      <c r="B485" s="12" t="s">
        <v>4486</v>
      </c>
      <c r="C485" s="12" t="s">
        <v>923</v>
      </c>
      <c r="D485" s="12" t="s">
        <v>4752</v>
      </c>
      <c r="E485" s="12" t="s">
        <v>5565</v>
      </c>
      <c r="F485" s="12" t="s">
        <v>113</v>
      </c>
      <c r="G485" s="12" t="s">
        <v>5566</v>
      </c>
      <c r="H485" s="12" t="s">
        <v>5173</v>
      </c>
      <c r="I485" s="12" t="s">
        <v>3059</v>
      </c>
      <c r="J485" s="12" t="s">
        <v>3089</v>
      </c>
      <c r="K485" s="12" t="s">
        <v>5567</v>
      </c>
      <c r="L485" s="13">
        <v>8</v>
      </c>
    </row>
    <row r="486" spans="1:12" hidden="1" x14ac:dyDescent="0.55000000000000004">
      <c r="A486" s="12" t="s">
        <v>2901</v>
      </c>
      <c r="B486" s="12" t="s">
        <v>4374</v>
      </c>
      <c r="C486" s="12" t="s">
        <v>1338</v>
      </c>
      <c r="D486" s="12" t="s">
        <v>4752</v>
      </c>
      <c r="E486" s="12" t="s">
        <v>1337</v>
      </c>
      <c r="F486" s="12" t="s">
        <v>5568</v>
      </c>
      <c r="G486" s="12" t="s">
        <v>5569</v>
      </c>
      <c r="H486" s="12" t="s">
        <v>4413</v>
      </c>
      <c r="I486" s="12" t="s">
        <v>3059</v>
      </c>
      <c r="J486" s="12" t="s">
        <v>3095</v>
      </c>
      <c r="K486" s="12" t="s">
        <v>5570</v>
      </c>
      <c r="L486" s="13">
        <v>4</v>
      </c>
    </row>
    <row r="487" spans="1:12" hidden="1" x14ac:dyDescent="0.55000000000000004">
      <c r="A487" s="12" t="s">
        <v>2901</v>
      </c>
      <c r="B487" s="12" t="s">
        <v>4374</v>
      </c>
      <c r="C487" s="12" t="s">
        <v>1338</v>
      </c>
      <c r="D487" s="12" t="s">
        <v>4752</v>
      </c>
      <c r="E487" s="12" t="s">
        <v>1339</v>
      </c>
      <c r="F487" s="12" t="s">
        <v>616</v>
      </c>
      <c r="G487" s="12" t="s">
        <v>1340</v>
      </c>
      <c r="H487" s="12" t="s">
        <v>4413</v>
      </c>
      <c r="I487" s="12" t="s">
        <v>3059</v>
      </c>
      <c r="J487" s="12" t="s">
        <v>3095</v>
      </c>
      <c r="K487" s="12" t="s">
        <v>3710</v>
      </c>
      <c r="L487" s="13">
        <v>4</v>
      </c>
    </row>
    <row r="488" spans="1:12" hidden="1" x14ac:dyDescent="0.55000000000000004">
      <c r="A488" s="12" t="s">
        <v>2901</v>
      </c>
      <c r="B488" s="12" t="s">
        <v>4374</v>
      </c>
      <c r="C488" s="12" t="s">
        <v>1338</v>
      </c>
      <c r="D488" s="12" t="s">
        <v>4752</v>
      </c>
      <c r="E488" s="12" t="s">
        <v>1341</v>
      </c>
      <c r="F488" s="12" t="s">
        <v>5571</v>
      </c>
      <c r="G488" s="12" t="s">
        <v>5572</v>
      </c>
      <c r="H488" s="12" t="s">
        <v>4413</v>
      </c>
      <c r="I488" s="12" t="s">
        <v>3059</v>
      </c>
      <c r="J488" s="12" t="s">
        <v>3095</v>
      </c>
      <c r="K488" s="12" t="s">
        <v>5573</v>
      </c>
      <c r="L488" s="13">
        <v>4</v>
      </c>
    </row>
    <row r="489" spans="1:12" hidden="1" x14ac:dyDescent="0.55000000000000004">
      <c r="A489" s="12" t="s">
        <v>2901</v>
      </c>
      <c r="B489" s="12" t="s">
        <v>4374</v>
      </c>
      <c r="C489" s="12" t="s">
        <v>1338</v>
      </c>
      <c r="D489" s="12" t="s">
        <v>4752</v>
      </c>
      <c r="E489" s="12" t="s">
        <v>1344</v>
      </c>
      <c r="F489" s="12" t="s">
        <v>1345</v>
      </c>
      <c r="G489" s="12" t="s">
        <v>1346</v>
      </c>
      <c r="H489" s="12" t="s">
        <v>4413</v>
      </c>
      <c r="I489" s="12" t="s">
        <v>3059</v>
      </c>
      <c r="J489" s="12" t="s">
        <v>3095</v>
      </c>
      <c r="K489" s="12" t="s">
        <v>3711</v>
      </c>
      <c r="L489" s="13">
        <v>4</v>
      </c>
    </row>
    <row r="490" spans="1:12" hidden="1" x14ac:dyDescent="0.55000000000000004">
      <c r="A490" s="12" t="s">
        <v>2901</v>
      </c>
      <c r="B490" s="12" t="s">
        <v>4374</v>
      </c>
      <c r="C490" s="12" t="s">
        <v>1338</v>
      </c>
      <c r="D490" s="12" t="s">
        <v>4752</v>
      </c>
      <c r="E490" s="12" t="s">
        <v>1347</v>
      </c>
      <c r="F490" s="12" t="s">
        <v>1342</v>
      </c>
      <c r="G490" s="12" t="s">
        <v>1343</v>
      </c>
      <c r="H490" s="12" t="s">
        <v>4413</v>
      </c>
      <c r="I490" s="12" t="s">
        <v>3059</v>
      </c>
      <c r="J490" s="12" t="s">
        <v>3095</v>
      </c>
      <c r="K490" s="12" t="s">
        <v>3712</v>
      </c>
      <c r="L490" s="13">
        <v>4</v>
      </c>
    </row>
    <row r="491" spans="1:12" hidden="1" x14ac:dyDescent="0.55000000000000004">
      <c r="A491" s="12" t="s">
        <v>2901</v>
      </c>
      <c r="B491" s="12" t="s">
        <v>4374</v>
      </c>
      <c r="C491" s="12" t="s">
        <v>1338</v>
      </c>
      <c r="D491" s="12" t="s">
        <v>4752</v>
      </c>
      <c r="E491" s="12" t="s">
        <v>1348</v>
      </c>
      <c r="F491" s="12" t="s">
        <v>25</v>
      </c>
      <c r="G491" s="12" t="s">
        <v>5574</v>
      </c>
      <c r="H491" s="12" t="s">
        <v>4413</v>
      </c>
      <c r="I491" s="12" t="s">
        <v>3075</v>
      </c>
      <c r="J491" s="12" t="s">
        <v>3095</v>
      </c>
      <c r="K491" s="12" t="s">
        <v>5575</v>
      </c>
      <c r="L491" s="13" t="s">
        <v>3075</v>
      </c>
    </row>
    <row r="492" spans="1:12" hidden="1" x14ac:dyDescent="0.55000000000000004">
      <c r="A492" s="12" t="s">
        <v>2932</v>
      </c>
      <c r="B492" s="12" t="s">
        <v>4442</v>
      </c>
      <c r="C492" s="12" t="s">
        <v>5149</v>
      </c>
      <c r="D492" s="12" t="s">
        <v>4752</v>
      </c>
      <c r="E492" s="12" t="s">
        <v>2482</v>
      </c>
      <c r="F492" s="12" t="s">
        <v>1970</v>
      </c>
      <c r="G492" s="12" t="s">
        <v>2483</v>
      </c>
      <c r="H492" s="12" t="s">
        <v>5174</v>
      </c>
      <c r="I492" s="12" t="s">
        <v>3059</v>
      </c>
      <c r="J492" s="12" t="s">
        <v>3085</v>
      </c>
      <c r="K492" s="12" t="s">
        <v>4068</v>
      </c>
      <c r="L492" s="13">
        <v>5</v>
      </c>
    </row>
    <row r="493" spans="1:12" hidden="1" x14ac:dyDescent="0.55000000000000004">
      <c r="A493" s="12" t="s">
        <v>2932</v>
      </c>
      <c r="B493" s="12" t="s">
        <v>4442</v>
      </c>
      <c r="C493" s="12" t="s">
        <v>5149</v>
      </c>
      <c r="D493" s="12" t="s">
        <v>4752</v>
      </c>
      <c r="E493" s="12" t="s">
        <v>2484</v>
      </c>
      <c r="F493" s="12" t="s">
        <v>2485</v>
      </c>
      <c r="G493" s="12" t="s">
        <v>2486</v>
      </c>
      <c r="H493" s="12" t="s">
        <v>5174</v>
      </c>
      <c r="I493" s="12" t="s">
        <v>3059</v>
      </c>
      <c r="J493" s="12" t="s">
        <v>3085</v>
      </c>
      <c r="K493" s="12" t="s">
        <v>4069</v>
      </c>
      <c r="L493" s="13">
        <v>10</v>
      </c>
    </row>
    <row r="494" spans="1:12" hidden="1" x14ac:dyDescent="0.55000000000000004">
      <c r="A494" s="12" t="s">
        <v>2932</v>
      </c>
      <c r="B494" s="12" t="s">
        <v>4442</v>
      </c>
      <c r="C494" s="12" t="s">
        <v>5149</v>
      </c>
      <c r="D494" s="12" t="s">
        <v>4752</v>
      </c>
      <c r="E494" s="12" t="s">
        <v>5807</v>
      </c>
      <c r="F494" s="12" t="s">
        <v>5808</v>
      </c>
      <c r="G494" s="12" t="s">
        <v>5809</v>
      </c>
      <c r="H494" s="12" t="s">
        <v>5174</v>
      </c>
      <c r="I494" s="12" t="s">
        <v>3059</v>
      </c>
      <c r="J494" s="12" t="s">
        <v>3085</v>
      </c>
      <c r="K494" s="12" t="s">
        <v>5810</v>
      </c>
      <c r="L494" s="13">
        <v>10</v>
      </c>
    </row>
    <row r="495" spans="1:12" hidden="1" x14ac:dyDescent="0.55000000000000004">
      <c r="A495" s="12" t="s">
        <v>2932</v>
      </c>
      <c r="B495" s="12" t="s">
        <v>4442</v>
      </c>
      <c r="C495" s="12" t="s">
        <v>5149</v>
      </c>
      <c r="D495" s="12" t="s">
        <v>4752</v>
      </c>
      <c r="E495" s="12" t="s">
        <v>5811</v>
      </c>
      <c r="F495" s="12" t="s">
        <v>5812</v>
      </c>
      <c r="G495" s="12" t="s">
        <v>5813</v>
      </c>
      <c r="H495" s="12" t="s">
        <v>5174</v>
      </c>
      <c r="I495" s="12" t="s">
        <v>3059</v>
      </c>
      <c r="J495" s="12" t="s">
        <v>3085</v>
      </c>
      <c r="K495" s="12" t="s">
        <v>5814</v>
      </c>
      <c r="L495" s="13">
        <v>10</v>
      </c>
    </row>
    <row r="496" spans="1:12" hidden="1" x14ac:dyDescent="0.55000000000000004">
      <c r="A496" s="12" t="s">
        <v>2932</v>
      </c>
      <c r="B496" s="12" t="s">
        <v>4442</v>
      </c>
      <c r="C496" s="12" t="s">
        <v>5149</v>
      </c>
      <c r="D496" s="12" t="s">
        <v>4752</v>
      </c>
      <c r="E496" s="12" t="s">
        <v>5815</v>
      </c>
      <c r="F496" s="12" t="s">
        <v>560</v>
      </c>
      <c r="G496" s="12" t="s">
        <v>5816</v>
      </c>
      <c r="H496" s="12" t="s">
        <v>5174</v>
      </c>
      <c r="I496" s="12" t="s">
        <v>3059</v>
      </c>
      <c r="J496" s="12" t="s">
        <v>3085</v>
      </c>
      <c r="K496" s="12" t="s">
        <v>5817</v>
      </c>
      <c r="L496" s="13">
        <v>10</v>
      </c>
    </row>
    <row r="497" spans="1:12" hidden="1" x14ac:dyDescent="0.55000000000000004">
      <c r="A497" s="12" t="s">
        <v>2932</v>
      </c>
      <c r="B497" s="12" t="s">
        <v>4442</v>
      </c>
      <c r="C497" s="12" t="s">
        <v>5149</v>
      </c>
      <c r="D497" s="12" t="s">
        <v>4752</v>
      </c>
      <c r="E497" s="12" t="s">
        <v>5818</v>
      </c>
      <c r="F497" s="12" t="s">
        <v>1914</v>
      </c>
      <c r="G497" s="12" t="s">
        <v>5819</v>
      </c>
      <c r="H497" s="12" t="s">
        <v>5174</v>
      </c>
      <c r="I497" s="12" t="s">
        <v>3059</v>
      </c>
      <c r="J497" s="12" t="s">
        <v>3085</v>
      </c>
      <c r="K497" s="12" t="s">
        <v>5820</v>
      </c>
      <c r="L497" s="13">
        <v>10</v>
      </c>
    </row>
    <row r="498" spans="1:12" hidden="1" x14ac:dyDescent="0.55000000000000004">
      <c r="A498" s="12" t="s">
        <v>2846</v>
      </c>
      <c r="B498" s="12" t="s">
        <v>4298</v>
      </c>
      <c r="C498" s="12" t="s">
        <v>1809</v>
      </c>
      <c r="D498" s="12" t="s">
        <v>4752</v>
      </c>
      <c r="E498" s="12" t="s">
        <v>1810</v>
      </c>
      <c r="F498" s="12" t="s">
        <v>870</v>
      </c>
      <c r="G498" s="12" t="s">
        <v>1811</v>
      </c>
      <c r="H498" s="12" t="s">
        <v>5175</v>
      </c>
      <c r="I498" s="12" t="s">
        <v>3059</v>
      </c>
      <c r="J498" s="12" t="s">
        <v>1603</v>
      </c>
      <c r="K498" s="12" t="s">
        <v>3884</v>
      </c>
      <c r="L498" s="13">
        <v>2</v>
      </c>
    </row>
    <row r="499" spans="1:12" hidden="1" x14ac:dyDescent="0.55000000000000004">
      <c r="A499" s="12" t="s">
        <v>2846</v>
      </c>
      <c r="B499" s="12" t="s">
        <v>4298</v>
      </c>
      <c r="C499" s="12" t="s">
        <v>1809</v>
      </c>
      <c r="D499" s="12" t="s">
        <v>4752</v>
      </c>
      <c r="E499" s="12" t="s">
        <v>5821</v>
      </c>
      <c r="F499" s="12" t="s">
        <v>5822</v>
      </c>
      <c r="G499" s="12" t="s">
        <v>5823</v>
      </c>
      <c r="H499" s="12" t="s">
        <v>5175</v>
      </c>
      <c r="I499" s="12" t="s">
        <v>3059</v>
      </c>
      <c r="J499" s="12" t="s">
        <v>1603</v>
      </c>
      <c r="K499" s="12" t="s">
        <v>5824</v>
      </c>
      <c r="L499" s="13">
        <v>2</v>
      </c>
    </row>
    <row r="500" spans="1:12" hidden="1" x14ac:dyDescent="0.55000000000000004">
      <c r="A500" s="12" t="s">
        <v>2868</v>
      </c>
      <c r="B500" s="12" t="s">
        <v>4298</v>
      </c>
      <c r="C500" s="12" t="s">
        <v>1502</v>
      </c>
      <c r="D500" s="12" t="s">
        <v>4752</v>
      </c>
      <c r="E500" s="12" t="s">
        <v>1500</v>
      </c>
      <c r="F500" s="12" t="s">
        <v>1059</v>
      </c>
      <c r="G500" s="12" t="s">
        <v>1501</v>
      </c>
      <c r="H500" s="12" t="s">
        <v>4371</v>
      </c>
      <c r="I500" s="12" t="s">
        <v>3059</v>
      </c>
      <c r="J500" s="12" t="s">
        <v>1603</v>
      </c>
      <c r="K500" s="12" t="s">
        <v>3766</v>
      </c>
      <c r="L500" s="13">
        <v>7</v>
      </c>
    </row>
    <row r="501" spans="1:12" hidden="1" x14ac:dyDescent="0.55000000000000004">
      <c r="A501" s="12" t="s">
        <v>2868</v>
      </c>
      <c r="B501" s="12" t="s">
        <v>4298</v>
      </c>
      <c r="C501" s="12" t="s">
        <v>1502</v>
      </c>
      <c r="D501" s="12" t="s">
        <v>4752</v>
      </c>
      <c r="E501" s="12" t="s">
        <v>1503</v>
      </c>
      <c r="F501" s="12" t="s">
        <v>1504</v>
      </c>
      <c r="G501" s="12" t="s">
        <v>1505</v>
      </c>
      <c r="H501" s="12" t="s">
        <v>4371</v>
      </c>
      <c r="I501" s="12" t="s">
        <v>3075</v>
      </c>
      <c r="J501" s="12" t="s">
        <v>1603</v>
      </c>
      <c r="K501" s="12" t="s">
        <v>3767</v>
      </c>
      <c r="L501" s="13" t="s">
        <v>3075</v>
      </c>
    </row>
    <row r="502" spans="1:12" hidden="1" x14ac:dyDescent="0.55000000000000004">
      <c r="A502" s="12" t="s">
        <v>2868</v>
      </c>
      <c r="B502" s="12" t="s">
        <v>4298</v>
      </c>
      <c r="C502" s="12" t="s">
        <v>1502</v>
      </c>
      <c r="D502" s="12" t="s">
        <v>4752</v>
      </c>
      <c r="E502" s="12" t="s">
        <v>1506</v>
      </c>
      <c r="F502" s="12" t="s">
        <v>1507</v>
      </c>
      <c r="G502" s="12" t="s">
        <v>1508</v>
      </c>
      <c r="H502" s="12" t="s">
        <v>4371</v>
      </c>
      <c r="I502" s="12" t="s">
        <v>3075</v>
      </c>
      <c r="J502" s="12" t="s">
        <v>1603</v>
      </c>
      <c r="K502" s="12" t="s">
        <v>3768</v>
      </c>
      <c r="L502" s="13" t="s">
        <v>3075</v>
      </c>
    </row>
    <row r="503" spans="1:12" hidden="1" x14ac:dyDescent="0.55000000000000004">
      <c r="A503" s="12" t="s">
        <v>2868</v>
      </c>
      <c r="B503" s="12" t="s">
        <v>4298</v>
      </c>
      <c r="C503" s="12" t="s">
        <v>1502</v>
      </c>
      <c r="D503" s="12" t="s">
        <v>4752</v>
      </c>
      <c r="E503" s="12" t="s">
        <v>1509</v>
      </c>
      <c r="F503" s="12" t="s">
        <v>1510</v>
      </c>
      <c r="G503" s="12" t="s">
        <v>1511</v>
      </c>
      <c r="H503" s="12" t="s">
        <v>4371</v>
      </c>
      <c r="I503" s="12" t="s">
        <v>3059</v>
      </c>
      <c r="J503" s="12" t="s">
        <v>1603</v>
      </c>
      <c r="K503" s="12" t="s">
        <v>3769</v>
      </c>
      <c r="L503" s="13">
        <v>7</v>
      </c>
    </row>
    <row r="504" spans="1:12" hidden="1" x14ac:dyDescent="0.55000000000000004">
      <c r="A504" s="12" t="s">
        <v>2868</v>
      </c>
      <c r="B504" s="12" t="s">
        <v>4298</v>
      </c>
      <c r="C504" s="12" t="s">
        <v>1502</v>
      </c>
      <c r="D504" s="12" t="s">
        <v>4752</v>
      </c>
      <c r="E504" s="12" t="s">
        <v>1512</v>
      </c>
      <c r="F504" s="12" t="s">
        <v>113</v>
      </c>
      <c r="G504" s="12" t="s">
        <v>1513</v>
      </c>
      <c r="H504" s="12" t="s">
        <v>4371</v>
      </c>
      <c r="I504" s="12" t="s">
        <v>3059</v>
      </c>
      <c r="J504" s="12" t="s">
        <v>1603</v>
      </c>
      <c r="K504" s="12" t="s">
        <v>3770</v>
      </c>
      <c r="L504" s="13">
        <v>7</v>
      </c>
    </row>
    <row r="505" spans="1:12" hidden="1" x14ac:dyDescent="0.55000000000000004">
      <c r="A505" s="12" t="s">
        <v>2868</v>
      </c>
      <c r="B505" s="12" t="s">
        <v>4298</v>
      </c>
      <c r="C505" s="12" t="s">
        <v>1502</v>
      </c>
      <c r="D505" s="12" t="s">
        <v>4752</v>
      </c>
      <c r="E505" s="12" t="s">
        <v>1514</v>
      </c>
      <c r="F505" s="12" t="s">
        <v>1515</v>
      </c>
      <c r="G505" s="12" t="s">
        <v>1516</v>
      </c>
      <c r="H505" s="12" t="s">
        <v>4371</v>
      </c>
      <c r="I505" s="12" t="s">
        <v>3059</v>
      </c>
      <c r="J505" s="12" t="s">
        <v>1603</v>
      </c>
      <c r="K505" s="12" t="s">
        <v>3771</v>
      </c>
      <c r="L505" s="13">
        <v>7</v>
      </c>
    </row>
    <row r="506" spans="1:12" hidden="1" x14ac:dyDescent="0.55000000000000004">
      <c r="A506" s="12" t="s">
        <v>2887</v>
      </c>
      <c r="B506" s="12" t="s">
        <v>4374</v>
      </c>
      <c r="C506" s="12" t="s">
        <v>5176</v>
      </c>
      <c r="D506" s="12" t="s">
        <v>4752</v>
      </c>
      <c r="E506" s="12" t="s">
        <v>1204</v>
      </c>
      <c r="F506" s="12" t="s">
        <v>1205</v>
      </c>
      <c r="G506" s="12" t="s">
        <v>1206</v>
      </c>
      <c r="H506" s="12" t="s">
        <v>4393</v>
      </c>
      <c r="I506" s="12" t="s">
        <v>3059</v>
      </c>
      <c r="J506" s="12" t="s">
        <v>3094</v>
      </c>
      <c r="K506" s="12" t="s">
        <v>3663</v>
      </c>
      <c r="L506" s="13">
        <v>4</v>
      </c>
    </row>
    <row r="507" spans="1:12" hidden="1" x14ac:dyDescent="0.55000000000000004">
      <c r="A507" s="12" t="s">
        <v>2887</v>
      </c>
      <c r="B507" s="12" t="s">
        <v>4374</v>
      </c>
      <c r="C507" s="12" t="s">
        <v>5176</v>
      </c>
      <c r="D507" s="12" t="s">
        <v>4752</v>
      </c>
      <c r="E507" s="12" t="s">
        <v>1207</v>
      </c>
      <c r="F507" s="12" t="s">
        <v>1208</v>
      </c>
      <c r="G507" s="12" t="s">
        <v>1209</v>
      </c>
      <c r="H507" s="12" t="s">
        <v>4393</v>
      </c>
      <c r="I507" s="12" t="s">
        <v>3059</v>
      </c>
      <c r="J507" s="12" t="s">
        <v>3094</v>
      </c>
      <c r="K507" s="12" t="s">
        <v>3664</v>
      </c>
      <c r="L507" s="13">
        <v>4</v>
      </c>
    </row>
    <row r="508" spans="1:12" hidden="1" x14ac:dyDescent="0.55000000000000004">
      <c r="A508" s="12" t="s">
        <v>2887</v>
      </c>
      <c r="B508" s="12" t="s">
        <v>4374</v>
      </c>
      <c r="C508" s="12" t="s">
        <v>5176</v>
      </c>
      <c r="D508" s="12" t="s">
        <v>4752</v>
      </c>
      <c r="E508" s="12" t="s">
        <v>1210</v>
      </c>
      <c r="F508" s="12" t="s">
        <v>5177</v>
      </c>
      <c r="G508" s="12" t="s">
        <v>1211</v>
      </c>
      <c r="H508" s="12" t="s">
        <v>4393</v>
      </c>
      <c r="I508" s="12" t="s">
        <v>3059</v>
      </c>
      <c r="J508" s="12" t="s">
        <v>3094</v>
      </c>
      <c r="K508" s="12" t="s">
        <v>5178</v>
      </c>
      <c r="L508" s="13">
        <v>4</v>
      </c>
    </row>
    <row r="509" spans="1:12" hidden="1" x14ac:dyDescent="0.55000000000000004">
      <c r="A509" s="12" t="s">
        <v>2887</v>
      </c>
      <c r="B509" s="12" t="s">
        <v>4374</v>
      </c>
      <c r="C509" s="12" t="s">
        <v>5176</v>
      </c>
      <c r="D509" s="12" t="s">
        <v>4752</v>
      </c>
      <c r="E509" s="12" t="s">
        <v>1212</v>
      </c>
      <c r="F509" s="12" t="s">
        <v>1213</v>
      </c>
      <c r="G509" s="12" t="s">
        <v>1214</v>
      </c>
      <c r="H509" s="12" t="s">
        <v>4393</v>
      </c>
      <c r="I509" s="12" t="s">
        <v>3059</v>
      </c>
      <c r="J509" s="12" t="s">
        <v>3094</v>
      </c>
      <c r="K509" s="12" t="s">
        <v>3665</v>
      </c>
      <c r="L509" s="13">
        <v>4</v>
      </c>
    </row>
    <row r="510" spans="1:12" hidden="1" x14ac:dyDescent="0.55000000000000004">
      <c r="A510" s="12" t="s">
        <v>2887</v>
      </c>
      <c r="B510" s="12" t="s">
        <v>4374</v>
      </c>
      <c r="C510" s="12" t="s">
        <v>5176</v>
      </c>
      <c r="D510" s="12" t="s">
        <v>4752</v>
      </c>
      <c r="E510" s="12" t="s">
        <v>1228</v>
      </c>
      <c r="F510" s="12" t="s">
        <v>1229</v>
      </c>
      <c r="G510" s="12" t="s">
        <v>1214</v>
      </c>
      <c r="H510" s="12" t="s">
        <v>4393</v>
      </c>
      <c r="I510" s="12" t="s">
        <v>3059</v>
      </c>
      <c r="J510" s="12" t="s">
        <v>3094</v>
      </c>
      <c r="K510" s="12" t="s">
        <v>3671</v>
      </c>
      <c r="L510" s="13">
        <v>4</v>
      </c>
    </row>
    <row r="511" spans="1:12" hidden="1" x14ac:dyDescent="0.55000000000000004">
      <c r="A511" s="12" t="s">
        <v>2887</v>
      </c>
      <c r="B511" s="12" t="s">
        <v>4374</v>
      </c>
      <c r="C511" s="12" t="s">
        <v>5176</v>
      </c>
      <c r="D511" s="12" t="s">
        <v>4752</v>
      </c>
      <c r="E511" s="12" t="s">
        <v>1233</v>
      </c>
      <c r="F511" s="12" t="s">
        <v>1234</v>
      </c>
      <c r="G511" s="12" t="s">
        <v>1235</v>
      </c>
      <c r="H511" s="12" t="s">
        <v>4393</v>
      </c>
      <c r="I511" s="12" t="s">
        <v>3060</v>
      </c>
      <c r="J511" s="12" t="s">
        <v>3094</v>
      </c>
      <c r="K511" s="12" t="s">
        <v>3673</v>
      </c>
      <c r="L511" s="13">
        <v>4</v>
      </c>
    </row>
    <row r="512" spans="1:12" hidden="1" x14ac:dyDescent="0.55000000000000004">
      <c r="A512" s="12" t="s">
        <v>2887</v>
      </c>
      <c r="B512" s="12" t="s">
        <v>4374</v>
      </c>
      <c r="C512" s="12" t="s">
        <v>5176</v>
      </c>
      <c r="D512" s="12" t="s">
        <v>4752</v>
      </c>
      <c r="E512" s="12" t="s">
        <v>1236</v>
      </c>
      <c r="F512" s="12" t="s">
        <v>1237</v>
      </c>
      <c r="G512" s="12" t="s">
        <v>1238</v>
      </c>
      <c r="H512" s="12" t="s">
        <v>4393</v>
      </c>
      <c r="I512" s="12" t="s">
        <v>3059</v>
      </c>
      <c r="J512" s="12" t="s">
        <v>3094</v>
      </c>
      <c r="K512" s="12" t="s">
        <v>3674</v>
      </c>
      <c r="L512" s="13">
        <v>4</v>
      </c>
    </row>
    <row r="513" spans="1:12" hidden="1" x14ac:dyDescent="0.55000000000000004">
      <c r="A513" s="12" t="s">
        <v>2887</v>
      </c>
      <c r="B513" s="12" t="s">
        <v>4374</v>
      </c>
      <c r="C513" s="12" t="s">
        <v>5176</v>
      </c>
      <c r="D513" s="12" t="s">
        <v>4752</v>
      </c>
      <c r="E513" s="12" t="s">
        <v>1239</v>
      </c>
      <c r="F513" s="12" t="s">
        <v>1240</v>
      </c>
      <c r="G513" s="12" t="s">
        <v>1241</v>
      </c>
      <c r="H513" s="12" t="s">
        <v>4393</v>
      </c>
      <c r="I513" s="12" t="s">
        <v>3059</v>
      </c>
      <c r="J513" s="12" t="s">
        <v>3094</v>
      </c>
      <c r="K513" s="12" t="s">
        <v>3675</v>
      </c>
      <c r="L513" s="13">
        <v>4</v>
      </c>
    </row>
    <row r="514" spans="1:12" hidden="1" x14ac:dyDescent="0.55000000000000004">
      <c r="A514" s="12" t="s">
        <v>2887</v>
      </c>
      <c r="B514" s="12" t="s">
        <v>4374</v>
      </c>
      <c r="C514" s="12" t="s">
        <v>5176</v>
      </c>
      <c r="D514" s="12" t="s">
        <v>4752</v>
      </c>
      <c r="E514" s="12" t="s">
        <v>1242</v>
      </c>
      <c r="F514" s="12" t="s">
        <v>1243</v>
      </c>
      <c r="G514" s="12" t="s">
        <v>1244</v>
      </c>
      <c r="H514" s="12" t="s">
        <v>4393</v>
      </c>
      <c r="I514" s="12" t="s">
        <v>3059</v>
      </c>
      <c r="J514" s="12" t="s">
        <v>3094</v>
      </c>
      <c r="K514" s="12" t="s">
        <v>3676</v>
      </c>
      <c r="L514" s="13">
        <v>4</v>
      </c>
    </row>
    <row r="515" spans="1:12" hidden="1" x14ac:dyDescent="0.55000000000000004">
      <c r="A515" s="12" t="s">
        <v>2887</v>
      </c>
      <c r="B515" s="12" t="s">
        <v>4374</v>
      </c>
      <c r="C515" s="12" t="s">
        <v>5176</v>
      </c>
      <c r="D515" s="12" t="s">
        <v>4752</v>
      </c>
      <c r="E515" s="12" t="s">
        <v>5825</v>
      </c>
      <c r="F515" s="12" t="s">
        <v>5826</v>
      </c>
      <c r="G515" s="12" t="s">
        <v>1211</v>
      </c>
      <c r="H515" s="12" t="s">
        <v>4393</v>
      </c>
      <c r="I515" s="12" t="s">
        <v>3075</v>
      </c>
      <c r="J515" s="12" t="s">
        <v>3094</v>
      </c>
      <c r="K515" s="12" t="s">
        <v>5827</v>
      </c>
      <c r="L515" s="13" t="s">
        <v>3075</v>
      </c>
    </row>
    <row r="516" spans="1:12" hidden="1" x14ac:dyDescent="0.55000000000000004">
      <c r="A516" s="12" t="s">
        <v>2883</v>
      </c>
      <c r="B516" s="12" t="s">
        <v>4374</v>
      </c>
      <c r="C516" s="12" t="s">
        <v>5179</v>
      </c>
      <c r="D516" s="12" t="s">
        <v>4752</v>
      </c>
      <c r="E516" s="12" t="s">
        <v>1628</v>
      </c>
      <c r="F516" s="12" t="s">
        <v>1629</v>
      </c>
      <c r="G516" s="12" t="s">
        <v>1630</v>
      </c>
      <c r="H516" s="12" t="s">
        <v>4387</v>
      </c>
      <c r="I516" s="12" t="s">
        <v>3059</v>
      </c>
      <c r="J516" s="12" t="s">
        <v>3096</v>
      </c>
      <c r="K516" s="12" t="s">
        <v>3815</v>
      </c>
      <c r="L516" s="13">
        <v>5</v>
      </c>
    </row>
    <row r="517" spans="1:12" hidden="1" x14ac:dyDescent="0.55000000000000004">
      <c r="A517" s="12" t="s">
        <v>2883</v>
      </c>
      <c r="B517" s="12" t="s">
        <v>4374</v>
      </c>
      <c r="C517" s="12" t="s">
        <v>5179</v>
      </c>
      <c r="D517" s="12" t="s">
        <v>4752</v>
      </c>
      <c r="E517" s="12" t="s">
        <v>1631</v>
      </c>
      <c r="F517" s="12" t="s">
        <v>1632</v>
      </c>
      <c r="G517" s="12" t="s">
        <v>1633</v>
      </c>
      <c r="H517" s="12" t="s">
        <v>4387</v>
      </c>
      <c r="I517" s="12" t="s">
        <v>3059</v>
      </c>
      <c r="J517" s="12" t="s">
        <v>3096</v>
      </c>
      <c r="K517" s="12" t="s">
        <v>3816</v>
      </c>
      <c r="L517" s="13">
        <v>5</v>
      </c>
    </row>
    <row r="518" spans="1:12" hidden="1" x14ac:dyDescent="0.55000000000000004">
      <c r="A518" s="12" t="s">
        <v>2883</v>
      </c>
      <c r="B518" s="12" t="s">
        <v>4374</v>
      </c>
      <c r="C518" s="12" t="s">
        <v>5179</v>
      </c>
      <c r="D518" s="12" t="s">
        <v>4752</v>
      </c>
      <c r="E518" s="12" t="s">
        <v>1634</v>
      </c>
      <c r="F518" s="12" t="s">
        <v>826</v>
      </c>
      <c r="G518" s="12" t="s">
        <v>1635</v>
      </c>
      <c r="H518" s="12" t="s">
        <v>4387</v>
      </c>
      <c r="I518" s="12" t="s">
        <v>3059</v>
      </c>
      <c r="J518" s="12" t="s">
        <v>3096</v>
      </c>
      <c r="K518" s="12" t="s">
        <v>3817</v>
      </c>
      <c r="L518" s="13">
        <v>5</v>
      </c>
    </row>
    <row r="519" spans="1:12" hidden="1" x14ac:dyDescent="0.55000000000000004">
      <c r="A519" s="12" t="s">
        <v>2883</v>
      </c>
      <c r="B519" s="12" t="s">
        <v>4374</v>
      </c>
      <c r="C519" s="12" t="s">
        <v>5179</v>
      </c>
      <c r="D519" s="12" t="s">
        <v>4752</v>
      </c>
      <c r="E519" s="12" t="s">
        <v>1636</v>
      </c>
      <c r="F519" s="12" t="s">
        <v>844</v>
      </c>
      <c r="G519" s="12" t="s">
        <v>1637</v>
      </c>
      <c r="H519" s="12" t="s">
        <v>4387</v>
      </c>
      <c r="I519" s="12" t="s">
        <v>3059</v>
      </c>
      <c r="J519" s="12" t="s">
        <v>3096</v>
      </c>
      <c r="K519" s="12" t="s">
        <v>3818</v>
      </c>
      <c r="L519" s="13">
        <v>5</v>
      </c>
    </row>
    <row r="520" spans="1:12" hidden="1" x14ac:dyDescent="0.55000000000000004">
      <c r="A520" s="12" t="s">
        <v>2883</v>
      </c>
      <c r="B520" s="12" t="s">
        <v>4374</v>
      </c>
      <c r="C520" s="12" t="s">
        <v>5179</v>
      </c>
      <c r="D520" s="12" t="s">
        <v>4752</v>
      </c>
      <c r="E520" s="12" t="s">
        <v>1638</v>
      </c>
      <c r="F520" s="12" t="s">
        <v>1639</v>
      </c>
      <c r="G520" s="12" t="s">
        <v>1640</v>
      </c>
      <c r="H520" s="12" t="s">
        <v>4387</v>
      </c>
      <c r="I520" s="12" t="s">
        <v>3059</v>
      </c>
      <c r="J520" s="12" t="s">
        <v>3096</v>
      </c>
      <c r="K520" s="12" t="s">
        <v>3819</v>
      </c>
      <c r="L520" s="13">
        <v>5</v>
      </c>
    </row>
    <row r="521" spans="1:12" hidden="1" x14ac:dyDescent="0.55000000000000004">
      <c r="A521" s="12" t="s">
        <v>2858</v>
      </c>
      <c r="B521" s="12" t="s">
        <v>4298</v>
      </c>
      <c r="C521" s="12" t="s">
        <v>5180</v>
      </c>
      <c r="D521" s="12" t="s">
        <v>4752</v>
      </c>
      <c r="E521" s="12" t="s">
        <v>1757</v>
      </c>
      <c r="F521" s="12" t="s">
        <v>1758</v>
      </c>
      <c r="G521" s="12" t="s">
        <v>1759</v>
      </c>
      <c r="H521" s="12" t="s">
        <v>4358</v>
      </c>
      <c r="I521" s="12" t="s">
        <v>3059</v>
      </c>
      <c r="J521" s="12" t="s">
        <v>1404</v>
      </c>
      <c r="K521" s="12" t="s">
        <v>3864</v>
      </c>
      <c r="L521" s="13">
        <v>6</v>
      </c>
    </row>
    <row r="522" spans="1:12" hidden="1" x14ac:dyDescent="0.55000000000000004">
      <c r="A522" s="12" t="s">
        <v>2858</v>
      </c>
      <c r="B522" s="12" t="s">
        <v>4298</v>
      </c>
      <c r="C522" s="12" t="s">
        <v>5180</v>
      </c>
      <c r="D522" s="12" t="s">
        <v>4752</v>
      </c>
      <c r="E522" s="12" t="s">
        <v>1760</v>
      </c>
      <c r="F522" s="12" t="s">
        <v>1761</v>
      </c>
      <c r="G522" s="12" t="s">
        <v>1762</v>
      </c>
      <c r="H522" s="12" t="s">
        <v>4358</v>
      </c>
      <c r="I522" s="12" t="s">
        <v>3059</v>
      </c>
      <c r="J522" s="12" t="s">
        <v>1404</v>
      </c>
      <c r="K522" s="12" t="s">
        <v>3865</v>
      </c>
      <c r="L522" s="13">
        <v>6</v>
      </c>
    </row>
    <row r="523" spans="1:12" hidden="1" x14ac:dyDescent="0.55000000000000004">
      <c r="A523" s="12" t="s">
        <v>2858</v>
      </c>
      <c r="B523" s="12" t="s">
        <v>4298</v>
      </c>
      <c r="C523" s="12" t="s">
        <v>5180</v>
      </c>
      <c r="D523" s="12" t="s">
        <v>4752</v>
      </c>
      <c r="E523" s="12" t="s">
        <v>1763</v>
      </c>
      <c r="F523" s="12" t="s">
        <v>1764</v>
      </c>
      <c r="G523" s="12" t="s">
        <v>1765</v>
      </c>
      <c r="H523" s="12" t="s">
        <v>4358</v>
      </c>
      <c r="I523" s="12" t="s">
        <v>3059</v>
      </c>
      <c r="J523" s="12" t="s">
        <v>1404</v>
      </c>
      <c r="K523" s="12" t="s">
        <v>3866</v>
      </c>
      <c r="L523" s="13">
        <v>6</v>
      </c>
    </row>
    <row r="524" spans="1:12" hidden="1" x14ac:dyDescent="0.55000000000000004">
      <c r="A524" s="12" t="s">
        <v>2858</v>
      </c>
      <c r="B524" s="12" t="s">
        <v>4298</v>
      </c>
      <c r="C524" s="12" t="s">
        <v>5180</v>
      </c>
      <c r="D524" s="12" t="s">
        <v>4752</v>
      </c>
      <c r="E524" s="12" t="s">
        <v>1766</v>
      </c>
      <c r="F524" s="12" t="s">
        <v>1767</v>
      </c>
      <c r="G524" s="12" t="s">
        <v>1768</v>
      </c>
      <c r="H524" s="12" t="s">
        <v>4358</v>
      </c>
      <c r="I524" s="12" t="s">
        <v>3059</v>
      </c>
      <c r="J524" s="12" t="s">
        <v>1404</v>
      </c>
      <c r="K524" s="12" t="s">
        <v>3867</v>
      </c>
      <c r="L524" s="13">
        <v>6</v>
      </c>
    </row>
    <row r="525" spans="1:12" hidden="1" x14ac:dyDescent="0.55000000000000004">
      <c r="A525" s="12" t="s">
        <v>2991</v>
      </c>
      <c r="B525" s="12" t="s">
        <v>4486</v>
      </c>
      <c r="C525" s="12" t="s">
        <v>5181</v>
      </c>
      <c r="D525" s="12" t="s">
        <v>4752</v>
      </c>
      <c r="E525" s="12" t="s">
        <v>1093</v>
      </c>
      <c r="F525" s="12" t="s">
        <v>428</v>
      </c>
      <c r="G525" s="12" t="s">
        <v>1094</v>
      </c>
      <c r="H525" s="12" t="s">
        <v>5182</v>
      </c>
      <c r="I525" s="12" t="s">
        <v>3059</v>
      </c>
      <c r="J525" s="12" t="s">
        <v>1222</v>
      </c>
      <c r="K525" s="12" t="s">
        <v>3625</v>
      </c>
      <c r="L525" s="13">
        <v>5</v>
      </c>
    </row>
    <row r="526" spans="1:12" hidden="1" x14ac:dyDescent="0.55000000000000004">
      <c r="A526" s="12" t="s">
        <v>2991</v>
      </c>
      <c r="B526" s="12" t="s">
        <v>4486</v>
      </c>
      <c r="C526" s="12" t="s">
        <v>5181</v>
      </c>
      <c r="D526" s="12" t="s">
        <v>4752</v>
      </c>
      <c r="E526" s="12" t="s">
        <v>1095</v>
      </c>
      <c r="F526" s="12" t="s">
        <v>823</v>
      </c>
      <c r="G526" s="12" t="s">
        <v>1096</v>
      </c>
      <c r="H526" s="12" t="s">
        <v>5182</v>
      </c>
      <c r="I526" s="12" t="s">
        <v>3059</v>
      </c>
      <c r="J526" s="12" t="s">
        <v>1222</v>
      </c>
      <c r="K526" s="12" t="s">
        <v>3626</v>
      </c>
      <c r="L526" s="13">
        <v>5</v>
      </c>
    </row>
    <row r="527" spans="1:12" hidden="1" x14ac:dyDescent="0.55000000000000004">
      <c r="A527" s="12" t="s">
        <v>2991</v>
      </c>
      <c r="B527" s="12" t="s">
        <v>4486</v>
      </c>
      <c r="C527" s="12" t="s">
        <v>5181</v>
      </c>
      <c r="D527" s="12" t="s">
        <v>4752</v>
      </c>
      <c r="E527" s="12" t="s">
        <v>1100</v>
      </c>
      <c r="F527" s="12" t="s">
        <v>1101</v>
      </c>
      <c r="G527" s="12" t="s">
        <v>1102</v>
      </c>
      <c r="H527" s="12" t="s">
        <v>5182</v>
      </c>
      <c r="I527" s="12" t="s">
        <v>3059</v>
      </c>
      <c r="J527" s="12" t="s">
        <v>1222</v>
      </c>
      <c r="K527" s="12" t="s">
        <v>3628</v>
      </c>
      <c r="L527" s="13">
        <v>5</v>
      </c>
    </row>
    <row r="528" spans="1:12" hidden="1" x14ac:dyDescent="0.55000000000000004">
      <c r="A528" s="12" t="s">
        <v>2991</v>
      </c>
      <c r="B528" s="12" t="s">
        <v>4486</v>
      </c>
      <c r="C528" s="12" t="s">
        <v>5181</v>
      </c>
      <c r="D528" s="12" t="s">
        <v>4752</v>
      </c>
      <c r="E528" s="12" t="s">
        <v>1103</v>
      </c>
      <c r="F528" s="12" t="s">
        <v>147</v>
      </c>
      <c r="G528" s="12" t="s">
        <v>1104</v>
      </c>
      <c r="H528" s="12" t="s">
        <v>5182</v>
      </c>
      <c r="I528" s="12" t="s">
        <v>3059</v>
      </c>
      <c r="J528" s="12" t="s">
        <v>1222</v>
      </c>
      <c r="K528" s="12" t="s">
        <v>3629</v>
      </c>
      <c r="L528" s="13">
        <v>5</v>
      </c>
    </row>
    <row r="529" spans="1:12" hidden="1" x14ac:dyDescent="0.55000000000000004">
      <c r="A529" s="12" t="s">
        <v>2991</v>
      </c>
      <c r="B529" s="12" t="s">
        <v>4486</v>
      </c>
      <c r="C529" s="12" t="s">
        <v>5181</v>
      </c>
      <c r="D529" s="12" t="s">
        <v>4752</v>
      </c>
      <c r="E529" s="12" t="s">
        <v>1105</v>
      </c>
      <c r="F529" s="12" t="s">
        <v>1106</v>
      </c>
      <c r="G529" s="12" t="s">
        <v>1107</v>
      </c>
      <c r="H529" s="12" t="s">
        <v>5182</v>
      </c>
      <c r="I529" s="12" t="s">
        <v>3059</v>
      </c>
      <c r="J529" s="12" t="s">
        <v>1222</v>
      </c>
      <c r="K529" s="12" t="s">
        <v>3630</v>
      </c>
      <c r="L529" s="13">
        <v>5</v>
      </c>
    </row>
    <row r="530" spans="1:12" hidden="1" x14ac:dyDescent="0.55000000000000004">
      <c r="A530" s="12" t="s">
        <v>2991</v>
      </c>
      <c r="B530" s="12" t="s">
        <v>4486</v>
      </c>
      <c r="C530" s="12" t="s">
        <v>5181</v>
      </c>
      <c r="D530" s="12" t="s">
        <v>4752</v>
      </c>
      <c r="E530" s="12" t="s">
        <v>1108</v>
      </c>
      <c r="F530" s="12" t="s">
        <v>3140</v>
      </c>
      <c r="G530" s="12" t="s">
        <v>1109</v>
      </c>
      <c r="H530" s="12" t="s">
        <v>5182</v>
      </c>
      <c r="I530" s="12" t="s">
        <v>3059</v>
      </c>
      <c r="J530" s="12" t="s">
        <v>1222</v>
      </c>
      <c r="K530" s="12" t="s">
        <v>3631</v>
      </c>
      <c r="L530" s="13">
        <v>5</v>
      </c>
    </row>
    <row r="531" spans="1:12" hidden="1" x14ac:dyDescent="0.55000000000000004">
      <c r="A531" s="12" t="s">
        <v>2991</v>
      </c>
      <c r="B531" s="12" t="s">
        <v>4486</v>
      </c>
      <c r="C531" s="12" t="s">
        <v>5181</v>
      </c>
      <c r="D531" s="12" t="s">
        <v>4752</v>
      </c>
      <c r="E531" s="12" t="s">
        <v>1113</v>
      </c>
      <c r="F531" s="12" t="s">
        <v>1114</v>
      </c>
      <c r="G531" s="12" t="s">
        <v>1115</v>
      </c>
      <c r="H531" s="12" t="s">
        <v>5182</v>
      </c>
      <c r="I531" s="12" t="s">
        <v>3059</v>
      </c>
      <c r="J531" s="12" t="s">
        <v>1222</v>
      </c>
      <c r="K531" s="12" t="s">
        <v>3633</v>
      </c>
      <c r="L531" s="13">
        <v>5</v>
      </c>
    </row>
    <row r="532" spans="1:12" hidden="1" x14ac:dyDescent="0.55000000000000004">
      <c r="A532" s="12" t="s">
        <v>2991</v>
      </c>
      <c r="B532" s="12" t="s">
        <v>4486</v>
      </c>
      <c r="C532" s="12" t="s">
        <v>5181</v>
      </c>
      <c r="D532" s="12" t="s">
        <v>4752</v>
      </c>
      <c r="E532" s="12" t="s">
        <v>1116</v>
      </c>
      <c r="F532" s="12" t="s">
        <v>1117</v>
      </c>
      <c r="G532" s="12" t="s">
        <v>1118</v>
      </c>
      <c r="H532" s="12" t="s">
        <v>5182</v>
      </c>
      <c r="I532" s="12" t="s">
        <v>3059</v>
      </c>
      <c r="J532" s="12" t="s">
        <v>1222</v>
      </c>
      <c r="K532" s="12" t="s">
        <v>3634</v>
      </c>
      <c r="L532" s="13">
        <v>5</v>
      </c>
    </row>
    <row r="533" spans="1:12" hidden="1" x14ac:dyDescent="0.55000000000000004">
      <c r="A533" s="12" t="s">
        <v>2991</v>
      </c>
      <c r="B533" s="12" t="s">
        <v>4486</v>
      </c>
      <c r="C533" s="12" t="s">
        <v>5181</v>
      </c>
      <c r="D533" s="12" t="s">
        <v>4752</v>
      </c>
      <c r="E533" s="12" t="s">
        <v>1119</v>
      </c>
      <c r="F533" s="12" t="s">
        <v>1120</v>
      </c>
      <c r="G533" s="12" t="s">
        <v>1121</v>
      </c>
      <c r="H533" s="12" t="s">
        <v>5182</v>
      </c>
      <c r="I533" s="12" t="s">
        <v>3059</v>
      </c>
      <c r="J533" s="12" t="s">
        <v>1222</v>
      </c>
      <c r="K533" s="12" t="s">
        <v>3635</v>
      </c>
      <c r="L533" s="13">
        <v>5</v>
      </c>
    </row>
    <row r="534" spans="1:12" hidden="1" x14ac:dyDescent="0.55000000000000004">
      <c r="A534" s="12" t="s">
        <v>2991</v>
      </c>
      <c r="B534" s="12" t="s">
        <v>4486</v>
      </c>
      <c r="C534" s="12" t="s">
        <v>5181</v>
      </c>
      <c r="D534" s="12" t="s">
        <v>4752</v>
      </c>
      <c r="E534" s="12" t="s">
        <v>1125</v>
      </c>
      <c r="F534" s="12" t="s">
        <v>1126</v>
      </c>
      <c r="G534" s="12" t="s">
        <v>1127</v>
      </c>
      <c r="H534" s="12" t="s">
        <v>5182</v>
      </c>
      <c r="I534" s="12" t="s">
        <v>3059</v>
      </c>
      <c r="J534" s="12" t="s">
        <v>1222</v>
      </c>
      <c r="K534" s="12" t="s">
        <v>3637</v>
      </c>
      <c r="L534" s="13">
        <v>5</v>
      </c>
    </row>
    <row r="535" spans="1:12" hidden="1" x14ac:dyDescent="0.55000000000000004">
      <c r="A535" s="12" t="s">
        <v>2991</v>
      </c>
      <c r="B535" s="12" t="s">
        <v>4486</v>
      </c>
      <c r="C535" s="12" t="s">
        <v>5181</v>
      </c>
      <c r="D535" s="12" t="s">
        <v>4752</v>
      </c>
      <c r="E535" s="12" t="s">
        <v>1131</v>
      </c>
      <c r="F535" s="12" t="s">
        <v>189</v>
      </c>
      <c r="G535" s="12" t="s">
        <v>1132</v>
      </c>
      <c r="H535" s="12" t="s">
        <v>5182</v>
      </c>
      <c r="I535" s="12" t="s">
        <v>3059</v>
      </c>
      <c r="J535" s="12" t="s">
        <v>1222</v>
      </c>
      <c r="K535" s="12" t="s">
        <v>3639</v>
      </c>
      <c r="L535" s="13">
        <v>5</v>
      </c>
    </row>
    <row r="536" spans="1:12" hidden="1" x14ac:dyDescent="0.55000000000000004">
      <c r="A536" s="12" t="s">
        <v>2991</v>
      </c>
      <c r="B536" s="12" t="s">
        <v>4486</v>
      </c>
      <c r="C536" s="12" t="s">
        <v>5181</v>
      </c>
      <c r="D536" s="12" t="s">
        <v>4752</v>
      </c>
      <c r="E536" s="12" t="s">
        <v>1141</v>
      </c>
      <c r="F536" s="12" t="s">
        <v>1142</v>
      </c>
      <c r="G536" s="12" t="s">
        <v>1143</v>
      </c>
      <c r="H536" s="12" t="s">
        <v>5182</v>
      </c>
      <c r="I536" s="12" t="s">
        <v>3059</v>
      </c>
      <c r="J536" s="12" t="s">
        <v>1222</v>
      </c>
      <c r="K536" s="12" t="s">
        <v>3643</v>
      </c>
      <c r="L536" s="13">
        <v>5</v>
      </c>
    </row>
    <row r="537" spans="1:12" hidden="1" x14ac:dyDescent="0.55000000000000004">
      <c r="A537" s="12" t="s">
        <v>2991</v>
      </c>
      <c r="B537" s="12" t="s">
        <v>4486</v>
      </c>
      <c r="C537" s="12" t="s">
        <v>5181</v>
      </c>
      <c r="D537" s="12" t="s">
        <v>4752</v>
      </c>
      <c r="E537" s="12" t="s">
        <v>1144</v>
      </c>
      <c r="F537" s="12" t="s">
        <v>1145</v>
      </c>
      <c r="G537" s="12" t="s">
        <v>1146</v>
      </c>
      <c r="H537" s="12" t="s">
        <v>5182</v>
      </c>
      <c r="I537" s="12" t="s">
        <v>3059</v>
      </c>
      <c r="J537" s="12" t="s">
        <v>1222</v>
      </c>
      <c r="K537" s="12" t="s">
        <v>3644</v>
      </c>
      <c r="L537" s="13">
        <v>5</v>
      </c>
    </row>
    <row r="538" spans="1:12" hidden="1" x14ac:dyDescent="0.55000000000000004">
      <c r="A538" s="12" t="s">
        <v>2991</v>
      </c>
      <c r="B538" s="12" t="s">
        <v>4486</v>
      </c>
      <c r="C538" s="12" t="s">
        <v>5181</v>
      </c>
      <c r="D538" s="12" t="s">
        <v>4752</v>
      </c>
      <c r="E538" s="12" t="s">
        <v>1153</v>
      </c>
      <c r="F538" s="12" t="s">
        <v>1154</v>
      </c>
      <c r="G538" s="12" t="s">
        <v>1155</v>
      </c>
      <c r="H538" s="12" t="s">
        <v>5182</v>
      </c>
      <c r="I538" s="12" t="s">
        <v>3059</v>
      </c>
      <c r="J538" s="12" t="s">
        <v>1222</v>
      </c>
      <c r="K538" s="12" t="s">
        <v>3647</v>
      </c>
      <c r="L538" s="13">
        <v>5</v>
      </c>
    </row>
    <row r="539" spans="1:12" hidden="1" x14ac:dyDescent="0.55000000000000004">
      <c r="A539" s="12" t="s">
        <v>2906</v>
      </c>
      <c r="B539" s="12" t="s">
        <v>4422</v>
      </c>
      <c r="C539" s="12" t="s">
        <v>5183</v>
      </c>
      <c r="D539" s="12" t="s">
        <v>4752</v>
      </c>
      <c r="E539" s="12" t="s">
        <v>2186</v>
      </c>
      <c r="F539" s="12" t="s">
        <v>844</v>
      </c>
      <c r="G539" s="12" t="s">
        <v>2187</v>
      </c>
      <c r="H539" s="12" t="s">
        <v>4423</v>
      </c>
      <c r="I539" s="12" t="s">
        <v>3059</v>
      </c>
      <c r="J539" s="12" t="s">
        <v>338</v>
      </c>
      <c r="K539" s="12" t="s">
        <v>4023</v>
      </c>
      <c r="L539" s="13">
        <v>6</v>
      </c>
    </row>
    <row r="540" spans="1:12" hidden="1" x14ac:dyDescent="0.55000000000000004">
      <c r="A540" s="12" t="s">
        <v>2906</v>
      </c>
      <c r="B540" s="12" t="s">
        <v>4422</v>
      </c>
      <c r="C540" s="12" t="s">
        <v>5183</v>
      </c>
      <c r="D540" s="12" t="s">
        <v>4752</v>
      </c>
      <c r="E540" s="12" t="s">
        <v>2188</v>
      </c>
      <c r="F540" s="12" t="s">
        <v>1972</v>
      </c>
      <c r="G540" s="12" t="s">
        <v>3159</v>
      </c>
      <c r="H540" s="12" t="s">
        <v>4423</v>
      </c>
      <c r="I540" s="12" t="s">
        <v>3075</v>
      </c>
      <c r="J540" s="12" t="s">
        <v>338</v>
      </c>
      <c r="K540" s="12" t="s">
        <v>4024</v>
      </c>
      <c r="L540" s="13" t="s">
        <v>3075</v>
      </c>
    </row>
    <row r="541" spans="1:12" hidden="1" x14ac:dyDescent="0.55000000000000004">
      <c r="A541" s="12" t="s">
        <v>2906</v>
      </c>
      <c r="B541" s="12" t="s">
        <v>4422</v>
      </c>
      <c r="C541" s="12" t="s">
        <v>5183</v>
      </c>
      <c r="D541" s="12" t="s">
        <v>4752</v>
      </c>
      <c r="E541" s="12" t="s">
        <v>2189</v>
      </c>
      <c r="F541" s="12" t="s">
        <v>2190</v>
      </c>
      <c r="G541" s="12" t="s">
        <v>2191</v>
      </c>
      <c r="H541" s="12" t="s">
        <v>4423</v>
      </c>
      <c r="I541" s="12" t="s">
        <v>3059</v>
      </c>
      <c r="J541" s="12" t="s">
        <v>338</v>
      </c>
      <c r="K541" s="12" t="s">
        <v>4025</v>
      </c>
      <c r="L541" s="13">
        <v>6</v>
      </c>
    </row>
    <row r="542" spans="1:12" hidden="1" x14ac:dyDescent="0.55000000000000004">
      <c r="A542" s="12" t="s">
        <v>2906</v>
      </c>
      <c r="B542" s="12" t="s">
        <v>4422</v>
      </c>
      <c r="C542" s="12" t="s">
        <v>5183</v>
      </c>
      <c r="D542" s="12" t="s">
        <v>4752</v>
      </c>
      <c r="E542" s="12" t="s">
        <v>2192</v>
      </c>
      <c r="F542" s="12" t="s">
        <v>2193</v>
      </c>
      <c r="G542" s="12" t="s">
        <v>2194</v>
      </c>
      <c r="H542" s="12" t="s">
        <v>4423</v>
      </c>
      <c r="I542" s="12" t="s">
        <v>3059</v>
      </c>
      <c r="J542" s="12" t="s">
        <v>338</v>
      </c>
      <c r="K542" s="12" t="s">
        <v>4026</v>
      </c>
      <c r="L542" s="13">
        <v>6</v>
      </c>
    </row>
    <row r="543" spans="1:12" hidden="1" x14ac:dyDescent="0.55000000000000004">
      <c r="A543" s="12" t="s">
        <v>2906</v>
      </c>
      <c r="B543" s="12" t="s">
        <v>4422</v>
      </c>
      <c r="C543" s="12" t="s">
        <v>5183</v>
      </c>
      <c r="D543" s="12" t="s">
        <v>4752</v>
      </c>
      <c r="E543" s="12" t="s">
        <v>2195</v>
      </c>
      <c r="F543" s="12" t="s">
        <v>3165</v>
      </c>
      <c r="G543" s="12" t="s">
        <v>3180</v>
      </c>
      <c r="H543" s="12" t="s">
        <v>4423</v>
      </c>
      <c r="I543" s="12" t="s">
        <v>3059</v>
      </c>
      <c r="J543" s="12" t="s">
        <v>338</v>
      </c>
      <c r="K543" s="12" t="s">
        <v>4027</v>
      </c>
      <c r="L543" s="13">
        <v>6</v>
      </c>
    </row>
    <row r="544" spans="1:12" hidden="1" x14ac:dyDescent="0.55000000000000004">
      <c r="A544" s="12" t="s">
        <v>2906</v>
      </c>
      <c r="B544" s="12" t="s">
        <v>4422</v>
      </c>
      <c r="C544" s="12" t="s">
        <v>5183</v>
      </c>
      <c r="D544" s="12" t="s">
        <v>4752</v>
      </c>
      <c r="E544" s="12" t="s">
        <v>2196</v>
      </c>
      <c r="F544" s="12" t="s">
        <v>2197</v>
      </c>
      <c r="G544" s="12" t="s">
        <v>2198</v>
      </c>
      <c r="H544" s="12" t="s">
        <v>4423</v>
      </c>
      <c r="I544" s="12" t="s">
        <v>3059</v>
      </c>
      <c r="J544" s="12" t="s">
        <v>338</v>
      </c>
      <c r="K544" s="12" t="s">
        <v>4028</v>
      </c>
      <c r="L544" s="13">
        <v>6</v>
      </c>
    </row>
    <row r="545" spans="1:12" hidden="1" x14ac:dyDescent="0.55000000000000004">
      <c r="A545" s="12" t="s">
        <v>2906</v>
      </c>
      <c r="B545" s="12" t="s">
        <v>4422</v>
      </c>
      <c r="C545" s="12" t="s">
        <v>5183</v>
      </c>
      <c r="D545" s="12" t="s">
        <v>4752</v>
      </c>
      <c r="E545" s="12" t="s">
        <v>2199</v>
      </c>
      <c r="F545" s="12" t="s">
        <v>3160</v>
      </c>
      <c r="G545" s="12" t="s">
        <v>582</v>
      </c>
      <c r="H545" s="12" t="s">
        <v>4423</v>
      </c>
      <c r="I545" s="12" t="s">
        <v>3059</v>
      </c>
      <c r="J545" s="12" t="s">
        <v>338</v>
      </c>
      <c r="K545" s="12" t="s">
        <v>4029</v>
      </c>
      <c r="L545" s="13">
        <v>6</v>
      </c>
    </row>
    <row r="546" spans="1:12" hidden="1" x14ac:dyDescent="0.55000000000000004">
      <c r="A546" s="12" t="s">
        <v>2906</v>
      </c>
      <c r="B546" s="12" t="s">
        <v>4422</v>
      </c>
      <c r="C546" s="12" t="s">
        <v>5183</v>
      </c>
      <c r="D546" s="12" t="s">
        <v>4752</v>
      </c>
      <c r="E546" s="12" t="s">
        <v>5828</v>
      </c>
      <c r="F546" s="12" t="s">
        <v>1120</v>
      </c>
      <c r="G546" s="12" t="s">
        <v>5829</v>
      </c>
      <c r="H546" s="12" t="s">
        <v>4423</v>
      </c>
      <c r="I546" s="12" t="s">
        <v>3075</v>
      </c>
      <c r="J546" s="12" t="s">
        <v>338</v>
      </c>
      <c r="K546" s="12" t="s">
        <v>5830</v>
      </c>
      <c r="L546" s="13" t="s">
        <v>3075</v>
      </c>
    </row>
    <row r="547" spans="1:12" hidden="1" x14ac:dyDescent="0.55000000000000004">
      <c r="A547" s="12" t="s">
        <v>2921</v>
      </c>
      <c r="B547" s="12" t="s">
        <v>4422</v>
      </c>
      <c r="C547" s="12" t="s">
        <v>5184</v>
      </c>
      <c r="D547" s="12" t="s">
        <v>4752</v>
      </c>
      <c r="E547" s="12" t="s">
        <v>1424</v>
      </c>
      <c r="F547" s="12" t="s">
        <v>1425</v>
      </c>
      <c r="G547" s="12" t="s">
        <v>1426</v>
      </c>
      <c r="H547" s="12" t="s">
        <v>4438</v>
      </c>
      <c r="I547" s="12" t="s">
        <v>3059</v>
      </c>
      <c r="J547" s="12" t="s">
        <v>341</v>
      </c>
      <c r="K547" s="12" t="s">
        <v>3739</v>
      </c>
      <c r="L547" s="13">
        <v>5</v>
      </c>
    </row>
    <row r="548" spans="1:12" hidden="1" x14ac:dyDescent="0.55000000000000004">
      <c r="A548" s="12" t="s">
        <v>2921</v>
      </c>
      <c r="B548" s="12" t="s">
        <v>4422</v>
      </c>
      <c r="C548" s="12" t="s">
        <v>5184</v>
      </c>
      <c r="D548" s="12" t="s">
        <v>4752</v>
      </c>
      <c r="E548" s="12" t="s">
        <v>1427</v>
      </c>
      <c r="F548" s="12" t="s">
        <v>844</v>
      </c>
      <c r="G548" s="12" t="s">
        <v>1428</v>
      </c>
      <c r="H548" s="12" t="s">
        <v>4438</v>
      </c>
      <c r="I548" s="12" t="s">
        <v>3075</v>
      </c>
      <c r="J548" s="12" t="s">
        <v>341</v>
      </c>
      <c r="K548" s="12" t="s">
        <v>3740</v>
      </c>
      <c r="L548" s="13" t="s">
        <v>3075</v>
      </c>
    </row>
    <row r="549" spans="1:12" hidden="1" x14ac:dyDescent="0.55000000000000004">
      <c r="A549" s="12" t="s">
        <v>2921</v>
      </c>
      <c r="B549" s="12" t="s">
        <v>4422</v>
      </c>
      <c r="C549" s="12" t="s">
        <v>5184</v>
      </c>
      <c r="D549" s="12" t="s">
        <v>4752</v>
      </c>
      <c r="E549" s="12" t="s">
        <v>1429</v>
      </c>
      <c r="F549" s="12" t="s">
        <v>1139</v>
      </c>
      <c r="G549" s="12" t="s">
        <v>1430</v>
      </c>
      <c r="H549" s="12" t="s">
        <v>4438</v>
      </c>
      <c r="I549" s="12" t="s">
        <v>3059</v>
      </c>
      <c r="J549" s="12" t="s">
        <v>341</v>
      </c>
      <c r="K549" s="12" t="s">
        <v>3741</v>
      </c>
      <c r="L549" s="13">
        <v>5</v>
      </c>
    </row>
    <row r="550" spans="1:12" hidden="1" x14ac:dyDescent="0.55000000000000004">
      <c r="A550" s="12" t="s">
        <v>2921</v>
      </c>
      <c r="B550" s="12" t="s">
        <v>4422</v>
      </c>
      <c r="C550" s="12" t="s">
        <v>5184</v>
      </c>
      <c r="D550" s="12" t="s">
        <v>4752</v>
      </c>
      <c r="E550" s="12" t="s">
        <v>1431</v>
      </c>
      <c r="F550" s="12" t="s">
        <v>1432</v>
      </c>
      <c r="G550" s="12" t="s">
        <v>1433</v>
      </c>
      <c r="H550" s="12" t="s">
        <v>4438</v>
      </c>
      <c r="I550" s="12" t="s">
        <v>3075</v>
      </c>
      <c r="J550" s="12" t="s">
        <v>341</v>
      </c>
      <c r="K550" s="12" t="s">
        <v>3742</v>
      </c>
      <c r="L550" s="13" t="s">
        <v>3075</v>
      </c>
    </row>
    <row r="551" spans="1:12" hidden="1" x14ac:dyDescent="0.55000000000000004">
      <c r="A551" s="12" t="s">
        <v>2921</v>
      </c>
      <c r="B551" s="12" t="s">
        <v>4422</v>
      </c>
      <c r="C551" s="12" t="s">
        <v>5184</v>
      </c>
      <c r="D551" s="12" t="s">
        <v>4752</v>
      </c>
      <c r="E551" s="12" t="s">
        <v>1434</v>
      </c>
      <c r="F551" s="12" t="s">
        <v>428</v>
      </c>
      <c r="G551" s="12" t="s">
        <v>1435</v>
      </c>
      <c r="H551" s="12" t="s">
        <v>4438</v>
      </c>
      <c r="I551" s="12" t="s">
        <v>3075</v>
      </c>
      <c r="J551" s="12" t="s">
        <v>341</v>
      </c>
      <c r="K551" s="12" t="s">
        <v>3743</v>
      </c>
      <c r="L551" s="13" t="s">
        <v>3075</v>
      </c>
    </row>
    <row r="552" spans="1:12" hidden="1" x14ac:dyDescent="0.55000000000000004">
      <c r="A552" s="12" t="s">
        <v>2921</v>
      </c>
      <c r="B552" s="12" t="s">
        <v>4422</v>
      </c>
      <c r="C552" s="12" t="s">
        <v>5184</v>
      </c>
      <c r="D552" s="12" t="s">
        <v>4752</v>
      </c>
      <c r="E552" s="12" t="s">
        <v>5831</v>
      </c>
      <c r="F552" s="12" t="s">
        <v>5832</v>
      </c>
      <c r="G552" s="12" t="s">
        <v>1428</v>
      </c>
      <c r="H552" s="12" t="s">
        <v>4438</v>
      </c>
      <c r="I552" s="12" t="s">
        <v>3075</v>
      </c>
      <c r="J552" s="12" t="s">
        <v>341</v>
      </c>
      <c r="K552" s="12" t="s">
        <v>5833</v>
      </c>
      <c r="L552" s="13" t="s">
        <v>3075</v>
      </c>
    </row>
    <row r="553" spans="1:12" hidden="1" x14ac:dyDescent="0.55000000000000004">
      <c r="A553" s="12" t="s">
        <v>2941</v>
      </c>
      <c r="B553" s="12" t="s">
        <v>4417</v>
      </c>
      <c r="C553" s="12" t="s">
        <v>5137</v>
      </c>
      <c r="D553" s="12" t="s">
        <v>4752</v>
      </c>
      <c r="E553" s="12" t="s">
        <v>138</v>
      </c>
      <c r="F553" s="12" t="s">
        <v>139</v>
      </c>
      <c r="G553" s="12" t="s">
        <v>140</v>
      </c>
      <c r="H553" s="12" t="s">
        <v>4420</v>
      </c>
      <c r="I553" s="12" t="s">
        <v>3075</v>
      </c>
      <c r="J553" s="12" t="s">
        <v>100</v>
      </c>
      <c r="K553" s="12" t="s">
        <v>3293</v>
      </c>
      <c r="L553" s="13" t="s">
        <v>3075</v>
      </c>
    </row>
    <row r="554" spans="1:12" hidden="1" x14ac:dyDescent="0.55000000000000004">
      <c r="A554" s="12" t="s">
        <v>2941</v>
      </c>
      <c r="B554" s="12" t="s">
        <v>4417</v>
      </c>
      <c r="C554" s="12" t="s">
        <v>5137</v>
      </c>
      <c r="D554" s="12" t="s">
        <v>4752</v>
      </c>
      <c r="E554" s="12" t="s">
        <v>141</v>
      </c>
      <c r="F554" s="12" t="s">
        <v>142</v>
      </c>
      <c r="G554" s="12" t="s">
        <v>143</v>
      </c>
      <c r="H554" s="12" t="s">
        <v>4420</v>
      </c>
      <c r="I554" s="12" t="s">
        <v>3075</v>
      </c>
      <c r="J554" s="12" t="s">
        <v>100</v>
      </c>
      <c r="K554" s="12" t="s">
        <v>3294</v>
      </c>
      <c r="L554" s="13" t="s">
        <v>3075</v>
      </c>
    </row>
    <row r="555" spans="1:12" hidden="1" x14ac:dyDescent="0.55000000000000004">
      <c r="A555" s="12" t="s">
        <v>2941</v>
      </c>
      <c r="B555" s="12" t="s">
        <v>4417</v>
      </c>
      <c r="C555" s="12" t="s">
        <v>5137</v>
      </c>
      <c r="D555" s="12" t="s">
        <v>4752</v>
      </c>
      <c r="E555" s="12" t="s">
        <v>144</v>
      </c>
      <c r="F555" s="12" t="s">
        <v>145</v>
      </c>
      <c r="G555" s="12" t="s">
        <v>146</v>
      </c>
      <c r="H555" s="12" t="s">
        <v>4420</v>
      </c>
      <c r="I555" s="12" t="s">
        <v>3075</v>
      </c>
      <c r="J555" s="12" t="s">
        <v>100</v>
      </c>
      <c r="K555" s="12" t="s">
        <v>3295</v>
      </c>
      <c r="L555" s="13" t="s">
        <v>3075</v>
      </c>
    </row>
    <row r="556" spans="1:12" hidden="1" x14ac:dyDescent="0.55000000000000004">
      <c r="A556" s="12" t="s">
        <v>2941</v>
      </c>
      <c r="B556" s="12" t="s">
        <v>4417</v>
      </c>
      <c r="C556" s="12" t="s">
        <v>5137</v>
      </c>
      <c r="D556" s="12" t="s">
        <v>4752</v>
      </c>
      <c r="E556" s="12" t="s">
        <v>331</v>
      </c>
      <c r="F556" s="12" t="s">
        <v>147</v>
      </c>
      <c r="G556" s="12" t="s">
        <v>332</v>
      </c>
      <c r="H556" s="12" t="s">
        <v>4420</v>
      </c>
      <c r="I556" s="12" t="s">
        <v>3075</v>
      </c>
      <c r="J556" s="12" t="s">
        <v>100</v>
      </c>
      <c r="K556" s="12" t="s">
        <v>3356</v>
      </c>
      <c r="L556" s="13" t="s">
        <v>3075</v>
      </c>
    </row>
    <row r="557" spans="1:12" hidden="1" x14ac:dyDescent="0.55000000000000004">
      <c r="A557" s="12" t="s">
        <v>2941</v>
      </c>
      <c r="B557" s="12" t="s">
        <v>4417</v>
      </c>
      <c r="C557" s="12" t="s">
        <v>5137</v>
      </c>
      <c r="D557" s="12" t="s">
        <v>4752</v>
      </c>
      <c r="E557" s="12" t="s">
        <v>343</v>
      </c>
      <c r="F557" s="12" t="s">
        <v>255</v>
      </c>
      <c r="G557" s="12" t="s">
        <v>344</v>
      </c>
      <c r="H557" s="12" t="s">
        <v>4420</v>
      </c>
      <c r="I557" s="12" t="s">
        <v>3075</v>
      </c>
      <c r="J557" s="12" t="s">
        <v>100</v>
      </c>
      <c r="K557" s="12" t="s">
        <v>3361</v>
      </c>
      <c r="L557" s="13" t="s">
        <v>3075</v>
      </c>
    </row>
    <row r="558" spans="1:12" hidden="1" x14ac:dyDescent="0.55000000000000004">
      <c r="A558" s="12" t="s">
        <v>2941</v>
      </c>
      <c r="B558" s="12" t="s">
        <v>4417</v>
      </c>
      <c r="C558" s="12" t="s">
        <v>5137</v>
      </c>
      <c r="D558" s="12" t="s">
        <v>4752</v>
      </c>
      <c r="E558" s="12" t="s">
        <v>5834</v>
      </c>
      <c r="F558" s="12" t="s">
        <v>5835</v>
      </c>
      <c r="G558" s="12" t="s">
        <v>5836</v>
      </c>
      <c r="H558" s="12" t="s">
        <v>4420</v>
      </c>
      <c r="I558" s="12" t="s">
        <v>3075</v>
      </c>
      <c r="J558" s="12" t="s">
        <v>100</v>
      </c>
      <c r="K558" s="12" t="s">
        <v>5837</v>
      </c>
      <c r="L558" s="13" t="s">
        <v>3075</v>
      </c>
    </row>
    <row r="559" spans="1:12" hidden="1" x14ac:dyDescent="0.55000000000000004">
      <c r="A559" s="12" t="s">
        <v>2985</v>
      </c>
      <c r="B559" s="12" t="s">
        <v>4486</v>
      </c>
      <c r="C559" s="12" t="s">
        <v>4885</v>
      </c>
      <c r="D559" s="12" t="s">
        <v>4752</v>
      </c>
      <c r="E559" s="12" t="s">
        <v>1682</v>
      </c>
      <c r="F559" s="12" t="s">
        <v>3155</v>
      </c>
      <c r="G559" s="12" t="s">
        <v>1683</v>
      </c>
      <c r="H559" s="12" t="s">
        <v>5185</v>
      </c>
      <c r="I559" s="12" t="s">
        <v>3059</v>
      </c>
      <c r="J559" s="12" t="s">
        <v>3090</v>
      </c>
      <c r="K559" s="12" t="s">
        <v>3836</v>
      </c>
      <c r="L559" s="13">
        <v>4</v>
      </c>
    </row>
    <row r="560" spans="1:12" hidden="1" x14ac:dyDescent="0.55000000000000004">
      <c r="A560" s="12" t="s">
        <v>2985</v>
      </c>
      <c r="B560" s="12" t="s">
        <v>4486</v>
      </c>
      <c r="C560" s="12" t="s">
        <v>4885</v>
      </c>
      <c r="D560" s="12" t="s">
        <v>4752</v>
      </c>
      <c r="E560" s="12" t="s">
        <v>1693</v>
      </c>
      <c r="F560" s="12" t="s">
        <v>1694</v>
      </c>
      <c r="G560" s="12" t="s">
        <v>1695</v>
      </c>
      <c r="H560" s="12" t="s">
        <v>5185</v>
      </c>
      <c r="I560" s="12" t="s">
        <v>3075</v>
      </c>
      <c r="J560" s="12" t="s">
        <v>3090</v>
      </c>
      <c r="K560" s="12" t="s">
        <v>3839</v>
      </c>
      <c r="L560" s="13" t="s">
        <v>3075</v>
      </c>
    </row>
    <row r="561" spans="1:12" hidden="1" x14ac:dyDescent="0.55000000000000004">
      <c r="A561" s="12" t="s">
        <v>2985</v>
      </c>
      <c r="B561" s="12" t="s">
        <v>4486</v>
      </c>
      <c r="C561" s="12" t="s">
        <v>4885</v>
      </c>
      <c r="D561" s="12" t="s">
        <v>4752</v>
      </c>
      <c r="E561" s="12" t="s">
        <v>1698</v>
      </c>
      <c r="F561" s="12" t="s">
        <v>596</v>
      </c>
      <c r="G561" s="12" t="s">
        <v>1699</v>
      </c>
      <c r="H561" s="12" t="s">
        <v>5185</v>
      </c>
      <c r="I561" s="12" t="s">
        <v>3059</v>
      </c>
      <c r="J561" s="12" t="s">
        <v>3090</v>
      </c>
      <c r="K561" s="12" t="s">
        <v>3841</v>
      </c>
      <c r="L561" s="13">
        <v>6</v>
      </c>
    </row>
    <row r="562" spans="1:12" hidden="1" x14ac:dyDescent="0.55000000000000004">
      <c r="A562" s="12" t="s">
        <v>2985</v>
      </c>
      <c r="B562" s="12" t="s">
        <v>4486</v>
      </c>
      <c r="C562" s="12" t="s">
        <v>4885</v>
      </c>
      <c r="D562" s="12" t="s">
        <v>4752</v>
      </c>
      <c r="E562" s="12" t="s">
        <v>1702</v>
      </c>
      <c r="F562" s="12" t="s">
        <v>169</v>
      </c>
      <c r="G562" s="12" t="s">
        <v>1703</v>
      </c>
      <c r="H562" s="12" t="s">
        <v>5185</v>
      </c>
      <c r="I562" s="12" t="s">
        <v>3075</v>
      </c>
      <c r="J562" s="12" t="s">
        <v>3090</v>
      </c>
      <c r="K562" s="12" t="s">
        <v>3843</v>
      </c>
      <c r="L562" s="13" t="s">
        <v>3075</v>
      </c>
    </row>
    <row r="563" spans="1:12" hidden="1" x14ac:dyDescent="0.55000000000000004">
      <c r="A563" s="12" t="s">
        <v>2985</v>
      </c>
      <c r="B563" s="12" t="s">
        <v>4486</v>
      </c>
      <c r="C563" s="12" t="s">
        <v>4885</v>
      </c>
      <c r="D563" s="12" t="s">
        <v>4752</v>
      </c>
      <c r="E563" s="12" t="s">
        <v>3231</v>
      </c>
      <c r="F563" s="12" t="s">
        <v>1704</v>
      </c>
      <c r="G563" s="12" t="s">
        <v>1705</v>
      </c>
      <c r="H563" s="12" t="s">
        <v>5185</v>
      </c>
      <c r="I563" s="12" t="s">
        <v>3059</v>
      </c>
      <c r="J563" s="12" t="s">
        <v>3090</v>
      </c>
      <c r="K563" s="12" t="s">
        <v>3844</v>
      </c>
      <c r="L563" s="13">
        <v>4</v>
      </c>
    </row>
    <row r="564" spans="1:12" hidden="1" x14ac:dyDescent="0.55000000000000004">
      <c r="A564" s="12" t="s">
        <v>2985</v>
      </c>
      <c r="B564" s="12" t="s">
        <v>4486</v>
      </c>
      <c r="C564" s="12" t="s">
        <v>4885</v>
      </c>
      <c r="D564" s="12" t="s">
        <v>4752</v>
      </c>
      <c r="E564" s="12" t="s">
        <v>5838</v>
      </c>
      <c r="F564" s="12" t="s">
        <v>5839</v>
      </c>
      <c r="G564" s="12" t="s">
        <v>5840</v>
      </c>
      <c r="H564" s="12" t="s">
        <v>5185</v>
      </c>
      <c r="I564" s="12" t="s">
        <v>3059</v>
      </c>
      <c r="J564" s="12" t="s">
        <v>3090</v>
      </c>
      <c r="K564" s="12" t="s">
        <v>5841</v>
      </c>
      <c r="L564" s="13">
        <v>6</v>
      </c>
    </row>
    <row r="565" spans="1:12" hidden="1" x14ac:dyDescent="0.55000000000000004">
      <c r="A565" s="12" t="s">
        <v>2985</v>
      </c>
      <c r="B565" s="12" t="s">
        <v>4486</v>
      </c>
      <c r="C565" s="12" t="s">
        <v>4885</v>
      </c>
      <c r="D565" s="12" t="s">
        <v>4752</v>
      </c>
      <c r="E565" s="12" t="s">
        <v>5842</v>
      </c>
      <c r="F565" s="12" t="s">
        <v>5839</v>
      </c>
      <c r="G565" s="12" t="s">
        <v>5840</v>
      </c>
      <c r="H565" s="12" t="s">
        <v>5185</v>
      </c>
      <c r="I565" s="12" t="s">
        <v>3059</v>
      </c>
      <c r="J565" s="12" t="s">
        <v>3090</v>
      </c>
      <c r="K565" s="12" t="s">
        <v>5841</v>
      </c>
      <c r="L565" s="13">
        <v>6</v>
      </c>
    </row>
    <row r="566" spans="1:12" hidden="1" x14ac:dyDescent="0.55000000000000004">
      <c r="A566" s="12" t="s">
        <v>2985</v>
      </c>
      <c r="B566" s="12" t="s">
        <v>4486</v>
      </c>
      <c r="C566" s="12" t="s">
        <v>4885</v>
      </c>
      <c r="D566" s="12" t="s">
        <v>4752</v>
      </c>
      <c r="E566" s="12" t="s">
        <v>5843</v>
      </c>
      <c r="F566" s="12" t="s">
        <v>5839</v>
      </c>
      <c r="G566" s="12" t="s">
        <v>5840</v>
      </c>
      <c r="H566" s="12" t="s">
        <v>5185</v>
      </c>
      <c r="I566" s="12" t="s">
        <v>3059</v>
      </c>
      <c r="J566" s="12" t="s">
        <v>3090</v>
      </c>
      <c r="K566" s="12" t="s">
        <v>5841</v>
      </c>
      <c r="L566" s="13">
        <v>6</v>
      </c>
    </row>
    <row r="567" spans="1:12" hidden="1" x14ac:dyDescent="0.55000000000000004">
      <c r="A567" s="12" t="s">
        <v>2985</v>
      </c>
      <c r="B567" s="12" t="s">
        <v>4486</v>
      </c>
      <c r="C567" s="12" t="s">
        <v>4885</v>
      </c>
      <c r="D567" s="12" t="s">
        <v>4752</v>
      </c>
      <c r="E567" s="12" t="s">
        <v>5844</v>
      </c>
      <c r="F567" s="12" t="s">
        <v>5845</v>
      </c>
      <c r="G567" s="12" t="s">
        <v>5846</v>
      </c>
      <c r="H567" s="12" t="s">
        <v>5185</v>
      </c>
      <c r="I567" s="12" t="s">
        <v>3075</v>
      </c>
      <c r="J567" s="12" t="s">
        <v>3090</v>
      </c>
      <c r="K567" s="12" t="s">
        <v>5847</v>
      </c>
      <c r="L567" s="13" t="s">
        <v>3075</v>
      </c>
    </row>
    <row r="568" spans="1:12" hidden="1" x14ac:dyDescent="0.55000000000000004">
      <c r="A568" s="12" t="s">
        <v>2985</v>
      </c>
      <c r="B568" s="12" t="s">
        <v>4486</v>
      </c>
      <c r="C568" s="12" t="s">
        <v>4885</v>
      </c>
      <c r="D568" s="12" t="s">
        <v>4752</v>
      </c>
      <c r="E568" s="12" t="s">
        <v>5848</v>
      </c>
      <c r="F568" s="12" t="s">
        <v>5839</v>
      </c>
      <c r="G568" s="12" t="s">
        <v>5840</v>
      </c>
      <c r="H568" s="12" t="s">
        <v>5185</v>
      </c>
      <c r="I568" s="12" t="s">
        <v>3059</v>
      </c>
      <c r="J568" s="12" t="s">
        <v>3090</v>
      </c>
      <c r="K568" s="12" t="s">
        <v>5841</v>
      </c>
      <c r="L568" s="13">
        <v>6</v>
      </c>
    </row>
    <row r="569" spans="1:12" hidden="1" x14ac:dyDescent="0.55000000000000004">
      <c r="A569" s="12" t="s">
        <v>2985</v>
      </c>
      <c r="B569" s="12" t="s">
        <v>4486</v>
      </c>
      <c r="C569" s="12" t="s">
        <v>4885</v>
      </c>
      <c r="D569" s="12" t="s">
        <v>4752</v>
      </c>
      <c r="E569" s="12" t="s">
        <v>5849</v>
      </c>
      <c r="F569" s="12" t="s">
        <v>5839</v>
      </c>
      <c r="G569" s="12" t="s">
        <v>5840</v>
      </c>
      <c r="H569" s="12" t="s">
        <v>5185</v>
      </c>
      <c r="I569" s="12" t="s">
        <v>3059</v>
      </c>
      <c r="J569" s="12" t="s">
        <v>3090</v>
      </c>
      <c r="K569" s="12" t="s">
        <v>5841</v>
      </c>
      <c r="L569" s="13">
        <v>6</v>
      </c>
    </row>
    <row r="570" spans="1:12" hidden="1" x14ac:dyDescent="0.55000000000000004">
      <c r="A570" s="12" t="s">
        <v>2985</v>
      </c>
      <c r="B570" s="12" t="s">
        <v>4486</v>
      </c>
      <c r="C570" s="12" t="s">
        <v>4885</v>
      </c>
      <c r="D570" s="12" t="s">
        <v>4752</v>
      </c>
      <c r="E570" s="12" t="s">
        <v>5850</v>
      </c>
      <c r="F570" s="12" t="s">
        <v>5839</v>
      </c>
      <c r="G570" s="12" t="s">
        <v>5840</v>
      </c>
      <c r="H570" s="12" t="s">
        <v>5185</v>
      </c>
      <c r="I570" s="12" t="s">
        <v>3059</v>
      </c>
      <c r="J570" s="12" t="s">
        <v>3090</v>
      </c>
      <c r="K570" s="12" t="s">
        <v>5841</v>
      </c>
      <c r="L570" s="13">
        <v>6</v>
      </c>
    </row>
    <row r="571" spans="1:12" hidden="1" x14ac:dyDescent="0.55000000000000004">
      <c r="A571" s="12" t="s">
        <v>2985</v>
      </c>
      <c r="B571" s="12" t="s">
        <v>4486</v>
      </c>
      <c r="C571" s="12" t="s">
        <v>4885</v>
      </c>
      <c r="D571" s="12" t="s">
        <v>4752</v>
      </c>
      <c r="E571" s="12" t="s">
        <v>5851</v>
      </c>
      <c r="F571" s="12" t="s">
        <v>5839</v>
      </c>
      <c r="G571" s="12" t="s">
        <v>5840</v>
      </c>
      <c r="H571" s="12" t="s">
        <v>5185</v>
      </c>
      <c r="I571" s="12" t="s">
        <v>3059</v>
      </c>
      <c r="J571" s="12" t="s">
        <v>3090</v>
      </c>
      <c r="K571" s="12" t="s">
        <v>5841</v>
      </c>
      <c r="L571" s="13">
        <v>6</v>
      </c>
    </row>
    <row r="572" spans="1:12" hidden="1" x14ac:dyDescent="0.55000000000000004">
      <c r="A572" s="12" t="s">
        <v>2985</v>
      </c>
      <c r="B572" s="12" t="s">
        <v>4486</v>
      </c>
      <c r="C572" s="12" t="s">
        <v>4885</v>
      </c>
      <c r="D572" s="12" t="s">
        <v>4752</v>
      </c>
      <c r="E572" s="12" t="s">
        <v>5852</v>
      </c>
      <c r="F572" s="12" t="s">
        <v>5839</v>
      </c>
      <c r="G572" s="12" t="s">
        <v>5840</v>
      </c>
      <c r="H572" s="12" t="s">
        <v>5185</v>
      </c>
      <c r="I572" s="12" t="s">
        <v>3059</v>
      </c>
      <c r="J572" s="12" t="s">
        <v>3090</v>
      </c>
      <c r="K572" s="12" t="s">
        <v>5841</v>
      </c>
      <c r="L572" s="13">
        <v>6</v>
      </c>
    </row>
    <row r="573" spans="1:12" hidden="1" x14ac:dyDescent="0.55000000000000004">
      <c r="A573" s="12" t="s">
        <v>2985</v>
      </c>
      <c r="B573" s="12" t="s">
        <v>4486</v>
      </c>
      <c r="C573" s="12" t="s">
        <v>4885</v>
      </c>
      <c r="D573" s="12" t="s">
        <v>4752</v>
      </c>
      <c r="E573" s="12" t="s">
        <v>5853</v>
      </c>
      <c r="F573" s="12" t="s">
        <v>5839</v>
      </c>
      <c r="G573" s="12" t="s">
        <v>5840</v>
      </c>
      <c r="H573" s="12" t="s">
        <v>5185</v>
      </c>
      <c r="I573" s="12" t="s">
        <v>3059</v>
      </c>
      <c r="J573" s="12" t="s">
        <v>3090</v>
      </c>
      <c r="K573" s="12" t="s">
        <v>5841</v>
      </c>
      <c r="L573" s="13">
        <v>6</v>
      </c>
    </row>
    <row r="574" spans="1:12" hidden="1" x14ac:dyDescent="0.55000000000000004">
      <c r="A574" s="12" t="s">
        <v>2985</v>
      </c>
      <c r="B574" s="12" t="s">
        <v>4486</v>
      </c>
      <c r="C574" s="12" t="s">
        <v>4885</v>
      </c>
      <c r="D574" s="12" t="s">
        <v>4752</v>
      </c>
      <c r="E574" s="12" t="s">
        <v>5854</v>
      </c>
      <c r="F574" s="12" t="s">
        <v>5839</v>
      </c>
      <c r="G574" s="12" t="s">
        <v>5840</v>
      </c>
      <c r="H574" s="12" t="s">
        <v>5185</v>
      </c>
      <c r="I574" s="12" t="s">
        <v>3059</v>
      </c>
      <c r="J574" s="12" t="s">
        <v>3090</v>
      </c>
      <c r="K574" s="12" t="s">
        <v>5841</v>
      </c>
      <c r="L574" s="13">
        <v>6</v>
      </c>
    </row>
    <row r="575" spans="1:12" hidden="1" x14ac:dyDescent="0.55000000000000004">
      <c r="A575" s="12" t="s">
        <v>2985</v>
      </c>
      <c r="B575" s="12" t="s">
        <v>4486</v>
      </c>
      <c r="C575" s="12" t="s">
        <v>4885</v>
      </c>
      <c r="D575" s="12" t="s">
        <v>4752</v>
      </c>
      <c r="E575" s="12" t="s">
        <v>5855</v>
      </c>
      <c r="F575" s="12" t="s">
        <v>5839</v>
      </c>
      <c r="G575" s="12" t="s">
        <v>5840</v>
      </c>
      <c r="H575" s="12" t="s">
        <v>5185</v>
      </c>
      <c r="I575" s="12" t="s">
        <v>3059</v>
      </c>
      <c r="J575" s="12" t="s">
        <v>3090</v>
      </c>
      <c r="K575" s="12" t="s">
        <v>5841</v>
      </c>
      <c r="L575" s="13">
        <v>6</v>
      </c>
    </row>
    <row r="576" spans="1:12" hidden="1" x14ac:dyDescent="0.55000000000000004">
      <c r="A576" s="12" t="s">
        <v>2985</v>
      </c>
      <c r="B576" s="12" t="s">
        <v>4486</v>
      </c>
      <c r="C576" s="12" t="s">
        <v>4885</v>
      </c>
      <c r="D576" s="12" t="s">
        <v>4752</v>
      </c>
      <c r="E576" s="12" t="s">
        <v>5856</v>
      </c>
      <c r="F576" s="12" t="s">
        <v>5839</v>
      </c>
      <c r="G576" s="12" t="s">
        <v>5840</v>
      </c>
      <c r="H576" s="12" t="s">
        <v>5185</v>
      </c>
      <c r="I576" s="12" t="s">
        <v>3059</v>
      </c>
      <c r="J576" s="12" t="s">
        <v>3090</v>
      </c>
      <c r="K576" s="12" t="s">
        <v>5841</v>
      </c>
      <c r="L576" s="13">
        <v>6</v>
      </c>
    </row>
    <row r="577" spans="1:12" hidden="1" x14ac:dyDescent="0.55000000000000004">
      <c r="A577" s="12" t="s">
        <v>2985</v>
      </c>
      <c r="B577" s="12" t="s">
        <v>4486</v>
      </c>
      <c r="C577" s="12" t="s">
        <v>4885</v>
      </c>
      <c r="D577" s="12" t="s">
        <v>4752</v>
      </c>
      <c r="E577" s="12" t="s">
        <v>5857</v>
      </c>
      <c r="F577" s="12" t="s">
        <v>5839</v>
      </c>
      <c r="G577" s="12" t="s">
        <v>5840</v>
      </c>
      <c r="H577" s="12" t="s">
        <v>5185</v>
      </c>
      <c r="I577" s="12" t="s">
        <v>3059</v>
      </c>
      <c r="J577" s="12" t="s">
        <v>3090</v>
      </c>
      <c r="K577" s="12" t="s">
        <v>5841</v>
      </c>
      <c r="L577" s="13">
        <v>6</v>
      </c>
    </row>
    <row r="578" spans="1:12" hidden="1" x14ac:dyDescent="0.55000000000000004">
      <c r="A578" s="12" t="s">
        <v>2985</v>
      </c>
      <c r="B578" s="12" t="s">
        <v>4486</v>
      </c>
      <c r="C578" s="12" t="s">
        <v>4885</v>
      </c>
      <c r="D578" s="12" t="s">
        <v>4752</v>
      </c>
      <c r="E578" s="12" t="s">
        <v>5858</v>
      </c>
      <c r="F578" s="12" t="s">
        <v>5839</v>
      </c>
      <c r="G578" s="12" t="s">
        <v>5840</v>
      </c>
      <c r="H578" s="12" t="s">
        <v>5185</v>
      </c>
      <c r="I578" s="12" t="s">
        <v>3059</v>
      </c>
      <c r="J578" s="12" t="s">
        <v>3090</v>
      </c>
      <c r="K578" s="12" t="s">
        <v>5841</v>
      </c>
      <c r="L578" s="13">
        <v>6</v>
      </c>
    </row>
    <row r="579" spans="1:12" hidden="1" x14ac:dyDescent="0.55000000000000004">
      <c r="A579" s="12" t="s">
        <v>2985</v>
      </c>
      <c r="B579" s="12" t="s">
        <v>4486</v>
      </c>
      <c r="C579" s="12" t="s">
        <v>4885</v>
      </c>
      <c r="D579" s="12" t="s">
        <v>4752</v>
      </c>
      <c r="E579" s="12" t="s">
        <v>5859</v>
      </c>
      <c r="F579" s="12" t="s">
        <v>5839</v>
      </c>
      <c r="G579" s="12" t="s">
        <v>5840</v>
      </c>
      <c r="H579" s="12" t="s">
        <v>5185</v>
      </c>
      <c r="I579" s="12" t="s">
        <v>3059</v>
      </c>
      <c r="J579" s="12" t="s">
        <v>3090</v>
      </c>
      <c r="K579" s="12" t="s">
        <v>5841</v>
      </c>
      <c r="L579" s="13">
        <v>6</v>
      </c>
    </row>
    <row r="580" spans="1:12" hidden="1" x14ac:dyDescent="0.55000000000000004">
      <c r="A580" s="12" t="s">
        <v>2985</v>
      </c>
      <c r="B580" s="12" t="s">
        <v>4486</v>
      </c>
      <c r="C580" s="12" t="s">
        <v>4885</v>
      </c>
      <c r="D580" s="12" t="s">
        <v>4752</v>
      </c>
      <c r="E580" s="12" t="s">
        <v>5860</v>
      </c>
      <c r="F580" s="12" t="s">
        <v>5839</v>
      </c>
      <c r="G580" s="12" t="s">
        <v>5840</v>
      </c>
      <c r="H580" s="12" t="s">
        <v>5185</v>
      </c>
      <c r="I580" s="12" t="s">
        <v>3059</v>
      </c>
      <c r="J580" s="12" t="s">
        <v>3090</v>
      </c>
      <c r="K580" s="12" t="s">
        <v>5841</v>
      </c>
      <c r="L580" s="13">
        <v>6</v>
      </c>
    </row>
    <row r="581" spans="1:12" hidden="1" x14ac:dyDescent="0.55000000000000004">
      <c r="A581" s="12" t="s">
        <v>2985</v>
      </c>
      <c r="B581" s="12" t="s">
        <v>4486</v>
      </c>
      <c r="C581" s="12" t="s">
        <v>4885</v>
      </c>
      <c r="D581" s="12" t="s">
        <v>4752</v>
      </c>
      <c r="E581" s="12" t="s">
        <v>5861</v>
      </c>
      <c r="F581" s="12" t="s">
        <v>1700</v>
      </c>
      <c r="G581" s="12" t="s">
        <v>5862</v>
      </c>
      <c r="H581" s="12" t="s">
        <v>5185</v>
      </c>
      <c r="I581" s="12" t="s">
        <v>3075</v>
      </c>
      <c r="J581" s="12" t="s">
        <v>3090</v>
      </c>
      <c r="K581" s="12" t="s">
        <v>5863</v>
      </c>
      <c r="L581" s="13" t="s">
        <v>3075</v>
      </c>
    </row>
    <row r="582" spans="1:12" hidden="1" x14ac:dyDescent="0.55000000000000004">
      <c r="A582" s="12" t="s">
        <v>2985</v>
      </c>
      <c r="B582" s="12" t="s">
        <v>4486</v>
      </c>
      <c r="C582" s="12" t="s">
        <v>4885</v>
      </c>
      <c r="D582" s="12" t="s">
        <v>4752</v>
      </c>
      <c r="E582" s="12" t="s">
        <v>5864</v>
      </c>
      <c r="F582" s="12" t="s">
        <v>5865</v>
      </c>
      <c r="G582" s="12" t="s">
        <v>5866</v>
      </c>
      <c r="H582" s="12" t="s">
        <v>5185</v>
      </c>
      <c r="I582" s="12" t="s">
        <v>3075</v>
      </c>
      <c r="J582" s="12" t="s">
        <v>3090</v>
      </c>
      <c r="K582" s="12" t="s">
        <v>5867</v>
      </c>
      <c r="L582" s="13" t="s">
        <v>3075</v>
      </c>
    </row>
    <row r="583" spans="1:12" hidden="1" x14ac:dyDescent="0.55000000000000004">
      <c r="A583" s="12" t="s">
        <v>2985</v>
      </c>
      <c r="B583" s="12" t="s">
        <v>4486</v>
      </c>
      <c r="C583" s="12" t="s">
        <v>4885</v>
      </c>
      <c r="D583" s="12" t="s">
        <v>4752</v>
      </c>
      <c r="E583" s="12" t="s">
        <v>5868</v>
      </c>
      <c r="F583" s="12" t="s">
        <v>5869</v>
      </c>
      <c r="G583" s="12" t="s">
        <v>5870</v>
      </c>
      <c r="H583" s="12" t="s">
        <v>5185</v>
      </c>
      <c r="I583" s="12" t="s">
        <v>3075</v>
      </c>
      <c r="J583" s="12" t="s">
        <v>3090</v>
      </c>
      <c r="K583" s="12" t="s">
        <v>5871</v>
      </c>
      <c r="L583" s="13" t="s">
        <v>3075</v>
      </c>
    </row>
    <row r="584" spans="1:12" hidden="1" x14ac:dyDescent="0.55000000000000004">
      <c r="A584" s="12" t="s">
        <v>2985</v>
      </c>
      <c r="B584" s="12" t="s">
        <v>4486</v>
      </c>
      <c r="C584" s="12" t="s">
        <v>4885</v>
      </c>
      <c r="D584" s="12" t="s">
        <v>4752</v>
      </c>
      <c r="E584" s="12" t="s">
        <v>5872</v>
      </c>
      <c r="F584" s="12" t="s">
        <v>1350</v>
      </c>
      <c r="G584" s="12" t="s">
        <v>1701</v>
      </c>
      <c r="H584" s="12" t="s">
        <v>5185</v>
      </c>
      <c r="I584" s="12" t="s">
        <v>3075</v>
      </c>
      <c r="J584" s="12" t="s">
        <v>3090</v>
      </c>
      <c r="K584" s="12" t="s">
        <v>3842</v>
      </c>
      <c r="L584" s="13" t="s">
        <v>3075</v>
      </c>
    </row>
    <row r="585" spans="1:12" hidden="1" x14ac:dyDescent="0.55000000000000004">
      <c r="A585" s="12" t="s">
        <v>2985</v>
      </c>
      <c r="B585" s="12" t="s">
        <v>4486</v>
      </c>
      <c r="C585" s="12" t="s">
        <v>4885</v>
      </c>
      <c r="D585" s="12" t="s">
        <v>4752</v>
      </c>
      <c r="E585" s="12" t="s">
        <v>5873</v>
      </c>
      <c r="F585" s="12" t="s">
        <v>1706</v>
      </c>
      <c r="G585" s="12" t="s">
        <v>5874</v>
      </c>
      <c r="H585" s="12" t="s">
        <v>5185</v>
      </c>
      <c r="I585" s="12" t="s">
        <v>3075</v>
      </c>
      <c r="J585" s="12" t="s">
        <v>3090</v>
      </c>
      <c r="K585" s="12" t="s">
        <v>5875</v>
      </c>
      <c r="L585" s="13" t="s">
        <v>3075</v>
      </c>
    </row>
    <row r="586" spans="1:12" hidden="1" x14ac:dyDescent="0.55000000000000004">
      <c r="A586" s="12" t="s">
        <v>2985</v>
      </c>
      <c r="B586" s="12" t="s">
        <v>4486</v>
      </c>
      <c r="C586" s="12" t="s">
        <v>4885</v>
      </c>
      <c r="D586" s="12" t="s">
        <v>4752</v>
      </c>
      <c r="E586" s="12" t="s">
        <v>5876</v>
      </c>
      <c r="F586" s="12" t="s">
        <v>5877</v>
      </c>
      <c r="G586" s="12" t="s">
        <v>5878</v>
      </c>
      <c r="H586" s="12" t="s">
        <v>5185</v>
      </c>
      <c r="I586" s="12" t="s">
        <v>3075</v>
      </c>
      <c r="J586" s="12" t="s">
        <v>3090</v>
      </c>
      <c r="K586" s="12" t="s">
        <v>5879</v>
      </c>
      <c r="L586" s="13" t="s">
        <v>3075</v>
      </c>
    </row>
    <row r="587" spans="1:12" hidden="1" x14ac:dyDescent="0.55000000000000004">
      <c r="A587" s="12" t="s">
        <v>2985</v>
      </c>
      <c r="B587" s="12" t="s">
        <v>4486</v>
      </c>
      <c r="C587" s="12" t="s">
        <v>4885</v>
      </c>
      <c r="D587" s="12" t="s">
        <v>4752</v>
      </c>
      <c r="E587" s="12" t="s">
        <v>5880</v>
      </c>
      <c r="F587" s="12" t="s">
        <v>1685</v>
      </c>
      <c r="G587" s="12" t="s">
        <v>1692</v>
      </c>
      <c r="H587" s="12" t="s">
        <v>5185</v>
      </c>
      <c r="I587" s="12" t="s">
        <v>3075</v>
      </c>
      <c r="J587" s="12" t="s">
        <v>3090</v>
      </c>
      <c r="K587" s="12" t="s">
        <v>5881</v>
      </c>
      <c r="L587" s="13" t="s">
        <v>3075</v>
      </c>
    </row>
    <row r="588" spans="1:12" hidden="1" x14ac:dyDescent="0.55000000000000004">
      <c r="A588" s="12" t="s">
        <v>2985</v>
      </c>
      <c r="B588" s="12" t="s">
        <v>4486</v>
      </c>
      <c r="C588" s="12" t="s">
        <v>4885</v>
      </c>
      <c r="D588" s="12" t="s">
        <v>4752</v>
      </c>
      <c r="E588" s="12" t="s">
        <v>5882</v>
      </c>
      <c r="F588" s="12" t="s">
        <v>5883</v>
      </c>
      <c r="G588" s="12" t="s">
        <v>5884</v>
      </c>
      <c r="H588" s="12" t="s">
        <v>5185</v>
      </c>
      <c r="I588" s="12" t="s">
        <v>3075</v>
      </c>
      <c r="J588" s="12" t="s">
        <v>3090</v>
      </c>
      <c r="K588" s="12" t="s">
        <v>5885</v>
      </c>
      <c r="L588" s="13" t="s">
        <v>3075</v>
      </c>
    </row>
    <row r="589" spans="1:12" hidden="1" x14ac:dyDescent="0.55000000000000004">
      <c r="A589" s="12" t="s">
        <v>2985</v>
      </c>
      <c r="B589" s="12" t="s">
        <v>4486</v>
      </c>
      <c r="C589" s="12" t="s">
        <v>4885</v>
      </c>
      <c r="D589" s="12" t="s">
        <v>4752</v>
      </c>
      <c r="E589" s="12" t="s">
        <v>5886</v>
      </c>
      <c r="F589" s="12" t="s">
        <v>5887</v>
      </c>
      <c r="G589" s="12" t="s">
        <v>5888</v>
      </c>
      <c r="H589" s="12" t="s">
        <v>5185</v>
      </c>
      <c r="I589" s="12" t="s">
        <v>3075</v>
      </c>
      <c r="J589" s="12" t="s">
        <v>3090</v>
      </c>
      <c r="K589" s="12" t="s">
        <v>5889</v>
      </c>
      <c r="L589" s="13" t="s">
        <v>3075</v>
      </c>
    </row>
    <row r="590" spans="1:12" hidden="1" x14ac:dyDescent="0.55000000000000004">
      <c r="A590" s="12" t="s">
        <v>2985</v>
      </c>
      <c r="B590" s="12" t="s">
        <v>4486</v>
      </c>
      <c r="C590" s="12" t="s">
        <v>4885</v>
      </c>
      <c r="D590" s="12" t="s">
        <v>4752</v>
      </c>
      <c r="E590" s="12" t="s">
        <v>5890</v>
      </c>
      <c r="F590" s="12" t="s">
        <v>1704</v>
      </c>
      <c r="G590" s="12" t="s">
        <v>1705</v>
      </c>
      <c r="H590" s="12" t="s">
        <v>5185</v>
      </c>
      <c r="I590" s="12" t="s">
        <v>3059</v>
      </c>
      <c r="J590" s="12" t="s">
        <v>3090</v>
      </c>
      <c r="K590" s="12" t="s">
        <v>3844</v>
      </c>
      <c r="L590" s="13">
        <v>4</v>
      </c>
    </row>
    <row r="591" spans="1:12" hidden="1" x14ac:dyDescent="0.55000000000000004">
      <c r="A591" s="12" t="s">
        <v>2918</v>
      </c>
      <c r="B591" s="12" t="s">
        <v>4422</v>
      </c>
      <c r="C591" s="12" t="s">
        <v>5165</v>
      </c>
      <c r="D591" s="12" t="s">
        <v>4752</v>
      </c>
      <c r="E591" s="12" t="s">
        <v>1384</v>
      </c>
      <c r="F591" s="12" t="s">
        <v>1385</v>
      </c>
      <c r="G591" s="12" t="s">
        <v>1386</v>
      </c>
      <c r="H591" s="12" t="s">
        <v>4435</v>
      </c>
      <c r="I591" s="12" t="s">
        <v>3059</v>
      </c>
      <c r="J591" s="12" t="s">
        <v>341</v>
      </c>
      <c r="K591" s="12" t="s">
        <v>3725</v>
      </c>
      <c r="L591" s="13">
        <v>5</v>
      </c>
    </row>
    <row r="592" spans="1:12" hidden="1" x14ac:dyDescent="0.55000000000000004">
      <c r="A592" s="12" t="s">
        <v>2918</v>
      </c>
      <c r="B592" s="12" t="s">
        <v>4422</v>
      </c>
      <c r="C592" s="12" t="s">
        <v>5165</v>
      </c>
      <c r="D592" s="12" t="s">
        <v>4752</v>
      </c>
      <c r="E592" s="12" t="s">
        <v>1390</v>
      </c>
      <c r="F592" s="12" t="s">
        <v>180</v>
      </c>
      <c r="G592" s="12" t="s">
        <v>1391</v>
      </c>
      <c r="H592" s="12" t="s">
        <v>4435</v>
      </c>
      <c r="I592" s="12" t="s">
        <v>3060</v>
      </c>
      <c r="J592" s="12" t="s">
        <v>341</v>
      </c>
      <c r="K592" s="12" t="s">
        <v>3727</v>
      </c>
      <c r="L592" s="13">
        <v>6</v>
      </c>
    </row>
    <row r="593" spans="1:12" hidden="1" x14ac:dyDescent="0.55000000000000004">
      <c r="A593" s="12" t="s">
        <v>2918</v>
      </c>
      <c r="B593" s="12" t="s">
        <v>4422</v>
      </c>
      <c r="C593" s="12" t="s">
        <v>5165</v>
      </c>
      <c r="D593" s="12" t="s">
        <v>4752</v>
      </c>
      <c r="E593" s="12" t="s">
        <v>5891</v>
      </c>
      <c r="F593" s="12" t="s">
        <v>169</v>
      </c>
      <c r="G593" s="12" t="s">
        <v>5892</v>
      </c>
      <c r="H593" s="12" t="s">
        <v>4435</v>
      </c>
      <c r="I593" s="12" t="s">
        <v>3075</v>
      </c>
      <c r="J593" s="12" t="s">
        <v>341</v>
      </c>
      <c r="K593" s="12" t="s">
        <v>5893</v>
      </c>
      <c r="L593" s="13" t="s">
        <v>3075</v>
      </c>
    </row>
    <row r="594" spans="1:12" hidden="1" x14ac:dyDescent="0.55000000000000004">
      <c r="A594" s="12" t="s">
        <v>2971</v>
      </c>
      <c r="B594" s="12" t="s">
        <v>4486</v>
      </c>
      <c r="C594" s="12" t="s">
        <v>5186</v>
      </c>
      <c r="D594" s="12" t="s">
        <v>4752</v>
      </c>
      <c r="E594" s="12" t="s">
        <v>1872</v>
      </c>
      <c r="F594" s="12" t="s">
        <v>1873</v>
      </c>
      <c r="G594" s="12" t="s">
        <v>1874</v>
      </c>
      <c r="H594" s="12" t="s">
        <v>5187</v>
      </c>
      <c r="I594" s="12" t="s">
        <v>3059</v>
      </c>
      <c r="J594" s="12" t="s">
        <v>1071</v>
      </c>
      <c r="K594" s="12" t="s">
        <v>3906</v>
      </c>
      <c r="L594" s="13">
        <v>7</v>
      </c>
    </row>
    <row r="595" spans="1:12" hidden="1" x14ac:dyDescent="0.55000000000000004">
      <c r="A595" s="12" t="s">
        <v>2971</v>
      </c>
      <c r="B595" s="12" t="s">
        <v>4486</v>
      </c>
      <c r="C595" s="12" t="s">
        <v>5186</v>
      </c>
      <c r="D595" s="12" t="s">
        <v>4752</v>
      </c>
      <c r="E595" s="12" t="s">
        <v>1875</v>
      </c>
      <c r="F595" s="12" t="s">
        <v>3156</v>
      </c>
      <c r="G595" s="12" t="s">
        <v>1876</v>
      </c>
      <c r="H595" s="12" t="s">
        <v>5187</v>
      </c>
      <c r="I595" s="12" t="s">
        <v>3059</v>
      </c>
      <c r="J595" s="12" t="s">
        <v>1071</v>
      </c>
      <c r="K595" s="12" t="s">
        <v>3907</v>
      </c>
      <c r="L595" s="13">
        <v>7</v>
      </c>
    </row>
    <row r="596" spans="1:12" hidden="1" x14ac:dyDescent="0.55000000000000004">
      <c r="A596" s="12" t="s">
        <v>2971</v>
      </c>
      <c r="B596" s="12" t="s">
        <v>4486</v>
      </c>
      <c r="C596" s="12" t="s">
        <v>5186</v>
      </c>
      <c r="D596" s="12" t="s">
        <v>4752</v>
      </c>
      <c r="E596" s="12" t="s">
        <v>1877</v>
      </c>
      <c r="F596" s="12" t="s">
        <v>1878</v>
      </c>
      <c r="G596" s="12" t="s">
        <v>1879</v>
      </c>
      <c r="H596" s="12" t="s">
        <v>5187</v>
      </c>
      <c r="I596" s="12" t="s">
        <v>3059</v>
      </c>
      <c r="J596" s="12" t="s">
        <v>1071</v>
      </c>
      <c r="K596" s="12" t="s">
        <v>3908</v>
      </c>
      <c r="L596" s="13">
        <v>7</v>
      </c>
    </row>
    <row r="597" spans="1:12" hidden="1" x14ac:dyDescent="0.55000000000000004">
      <c r="A597" s="12" t="s">
        <v>2971</v>
      </c>
      <c r="B597" s="12" t="s">
        <v>4486</v>
      </c>
      <c r="C597" s="12" t="s">
        <v>5186</v>
      </c>
      <c r="D597" s="12" t="s">
        <v>4752</v>
      </c>
      <c r="E597" s="12" t="s">
        <v>1880</v>
      </c>
      <c r="F597" s="12" t="s">
        <v>1881</v>
      </c>
      <c r="G597" s="12" t="s">
        <v>1882</v>
      </c>
      <c r="H597" s="12" t="s">
        <v>5187</v>
      </c>
      <c r="I597" s="12" t="s">
        <v>3059</v>
      </c>
      <c r="J597" s="12" t="s">
        <v>1071</v>
      </c>
      <c r="K597" s="12" t="s">
        <v>3909</v>
      </c>
      <c r="L597" s="13">
        <v>7</v>
      </c>
    </row>
    <row r="598" spans="1:12" hidden="1" x14ac:dyDescent="0.55000000000000004">
      <c r="A598" s="12" t="s">
        <v>2971</v>
      </c>
      <c r="B598" s="12" t="s">
        <v>4486</v>
      </c>
      <c r="C598" s="12" t="s">
        <v>5186</v>
      </c>
      <c r="D598" s="12" t="s">
        <v>4752</v>
      </c>
      <c r="E598" s="12" t="s">
        <v>1883</v>
      </c>
      <c r="F598" s="12" t="s">
        <v>1884</v>
      </c>
      <c r="G598" s="12" t="s">
        <v>1885</v>
      </c>
      <c r="H598" s="12" t="s">
        <v>5187</v>
      </c>
      <c r="I598" s="12" t="s">
        <v>3059</v>
      </c>
      <c r="J598" s="12" t="s">
        <v>1071</v>
      </c>
      <c r="K598" s="12" t="s">
        <v>3910</v>
      </c>
      <c r="L598" s="13">
        <v>7</v>
      </c>
    </row>
    <row r="599" spans="1:12" hidden="1" x14ac:dyDescent="0.55000000000000004">
      <c r="A599" s="12" t="s">
        <v>2971</v>
      </c>
      <c r="B599" s="12" t="s">
        <v>4486</v>
      </c>
      <c r="C599" s="12" t="s">
        <v>5186</v>
      </c>
      <c r="D599" s="12" t="s">
        <v>4752</v>
      </c>
      <c r="E599" s="12" t="s">
        <v>1886</v>
      </c>
      <c r="F599" s="12" t="s">
        <v>700</v>
      </c>
      <c r="G599" s="12" t="s">
        <v>1887</v>
      </c>
      <c r="H599" s="12" t="s">
        <v>5187</v>
      </c>
      <c r="I599" s="12" t="s">
        <v>3059</v>
      </c>
      <c r="J599" s="12" t="s">
        <v>1071</v>
      </c>
      <c r="K599" s="12" t="s">
        <v>3911</v>
      </c>
      <c r="L599" s="13">
        <v>7</v>
      </c>
    </row>
    <row r="600" spans="1:12" hidden="1" x14ac:dyDescent="0.55000000000000004">
      <c r="A600" s="12" t="s">
        <v>2971</v>
      </c>
      <c r="B600" s="12" t="s">
        <v>4486</v>
      </c>
      <c r="C600" s="12" t="s">
        <v>5186</v>
      </c>
      <c r="D600" s="12" t="s">
        <v>4752</v>
      </c>
      <c r="E600" s="12" t="s">
        <v>5188</v>
      </c>
      <c r="F600" s="12" t="s">
        <v>255</v>
      </c>
      <c r="G600" s="12" t="s">
        <v>5189</v>
      </c>
      <c r="H600" s="12" t="s">
        <v>5187</v>
      </c>
      <c r="I600" s="12" t="s">
        <v>3075</v>
      </c>
      <c r="J600" s="12" t="s">
        <v>1071</v>
      </c>
      <c r="K600" s="12" t="s">
        <v>5190</v>
      </c>
      <c r="L600" s="13" t="s">
        <v>3075</v>
      </c>
    </row>
    <row r="601" spans="1:12" hidden="1" x14ac:dyDescent="0.55000000000000004">
      <c r="A601" s="12" t="s">
        <v>2971</v>
      </c>
      <c r="B601" s="12" t="s">
        <v>4486</v>
      </c>
      <c r="C601" s="12" t="s">
        <v>5186</v>
      </c>
      <c r="D601" s="12" t="s">
        <v>4752</v>
      </c>
      <c r="E601" s="12" t="s">
        <v>5191</v>
      </c>
      <c r="F601" s="12" t="s">
        <v>1603</v>
      </c>
      <c r="G601" s="12" t="s">
        <v>5192</v>
      </c>
      <c r="H601" s="12" t="s">
        <v>5187</v>
      </c>
      <c r="I601" s="12" t="s">
        <v>3075</v>
      </c>
      <c r="J601" s="12" t="s">
        <v>1071</v>
      </c>
      <c r="K601" s="12" t="s">
        <v>5193</v>
      </c>
      <c r="L601" s="13" t="s">
        <v>3075</v>
      </c>
    </row>
    <row r="602" spans="1:12" hidden="1" x14ac:dyDescent="0.55000000000000004">
      <c r="A602" s="12" t="s">
        <v>3051</v>
      </c>
      <c r="B602" s="12" t="s">
        <v>4486</v>
      </c>
      <c r="C602" s="12" t="s">
        <v>923</v>
      </c>
      <c r="D602" s="12" t="s">
        <v>4752</v>
      </c>
      <c r="E602" s="12" t="s">
        <v>4670</v>
      </c>
      <c r="F602" s="12" t="s">
        <v>1010</v>
      </c>
      <c r="G602" s="12" t="s">
        <v>3077</v>
      </c>
      <c r="H602" s="12" t="s">
        <v>5194</v>
      </c>
      <c r="I602" s="12" t="s">
        <v>3059</v>
      </c>
      <c r="J602" s="12" t="s">
        <v>3089</v>
      </c>
      <c r="K602" s="12" t="s">
        <v>4671</v>
      </c>
      <c r="L602" s="13">
        <v>8</v>
      </c>
    </row>
    <row r="603" spans="1:12" hidden="1" x14ac:dyDescent="0.55000000000000004">
      <c r="A603" s="12" t="s">
        <v>3051</v>
      </c>
      <c r="B603" s="12" t="s">
        <v>4486</v>
      </c>
      <c r="C603" s="12" t="s">
        <v>923</v>
      </c>
      <c r="D603" s="12" t="s">
        <v>4752</v>
      </c>
      <c r="E603" s="12" t="s">
        <v>927</v>
      </c>
      <c r="F603" s="12" t="s">
        <v>928</v>
      </c>
      <c r="G603" s="12" t="s">
        <v>929</v>
      </c>
      <c r="H603" s="12" t="s">
        <v>5194</v>
      </c>
      <c r="I603" s="12" t="s">
        <v>3059</v>
      </c>
      <c r="J603" s="12" t="s">
        <v>3089</v>
      </c>
      <c r="K603" s="12" t="s">
        <v>3565</v>
      </c>
      <c r="L603" s="13">
        <v>6</v>
      </c>
    </row>
    <row r="604" spans="1:12" hidden="1" x14ac:dyDescent="0.55000000000000004">
      <c r="A604" s="12" t="s">
        <v>3051</v>
      </c>
      <c r="B604" s="12" t="s">
        <v>4486</v>
      </c>
      <c r="C604" s="12" t="s">
        <v>923</v>
      </c>
      <c r="D604" s="12" t="s">
        <v>4752</v>
      </c>
      <c r="E604" s="12" t="s">
        <v>930</v>
      </c>
      <c r="F604" s="12" t="s">
        <v>632</v>
      </c>
      <c r="G604" s="12" t="s">
        <v>931</v>
      </c>
      <c r="H604" s="12" t="s">
        <v>5194</v>
      </c>
      <c r="I604" s="12" t="s">
        <v>3059</v>
      </c>
      <c r="J604" s="12" t="s">
        <v>3089</v>
      </c>
      <c r="K604" s="12" t="s">
        <v>3566</v>
      </c>
      <c r="L604" s="13">
        <v>5</v>
      </c>
    </row>
    <row r="605" spans="1:12" hidden="1" x14ac:dyDescent="0.55000000000000004">
      <c r="A605" s="12" t="s">
        <v>3051</v>
      </c>
      <c r="B605" s="12" t="s">
        <v>4486</v>
      </c>
      <c r="C605" s="12" t="s">
        <v>923</v>
      </c>
      <c r="D605" s="12" t="s">
        <v>4752</v>
      </c>
      <c r="E605" s="12" t="s">
        <v>941</v>
      </c>
      <c r="F605" s="12" t="s">
        <v>942</v>
      </c>
      <c r="G605" s="12" t="s">
        <v>943</v>
      </c>
      <c r="H605" s="12" t="s">
        <v>5194</v>
      </c>
      <c r="I605" s="12" t="s">
        <v>3059</v>
      </c>
      <c r="J605" s="12" t="s">
        <v>3089</v>
      </c>
      <c r="K605" s="12" t="s">
        <v>3570</v>
      </c>
      <c r="L605" s="13">
        <v>5</v>
      </c>
    </row>
    <row r="606" spans="1:12" hidden="1" x14ac:dyDescent="0.55000000000000004">
      <c r="A606" s="12" t="s">
        <v>3051</v>
      </c>
      <c r="B606" s="12" t="s">
        <v>4486</v>
      </c>
      <c r="C606" s="12" t="s">
        <v>923</v>
      </c>
      <c r="D606" s="12" t="s">
        <v>4752</v>
      </c>
      <c r="E606" s="12" t="s">
        <v>962</v>
      </c>
      <c r="F606" s="12" t="s">
        <v>963</v>
      </c>
      <c r="G606" s="12" t="s">
        <v>964</v>
      </c>
      <c r="H606" s="12" t="s">
        <v>5194</v>
      </c>
      <c r="I606" s="12" t="s">
        <v>3059</v>
      </c>
      <c r="J606" s="12" t="s">
        <v>3089</v>
      </c>
      <c r="K606" s="12" t="s">
        <v>3577</v>
      </c>
      <c r="L606" s="13">
        <v>5</v>
      </c>
    </row>
    <row r="607" spans="1:12" hidden="1" x14ac:dyDescent="0.55000000000000004">
      <c r="A607" s="12" t="s">
        <v>2841</v>
      </c>
      <c r="B607" s="12" t="s">
        <v>4298</v>
      </c>
      <c r="C607" s="12" t="s">
        <v>587</v>
      </c>
      <c r="D607" s="12" t="s">
        <v>4752</v>
      </c>
      <c r="E607" s="12" t="s">
        <v>584</v>
      </c>
      <c r="F607" s="12" t="s">
        <v>585</v>
      </c>
      <c r="G607" s="12" t="s">
        <v>586</v>
      </c>
      <c r="H607" s="12" t="s">
        <v>4335</v>
      </c>
      <c r="I607" s="12" t="s">
        <v>3059</v>
      </c>
      <c r="J607" s="12" t="s">
        <v>689</v>
      </c>
      <c r="K607" s="12" t="s">
        <v>3445</v>
      </c>
      <c r="L607" s="13">
        <v>2</v>
      </c>
    </row>
    <row r="608" spans="1:12" hidden="1" x14ac:dyDescent="0.55000000000000004">
      <c r="A608" s="12" t="s">
        <v>2841</v>
      </c>
      <c r="B608" s="12" t="s">
        <v>4298</v>
      </c>
      <c r="C608" s="12" t="s">
        <v>587</v>
      </c>
      <c r="D608" s="12" t="s">
        <v>4752</v>
      </c>
      <c r="E608" s="12" t="s">
        <v>591</v>
      </c>
      <c r="F608" s="12" t="s">
        <v>113</v>
      </c>
      <c r="G608" s="12" t="s">
        <v>592</v>
      </c>
      <c r="H608" s="12" t="s">
        <v>4335</v>
      </c>
      <c r="I608" s="12" t="s">
        <v>3059</v>
      </c>
      <c r="J608" s="12" t="s">
        <v>689</v>
      </c>
      <c r="K608" s="12" t="s">
        <v>3447</v>
      </c>
      <c r="L608" s="13">
        <v>2</v>
      </c>
    </row>
    <row r="609" spans="1:12" hidden="1" x14ac:dyDescent="0.55000000000000004">
      <c r="A609" s="12" t="s">
        <v>2841</v>
      </c>
      <c r="B609" s="12" t="s">
        <v>4298</v>
      </c>
      <c r="C609" s="12" t="s">
        <v>587</v>
      </c>
      <c r="D609" s="12" t="s">
        <v>4752</v>
      </c>
      <c r="E609" s="12" t="s">
        <v>593</v>
      </c>
      <c r="F609" s="12" t="s">
        <v>147</v>
      </c>
      <c r="G609" s="12" t="s">
        <v>594</v>
      </c>
      <c r="H609" s="12" t="s">
        <v>4335</v>
      </c>
      <c r="I609" s="12" t="s">
        <v>3059</v>
      </c>
      <c r="J609" s="12" t="s">
        <v>689</v>
      </c>
      <c r="K609" s="12" t="s">
        <v>3448</v>
      </c>
      <c r="L609" s="13">
        <v>2</v>
      </c>
    </row>
    <row r="610" spans="1:12" hidden="1" x14ac:dyDescent="0.55000000000000004">
      <c r="A610" s="12" t="s">
        <v>2841</v>
      </c>
      <c r="B610" s="12" t="s">
        <v>4298</v>
      </c>
      <c r="C610" s="12" t="s">
        <v>587</v>
      </c>
      <c r="D610" s="12" t="s">
        <v>4752</v>
      </c>
      <c r="E610" s="12" t="s">
        <v>595</v>
      </c>
      <c r="F610" s="12" t="s">
        <v>596</v>
      </c>
      <c r="G610" s="12" t="s">
        <v>597</v>
      </c>
      <c r="H610" s="12" t="s">
        <v>4335</v>
      </c>
      <c r="I610" s="12" t="s">
        <v>3059</v>
      </c>
      <c r="J610" s="12" t="s">
        <v>689</v>
      </c>
      <c r="K610" s="12" t="s">
        <v>3449</v>
      </c>
      <c r="L610" s="13">
        <v>2</v>
      </c>
    </row>
    <row r="611" spans="1:12" hidden="1" x14ac:dyDescent="0.55000000000000004">
      <c r="A611" s="12" t="s">
        <v>2841</v>
      </c>
      <c r="B611" s="12" t="s">
        <v>4298</v>
      </c>
      <c r="C611" s="12" t="s">
        <v>587</v>
      </c>
      <c r="D611" s="12" t="s">
        <v>4752</v>
      </c>
      <c r="E611" s="12" t="s">
        <v>598</v>
      </c>
      <c r="F611" s="12" t="s">
        <v>599</v>
      </c>
      <c r="G611" s="12" t="s">
        <v>600</v>
      </c>
      <c r="H611" s="12" t="s">
        <v>4335</v>
      </c>
      <c r="I611" s="12" t="s">
        <v>3059</v>
      </c>
      <c r="J611" s="12" t="s">
        <v>689</v>
      </c>
      <c r="K611" s="12" t="s">
        <v>3450</v>
      </c>
      <c r="L611" s="13">
        <v>2</v>
      </c>
    </row>
    <row r="612" spans="1:12" hidden="1" x14ac:dyDescent="0.55000000000000004">
      <c r="A612" s="12" t="s">
        <v>2841</v>
      </c>
      <c r="B612" s="12" t="s">
        <v>4298</v>
      </c>
      <c r="C612" s="12" t="s">
        <v>587</v>
      </c>
      <c r="D612" s="12" t="s">
        <v>4752</v>
      </c>
      <c r="E612" s="12" t="s">
        <v>601</v>
      </c>
      <c r="F612" s="12" t="s">
        <v>602</v>
      </c>
      <c r="G612" s="12" t="s">
        <v>603</v>
      </c>
      <c r="H612" s="12" t="s">
        <v>4335</v>
      </c>
      <c r="I612" s="12" t="s">
        <v>3059</v>
      </c>
      <c r="J612" s="12" t="s">
        <v>689</v>
      </c>
      <c r="K612" s="12" t="s">
        <v>3451</v>
      </c>
      <c r="L612" s="13">
        <v>2</v>
      </c>
    </row>
    <row r="613" spans="1:12" hidden="1" x14ac:dyDescent="0.55000000000000004">
      <c r="A613" s="12" t="s">
        <v>2841</v>
      </c>
      <c r="B613" s="12" t="s">
        <v>4298</v>
      </c>
      <c r="C613" s="12" t="s">
        <v>587</v>
      </c>
      <c r="D613" s="12" t="s">
        <v>4752</v>
      </c>
      <c r="E613" s="12" t="s">
        <v>604</v>
      </c>
      <c r="F613" s="12" t="s">
        <v>605</v>
      </c>
      <c r="G613" s="12" t="s">
        <v>606</v>
      </c>
      <c r="H613" s="12" t="s">
        <v>4335</v>
      </c>
      <c r="I613" s="12" t="s">
        <v>3059</v>
      </c>
      <c r="J613" s="12" t="s">
        <v>689</v>
      </c>
      <c r="K613" s="12" t="s">
        <v>3452</v>
      </c>
      <c r="L613" s="13">
        <v>2</v>
      </c>
    </row>
    <row r="614" spans="1:12" hidden="1" x14ac:dyDescent="0.55000000000000004">
      <c r="A614" s="12" t="s">
        <v>2841</v>
      </c>
      <c r="B614" s="12" t="s">
        <v>4298</v>
      </c>
      <c r="C614" s="12" t="s">
        <v>587</v>
      </c>
      <c r="D614" s="12" t="s">
        <v>4752</v>
      </c>
      <c r="E614" s="12" t="s">
        <v>607</v>
      </c>
      <c r="F614" s="12" t="s">
        <v>608</v>
      </c>
      <c r="G614" s="12" t="s">
        <v>609</v>
      </c>
      <c r="H614" s="12" t="s">
        <v>4335</v>
      </c>
      <c r="I614" s="12" t="s">
        <v>3059</v>
      </c>
      <c r="J614" s="12" t="s">
        <v>689</v>
      </c>
      <c r="K614" s="12" t="s">
        <v>3453</v>
      </c>
      <c r="L614" s="13">
        <v>4</v>
      </c>
    </row>
    <row r="615" spans="1:12" hidden="1" x14ac:dyDescent="0.55000000000000004">
      <c r="A615" s="12" t="s">
        <v>2841</v>
      </c>
      <c r="B615" s="12" t="s">
        <v>4298</v>
      </c>
      <c r="C615" s="12" t="s">
        <v>587</v>
      </c>
      <c r="D615" s="12" t="s">
        <v>4752</v>
      </c>
      <c r="E615" s="12" t="s">
        <v>610</v>
      </c>
      <c r="F615" s="12" t="s">
        <v>611</v>
      </c>
      <c r="G615" s="12" t="s">
        <v>612</v>
      </c>
      <c r="H615" s="12" t="s">
        <v>4335</v>
      </c>
      <c r="I615" s="12" t="s">
        <v>3059</v>
      </c>
      <c r="J615" s="12" t="s">
        <v>689</v>
      </c>
      <c r="K615" s="12" t="s">
        <v>3454</v>
      </c>
      <c r="L615" s="13">
        <v>9</v>
      </c>
    </row>
    <row r="616" spans="1:12" hidden="1" x14ac:dyDescent="0.55000000000000004">
      <c r="A616" s="12" t="s">
        <v>2841</v>
      </c>
      <c r="B616" s="12" t="s">
        <v>4298</v>
      </c>
      <c r="C616" s="12" t="s">
        <v>587</v>
      </c>
      <c r="D616" s="12" t="s">
        <v>4752</v>
      </c>
      <c r="E616" s="12" t="s">
        <v>617</v>
      </c>
      <c r="F616" s="12" t="s">
        <v>618</v>
      </c>
      <c r="G616" s="12" t="s">
        <v>619</v>
      </c>
      <c r="H616" s="12" t="s">
        <v>4335</v>
      </c>
      <c r="I616" s="12" t="s">
        <v>3059</v>
      </c>
      <c r="J616" s="12" t="s">
        <v>689</v>
      </c>
      <c r="K616" s="12" t="s">
        <v>3456</v>
      </c>
      <c r="L616" s="13">
        <v>4</v>
      </c>
    </row>
    <row r="617" spans="1:12" hidden="1" x14ac:dyDescent="0.55000000000000004">
      <c r="A617" s="12" t="s">
        <v>2841</v>
      </c>
      <c r="B617" s="12" t="s">
        <v>4298</v>
      </c>
      <c r="C617" s="12" t="s">
        <v>587</v>
      </c>
      <c r="D617" s="12" t="s">
        <v>4752</v>
      </c>
      <c r="E617" s="12" t="s">
        <v>620</v>
      </c>
      <c r="F617" s="12" t="s">
        <v>621</v>
      </c>
      <c r="G617" s="12" t="s">
        <v>622</v>
      </c>
      <c r="H617" s="12" t="s">
        <v>4335</v>
      </c>
      <c r="I617" s="12" t="s">
        <v>3059</v>
      </c>
      <c r="J617" s="12" t="s">
        <v>689</v>
      </c>
      <c r="K617" s="12" t="s">
        <v>3457</v>
      </c>
      <c r="L617" s="13">
        <v>4</v>
      </c>
    </row>
    <row r="618" spans="1:12" hidden="1" x14ac:dyDescent="0.55000000000000004">
      <c r="A618" s="12" t="s">
        <v>2841</v>
      </c>
      <c r="B618" s="12" t="s">
        <v>4298</v>
      </c>
      <c r="C618" s="12" t="s">
        <v>587</v>
      </c>
      <c r="D618" s="12" t="s">
        <v>4752</v>
      </c>
      <c r="E618" s="12" t="s">
        <v>3218</v>
      </c>
      <c r="F618" s="12" t="s">
        <v>1870</v>
      </c>
      <c r="G618" s="12" t="s">
        <v>3208</v>
      </c>
      <c r="H618" s="12" t="s">
        <v>4335</v>
      </c>
      <c r="I618" s="12" t="s">
        <v>3059</v>
      </c>
      <c r="J618" s="12" t="s">
        <v>689</v>
      </c>
      <c r="K618" s="12" t="s">
        <v>4293</v>
      </c>
      <c r="L618" s="13">
        <v>6</v>
      </c>
    </row>
    <row r="619" spans="1:12" hidden="1" x14ac:dyDescent="0.55000000000000004">
      <c r="A619" s="12" t="s">
        <v>2841</v>
      </c>
      <c r="B619" s="12" t="s">
        <v>4298</v>
      </c>
      <c r="C619" s="12" t="s">
        <v>587</v>
      </c>
      <c r="D619" s="12" t="s">
        <v>4752</v>
      </c>
      <c r="E619" s="12" t="s">
        <v>3207</v>
      </c>
      <c r="F619" s="12" t="s">
        <v>214</v>
      </c>
      <c r="G619" s="12" t="s">
        <v>3206</v>
      </c>
      <c r="H619" s="12" t="s">
        <v>4335</v>
      </c>
      <c r="I619" s="12" t="s">
        <v>3059</v>
      </c>
      <c r="J619" s="12" t="s">
        <v>689</v>
      </c>
      <c r="K619" s="12" t="s">
        <v>4294</v>
      </c>
      <c r="L619" s="13">
        <v>6</v>
      </c>
    </row>
    <row r="620" spans="1:12" hidden="1" x14ac:dyDescent="0.55000000000000004">
      <c r="A620" s="12" t="s">
        <v>2841</v>
      </c>
      <c r="B620" s="12" t="s">
        <v>4298</v>
      </c>
      <c r="C620" s="12" t="s">
        <v>587</v>
      </c>
      <c r="D620" s="12" t="s">
        <v>4752</v>
      </c>
      <c r="E620" s="12" t="s">
        <v>3210</v>
      </c>
      <c r="F620" s="12" t="s">
        <v>3166</v>
      </c>
      <c r="G620" s="12" t="s">
        <v>3209</v>
      </c>
      <c r="H620" s="12" t="s">
        <v>4335</v>
      </c>
      <c r="I620" s="12" t="s">
        <v>3059</v>
      </c>
      <c r="J620" s="12" t="s">
        <v>689</v>
      </c>
      <c r="K620" s="12" t="s">
        <v>4295</v>
      </c>
      <c r="L620" s="13">
        <v>6</v>
      </c>
    </row>
    <row r="621" spans="1:12" hidden="1" x14ac:dyDescent="0.55000000000000004">
      <c r="A621" s="12" t="s">
        <v>2975</v>
      </c>
      <c r="B621" s="12" t="s">
        <v>4486</v>
      </c>
      <c r="C621" s="12" t="s">
        <v>5171</v>
      </c>
      <c r="D621" s="12" t="s">
        <v>4752</v>
      </c>
      <c r="E621" s="12" t="s">
        <v>230</v>
      </c>
      <c r="F621" s="12" t="s">
        <v>231</v>
      </c>
      <c r="G621" s="12" t="s">
        <v>232</v>
      </c>
      <c r="H621" s="12" t="s">
        <v>5195</v>
      </c>
      <c r="I621" s="12" t="s">
        <v>3059</v>
      </c>
      <c r="J621" s="12" t="s">
        <v>3092</v>
      </c>
      <c r="K621" s="12" t="s">
        <v>3325</v>
      </c>
      <c r="L621" s="13">
        <v>4</v>
      </c>
    </row>
    <row r="622" spans="1:12" hidden="1" x14ac:dyDescent="0.55000000000000004">
      <c r="A622" s="12" t="s">
        <v>2975</v>
      </c>
      <c r="B622" s="12" t="s">
        <v>4486</v>
      </c>
      <c r="C622" s="12" t="s">
        <v>5171</v>
      </c>
      <c r="D622" s="12" t="s">
        <v>4752</v>
      </c>
      <c r="E622" s="12" t="s">
        <v>233</v>
      </c>
      <c r="F622" s="12" t="s">
        <v>147</v>
      </c>
      <c r="G622" s="12" t="s">
        <v>234</v>
      </c>
      <c r="H622" s="12" t="s">
        <v>5195</v>
      </c>
      <c r="I622" s="12" t="s">
        <v>3059</v>
      </c>
      <c r="J622" s="12" t="s">
        <v>3092</v>
      </c>
      <c r="K622" s="12" t="s">
        <v>3326</v>
      </c>
      <c r="L622" s="13">
        <v>4</v>
      </c>
    </row>
    <row r="623" spans="1:12" hidden="1" x14ac:dyDescent="0.55000000000000004">
      <c r="A623" s="12" t="s">
        <v>2975</v>
      </c>
      <c r="B623" s="12" t="s">
        <v>4486</v>
      </c>
      <c r="C623" s="12" t="s">
        <v>5171</v>
      </c>
      <c r="D623" s="12" t="s">
        <v>4752</v>
      </c>
      <c r="E623" s="12" t="s">
        <v>235</v>
      </c>
      <c r="F623" s="12" t="s">
        <v>236</v>
      </c>
      <c r="G623" s="12" t="s">
        <v>237</v>
      </c>
      <c r="H623" s="12" t="s">
        <v>5195</v>
      </c>
      <c r="I623" s="12" t="s">
        <v>3059</v>
      </c>
      <c r="J623" s="12" t="s">
        <v>3092</v>
      </c>
      <c r="K623" s="12" t="s">
        <v>3327</v>
      </c>
      <c r="L623" s="13">
        <v>4</v>
      </c>
    </row>
    <row r="624" spans="1:12" hidden="1" x14ac:dyDescent="0.55000000000000004">
      <c r="A624" s="12" t="s">
        <v>2975</v>
      </c>
      <c r="B624" s="12" t="s">
        <v>4486</v>
      </c>
      <c r="C624" s="12" t="s">
        <v>5171</v>
      </c>
      <c r="D624" s="12" t="s">
        <v>4752</v>
      </c>
      <c r="E624" s="12" t="s">
        <v>238</v>
      </c>
      <c r="F624" s="12" t="s">
        <v>239</v>
      </c>
      <c r="G624" s="12" t="s">
        <v>240</v>
      </c>
      <c r="H624" s="12" t="s">
        <v>5195</v>
      </c>
      <c r="I624" s="12" t="s">
        <v>3059</v>
      </c>
      <c r="J624" s="12" t="s">
        <v>3092</v>
      </c>
      <c r="K624" s="12" t="s">
        <v>3328</v>
      </c>
      <c r="L624" s="13">
        <v>4</v>
      </c>
    </row>
    <row r="625" spans="1:12" hidden="1" x14ac:dyDescent="0.55000000000000004">
      <c r="A625" s="12" t="s">
        <v>2975</v>
      </c>
      <c r="B625" s="12" t="s">
        <v>4486</v>
      </c>
      <c r="C625" s="12" t="s">
        <v>5171</v>
      </c>
      <c r="D625" s="12" t="s">
        <v>4752</v>
      </c>
      <c r="E625" s="12" t="s">
        <v>5576</v>
      </c>
      <c r="F625" s="12" t="s">
        <v>254</v>
      </c>
      <c r="G625" s="12" t="s">
        <v>5577</v>
      </c>
      <c r="H625" s="12" t="s">
        <v>5195</v>
      </c>
      <c r="I625" s="12" t="s">
        <v>3075</v>
      </c>
      <c r="J625" s="12" t="s">
        <v>3092</v>
      </c>
      <c r="K625" s="12" t="s">
        <v>5578</v>
      </c>
      <c r="L625" s="13" t="s">
        <v>3075</v>
      </c>
    </row>
    <row r="626" spans="1:12" hidden="1" x14ac:dyDescent="0.55000000000000004">
      <c r="A626" s="12" t="s">
        <v>2975</v>
      </c>
      <c r="B626" s="12" t="s">
        <v>4486</v>
      </c>
      <c r="C626" s="12" t="s">
        <v>5171</v>
      </c>
      <c r="D626" s="12" t="s">
        <v>4752</v>
      </c>
      <c r="E626" s="12" t="s">
        <v>5579</v>
      </c>
      <c r="F626" s="12" t="s">
        <v>255</v>
      </c>
      <c r="G626" s="12" t="s">
        <v>5580</v>
      </c>
      <c r="H626" s="12" t="s">
        <v>5195</v>
      </c>
      <c r="I626" s="12" t="s">
        <v>3075</v>
      </c>
      <c r="J626" s="12" t="s">
        <v>3092</v>
      </c>
      <c r="K626" s="12" t="s">
        <v>5581</v>
      </c>
      <c r="L626" s="13" t="s">
        <v>3075</v>
      </c>
    </row>
    <row r="627" spans="1:12" hidden="1" x14ac:dyDescent="0.55000000000000004">
      <c r="A627" s="12" t="s">
        <v>2830</v>
      </c>
      <c r="B627" s="12" t="s">
        <v>4298</v>
      </c>
      <c r="C627" s="12" t="s">
        <v>5196</v>
      </c>
      <c r="D627" s="12" t="s">
        <v>4752</v>
      </c>
      <c r="E627" s="12" t="s">
        <v>1744</v>
      </c>
      <c r="F627" s="12" t="s">
        <v>1142</v>
      </c>
      <c r="G627" s="12" t="s">
        <v>1745</v>
      </c>
      <c r="H627" s="12" t="s">
        <v>4325</v>
      </c>
      <c r="I627" s="12" t="s">
        <v>3059</v>
      </c>
      <c r="J627" s="12" t="s">
        <v>3088</v>
      </c>
      <c r="K627" s="12" t="s">
        <v>3859</v>
      </c>
      <c r="L627" s="13">
        <v>9</v>
      </c>
    </row>
    <row r="628" spans="1:12" hidden="1" x14ac:dyDescent="0.55000000000000004">
      <c r="A628" s="12" t="s">
        <v>2830</v>
      </c>
      <c r="B628" s="12" t="s">
        <v>4298</v>
      </c>
      <c r="C628" s="12" t="s">
        <v>5196</v>
      </c>
      <c r="D628" s="12" t="s">
        <v>4752</v>
      </c>
      <c r="E628" s="12" t="s">
        <v>1746</v>
      </c>
      <c r="F628" s="12" t="s">
        <v>1222</v>
      </c>
      <c r="G628" s="12" t="s">
        <v>1747</v>
      </c>
      <c r="H628" s="12" t="s">
        <v>4325</v>
      </c>
      <c r="I628" s="12" t="s">
        <v>3059</v>
      </c>
      <c r="J628" s="12" t="s">
        <v>3088</v>
      </c>
      <c r="K628" s="12" t="s">
        <v>3860</v>
      </c>
      <c r="L628" s="13">
        <v>9</v>
      </c>
    </row>
    <row r="629" spans="1:12" hidden="1" x14ac:dyDescent="0.55000000000000004">
      <c r="A629" s="12" t="s">
        <v>2830</v>
      </c>
      <c r="B629" s="12" t="s">
        <v>4298</v>
      </c>
      <c r="C629" s="12" t="s">
        <v>5196</v>
      </c>
      <c r="D629" s="12" t="s">
        <v>4752</v>
      </c>
      <c r="E629" s="12" t="s">
        <v>5582</v>
      </c>
      <c r="F629" s="12" t="s">
        <v>5583</v>
      </c>
      <c r="G629" s="12" t="s">
        <v>5584</v>
      </c>
      <c r="H629" s="12" t="s">
        <v>4325</v>
      </c>
      <c r="I629" s="12" t="s">
        <v>3075</v>
      </c>
      <c r="J629" s="12" t="s">
        <v>3088</v>
      </c>
      <c r="K629" s="12" t="s">
        <v>5585</v>
      </c>
      <c r="L629" s="13" t="s">
        <v>3075</v>
      </c>
    </row>
    <row r="630" spans="1:12" hidden="1" x14ac:dyDescent="0.55000000000000004">
      <c r="A630" s="12" t="s">
        <v>2830</v>
      </c>
      <c r="B630" s="12" t="s">
        <v>4298</v>
      </c>
      <c r="C630" s="12" t="s">
        <v>5196</v>
      </c>
      <c r="D630" s="12" t="s">
        <v>4752</v>
      </c>
      <c r="E630" s="12" t="s">
        <v>5894</v>
      </c>
      <c r="F630" s="12" t="s">
        <v>5895</v>
      </c>
      <c r="G630" s="12" t="s">
        <v>5896</v>
      </c>
      <c r="H630" s="12" t="s">
        <v>4325</v>
      </c>
      <c r="I630" s="12" t="s">
        <v>3075</v>
      </c>
      <c r="J630" s="12" t="s">
        <v>3088</v>
      </c>
      <c r="K630" s="12" t="s">
        <v>5897</v>
      </c>
      <c r="L630" s="13" t="s">
        <v>3075</v>
      </c>
    </row>
    <row r="631" spans="1:12" hidden="1" x14ac:dyDescent="0.55000000000000004">
      <c r="A631" s="12" t="s">
        <v>2864</v>
      </c>
      <c r="B631" s="12" t="s">
        <v>4298</v>
      </c>
      <c r="C631" s="12" t="s">
        <v>867</v>
      </c>
      <c r="D631" s="12" t="s">
        <v>4752</v>
      </c>
      <c r="E631" s="12" t="s">
        <v>869</v>
      </c>
      <c r="F631" s="12" t="s">
        <v>870</v>
      </c>
      <c r="G631" s="12" t="s">
        <v>871</v>
      </c>
      <c r="H631" s="12" t="s">
        <v>4365</v>
      </c>
      <c r="I631" s="12" t="s">
        <v>3059</v>
      </c>
      <c r="J631" s="12" t="s">
        <v>1404</v>
      </c>
      <c r="K631" s="12" t="s">
        <v>3544</v>
      </c>
      <c r="L631" s="13">
        <v>3</v>
      </c>
    </row>
    <row r="632" spans="1:12" hidden="1" x14ac:dyDescent="0.55000000000000004">
      <c r="A632" s="12" t="s">
        <v>2864</v>
      </c>
      <c r="B632" s="12" t="s">
        <v>4298</v>
      </c>
      <c r="C632" s="12" t="s">
        <v>867</v>
      </c>
      <c r="D632" s="12" t="s">
        <v>4752</v>
      </c>
      <c r="E632" s="12" t="s">
        <v>872</v>
      </c>
      <c r="F632" s="12" t="s">
        <v>873</v>
      </c>
      <c r="G632" s="12" t="s">
        <v>874</v>
      </c>
      <c r="H632" s="12" t="s">
        <v>4365</v>
      </c>
      <c r="I632" s="12" t="s">
        <v>3059</v>
      </c>
      <c r="J632" s="12" t="s">
        <v>1404</v>
      </c>
      <c r="K632" s="12" t="s">
        <v>3545</v>
      </c>
      <c r="L632" s="13">
        <v>3</v>
      </c>
    </row>
    <row r="633" spans="1:12" hidden="1" x14ac:dyDescent="0.55000000000000004">
      <c r="A633" s="12" t="s">
        <v>2864</v>
      </c>
      <c r="B633" s="12" t="s">
        <v>4298</v>
      </c>
      <c r="C633" s="12" t="s">
        <v>867</v>
      </c>
      <c r="D633" s="12" t="s">
        <v>4752</v>
      </c>
      <c r="E633" s="12" t="s">
        <v>875</v>
      </c>
      <c r="F633" s="12" t="s">
        <v>398</v>
      </c>
      <c r="G633" s="12" t="s">
        <v>876</v>
      </c>
      <c r="H633" s="12" t="s">
        <v>4365</v>
      </c>
      <c r="I633" s="12" t="s">
        <v>3059</v>
      </c>
      <c r="J633" s="12" t="s">
        <v>1404</v>
      </c>
      <c r="K633" s="12" t="s">
        <v>3546</v>
      </c>
      <c r="L633" s="13">
        <v>2</v>
      </c>
    </row>
    <row r="634" spans="1:12" hidden="1" x14ac:dyDescent="0.55000000000000004">
      <c r="A634" s="12" t="s">
        <v>2864</v>
      </c>
      <c r="B634" s="12" t="s">
        <v>4298</v>
      </c>
      <c r="C634" s="12" t="s">
        <v>867</v>
      </c>
      <c r="D634" s="12" t="s">
        <v>4752</v>
      </c>
      <c r="E634" s="12" t="s">
        <v>880</v>
      </c>
      <c r="F634" s="12" t="s">
        <v>881</v>
      </c>
      <c r="G634" s="12" t="s">
        <v>866</v>
      </c>
      <c r="H634" s="12" t="s">
        <v>4365</v>
      </c>
      <c r="I634" s="12" t="s">
        <v>3059</v>
      </c>
      <c r="J634" s="12" t="s">
        <v>1404</v>
      </c>
      <c r="K634" s="12" t="s">
        <v>3548</v>
      </c>
      <c r="L634" s="13">
        <v>3</v>
      </c>
    </row>
    <row r="635" spans="1:12" hidden="1" x14ac:dyDescent="0.55000000000000004">
      <c r="A635" s="12" t="s">
        <v>2864</v>
      </c>
      <c r="B635" s="12" t="s">
        <v>4298</v>
      </c>
      <c r="C635" s="12" t="s">
        <v>867</v>
      </c>
      <c r="D635" s="12" t="s">
        <v>4752</v>
      </c>
      <c r="E635" s="12" t="s">
        <v>5898</v>
      </c>
      <c r="F635" s="12" t="s">
        <v>5899</v>
      </c>
      <c r="G635" s="12" t="s">
        <v>5900</v>
      </c>
      <c r="H635" s="12" t="s">
        <v>4365</v>
      </c>
      <c r="I635" s="12" t="s">
        <v>3075</v>
      </c>
      <c r="J635" s="12" t="s">
        <v>1404</v>
      </c>
      <c r="K635" s="12" t="s">
        <v>5901</v>
      </c>
      <c r="L635" s="13" t="s">
        <v>3075</v>
      </c>
    </row>
    <row r="636" spans="1:12" hidden="1" x14ac:dyDescent="0.55000000000000004">
      <c r="A636" s="12" t="s">
        <v>2865</v>
      </c>
      <c r="B636" s="12" t="s">
        <v>4298</v>
      </c>
      <c r="C636" s="12" t="s">
        <v>867</v>
      </c>
      <c r="D636" s="12" t="s">
        <v>4752</v>
      </c>
      <c r="E636" s="12" t="s">
        <v>877</v>
      </c>
      <c r="F636" s="12" t="s">
        <v>878</v>
      </c>
      <c r="G636" s="12" t="s">
        <v>879</v>
      </c>
      <c r="H636" s="12" t="s">
        <v>4366</v>
      </c>
      <c r="I636" s="12" t="s">
        <v>3059</v>
      </c>
      <c r="J636" s="12" t="s">
        <v>1404</v>
      </c>
      <c r="K636" s="12" t="s">
        <v>3547</v>
      </c>
      <c r="L636" s="13">
        <v>3</v>
      </c>
    </row>
    <row r="637" spans="1:12" hidden="1" x14ac:dyDescent="0.55000000000000004">
      <c r="A637" s="12" t="s">
        <v>2865</v>
      </c>
      <c r="B637" s="12" t="s">
        <v>4298</v>
      </c>
      <c r="C637" s="12" t="s">
        <v>867</v>
      </c>
      <c r="D637" s="12" t="s">
        <v>4752</v>
      </c>
      <c r="E637" s="12" t="s">
        <v>882</v>
      </c>
      <c r="F637" s="12" t="s">
        <v>255</v>
      </c>
      <c r="G637" s="12" t="s">
        <v>883</v>
      </c>
      <c r="H637" s="12" t="s">
        <v>4366</v>
      </c>
      <c r="I637" s="12" t="s">
        <v>3059</v>
      </c>
      <c r="J637" s="12" t="s">
        <v>1404</v>
      </c>
      <c r="K637" s="12" t="s">
        <v>3549</v>
      </c>
      <c r="L637" s="13">
        <v>3</v>
      </c>
    </row>
    <row r="638" spans="1:12" hidden="1" x14ac:dyDescent="0.55000000000000004">
      <c r="A638" s="12" t="s">
        <v>2865</v>
      </c>
      <c r="B638" s="12" t="s">
        <v>4298</v>
      </c>
      <c r="C638" s="12" t="s">
        <v>867</v>
      </c>
      <c r="D638" s="12" t="s">
        <v>4752</v>
      </c>
      <c r="E638" s="12" t="s">
        <v>884</v>
      </c>
      <c r="F638" s="12" t="s">
        <v>885</v>
      </c>
      <c r="G638" s="12" t="s">
        <v>886</v>
      </c>
      <c r="H638" s="12" t="s">
        <v>4366</v>
      </c>
      <c r="I638" s="12" t="s">
        <v>3075</v>
      </c>
      <c r="J638" s="12" t="s">
        <v>1404</v>
      </c>
      <c r="K638" s="12" t="s">
        <v>3550</v>
      </c>
      <c r="L638" s="13" t="s">
        <v>3075</v>
      </c>
    </row>
    <row r="639" spans="1:12" hidden="1" x14ac:dyDescent="0.55000000000000004">
      <c r="A639" s="12" t="s">
        <v>2865</v>
      </c>
      <c r="B639" s="12" t="s">
        <v>4298</v>
      </c>
      <c r="C639" s="12" t="s">
        <v>867</v>
      </c>
      <c r="D639" s="12" t="s">
        <v>4752</v>
      </c>
      <c r="E639" s="12" t="s">
        <v>887</v>
      </c>
      <c r="F639" s="12" t="s">
        <v>66</v>
      </c>
      <c r="G639" s="12" t="s">
        <v>888</v>
      </c>
      <c r="H639" s="12" t="s">
        <v>4366</v>
      </c>
      <c r="I639" s="12" t="s">
        <v>3059</v>
      </c>
      <c r="J639" s="12" t="s">
        <v>1404</v>
      </c>
      <c r="K639" s="12" t="s">
        <v>3551</v>
      </c>
      <c r="L639" s="13">
        <v>3</v>
      </c>
    </row>
    <row r="640" spans="1:12" hidden="1" x14ac:dyDescent="0.55000000000000004">
      <c r="A640" s="12" t="s">
        <v>2865</v>
      </c>
      <c r="B640" s="12" t="s">
        <v>4298</v>
      </c>
      <c r="C640" s="12" t="s">
        <v>867</v>
      </c>
      <c r="D640" s="12" t="s">
        <v>4752</v>
      </c>
      <c r="E640" s="12" t="s">
        <v>889</v>
      </c>
      <c r="F640" s="12" t="s">
        <v>890</v>
      </c>
      <c r="G640" s="12" t="s">
        <v>891</v>
      </c>
      <c r="H640" s="12" t="s">
        <v>4366</v>
      </c>
      <c r="I640" s="12" t="s">
        <v>3059</v>
      </c>
      <c r="J640" s="12" t="s">
        <v>1404</v>
      </c>
      <c r="K640" s="12" t="s">
        <v>3552</v>
      </c>
      <c r="L640" s="13">
        <v>2</v>
      </c>
    </row>
    <row r="641" spans="1:12" hidden="1" x14ac:dyDescent="0.55000000000000004">
      <c r="A641" s="12" t="s">
        <v>2865</v>
      </c>
      <c r="B641" s="12" t="s">
        <v>4298</v>
      </c>
      <c r="C641" s="12" t="s">
        <v>867</v>
      </c>
      <c r="D641" s="12" t="s">
        <v>4752</v>
      </c>
      <c r="E641" s="12" t="s">
        <v>892</v>
      </c>
      <c r="F641" s="12" t="s">
        <v>18</v>
      </c>
      <c r="G641" s="12" t="s">
        <v>868</v>
      </c>
      <c r="H641" s="12" t="s">
        <v>4366</v>
      </c>
      <c r="I641" s="12" t="s">
        <v>3059</v>
      </c>
      <c r="J641" s="12" t="s">
        <v>1404</v>
      </c>
      <c r="K641" s="12" t="s">
        <v>3553</v>
      </c>
      <c r="L641" s="13">
        <v>3</v>
      </c>
    </row>
    <row r="642" spans="1:12" hidden="1" x14ac:dyDescent="0.55000000000000004">
      <c r="A642" s="12" t="s">
        <v>3052</v>
      </c>
      <c r="B642" s="12" t="s">
        <v>4486</v>
      </c>
      <c r="C642" s="12" t="s">
        <v>923</v>
      </c>
      <c r="D642" s="12" t="s">
        <v>4752</v>
      </c>
      <c r="E642" s="12" t="s">
        <v>967</v>
      </c>
      <c r="F642" s="12" t="s">
        <v>968</v>
      </c>
      <c r="G642" s="12" t="s">
        <v>969</v>
      </c>
      <c r="H642" s="12" t="s">
        <v>5197</v>
      </c>
      <c r="I642" s="12" t="s">
        <v>3059</v>
      </c>
      <c r="J642" s="12" t="s">
        <v>3089</v>
      </c>
      <c r="K642" s="12" t="s">
        <v>3579</v>
      </c>
      <c r="L642" s="13">
        <v>6</v>
      </c>
    </row>
    <row r="643" spans="1:12" hidden="1" x14ac:dyDescent="0.55000000000000004">
      <c r="A643" s="12" t="s">
        <v>3052</v>
      </c>
      <c r="B643" s="12" t="s">
        <v>4486</v>
      </c>
      <c r="C643" s="12" t="s">
        <v>923</v>
      </c>
      <c r="D643" s="12" t="s">
        <v>4752</v>
      </c>
      <c r="E643" s="12" t="s">
        <v>998</v>
      </c>
      <c r="F643" s="12" t="s">
        <v>830</v>
      </c>
      <c r="G643" s="12" t="s">
        <v>999</v>
      </c>
      <c r="H643" s="12" t="s">
        <v>5197</v>
      </c>
      <c r="I643" s="12" t="s">
        <v>3075</v>
      </c>
      <c r="J643" s="12" t="s">
        <v>3089</v>
      </c>
      <c r="K643" s="12" t="s">
        <v>3590</v>
      </c>
      <c r="L643" s="13" t="s">
        <v>3075</v>
      </c>
    </row>
    <row r="644" spans="1:12" hidden="1" x14ac:dyDescent="0.55000000000000004">
      <c r="A644" s="12" t="s">
        <v>3052</v>
      </c>
      <c r="B644" s="12" t="s">
        <v>4486</v>
      </c>
      <c r="C644" s="12" t="s">
        <v>923</v>
      </c>
      <c r="D644" s="12" t="s">
        <v>4752</v>
      </c>
      <c r="E644" s="12" t="s">
        <v>1017</v>
      </c>
      <c r="F644" s="12" t="s">
        <v>375</v>
      </c>
      <c r="G644" s="12" t="s">
        <v>1018</v>
      </c>
      <c r="H644" s="12" t="s">
        <v>5197</v>
      </c>
      <c r="I644" s="12" t="s">
        <v>3059</v>
      </c>
      <c r="J644" s="12" t="s">
        <v>3089</v>
      </c>
      <c r="K644" s="12" t="s">
        <v>3597</v>
      </c>
      <c r="L644" s="13">
        <v>5</v>
      </c>
    </row>
    <row r="645" spans="1:12" hidden="1" x14ac:dyDescent="0.55000000000000004">
      <c r="A645" s="12" t="s">
        <v>3052</v>
      </c>
      <c r="B645" s="12" t="s">
        <v>4486</v>
      </c>
      <c r="C645" s="12" t="s">
        <v>923</v>
      </c>
      <c r="D645" s="12" t="s">
        <v>4752</v>
      </c>
      <c r="E645" s="12" t="s">
        <v>1044</v>
      </c>
      <c r="F645" s="12" t="s">
        <v>1045</v>
      </c>
      <c r="G645" s="12" t="s">
        <v>1046</v>
      </c>
      <c r="H645" s="12" t="s">
        <v>5197</v>
      </c>
      <c r="I645" s="12" t="s">
        <v>3059</v>
      </c>
      <c r="J645" s="12" t="s">
        <v>3089</v>
      </c>
      <c r="K645" s="12" t="s">
        <v>3607</v>
      </c>
      <c r="L645" s="13">
        <v>6</v>
      </c>
    </row>
    <row r="646" spans="1:12" hidden="1" x14ac:dyDescent="0.55000000000000004">
      <c r="A646" s="12" t="s">
        <v>3052</v>
      </c>
      <c r="B646" s="12" t="s">
        <v>4486</v>
      </c>
      <c r="C646" s="12" t="s">
        <v>923</v>
      </c>
      <c r="D646" s="12" t="s">
        <v>4752</v>
      </c>
      <c r="E646" s="12" t="s">
        <v>1047</v>
      </c>
      <c r="F646" s="12" t="s">
        <v>1048</v>
      </c>
      <c r="G646" s="12" t="s">
        <v>1049</v>
      </c>
      <c r="H646" s="12" t="s">
        <v>5197</v>
      </c>
      <c r="I646" s="12" t="s">
        <v>3059</v>
      </c>
      <c r="J646" s="12" t="s">
        <v>3089</v>
      </c>
      <c r="K646" s="12" t="s">
        <v>3608</v>
      </c>
      <c r="L646" s="13">
        <v>5</v>
      </c>
    </row>
    <row r="647" spans="1:12" hidden="1" x14ac:dyDescent="0.55000000000000004">
      <c r="A647" s="12" t="s">
        <v>2910</v>
      </c>
      <c r="B647" s="12" t="s">
        <v>4422</v>
      </c>
      <c r="C647" s="12" t="s">
        <v>5198</v>
      </c>
      <c r="D647" s="12" t="s">
        <v>4752</v>
      </c>
      <c r="E647" s="12" t="s">
        <v>2174</v>
      </c>
      <c r="F647" s="12" t="s">
        <v>2175</v>
      </c>
      <c r="G647" s="12" t="s">
        <v>2176</v>
      </c>
      <c r="H647" s="12" t="s">
        <v>4429</v>
      </c>
      <c r="I647" s="12" t="s">
        <v>3059</v>
      </c>
      <c r="J647" s="12" t="s">
        <v>338</v>
      </c>
      <c r="K647" s="12" t="s">
        <v>4019</v>
      </c>
      <c r="L647" s="13">
        <v>2</v>
      </c>
    </row>
    <row r="648" spans="1:12" hidden="1" x14ac:dyDescent="0.55000000000000004">
      <c r="A648" s="12" t="s">
        <v>2910</v>
      </c>
      <c r="B648" s="12" t="s">
        <v>4422</v>
      </c>
      <c r="C648" s="12" t="s">
        <v>5198</v>
      </c>
      <c r="D648" s="12" t="s">
        <v>4752</v>
      </c>
      <c r="E648" s="12" t="s">
        <v>2177</v>
      </c>
      <c r="F648" s="12" t="s">
        <v>2178</v>
      </c>
      <c r="G648" s="12" t="s">
        <v>2179</v>
      </c>
      <c r="H648" s="12" t="s">
        <v>4429</v>
      </c>
      <c r="I648" s="12" t="s">
        <v>3059</v>
      </c>
      <c r="J648" s="12" t="s">
        <v>338</v>
      </c>
      <c r="K648" s="12" t="s">
        <v>4020</v>
      </c>
      <c r="L648" s="13">
        <v>2</v>
      </c>
    </row>
    <row r="649" spans="1:12" hidden="1" x14ac:dyDescent="0.55000000000000004">
      <c r="A649" s="12" t="s">
        <v>2910</v>
      </c>
      <c r="B649" s="12" t="s">
        <v>4422</v>
      </c>
      <c r="C649" s="12" t="s">
        <v>5198</v>
      </c>
      <c r="D649" s="12" t="s">
        <v>4752</v>
      </c>
      <c r="E649" s="12" t="s">
        <v>2180</v>
      </c>
      <c r="F649" s="12" t="s">
        <v>2181</v>
      </c>
      <c r="G649" s="12" t="s">
        <v>2182</v>
      </c>
      <c r="H649" s="12" t="s">
        <v>4429</v>
      </c>
      <c r="I649" s="12" t="s">
        <v>3059</v>
      </c>
      <c r="J649" s="12" t="s">
        <v>338</v>
      </c>
      <c r="K649" s="12" t="s">
        <v>4021</v>
      </c>
      <c r="L649" s="13">
        <v>2</v>
      </c>
    </row>
    <row r="650" spans="1:12" hidden="1" x14ac:dyDescent="0.55000000000000004">
      <c r="A650" s="12" t="s">
        <v>2910</v>
      </c>
      <c r="B650" s="12" t="s">
        <v>4422</v>
      </c>
      <c r="C650" s="12" t="s">
        <v>5198</v>
      </c>
      <c r="D650" s="12" t="s">
        <v>4752</v>
      </c>
      <c r="E650" s="12" t="s">
        <v>2183</v>
      </c>
      <c r="F650" s="12" t="s">
        <v>2184</v>
      </c>
      <c r="G650" s="12" t="s">
        <v>2185</v>
      </c>
      <c r="H650" s="12" t="s">
        <v>4429</v>
      </c>
      <c r="I650" s="12" t="s">
        <v>3059</v>
      </c>
      <c r="J650" s="12" t="s">
        <v>338</v>
      </c>
      <c r="K650" s="12" t="s">
        <v>4022</v>
      </c>
      <c r="L650" s="13">
        <v>2</v>
      </c>
    </row>
    <row r="651" spans="1:12" hidden="1" x14ac:dyDescent="0.55000000000000004">
      <c r="A651" s="12" t="s">
        <v>3012</v>
      </c>
      <c r="B651" s="12" t="s">
        <v>4486</v>
      </c>
      <c r="C651" s="12" t="s">
        <v>5144</v>
      </c>
      <c r="D651" s="12" t="s">
        <v>4752</v>
      </c>
      <c r="E651" s="12" t="s">
        <v>1722</v>
      </c>
      <c r="F651" s="12" t="s">
        <v>1723</v>
      </c>
      <c r="G651" s="12" t="s">
        <v>1724</v>
      </c>
      <c r="H651" s="12" t="s">
        <v>5199</v>
      </c>
      <c r="I651" s="12" t="s">
        <v>3059</v>
      </c>
      <c r="J651" s="12" t="s">
        <v>3089</v>
      </c>
      <c r="K651" s="12" t="s">
        <v>3851</v>
      </c>
      <c r="L651" s="13">
        <v>5</v>
      </c>
    </row>
    <row r="652" spans="1:12" hidden="1" x14ac:dyDescent="0.55000000000000004">
      <c r="A652" s="12" t="s">
        <v>2900</v>
      </c>
      <c r="B652" s="12" t="s">
        <v>4374</v>
      </c>
      <c r="C652" s="12" t="s">
        <v>3066</v>
      </c>
      <c r="D652" s="12" t="s">
        <v>4752</v>
      </c>
      <c r="E652" s="12" t="s">
        <v>1436</v>
      </c>
      <c r="F652" s="12" t="s">
        <v>1437</v>
      </c>
      <c r="G652" s="12" t="s">
        <v>1438</v>
      </c>
      <c r="H652" s="12" t="s">
        <v>4412</v>
      </c>
      <c r="I652" s="12" t="s">
        <v>3059</v>
      </c>
      <c r="J652" s="12" t="s">
        <v>3094</v>
      </c>
      <c r="K652" s="12" t="s">
        <v>3744</v>
      </c>
      <c r="L652" s="13">
        <v>4</v>
      </c>
    </row>
    <row r="653" spans="1:12" hidden="1" x14ac:dyDescent="0.55000000000000004">
      <c r="A653" s="12" t="s">
        <v>2900</v>
      </c>
      <c r="B653" s="12" t="s">
        <v>4374</v>
      </c>
      <c r="C653" s="12" t="s">
        <v>3066</v>
      </c>
      <c r="D653" s="12" t="s">
        <v>4752</v>
      </c>
      <c r="E653" s="12" t="s">
        <v>1439</v>
      </c>
      <c r="F653" s="12" t="s">
        <v>1440</v>
      </c>
      <c r="G653" s="12" t="s">
        <v>1441</v>
      </c>
      <c r="H653" s="12" t="s">
        <v>4412</v>
      </c>
      <c r="I653" s="12" t="s">
        <v>3059</v>
      </c>
      <c r="J653" s="12" t="s">
        <v>3094</v>
      </c>
      <c r="K653" s="12" t="s">
        <v>3745</v>
      </c>
      <c r="L653" s="13">
        <v>4</v>
      </c>
    </row>
    <row r="654" spans="1:12" hidden="1" x14ac:dyDescent="0.55000000000000004">
      <c r="A654" s="12" t="s">
        <v>2900</v>
      </c>
      <c r="B654" s="12" t="s">
        <v>4374</v>
      </c>
      <c r="C654" s="12" t="s">
        <v>3066</v>
      </c>
      <c r="D654" s="12" t="s">
        <v>4752</v>
      </c>
      <c r="E654" s="12" t="s">
        <v>1442</v>
      </c>
      <c r="F654" s="12" t="s">
        <v>1235</v>
      </c>
      <c r="G654" s="12" t="s">
        <v>1443</v>
      </c>
      <c r="H654" s="12" t="s">
        <v>4412</v>
      </c>
      <c r="I654" s="12" t="s">
        <v>3059</v>
      </c>
      <c r="J654" s="12" t="s">
        <v>3094</v>
      </c>
      <c r="K654" s="12" t="s">
        <v>3746</v>
      </c>
      <c r="L654" s="13">
        <v>4</v>
      </c>
    </row>
    <row r="655" spans="1:12" hidden="1" x14ac:dyDescent="0.55000000000000004">
      <c r="A655" s="12" t="s">
        <v>2900</v>
      </c>
      <c r="B655" s="12" t="s">
        <v>4374</v>
      </c>
      <c r="C655" s="12" t="s">
        <v>3066</v>
      </c>
      <c r="D655" s="12" t="s">
        <v>4752</v>
      </c>
      <c r="E655" s="12" t="s">
        <v>1444</v>
      </c>
      <c r="F655" s="12" t="s">
        <v>1445</v>
      </c>
      <c r="G655" s="12" t="s">
        <v>1446</v>
      </c>
      <c r="H655" s="12" t="s">
        <v>4412</v>
      </c>
      <c r="I655" s="12" t="s">
        <v>3059</v>
      </c>
      <c r="J655" s="12" t="s">
        <v>3094</v>
      </c>
      <c r="K655" s="12" t="s">
        <v>3747</v>
      </c>
      <c r="L655" s="13">
        <v>4</v>
      </c>
    </row>
    <row r="656" spans="1:12" hidden="1" x14ac:dyDescent="0.55000000000000004">
      <c r="A656" s="12" t="s">
        <v>2900</v>
      </c>
      <c r="B656" s="12" t="s">
        <v>4374</v>
      </c>
      <c r="C656" s="12" t="s">
        <v>3066</v>
      </c>
      <c r="D656" s="12" t="s">
        <v>4752</v>
      </c>
      <c r="E656" s="12" t="s">
        <v>1447</v>
      </c>
      <c r="F656" s="12" t="s">
        <v>1448</v>
      </c>
      <c r="G656" s="12" t="s">
        <v>1449</v>
      </c>
      <c r="H656" s="12" t="s">
        <v>4412</v>
      </c>
      <c r="I656" s="12" t="s">
        <v>3059</v>
      </c>
      <c r="J656" s="12" t="s">
        <v>3094</v>
      </c>
      <c r="K656" s="12" t="s">
        <v>3748</v>
      </c>
      <c r="L656" s="13">
        <v>4</v>
      </c>
    </row>
    <row r="657" spans="1:12" hidden="1" x14ac:dyDescent="0.55000000000000004">
      <c r="A657" s="12" t="s">
        <v>2900</v>
      </c>
      <c r="B657" s="12" t="s">
        <v>4374</v>
      </c>
      <c r="C657" s="12" t="s">
        <v>3066</v>
      </c>
      <c r="D657" s="12" t="s">
        <v>4752</v>
      </c>
      <c r="E657" s="12" t="s">
        <v>1450</v>
      </c>
      <c r="F657" s="12" t="s">
        <v>1451</v>
      </c>
      <c r="G657" s="12" t="s">
        <v>1185</v>
      </c>
      <c r="H657" s="12" t="s">
        <v>4412</v>
      </c>
      <c r="I657" s="12" t="s">
        <v>3059</v>
      </c>
      <c r="J657" s="12" t="s">
        <v>3094</v>
      </c>
      <c r="K657" s="12" t="s">
        <v>3749</v>
      </c>
      <c r="L657" s="13">
        <v>4</v>
      </c>
    </row>
    <row r="658" spans="1:12" hidden="1" x14ac:dyDescent="0.55000000000000004">
      <c r="A658" s="12" t="s">
        <v>2867</v>
      </c>
      <c r="B658" s="12" t="s">
        <v>4298</v>
      </c>
      <c r="C658" s="12" t="s">
        <v>5126</v>
      </c>
      <c r="D658" s="12" t="s">
        <v>4752</v>
      </c>
      <c r="E658" s="12" t="s">
        <v>1570</v>
      </c>
      <c r="F658" s="12" t="s">
        <v>161</v>
      </c>
      <c r="G658" s="12" t="s">
        <v>1551</v>
      </c>
      <c r="H658" s="12" t="s">
        <v>4370</v>
      </c>
      <c r="I658" s="12" t="s">
        <v>3059</v>
      </c>
      <c r="J658" s="12" t="s">
        <v>1404</v>
      </c>
      <c r="K658" s="12" t="s">
        <v>3790</v>
      </c>
      <c r="L658" s="13">
        <v>4</v>
      </c>
    </row>
    <row r="659" spans="1:12" hidden="1" x14ac:dyDescent="0.55000000000000004">
      <c r="A659" s="12" t="s">
        <v>2888</v>
      </c>
      <c r="B659" s="12" t="s">
        <v>4374</v>
      </c>
      <c r="C659" s="12" t="s">
        <v>5176</v>
      </c>
      <c r="D659" s="12" t="s">
        <v>4752</v>
      </c>
      <c r="E659" s="12" t="s">
        <v>1215</v>
      </c>
      <c r="F659" s="12" t="s">
        <v>1216</v>
      </c>
      <c r="G659" s="12" t="s">
        <v>1217</v>
      </c>
      <c r="H659" s="12" t="s">
        <v>5200</v>
      </c>
      <c r="I659" s="12" t="s">
        <v>3059</v>
      </c>
      <c r="J659" s="12" t="s">
        <v>3094</v>
      </c>
      <c r="K659" s="12" t="s">
        <v>3666</v>
      </c>
      <c r="L659" s="13">
        <v>4</v>
      </c>
    </row>
    <row r="660" spans="1:12" hidden="1" x14ac:dyDescent="0.55000000000000004">
      <c r="A660" s="12" t="s">
        <v>2888</v>
      </c>
      <c r="B660" s="12" t="s">
        <v>4374</v>
      </c>
      <c r="C660" s="12" t="s">
        <v>5176</v>
      </c>
      <c r="D660" s="12" t="s">
        <v>4752</v>
      </c>
      <c r="E660" s="12" t="s">
        <v>1218</v>
      </c>
      <c r="F660" s="12" t="s">
        <v>1219</v>
      </c>
      <c r="G660" s="12" t="s">
        <v>1220</v>
      </c>
      <c r="H660" s="12" t="s">
        <v>5200</v>
      </c>
      <c r="I660" s="12" t="s">
        <v>3059</v>
      </c>
      <c r="J660" s="12" t="s">
        <v>3094</v>
      </c>
      <c r="K660" s="12" t="s">
        <v>3667</v>
      </c>
      <c r="L660" s="13">
        <v>4</v>
      </c>
    </row>
    <row r="661" spans="1:12" hidden="1" x14ac:dyDescent="0.55000000000000004">
      <c r="A661" s="12" t="s">
        <v>2888</v>
      </c>
      <c r="B661" s="12" t="s">
        <v>4374</v>
      </c>
      <c r="C661" s="12" t="s">
        <v>5176</v>
      </c>
      <c r="D661" s="12" t="s">
        <v>4752</v>
      </c>
      <c r="E661" s="12" t="s">
        <v>1221</v>
      </c>
      <c r="F661" s="12" t="s">
        <v>1222</v>
      </c>
      <c r="G661" s="12" t="s">
        <v>1223</v>
      </c>
      <c r="H661" s="12" t="s">
        <v>5200</v>
      </c>
      <c r="I661" s="12" t="s">
        <v>3059</v>
      </c>
      <c r="J661" s="12" t="s">
        <v>3094</v>
      </c>
      <c r="K661" s="12" t="s">
        <v>3668</v>
      </c>
      <c r="L661" s="13">
        <v>4</v>
      </c>
    </row>
    <row r="662" spans="1:12" hidden="1" x14ac:dyDescent="0.55000000000000004">
      <c r="A662" s="12" t="s">
        <v>2888</v>
      </c>
      <c r="B662" s="12" t="s">
        <v>4374</v>
      </c>
      <c r="C662" s="12" t="s">
        <v>5176</v>
      </c>
      <c r="D662" s="12" t="s">
        <v>4752</v>
      </c>
      <c r="E662" s="12" t="s">
        <v>1224</v>
      </c>
      <c r="F662" s="12" t="s">
        <v>1225</v>
      </c>
      <c r="G662" s="12" t="s">
        <v>1226</v>
      </c>
      <c r="H662" s="12" t="s">
        <v>5200</v>
      </c>
      <c r="I662" s="12" t="s">
        <v>3075</v>
      </c>
      <c r="J662" s="12" t="s">
        <v>3094</v>
      </c>
      <c r="K662" s="12" t="s">
        <v>3669</v>
      </c>
      <c r="L662" s="13" t="s">
        <v>3075</v>
      </c>
    </row>
    <row r="663" spans="1:12" hidden="1" x14ac:dyDescent="0.55000000000000004">
      <c r="A663" s="12" t="s">
        <v>2888</v>
      </c>
      <c r="B663" s="12" t="s">
        <v>4374</v>
      </c>
      <c r="C663" s="12" t="s">
        <v>5176</v>
      </c>
      <c r="D663" s="12" t="s">
        <v>4752</v>
      </c>
      <c r="E663" s="12" t="s">
        <v>1227</v>
      </c>
      <c r="F663" s="12" t="s">
        <v>638</v>
      </c>
      <c r="G663" s="12" t="s">
        <v>266</v>
      </c>
      <c r="H663" s="12" t="s">
        <v>5200</v>
      </c>
      <c r="I663" s="12" t="s">
        <v>3059</v>
      </c>
      <c r="J663" s="12" t="s">
        <v>3094</v>
      </c>
      <c r="K663" s="12" t="s">
        <v>3670</v>
      </c>
      <c r="L663" s="13">
        <v>4</v>
      </c>
    </row>
    <row r="664" spans="1:12" hidden="1" x14ac:dyDescent="0.55000000000000004">
      <c r="A664" s="12" t="s">
        <v>2888</v>
      </c>
      <c r="B664" s="12" t="s">
        <v>4374</v>
      </c>
      <c r="C664" s="12" t="s">
        <v>5176</v>
      </c>
      <c r="D664" s="12" t="s">
        <v>4752</v>
      </c>
      <c r="E664" s="12" t="s">
        <v>1230</v>
      </c>
      <c r="F664" s="12" t="s">
        <v>1231</v>
      </c>
      <c r="G664" s="12" t="s">
        <v>1232</v>
      </c>
      <c r="H664" s="12" t="s">
        <v>5200</v>
      </c>
      <c r="I664" s="12" t="s">
        <v>3059</v>
      </c>
      <c r="J664" s="12" t="s">
        <v>3094</v>
      </c>
      <c r="K664" s="12" t="s">
        <v>3672</v>
      </c>
      <c r="L664" s="13">
        <v>4</v>
      </c>
    </row>
    <row r="665" spans="1:12" hidden="1" x14ac:dyDescent="0.55000000000000004">
      <c r="A665" s="12" t="s">
        <v>2863</v>
      </c>
      <c r="B665" s="12" t="s">
        <v>4298</v>
      </c>
      <c r="C665" s="12" t="s">
        <v>1751</v>
      </c>
      <c r="D665" s="12" t="s">
        <v>4752</v>
      </c>
      <c r="E665" s="12" t="s">
        <v>1748</v>
      </c>
      <c r="F665" s="12" t="s">
        <v>1749</v>
      </c>
      <c r="G665" s="12" t="s">
        <v>1750</v>
      </c>
      <c r="H665" s="12" t="s">
        <v>137</v>
      </c>
      <c r="I665" s="12" t="s">
        <v>3059</v>
      </c>
      <c r="J665" s="12" t="s">
        <v>3088</v>
      </c>
      <c r="K665" s="12" t="s">
        <v>3861</v>
      </c>
      <c r="L665" s="13">
        <v>9</v>
      </c>
    </row>
    <row r="666" spans="1:12" hidden="1" x14ac:dyDescent="0.55000000000000004">
      <c r="A666" s="12" t="s">
        <v>2863</v>
      </c>
      <c r="B666" s="12" t="s">
        <v>4298</v>
      </c>
      <c r="C666" s="12" t="s">
        <v>1751</v>
      </c>
      <c r="D666" s="12" t="s">
        <v>4752</v>
      </c>
      <c r="E666" s="12" t="s">
        <v>1752</v>
      </c>
      <c r="F666" s="12" t="s">
        <v>1753</v>
      </c>
      <c r="G666" s="12" t="s">
        <v>1750</v>
      </c>
      <c r="H666" s="12" t="s">
        <v>137</v>
      </c>
      <c r="I666" s="12" t="s">
        <v>3059</v>
      </c>
      <c r="J666" s="12" t="s">
        <v>3088</v>
      </c>
      <c r="K666" s="12" t="s">
        <v>3862</v>
      </c>
      <c r="L666" s="13">
        <v>9</v>
      </c>
    </row>
    <row r="667" spans="1:12" hidden="1" x14ac:dyDescent="0.55000000000000004">
      <c r="A667" s="12" t="s">
        <v>2863</v>
      </c>
      <c r="B667" s="12" t="s">
        <v>4298</v>
      </c>
      <c r="C667" s="12" t="s">
        <v>1751</v>
      </c>
      <c r="D667" s="12" t="s">
        <v>4752</v>
      </c>
      <c r="E667" s="12" t="s">
        <v>1754</v>
      </c>
      <c r="F667" s="12" t="s">
        <v>1755</v>
      </c>
      <c r="G667" s="12" t="s">
        <v>1756</v>
      </c>
      <c r="H667" s="12" t="s">
        <v>137</v>
      </c>
      <c r="I667" s="12" t="s">
        <v>3059</v>
      </c>
      <c r="J667" s="12" t="s">
        <v>3088</v>
      </c>
      <c r="K667" s="12" t="s">
        <v>3863</v>
      </c>
      <c r="L667" s="13">
        <v>9</v>
      </c>
    </row>
    <row r="668" spans="1:12" hidden="1" x14ac:dyDescent="0.55000000000000004">
      <c r="A668" s="12" t="s">
        <v>2933</v>
      </c>
      <c r="B668" s="12" t="s">
        <v>4442</v>
      </c>
      <c r="C668" s="12" t="s">
        <v>5149</v>
      </c>
      <c r="D668" s="12" t="s">
        <v>4752</v>
      </c>
      <c r="E668" s="12" t="s">
        <v>2243</v>
      </c>
      <c r="F668" s="12" t="s">
        <v>428</v>
      </c>
      <c r="G668" s="12" t="s">
        <v>2244</v>
      </c>
      <c r="H668" s="12" t="s">
        <v>5201</v>
      </c>
      <c r="I668" s="12" t="s">
        <v>3059</v>
      </c>
      <c r="J668" s="12" t="s">
        <v>3085</v>
      </c>
      <c r="K668" s="12" t="s">
        <v>4046</v>
      </c>
      <c r="L668" s="13">
        <v>5</v>
      </c>
    </row>
    <row r="669" spans="1:12" hidden="1" x14ac:dyDescent="0.55000000000000004">
      <c r="A669" s="12" t="s">
        <v>2933</v>
      </c>
      <c r="B669" s="12" t="s">
        <v>4442</v>
      </c>
      <c r="C669" s="12" t="s">
        <v>5149</v>
      </c>
      <c r="D669" s="12" t="s">
        <v>4752</v>
      </c>
      <c r="E669" s="12" t="s">
        <v>2245</v>
      </c>
      <c r="F669" s="12" t="s">
        <v>828</v>
      </c>
      <c r="G669" s="12" t="s">
        <v>2246</v>
      </c>
      <c r="H669" s="12" t="s">
        <v>5201</v>
      </c>
      <c r="I669" s="12" t="s">
        <v>3059</v>
      </c>
      <c r="J669" s="12" t="s">
        <v>3085</v>
      </c>
      <c r="K669" s="12" t="s">
        <v>4047</v>
      </c>
      <c r="L669" s="13">
        <v>10</v>
      </c>
    </row>
    <row r="670" spans="1:12" hidden="1" x14ac:dyDescent="0.55000000000000004">
      <c r="A670" s="12" t="s">
        <v>2933</v>
      </c>
      <c r="B670" s="12" t="s">
        <v>4442</v>
      </c>
      <c r="C670" s="12" t="s">
        <v>5149</v>
      </c>
      <c r="D670" s="12" t="s">
        <v>4752</v>
      </c>
      <c r="E670" s="12" t="s">
        <v>2247</v>
      </c>
      <c r="F670" s="12" t="s">
        <v>1120</v>
      </c>
      <c r="G670" s="12" t="s">
        <v>2248</v>
      </c>
      <c r="H670" s="12" t="s">
        <v>5201</v>
      </c>
      <c r="I670" s="12" t="s">
        <v>3059</v>
      </c>
      <c r="J670" s="12" t="s">
        <v>3085</v>
      </c>
      <c r="K670" s="12" t="s">
        <v>4048</v>
      </c>
      <c r="L670" s="13">
        <v>10</v>
      </c>
    </row>
    <row r="671" spans="1:12" hidden="1" x14ac:dyDescent="0.55000000000000004">
      <c r="A671" s="12" t="s">
        <v>2933</v>
      </c>
      <c r="B671" s="12" t="s">
        <v>4442</v>
      </c>
      <c r="C671" s="12" t="s">
        <v>5149</v>
      </c>
      <c r="D671" s="12" t="s">
        <v>4752</v>
      </c>
      <c r="E671" s="12" t="s">
        <v>2249</v>
      </c>
      <c r="F671" s="12" t="s">
        <v>399</v>
      </c>
      <c r="G671" s="12" t="s">
        <v>2250</v>
      </c>
      <c r="H671" s="12" t="s">
        <v>5201</v>
      </c>
      <c r="I671" s="12" t="s">
        <v>3059</v>
      </c>
      <c r="J671" s="12" t="s">
        <v>3085</v>
      </c>
      <c r="K671" s="12" t="s">
        <v>4049</v>
      </c>
      <c r="L671" s="13">
        <v>5</v>
      </c>
    </row>
    <row r="672" spans="1:12" hidden="1" x14ac:dyDescent="0.55000000000000004">
      <c r="A672" s="12" t="s">
        <v>2933</v>
      </c>
      <c r="B672" s="12" t="s">
        <v>4442</v>
      </c>
      <c r="C672" s="12" t="s">
        <v>5149</v>
      </c>
      <c r="D672" s="12" t="s">
        <v>4752</v>
      </c>
      <c r="E672" s="12" t="s">
        <v>2251</v>
      </c>
      <c r="F672" s="12" t="s">
        <v>2252</v>
      </c>
      <c r="G672" s="12" t="s">
        <v>2253</v>
      </c>
      <c r="H672" s="12" t="s">
        <v>5201</v>
      </c>
      <c r="I672" s="12" t="s">
        <v>3059</v>
      </c>
      <c r="J672" s="12" t="s">
        <v>3085</v>
      </c>
      <c r="K672" s="12" t="s">
        <v>4050</v>
      </c>
      <c r="L672" s="13">
        <v>10</v>
      </c>
    </row>
    <row r="673" spans="1:12" hidden="1" x14ac:dyDescent="0.55000000000000004">
      <c r="A673" s="12" t="s">
        <v>2933</v>
      </c>
      <c r="B673" s="12" t="s">
        <v>4442</v>
      </c>
      <c r="C673" s="12" t="s">
        <v>5149</v>
      </c>
      <c r="D673" s="12" t="s">
        <v>4752</v>
      </c>
      <c r="E673" s="12" t="s">
        <v>2254</v>
      </c>
      <c r="F673" s="12" t="s">
        <v>1525</v>
      </c>
      <c r="G673" s="12" t="s">
        <v>2255</v>
      </c>
      <c r="H673" s="12" t="s">
        <v>5201</v>
      </c>
      <c r="I673" s="12" t="s">
        <v>3059</v>
      </c>
      <c r="J673" s="12" t="s">
        <v>3085</v>
      </c>
      <c r="K673" s="12" t="s">
        <v>4051</v>
      </c>
      <c r="L673" s="13">
        <v>10</v>
      </c>
    </row>
    <row r="674" spans="1:12" hidden="1" x14ac:dyDescent="0.55000000000000004">
      <c r="A674" s="12" t="s">
        <v>2933</v>
      </c>
      <c r="B674" s="12" t="s">
        <v>4442</v>
      </c>
      <c r="C674" s="12" t="s">
        <v>5149</v>
      </c>
      <c r="D674" s="12" t="s">
        <v>4752</v>
      </c>
      <c r="E674" s="12" t="s">
        <v>2492</v>
      </c>
      <c r="F674" s="12" t="s">
        <v>2493</v>
      </c>
      <c r="G674" s="12" t="s">
        <v>2494</v>
      </c>
      <c r="H674" s="12" t="s">
        <v>5201</v>
      </c>
      <c r="I674" s="12" t="s">
        <v>3059</v>
      </c>
      <c r="J674" s="12" t="s">
        <v>3085</v>
      </c>
      <c r="K674" s="12" t="s">
        <v>4072</v>
      </c>
      <c r="L674" s="13">
        <v>5</v>
      </c>
    </row>
    <row r="675" spans="1:12" hidden="1" x14ac:dyDescent="0.55000000000000004">
      <c r="A675" s="12" t="s">
        <v>2933</v>
      </c>
      <c r="B675" s="12" t="s">
        <v>4442</v>
      </c>
      <c r="C675" s="12" t="s">
        <v>5149</v>
      </c>
      <c r="D675" s="12" t="s">
        <v>4752</v>
      </c>
      <c r="E675" s="12" t="s">
        <v>2495</v>
      </c>
      <c r="F675" s="12" t="s">
        <v>2496</v>
      </c>
      <c r="G675" s="12" t="s">
        <v>2497</v>
      </c>
      <c r="H675" s="12" t="s">
        <v>5201</v>
      </c>
      <c r="I675" s="12" t="s">
        <v>3059</v>
      </c>
      <c r="J675" s="12" t="s">
        <v>3085</v>
      </c>
      <c r="K675" s="12" t="s">
        <v>4073</v>
      </c>
      <c r="L675" s="13">
        <v>5</v>
      </c>
    </row>
    <row r="676" spans="1:12" hidden="1" x14ac:dyDescent="0.55000000000000004">
      <c r="A676" s="12" t="s">
        <v>2933</v>
      </c>
      <c r="B676" s="12" t="s">
        <v>4442</v>
      </c>
      <c r="C676" s="12" t="s">
        <v>5149</v>
      </c>
      <c r="D676" s="12" t="s">
        <v>4752</v>
      </c>
      <c r="E676" s="12" t="s">
        <v>2498</v>
      </c>
      <c r="F676" s="12" t="s">
        <v>147</v>
      </c>
      <c r="G676" s="12" t="s">
        <v>2499</v>
      </c>
      <c r="H676" s="12" t="s">
        <v>5201</v>
      </c>
      <c r="I676" s="12" t="s">
        <v>3059</v>
      </c>
      <c r="J676" s="12" t="s">
        <v>3085</v>
      </c>
      <c r="K676" s="12" t="s">
        <v>4074</v>
      </c>
      <c r="L676" s="13">
        <v>10</v>
      </c>
    </row>
    <row r="677" spans="1:12" hidden="1" x14ac:dyDescent="0.55000000000000004">
      <c r="A677" s="12" t="s">
        <v>2933</v>
      </c>
      <c r="B677" s="12" t="s">
        <v>4442</v>
      </c>
      <c r="C677" s="12" t="s">
        <v>5149</v>
      </c>
      <c r="D677" s="12" t="s">
        <v>4752</v>
      </c>
      <c r="E677" s="12" t="s">
        <v>2507</v>
      </c>
      <c r="F677" s="12" t="s">
        <v>2508</v>
      </c>
      <c r="G677" s="12" t="s">
        <v>2509</v>
      </c>
      <c r="H677" s="12" t="s">
        <v>5201</v>
      </c>
      <c r="I677" s="12" t="s">
        <v>3059</v>
      </c>
      <c r="J677" s="12" t="s">
        <v>3085</v>
      </c>
      <c r="K677" s="12" t="s">
        <v>4078</v>
      </c>
      <c r="L677" s="13">
        <v>10</v>
      </c>
    </row>
    <row r="678" spans="1:12" hidden="1" x14ac:dyDescent="0.55000000000000004">
      <c r="A678" s="12" t="s">
        <v>2933</v>
      </c>
      <c r="B678" s="12" t="s">
        <v>4442</v>
      </c>
      <c r="C678" s="12" t="s">
        <v>5149</v>
      </c>
      <c r="D678" s="12" t="s">
        <v>4752</v>
      </c>
      <c r="E678" s="12" t="s">
        <v>5902</v>
      </c>
      <c r="F678" s="12" t="s">
        <v>5903</v>
      </c>
      <c r="G678" s="12" t="s">
        <v>5904</v>
      </c>
      <c r="H678" s="12" t="s">
        <v>5201</v>
      </c>
      <c r="I678" s="12" t="s">
        <v>3059</v>
      </c>
      <c r="J678" s="12" t="s">
        <v>3085</v>
      </c>
      <c r="K678" s="12" t="s">
        <v>5905</v>
      </c>
      <c r="L678" s="13">
        <v>10</v>
      </c>
    </row>
    <row r="679" spans="1:12" hidden="1" x14ac:dyDescent="0.55000000000000004">
      <c r="A679" s="12" t="s">
        <v>2933</v>
      </c>
      <c r="B679" s="12" t="s">
        <v>4442</v>
      </c>
      <c r="C679" s="12" t="s">
        <v>5149</v>
      </c>
      <c r="D679" s="12" t="s">
        <v>4752</v>
      </c>
      <c r="E679" s="12" t="s">
        <v>5906</v>
      </c>
      <c r="F679" s="12" t="s">
        <v>5907</v>
      </c>
      <c r="G679" s="12" t="s">
        <v>5908</v>
      </c>
      <c r="H679" s="12" t="s">
        <v>5201</v>
      </c>
      <c r="I679" s="12" t="s">
        <v>3059</v>
      </c>
      <c r="J679" s="12" t="s">
        <v>3085</v>
      </c>
      <c r="K679" s="12" t="s">
        <v>5909</v>
      </c>
      <c r="L679" s="13">
        <v>10</v>
      </c>
    </row>
    <row r="680" spans="1:12" hidden="1" x14ac:dyDescent="0.55000000000000004">
      <c r="A680" s="12" t="s">
        <v>2933</v>
      </c>
      <c r="B680" s="12" t="s">
        <v>4442</v>
      </c>
      <c r="C680" s="12" t="s">
        <v>5149</v>
      </c>
      <c r="D680" s="12" t="s">
        <v>4752</v>
      </c>
      <c r="E680" s="12" t="s">
        <v>5910</v>
      </c>
      <c r="F680" s="12" t="s">
        <v>541</v>
      </c>
      <c r="G680" s="12" t="s">
        <v>5911</v>
      </c>
      <c r="H680" s="12" t="s">
        <v>5201</v>
      </c>
      <c r="I680" s="12" t="s">
        <v>3059</v>
      </c>
      <c r="J680" s="12" t="s">
        <v>3085</v>
      </c>
      <c r="K680" s="12" t="s">
        <v>5912</v>
      </c>
      <c r="L680" s="13">
        <v>10</v>
      </c>
    </row>
    <row r="681" spans="1:12" hidden="1" x14ac:dyDescent="0.55000000000000004">
      <c r="A681" s="12" t="s">
        <v>2933</v>
      </c>
      <c r="B681" s="12" t="s">
        <v>4442</v>
      </c>
      <c r="C681" s="12" t="s">
        <v>5149</v>
      </c>
      <c r="D681" s="12" t="s">
        <v>4752</v>
      </c>
      <c r="E681" s="12" t="s">
        <v>5913</v>
      </c>
      <c r="F681" s="12" t="s">
        <v>1106</v>
      </c>
      <c r="G681" s="12" t="s">
        <v>5914</v>
      </c>
      <c r="H681" s="12" t="s">
        <v>5201</v>
      </c>
      <c r="I681" s="12" t="s">
        <v>3059</v>
      </c>
      <c r="J681" s="12" t="s">
        <v>3085</v>
      </c>
      <c r="K681" s="12" t="s">
        <v>5915</v>
      </c>
      <c r="L681" s="13">
        <v>10</v>
      </c>
    </row>
    <row r="682" spans="1:12" hidden="1" x14ac:dyDescent="0.55000000000000004">
      <c r="A682" s="12" t="s">
        <v>2933</v>
      </c>
      <c r="B682" s="12" t="s">
        <v>4442</v>
      </c>
      <c r="C682" s="12" t="s">
        <v>5149</v>
      </c>
      <c r="D682" s="12" t="s">
        <v>4752</v>
      </c>
      <c r="E682" s="12" t="s">
        <v>5916</v>
      </c>
      <c r="F682" s="12" t="s">
        <v>813</v>
      </c>
      <c r="G682" s="12" t="s">
        <v>5917</v>
      </c>
      <c r="H682" s="12" t="s">
        <v>5201</v>
      </c>
      <c r="I682" s="12" t="s">
        <v>3059</v>
      </c>
      <c r="J682" s="12" t="s">
        <v>3085</v>
      </c>
      <c r="K682" s="12" t="s">
        <v>5918</v>
      </c>
      <c r="L682" s="13">
        <v>10</v>
      </c>
    </row>
    <row r="683" spans="1:12" hidden="1" x14ac:dyDescent="0.55000000000000004">
      <c r="A683" s="12" t="s">
        <v>2933</v>
      </c>
      <c r="B683" s="12" t="s">
        <v>4442</v>
      </c>
      <c r="C683" s="12" t="s">
        <v>5149</v>
      </c>
      <c r="D683" s="12" t="s">
        <v>4752</v>
      </c>
      <c r="E683" s="12" t="s">
        <v>5919</v>
      </c>
      <c r="F683" s="12" t="s">
        <v>5920</v>
      </c>
      <c r="G683" s="12" t="s">
        <v>5921</v>
      </c>
      <c r="H683" s="12" t="s">
        <v>5201</v>
      </c>
      <c r="I683" s="12" t="s">
        <v>3075</v>
      </c>
      <c r="J683" s="12" t="s">
        <v>3085</v>
      </c>
      <c r="K683" s="12" t="s">
        <v>5922</v>
      </c>
      <c r="L683" s="13" t="s">
        <v>3075</v>
      </c>
    </row>
    <row r="684" spans="1:12" hidden="1" x14ac:dyDescent="0.55000000000000004">
      <c r="A684" s="12" t="s">
        <v>2849</v>
      </c>
      <c r="B684" s="12" t="s">
        <v>4298</v>
      </c>
      <c r="C684" s="12" t="s">
        <v>1494</v>
      </c>
      <c r="D684" s="12" t="s">
        <v>4752</v>
      </c>
      <c r="E684" s="12" t="s">
        <v>1491</v>
      </c>
      <c r="F684" s="12" t="s">
        <v>1492</v>
      </c>
      <c r="G684" s="12" t="s">
        <v>1493</v>
      </c>
      <c r="H684" s="12" t="s">
        <v>4347</v>
      </c>
      <c r="I684" s="12" t="s">
        <v>3075</v>
      </c>
      <c r="J684" s="12" t="s">
        <v>3087</v>
      </c>
      <c r="K684" s="12" t="s">
        <v>3763</v>
      </c>
      <c r="L684" s="13" t="s">
        <v>3075</v>
      </c>
    </row>
    <row r="685" spans="1:12" hidden="1" x14ac:dyDescent="0.55000000000000004">
      <c r="A685" s="12" t="s">
        <v>2849</v>
      </c>
      <c r="B685" s="12" t="s">
        <v>4298</v>
      </c>
      <c r="C685" s="12" t="s">
        <v>1494</v>
      </c>
      <c r="D685" s="12" t="s">
        <v>4752</v>
      </c>
      <c r="E685" s="12" t="s">
        <v>1495</v>
      </c>
      <c r="F685" s="12" t="s">
        <v>3144</v>
      </c>
      <c r="G685" s="12" t="s">
        <v>1496</v>
      </c>
      <c r="H685" s="12" t="s">
        <v>4347</v>
      </c>
      <c r="I685" s="12" t="s">
        <v>3059</v>
      </c>
      <c r="J685" s="12" t="s">
        <v>3087</v>
      </c>
      <c r="K685" s="12" t="s">
        <v>3764</v>
      </c>
      <c r="L685" s="13">
        <v>10</v>
      </c>
    </row>
    <row r="686" spans="1:12" hidden="1" x14ac:dyDescent="0.55000000000000004">
      <c r="A686" s="12" t="s">
        <v>2849</v>
      </c>
      <c r="B686" s="12" t="s">
        <v>4298</v>
      </c>
      <c r="C686" s="12" t="s">
        <v>1494</v>
      </c>
      <c r="D686" s="12" t="s">
        <v>4752</v>
      </c>
      <c r="E686" s="12" t="s">
        <v>1497</v>
      </c>
      <c r="F686" s="12" t="s">
        <v>1498</v>
      </c>
      <c r="G686" s="12" t="s">
        <v>1499</v>
      </c>
      <c r="H686" s="12" t="s">
        <v>4347</v>
      </c>
      <c r="I686" s="12" t="s">
        <v>3075</v>
      </c>
      <c r="J686" s="12" t="s">
        <v>3087</v>
      </c>
      <c r="K686" s="12" t="s">
        <v>3765</v>
      </c>
      <c r="L686" s="13" t="s">
        <v>3075</v>
      </c>
    </row>
    <row r="687" spans="1:12" hidden="1" x14ac:dyDescent="0.55000000000000004">
      <c r="A687" s="12" t="s">
        <v>2849</v>
      </c>
      <c r="B687" s="12" t="s">
        <v>4298</v>
      </c>
      <c r="C687" s="12" t="s">
        <v>1494</v>
      </c>
      <c r="D687" s="12" t="s">
        <v>4752</v>
      </c>
      <c r="E687" s="12" t="s">
        <v>5923</v>
      </c>
      <c r="F687" s="12" t="s">
        <v>5924</v>
      </c>
      <c r="G687" s="12" t="s">
        <v>5925</v>
      </c>
      <c r="H687" s="12" t="s">
        <v>4347</v>
      </c>
      <c r="I687" s="12" t="s">
        <v>3060</v>
      </c>
      <c r="J687" s="12" t="s">
        <v>3087</v>
      </c>
      <c r="K687" s="12" t="s">
        <v>5926</v>
      </c>
      <c r="L687" s="13">
        <v>10</v>
      </c>
    </row>
    <row r="688" spans="1:12" hidden="1" x14ac:dyDescent="0.55000000000000004">
      <c r="A688" s="12" t="s">
        <v>2849</v>
      </c>
      <c r="B688" s="12" t="s">
        <v>4298</v>
      </c>
      <c r="C688" s="12" t="s">
        <v>1494</v>
      </c>
      <c r="D688" s="12" t="s">
        <v>4752</v>
      </c>
      <c r="E688" s="12" t="s">
        <v>5927</v>
      </c>
      <c r="F688" s="12" t="s">
        <v>5928</v>
      </c>
      <c r="G688" s="12" t="s">
        <v>5929</v>
      </c>
      <c r="H688" s="12" t="s">
        <v>4347</v>
      </c>
      <c r="I688" s="12" t="s">
        <v>3060</v>
      </c>
      <c r="J688" s="12" t="s">
        <v>3087</v>
      </c>
      <c r="K688" s="12" t="s">
        <v>5930</v>
      </c>
      <c r="L688" s="13">
        <v>10</v>
      </c>
    </row>
    <row r="689" spans="1:12" hidden="1" x14ac:dyDescent="0.55000000000000004">
      <c r="A689" s="12" t="s">
        <v>2820</v>
      </c>
      <c r="B689" s="12" t="s">
        <v>4298</v>
      </c>
      <c r="C689" s="12" t="s">
        <v>5202</v>
      </c>
      <c r="D689" s="12" t="s">
        <v>4752</v>
      </c>
      <c r="E689" s="12" t="s">
        <v>733</v>
      </c>
      <c r="F689" s="12" t="s">
        <v>734</v>
      </c>
      <c r="G689" s="12" t="s">
        <v>735</v>
      </c>
      <c r="H689" s="12" t="s">
        <v>4315</v>
      </c>
      <c r="I689" s="12" t="s">
        <v>3059</v>
      </c>
      <c r="J689" s="12" t="s">
        <v>3086</v>
      </c>
      <c r="K689" s="12" t="s">
        <v>3495</v>
      </c>
      <c r="L689" s="13">
        <v>5</v>
      </c>
    </row>
    <row r="690" spans="1:12" hidden="1" x14ac:dyDescent="0.55000000000000004">
      <c r="A690" s="12" t="s">
        <v>2820</v>
      </c>
      <c r="B690" s="12" t="s">
        <v>4298</v>
      </c>
      <c r="C690" s="12" t="s">
        <v>5202</v>
      </c>
      <c r="D690" s="12" t="s">
        <v>4752</v>
      </c>
      <c r="E690" s="12" t="s">
        <v>736</v>
      </c>
      <c r="F690" s="12" t="s">
        <v>147</v>
      </c>
      <c r="G690" s="12" t="s">
        <v>737</v>
      </c>
      <c r="H690" s="12" t="s">
        <v>4315</v>
      </c>
      <c r="I690" s="12" t="s">
        <v>3059</v>
      </c>
      <c r="J690" s="12" t="s">
        <v>3086</v>
      </c>
      <c r="K690" s="12" t="s">
        <v>3496</v>
      </c>
      <c r="L690" s="13">
        <v>5</v>
      </c>
    </row>
    <row r="691" spans="1:12" hidden="1" x14ac:dyDescent="0.55000000000000004">
      <c r="A691" s="12" t="s">
        <v>2820</v>
      </c>
      <c r="B691" s="12" t="s">
        <v>4298</v>
      </c>
      <c r="C691" s="12" t="s">
        <v>5202</v>
      </c>
      <c r="D691" s="12" t="s">
        <v>4752</v>
      </c>
      <c r="E691" s="12" t="s">
        <v>738</v>
      </c>
      <c r="F691" s="12" t="s">
        <v>297</v>
      </c>
      <c r="G691" s="12" t="s">
        <v>739</v>
      </c>
      <c r="H691" s="12" t="s">
        <v>4315</v>
      </c>
      <c r="I691" s="12" t="s">
        <v>3059</v>
      </c>
      <c r="J691" s="12" t="s">
        <v>3086</v>
      </c>
      <c r="K691" s="12" t="s">
        <v>3497</v>
      </c>
      <c r="L691" s="13">
        <v>5</v>
      </c>
    </row>
    <row r="692" spans="1:12" hidden="1" x14ac:dyDescent="0.55000000000000004">
      <c r="A692" s="12" t="s">
        <v>2820</v>
      </c>
      <c r="B692" s="12" t="s">
        <v>4298</v>
      </c>
      <c r="C692" s="12" t="s">
        <v>5202</v>
      </c>
      <c r="D692" s="12" t="s">
        <v>4752</v>
      </c>
      <c r="E692" s="12" t="s">
        <v>740</v>
      </c>
      <c r="F692" s="12" t="s">
        <v>741</v>
      </c>
      <c r="G692" s="12" t="s">
        <v>742</v>
      </c>
      <c r="H692" s="12" t="s">
        <v>4315</v>
      </c>
      <c r="I692" s="12" t="s">
        <v>3059</v>
      </c>
      <c r="J692" s="12" t="s">
        <v>3086</v>
      </c>
      <c r="K692" s="12" t="s">
        <v>3498</v>
      </c>
      <c r="L692" s="13">
        <v>5</v>
      </c>
    </row>
    <row r="693" spans="1:12" hidden="1" x14ac:dyDescent="0.55000000000000004">
      <c r="A693" s="12" t="s">
        <v>2820</v>
      </c>
      <c r="B693" s="12" t="s">
        <v>4298</v>
      </c>
      <c r="C693" s="12" t="s">
        <v>5202</v>
      </c>
      <c r="D693" s="12" t="s">
        <v>4752</v>
      </c>
      <c r="E693" s="12" t="s">
        <v>743</v>
      </c>
      <c r="F693" s="12" t="s">
        <v>180</v>
      </c>
      <c r="G693" s="12" t="s">
        <v>744</v>
      </c>
      <c r="H693" s="12" t="s">
        <v>4315</v>
      </c>
      <c r="I693" s="12" t="s">
        <v>3059</v>
      </c>
      <c r="J693" s="12" t="s">
        <v>3086</v>
      </c>
      <c r="K693" s="12" t="s">
        <v>3499</v>
      </c>
      <c r="L693" s="13">
        <v>5</v>
      </c>
    </row>
    <row r="694" spans="1:12" hidden="1" x14ac:dyDescent="0.55000000000000004">
      <c r="A694" s="12" t="s">
        <v>2820</v>
      </c>
      <c r="B694" s="12" t="s">
        <v>4298</v>
      </c>
      <c r="C694" s="12" t="s">
        <v>5202</v>
      </c>
      <c r="D694" s="12" t="s">
        <v>4752</v>
      </c>
      <c r="E694" s="12" t="s">
        <v>745</v>
      </c>
      <c r="F694" s="12" t="s">
        <v>286</v>
      </c>
      <c r="G694" s="12" t="s">
        <v>746</v>
      </c>
      <c r="H694" s="12" t="s">
        <v>4315</v>
      </c>
      <c r="I694" s="12" t="s">
        <v>3059</v>
      </c>
      <c r="J694" s="12" t="s">
        <v>3086</v>
      </c>
      <c r="K694" s="12" t="s">
        <v>3500</v>
      </c>
      <c r="L694" s="13">
        <v>5</v>
      </c>
    </row>
    <row r="695" spans="1:12" hidden="1" x14ac:dyDescent="0.55000000000000004">
      <c r="A695" s="12" t="s">
        <v>2820</v>
      </c>
      <c r="B695" s="12" t="s">
        <v>4298</v>
      </c>
      <c r="C695" s="12" t="s">
        <v>5202</v>
      </c>
      <c r="D695" s="12" t="s">
        <v>4752</v>
      </c>
      <c r="E695" s="12" t="s">
        <v>747</v>
      </c>
      <c r="F695" s="12" t="s">
        <v>748</v>
      </c>
      <c r="G695" s="12" t="s">
        <v>749</v>
      </c>
      <c r="H695" s="12" t="s">
        <v>4315</v>
      </c>
      <c r="I695" s="12" t="s">
        <v>3059</v>
      </c>
      <c r="J695" s="12" t="s">
        <v>3086</v>
      </c>
      <c r="K695" s="12" t="s">
        <v>3501</v>
      </c>
      <c r="L695" s="13">
        <v>5</v>
      </c>
    </row>
    <row r="696" spans="1:12" hidden="1" x14ac:dyDescent="0.55000000000000004">
      <c r="A696" s="12" t="s">
        <v>2942</v>
      </c>
      <c r="B696" s="12" t="s">
        <v>4442</v>
      </c>
      <c r="C696" s="12" t="s">
        <v>5137</v>
      </c>
      <c r="D696" s="12" t="s">
        <v>4752</v>
      </c>
      <c r="E696" s="12" t="s">
        <v>148</v>
      </c>
      <c r="F696" s="12" t="s">
        <v>149</v>
      </c>
      <c r="G696" s="12" t="s">
        <v>150</v>
      </c>
      <c r="H696" s="12" t="s">
        <v>4459</v>
      </c>
      <c r="I696" s="12" t="s">
        <v>3075</v>
      </c>
      <c r="J696" s="12" t="s">
        <v>1991</v>
      </c>
      <c r="K696" s="12" t="s">
        <v>3296</v>
      </c>
      <c r="L696" s="13" t="s">
        <v>3075</v>
      </c>
    </row>
    <row r="697" spans="1:12" hidden="1" x14ac:dyDescent="0.55000000000000004">
      <c r="A697" s="12" t="s">
        <v>2942</v>
      </c>
      <c r="B697" s="12" t="s">
        <v>4442</v>
      </c>
      <c r="C697" s="12" t="s">
        <v>5137</v>
      </c>
      <c r="D697" s="12" t="s">
        <v>4752</v>
      </c>
      <c r="E697" s="12" t="s">
        <v>151</v>
      </c>
      <c r="F697" s="12" t="s">
        <v>152</v>
      </c>
      <c r="G697" s="12" t="s">
        <v>153</v>
      </c>
      <c r="H697" s="12" t="s">
        <v>4459</v>
      </c>
      <c r="I697" s="12" t="s">
        <v>3060</v>
      </c>
      <c r="J697" s="12" t="s">
        <v>1991</v>
      </c>
      <c r="K697" s="12" t="s">
        <v>3297</v>
      </c>
      <c r="L697" s="13">
        <v>6</v>
      </c>
    </row>
    <row r="698" spans="1:12" hidden="1" x14ac:dyDescent="0.55000000000000004">
      <c r="A698" s="12" t="s">
        <v>2942</v>
      </c>
      <c r="B698" s="12" t="s">
        <v>4442</v>
      </c>
      <c r="C698" s="12" t="s">
        <v>5137</v>
      </c>
      <c r="D698" s="12" t="s">
        <v>4752</v>
      </c>
      <c r="E698" s="12" t="s">
        <v>340</v>
      </c>
      <c r="F698" s="12" t="s">
        <v>341</v>
      </c>
      <c r="G698" s="12" t="s">
        <v>342</v>
      </c>
      <c r="H698" s="12" t="s">
        <v>4459</v>
      </c>
      <c r="I698" s="12" t="s">
        <v>3075</v>
      </c>
      <c r="J698" s="12" t="s">
        <v>1991</v>
      </c>
      <c r="K698" s="12" t="s">
        <v>3360</v>
      </c>
      <c r="L698" s="13" t="s">
        <v>3075</v>
      </c>
    </row>
    <row r="699" spans="1:12" hidden="1" x14ac:dyDescent="0.55000000000000004">
      <c r="A699" s="12" t="s">
        <v>2942</v>
      </c>
      <c r="B699" s="12" t="s">
        <v>4442</v>
      </c>
      <c r="C699" s="12" t="s">
        <v>5137</v>
      </c>
      <c r="D699" s="12" t="s">
        <v>4752</v>
      </c>
      <c r="E699" s="12" t="s">
        <v>345</v>
      </c>
      <c r="F699" s="12" t="s">
        <v>346</v>
      </c>
      <c r="G699" s="12" t="s">
        <v>347</v>
      </c>
      <c r="H699" s="12" t="s">
        <v>4459</v>
      </c>
      <c r="I699" s="12" t="s">
        <v>3075</v>
      </c>
      <c r="J699" s="12" t="s">
        <v>1991</v>
      </c>
      <c r="K699" s="12" t="s">
        <v>3362</v>
      </c>
      <c r="L699" s="13" t="s">
        <v>3075</v>
      </c>
    </row>
    <row r="700" spans="1:12" hidden="1" x14ac:dyDescent="0.55000000000000004">
      <c r="A700" s="12" t="s">
        <v>2942</v>
      </c>
      <c r="B700" s="12" t="s">
        <v>4442</v>
      </c>
      <c r="C700" s="12" t="s">
        <v>5137</v>
      </c>
      <c r="D700" s="12" t="s">
        <v>4752</v>
      </c>
      <c r="E700" s="12" t="s">
        <v>354</v>
      </c>
      <c r="F700" s="12" t="s">
        <v>355</v>
      </c>
      <c r="G700" s="12" t="s">
        <v>356</v>
      </c>
      <c r="H700" s="12" t="s">
        <v>4459</v>
      </c>
      <c r="I700" s="12" t="s">
        <v>3075</v>
      </c>
      <c r="J700" s="12" t="s">
        <v>1991</v>
      </c>
      <c r="K700" s="12" t="s">
        <v>3365</v>
      </c>
      <c r="L700" s="13" t="s">
        <v>3075</v>
      </c>
    </row>
    <row r="701" spans="1:12" hidden="1" x14ac:dyDescent="0.55000000000000004">
      <c r="A701" s="12" t="s">
        <v>2912</v>
      </c>
      <c r="B701" s="12" t="s">
        <v>4422</v>
      </c>
      <c r="C701" s="12" t="s">
        <v>5203</v>
      </c>
      <c r="D701" s="12" t="s">
        <v>4752</v>
      </c>
      <c r="E701" s="12" t="s">
        <v>2083</v>
      </c>
      <c r="F701" s="12" t="s">
        <v>2084</v>
      </c>
      <c r="G701" s="12" t="s">
        <v>292</v>
      </c>
      <c r="H701" s="12" t="s">
        <v>4431</v>
      </c>
      <c r="I701" s="12" t="s">
        <v>3059</v>
      </c>
      <c r="J701" s="12" t="s">
        <v>341</v>
      </c>
      <c r="K701" s="12" t="s">
        <v>3985</v>
      </c>
      <c r="L701" s="13">
        <v>2</v>
      </c>
    </row>
    <row r="702" spans="1:12" hidden="1" x14ac:dyDescent="0.55000000000000004">
      <c r="A702" s="12" t="s">
        <v>2912</v>
      </c>
      <c r="B702" s="12" t="s">
        <v>4422</v>
      </c>
      <c r="C702" s="12" t="s">
        <v>5203</v>
      </c>
      <c r="D702" s="12" t="s">
        <v>4752</v>
      </c>
      <c r="E702" s="12" t="s">
        <v>2085</v>
      </c>
      <c r="F702" s="12" t="s">
        <v>3065</v>
      </c>
      <c r="G702" s="12" t="s">
        <v>3247</v>
      </c>
      <c r="H702" s="12" t="s">
        <v>4431</v>
      </c>
      <c r="I702" s="12" t="s">
        <v>3075</v>
      </c>
      <c r="J702" s="12" t="s">
        <v>341</v>
      </c>
      <c r="K702" s="12" t="s">
        <v>4706</v>
      </c>
      <c r="L702" s="13" t="s">
        <v>3075</v>
      </c>
    </row>
    <row r="703" spans="1:12" hidden="1" x14ac:dyDescent="0.55000000000000004">
      <c r="A703" s="12" t="s">
        <v>2847</v>
      </c>
      <c r="B703" s="12" t="s">
        <v>4298</v>
      </c>
      <c r="C703" s="12" t="s">
        <v>1809</v>
      </c>
      <c r="D703" s="12" t="s">
        <v>4752</v>
      </c>
      <c r="E703" s="12" t="s">
        <v>1806</v>
      </c>
      <c r="F703" s="12" t="s">
        <v>1807</v>
      </c>
      <c r="G703" s="12" t="s">
        <v>1808</v>
      </c>
      <c r="H703" s="12" t="s">
        <v>4345</v>
      </c>
      <c r="I703" s="12" t="s">
        <v>3059</v>
      </c>
      <c r="J703" s="12" t="s">
        <v>1603</v>
      </c>
      <c r="K703" s="12" t="s">
        <v>3883</v>
      </c>
      <c r="L703" s="13">
        <v>2</v>
      </c>
    </row>
    <row r="704" spans="1:12" hidden="1" x14ac:dyDescent="0.55000000000000004">
      <c r="A704" s="12" t="s">
        <v>2847</v>
      </c>
      <c r="B704" s="12" t="s">
        <v>4298</v>
      </c>
      <c r="C704" s="12" t="s">
        <v>1809</v>
      </c>
      <c r="D704" s="12" t="s">
        <v>4752</v>
      </c>
      <c r="E704" s="12" t="s">
        <v>1812</v>
      </c>
      <c r="F704" s="12" t="s">
        <v>1813</v>
      </c>
      <c r="G704" s="12" t="s">
        <v>447</v>
      </c>
      <c r="H704" s="12" t="s">
        <v>4345</v>
      </c>
      <c r="I704" s="12" t="s">
        <v>3059</v>
      </c>
      <c r="J704" s="12" t="s">
        <v>1603</v>
      </c>
      <c r="K704" s="12" t="s">
        <v>3885</v>
      </c>
      <c r="L704" s="13">
        <v>2</v>
      </c>
    </row>
    <row r="705" spans="1:12" hidden="1" x14ac:dyDescent="0.55000000000000004">
      <c r="A705" s="12" t="s">
        <v>3032</v>
      </c>
      <c r="B705" s="12" t="s">
        <v>4486</v>
      </c>
      <c r="C705" s="12" t="s">
        <v>3071</v>
      </c>
      <c r="D705" s="12" t="s">
        <v>4752</v>
      </c>
      <c r="E705" s="12" t="s">
        <v>1954</v>
      </c>
      <c r="F705" s="12" t="s">
        <v>1955</v>
      </c>
      <c r="G705" s="12" t="s">
        <v>1956</v>
      </c>
      <c r="H705" s="12" t="s">
        <v>5204</v>
      </c>
      <c r="I705" s="12" t="s">
        <v>3059</v>
      </c>
      <c r="J705" s="12" t="s">
        <v>118</v>
      </c>
      <c r="K705" s="12" t="s">
        <v>3935</v>
      </c>
      <c r="L705" s="13">
        <v>6</v>
      </c>
    </row>
    <row r="706" spans="1:12" hidden="1" x14ac:dyDescent="0.55000000000000004">
      <c r="A706" s="12" t="s">
        <v>3032</v>
      </c>
      <c r="B706" s="12" t="s">
        <v>4486</v>
      </c>
      <c r="C706" s="12" t="s">
        <v>3071</v>
      </c>
      <c r="D706" s="12" t="s">
        <v>4752</v>
      </c>
      <c r="E706" s="12" t="s">
        <v>1957</v>
      </c>
      <c r="F706" s="12" t="s">
        <v>1958</v>
      </c>
      <c r="G706" s="12" t="s">
        <v>1959</v>
      </c>
      <c r="H706" s="12" t="s">
        <v>5204</v>
      </c>
      <c r="I706" s="12" t="s">
        <v>3059</v>
      </c>
      <c r="J706" s="12" t="s">
        <v>118</v>
      </c>
      <c r="K706" s="12" t="s">
        <v>3936</v>
      </c>
      <c r="L706" s="13">
        <v>6</v>
      </c>
    </row>
    <row r="707" spans="1:12" hidden="1" x14ac:dyDescent="0.55000000000000004">
      <c r="A707" s="12" t="s">
        <v>3032</v>
      </c>
      <c r="B707" s="12" t="s">
        <v>4486</v>
      </c>
      <c r="C707" s="12" t="s">
        <v>3071</v>
      </c>
      <c r="D707" s="12" t="s">
        <v>4752</v>
      </c>
      <c r="E707" s="12" t="s">
        <v>1960</v>
      </c>
      <c r="F707" s="12" t="s">
        <v>564</v>
      </c>
      <c r="G707" s="12" t="s">
        <v>1961</v>
      </c>
      <c r="H707" s="12" t="s">
        <v>5204</v>
      </c>
      <c r="I707" s="12" t="s">
        <v>3059</v>
      </c>
      <c r="J707" s="12" t="s">
        <v>118</v>
      </c>
      <c r="K707" s="12" t="s">
        <v>3937</v>
      </c>
      <c r="L707" s="13">
        <v>6</v>
      </c>
    </row>
    <row r="708" spans="1:12" hidden="1" x14ac:dyDescent="0.55000000000000004">
      <c r="A708" s="12" t="s">
        <v>3032</v>
      </c>
      <c r="B708" s="12" t="s">
        <v>4486</v>
      </c>
      <c r="C708" s="12" t="s">
        <v>3071</v>
      </c>
      <c r="D708" s="12" t="s">
        <v>4752</v>
      </c>
      <c r="E708" s="12" t="s">
        <v>1962</v>
      </c>
      <c r="F708" s="12" t="s">
        <v>1378</v>
      </c>
      <c r="G708" s="12" t="s">
        <v>1963</v>
      </c>
      <c r="H708" s="12" t="s">
        <v>5204</v>
      </c>
      <c r="I708" s="12" t="s">
        <v>3059</v>
      </c>
      <c r="J708" s="12" t="s">
        <v>118</v>
      </c>
      <c r="K708" s="12" t="s">
        <v>3938</v>
      </c>
      <c r="L708" s="13">
        <v>8</v>
      </c>
    </row>
    <row r="709" spans="1:12" hidden="1" x14ac:dyDescent="0.55000000000000004">
      <c r="A709" s="12" t="s">
        <v>3032</v>
      </c>
      <c r="B709" s="12" t="s">
        <v>4486</v>
      </c>
      <c r="C709" s="12" t="s">
        <v>3071</v>
      </c>
      <c r="D709" s="12" t="s">
        <v>4752</v>
      </c>
      <c r="E709" s="12" t="s">
        <v>1964</v>
      </c>
      <c r="F709" s="12" t="s">
        <v>1965</v>
      </c>
      <c r="G709" s="12" t="s">
        <v>1966</v>
      </c>
      <c r="H709" s="12" t="s">
        <v>5204</v>
      </c>
      <c r="I709" s="12" t="s">
        <v>3059</v>
      </c>
      <c r="J709" s="12" t="s">
        <v>118</v>
      </c>
      <c r="K709" s="12" t="s">
        <v>3939</v>
      </c>
      <c r="L709" s="13">
        <v>6</v>
      </c>
    </row>
    <row r="710" spans="1:12" hidden="1" x14ac:dyDescent="0.55000000000000004">
      <c r="A710" s="12" t="s">
        <v>3032</v>
      </c>
      <c r="B710" s="12" t="s">
        <v>4486</v>
      </c>
      <c r="C710" s="12" t="s">
        <v>3071</v>
      </c>
      <c r="D710" s="12" t="s">
        <v>4752</v>
      </c>
      <c r="E710" s="12" t="s">
        <v>1967</v>
      </c>
      <c r="F710" s="12" t="s">
        <v>1968</v>
      </c>
      <c r="G710" s="12" t="s">
        <v>1969</v>
      </c>
      <c r="H710" s="12" t="s">
        <v>5204</v>
      </c>
      <c r="I710" s="12" t="s">
        <v>3059</v>
      </c>
      <c r="J710" s="12" t="s">
        <v>118</v>
      </c>
      <c r="K710" s="12" t="s">
        <v>3940</v>
      </c>
      <c r="L710" s="13">
        <v>6</v>
      </c>
    </row>
    <row r="711" spans="1:12" hidden="1" x14ac:dyDescent="0.55000000000000004">
      <c r="A711" s="12" t="s">
        <v>2992</v>
      </c>
      <c r="B711" s="12" t="s">
        <v>4486</v>
      </c>
      <c r="C711" s="12" t="s">
        <v>5181</v>
      </c>
      <c r="D711" s="12" t="s">
        <v>4752</v>
      </c>
      <c r="E711" s="12" t="s">
        <v>1097</v>
      </c>
      <c r="F711" s="12" t="s">
        <v>1098</v>
      </c>
      <c r="G711" s="12" t="s">
        <v>1099</v>
      </c>
      <c r="H711" s="12" t="s">
        <v>5205</v>
      </c>
      <c r="I711" s="12" t="s">
        <v>3059</v>
      </c>
      <c r="J711" s="12" t="s">
        <v>1222</v>
      </c>
      <c r="K711" s="12" t="s">
        <v>3627</v>
      </c>
      <c r="L711" s="13">
        <v>5</v>
      </c>
    </row>
    <row r="712" spans="1:12" hidden="1" x14ac:dyDescent="0.55000000000000004">
      <c r="A712" s="12" t="s">
        <v>2992</v>
      </c>
      <c r="B712" s="12" t="s">
        <v>4486</v>
      </c>
      <c r="C712" s="12" t="s">
        <v>5181</v>
      </c>
      <c r="D712" s="12" t="s">
        <v>4752</v>
      </c>
      <c r="E712" s="12" t="s">
        <v>1135</v>
      </c>
      <c r="F712" s="12" t="s">
        <v>1136</v>
      </c>
      <c r="G712" s="12" t="s">
        <v>1137</v>
      </c>
      <c r="H712" s="12" t="s">
        <v>5205</v>
      </c>
      <c r="I712" s="12" t="s">
        <v>3059</v>
      </c>
      <c r="J712" s="12" t="s">
        <v>1222</v>
      </c>
      <c r="K712" s="12" t="s">
        <v>3641</v>
      </c>
      <c r="L712" s="13">
        <v>5</v>
      </c>
    </row>
    <row r="713" spans="1:12" hidden="1" x14ac:dyDescent="0.55000000000000004">
      <c r="A713" s="12" t="s">
        <v>2992</v>
      </c>
      <c r="B713" s="12" t="s">
        <v>4486</v>
      </c>
      <c r="C713" s="12" t="s">
        <v>5181</v>
      </c>
      <c r="D713" s="12" t="s">
        <v>4752</v>
      </c>
      <c r="E713" s="12" t="s">
        <v>1138</v>
      </c>
      <c r="F713" s="12" t="s">
        <v>1139</v>
      </c>
      <c r="G713" s="12" t="s">
        <v>1140</v>
      </c>
      <c r="H713" s="12" t="s">
        <v>5205</v>
      </c>
      <c r="I713" s="12" t="s">
        <v>3059</v>
      </c>
      <c r="J713" s="12" t="s">
        <v>1222</v>
      </c>
      <c r="K713" s="12" t="s">
        <v>3642</v>
      </c>
      <c r="L713" s="13">
        <v>5</v>
      </c>
    </row>
    <row r="714" spans="1:12" hidden="1" x14ac:dyDescent="0.55000000000000004">
      <c r="A714" s="12" t="s">
        <v>2992</v>
      </c>
      <c r="B714" s="12" t="s">
        <v>4486</v>
      </c>
      <c r="C714" s="12" t="s">
        <v>5181</v>
      </c>
      <c r="D714" s="12" t="s">
        <v>4752</v>
      </c>
      <c r="E714" s="12" t="s">
        <v>5586</v>
      </c>
      <c r="F714" s="12" t="s">
        <v>5587</v>
      </c>
      <c r="G714" s="12" t="s">
        <v>5588</v>
      </c>
      <c r="H714" s="12" t="s">
        <v>5205</v>
      </c>
      <c r="I714" s="12" t="s">
        <v>3075</v>
      </c>
      <c r="J714" s="12" t="s">
        <v>1222</v>
      </c>
      <c r="K714" s="12" t="s">
        <v>5589</v>
      </c>
      <c r="L714" s="13" t="s">
        <v>3075</v>
      </c>
    </row>
    <row r="715" spans="1:12" hidden="1" x14ac:dyDescent="0.55000000000000004">
      <c r="A715" s="12" t="s">
        <v>2853</v>
      </c>
      <c r="B715" s="12" t="s">
        <v>4298</v>
      </c>
      <c r="C715" s="12" t="s">
        <v>5590</v>
      </c>
      <c r="D715" s="12" t="s">
        <v>4752</v>
      </c>
      <c r="E715" s="12" t="s">
        <v>5591</v>
      </c>
      <c r="F715" s="12" t="s">
        <v>2558</v>
      </c>
      <c r="G715" s="12" t="s">
        <v>1387</v>
      </c>
      <c r="H715" s="12" t="s">
        <v>4351</v>
      </c>
      <c r="I715" s="12" t="s">
        <v>3059</v>
      </c>
      <c r="J715" s="12" t="s">
        <v>3088</v>
      </c>
      <c r="K715" s="12" t="s">
        <v>5592</v>
      </c>
      <c r="L715" s="13">
        <v>4</v>
      </c>
    </row>
    <row r="716" spans="1:12" hidden="1" x14ac:dyDescent="0.55000000000000004">
      <c r="A716" s="12" t="s">
        <v>2853</v>
      </c>
      <c r="B716" s="12" t="s">
        <v>4298</v>
      </c>
      <c r="C716" s="12" t="s">
        <v>1816</v>
      </c>
      <c r="D716" s="12" t="s">
        <v>4752</v>
      </c>
      <c r="E716" s="12" t="s">
        <v>1820</v>
      </c>
      <c r="F716" s="12" t="s">
        <v>1821</v>
      </c>
      <c r="G716" s="12" t="s">
        <v>1822</v>
      </c>
      <c r="H716" s="12" t="s">
        <v>4351</v>
      </c>
      <c r="I716" s="12" t="s">
        <v>3059</v>
      </c>
      <c r="J716" s="12" t="s">
        <v>3088</v>
      </c>
      <c r="K716" s="12" t="s">
        <v>3888</v>
      </c>
      <c r="L716" s="13">
        <v>4</v>
      </c>
    </row>
    <row r="717" spans="1:12" hidden="1" x14ac:dyDescent="0.55000000000000004">
      <c r="A717" s="12" t="s">
        <v>2853</v>
      </c>
      <c r="B717" s="12" t="s">
        <v>4298</v>
      </c>
      <c r="C717" s="12" t="s">
        <v>896</v>
      </c>
      <c r="D717" s="12" t="s">
        <v>4752</v>
      </c>
      <c r="E717" s="12" t="s">
        <v>893</v>
      </c>
      <c r="F717" s="12" t="s">
        <v>894</v>
      </c>
      <c r="G717" s="12" t="s">
        <v>895</v>
      </c>
      <c r="H717" s="12" t="s">
        <v>4351</v>
      </c>
      <c r="I717" s="12" t="s">
        <v>3075</v>
      </c>
      <c r="J717" s="12" t="s">
        <v>3088</v>
      </c>
      <c r="K717" s="12" t="s">
        <v>3554</v>
      </c>
      <c r="L717" s="13" t="s">
        <v>3075</v>
      </c>
    </row>
    <row r="718" spans="1:12" hidden="1" x14ac:dyDescent="0.55000000000000004">
      <c r="A718" s="12" t="s">
        <v>2853</v>
      </c>
      <c r="B718" s="12" t="s">
        <v>4298</v>
      </c>
      <c r="C718" s="12" t="s">
        <v>896</v>
      </c>
      <c r="D718" s="12" t="s">
        <v>4752</v>
      </c>
      <c r="E718" s="12" t="s">
        <v>897</v>
      </c>
      <c r="F718" s="12" t="s">
        <v>898</v>
      </c>
      <c r="G718" s="12" t="s">
        <v>899</v>
      </c>
      <c r="H718" s="12" t="s">
        <v>4351</v>
      </c>
      <c r="I718" s="12" t="s">
        <v>3059</v>
      </c>
      <c r="J718" s="12" t="s">
        <v>3088</v>
      </c>
      <c r="K718" s="12" t="s">
        <v>3555</v>
      </c>
      <c r="L718" s="13">
        <v>4</v>
      </c>
    </row>
    <row r="719" spans="1:12" hidden="1" x14ac:dyDescent="0.55000000000000004">
      <c r="A719" s="12" t="s">
        <v>2853</v>
      </c>
      <c r="B719" s="12" t="s">
        <v>4298</v>
      </c>
      <c r="C719" s="12" t="s">
        <v>896</v>
      </c>
      <c r="D719" s="12" t="s">
        <v>4752</v>
      </c>
      <c r="E719" s="12" t="s">
        <v>900</v>
      </c>
      <c r="F719" s="12" t="s">
        <v>901</v>
      </c>
      <c r="G719" s="12" t="s">
        <v>902</v>
      </c>
      <c r="H719" s="12" t="s">
        <v>4351</v>
      </c>
      <c r="I719" s="12" t="s">
        <v>3075</v>
      </c>
      <c r="J719" s="12" t="s">
        <v>3088</v>
      </c>
      <c r="K719" s="12" t="s">
        <v>3556</v>
      </c>
      <c r="L719" s="13" t="s">
        <v>3075</v>
      </c>
    </row>
    <row r="720" spans="1:12" hidden="1" x14ac:dyDescent="0.55000000000000004">
      <c r="A720" s="12" t="s">
        <v>2853</v>
      </c>
      <c r="B720" s="12" t="s">
        <v>4298</v>
      </c>
      <c r="C720" s="12" t="s">
        <v>896</v>
      </c>
      <c r="D720" s="12" t="s">
        <v>4752</v>
      </c>
      <c r="E720" s="12" t="s">
        <v>903</v>
      </c>
      <c r="F720" s="12" t="s">
        <v>147</v>
      </c>
      <c r="G720" s="12" t="s">
        <v>904</v>
      </c>
      <c r="H720" s="12" t="s">
        <v>4351</v>
      </c>
      <c r="I720" s="12" t="s">
        <v>3059</v>
      </c>
      <c r="J720" s="12" t="s">
        <v>3088</v>
      </c>
      <c r="K720" s="12" t="s">
        <v>3557</v>
      </c>
      <c r="L720" s="13">
        <v>4</v>
      </c>
    </row>
    <row r="721" spans="1:12" hidden="1" x14ac:dyDescent="0.55000000000000004">
      <c r="A721" s="12" t="s">
        <v>2853</v>
      </c>
      <c r="B721" s="12" t="s">
        <v>4298</v>
      </c>
      <c r="C721" s="12" t="s">
        <v>896</v>
      </c>
      <c r="D721" s="12" t="s">
        <v>4752</v>
      </c>
      <c r="E721" s="12" t="s">
        <v>905</v>
      </c>
      <c r="F721" s="12" t="s">
        <v>751</v>
      </c>
      <c r="G721" s="12" t="s">
        <v>906</v>
      </c>
      <c r="H721" s="12" t="s">
        <v>4351</v>
      </c>
      <c r="I721" s="12" t="s">
        <v>3059</v>
      </c>
      <c r="J721" s="12" t="s">
        <v>3088</v>
      </c>
      <c r="K721" s="12" t="s">
        <v>3558</v>
      </c>
      <c r="L721" s="13">
        <v>4</v>
      </c>
    </row>
    <row r="722" spans="1:12" hidden="1" x14ac:dyDescent="0.55000000000000004">
      <c r="A722" s="12" t="s">
        <v>2853</v>
      </c>
      <c r="B722" s="12" t="s">
        <v>4298</v>
      </c>
      <c r="C722" s="12" t="s">
        <v>896</v>
      </c>
      <c r="D722" s="12" t="s">
        <v>4752</v>
      </c>
      <c r="E722" s="12" t="s">
        <v>907</v>
      </c>
      <c r="F722" s="12" t="s">
        <v>127</v>
      </c>
      <c r="G722" s="12" t="s">
        <v>908</v>
      </c>
      <c r="H722" s="12" t="s">
        <v>4351</v>
      </c>
      <c r="I722" s="12" t="s">
        <v>3059</v>
      </c>
      <c r="J722" s="12" t="s">
        <v>3088</v>
      </c>
      <c r="K722" s="12" t="s">
        <v>3559</v>
      </c>
      <c r="L722" s="13">
        <v>4</v>
      </c>
    </row>
    <row r="723" spans="1:12" hidden="1" x14ac:dyDescent="0.55000000000000004">
      <c r="A723" s="12" t="s">
        <v>2853</v>
      </c>
      <c r="B723" s="12" t="s">
        <v>4298</v>
      </c>
      <c r="C723" s="12" t="s">
        <v>896</v>
      </c>
      <c r="D723" s="12" t="s">
        <v>4752</v>
      </c>
      <c r="E723" s="12" t="s">
        <v>4662</v>
      </c>
      <c r="F723" s="12" t="s">
        <v>870</v>
      </c>
      <c r="G723" s="12" t="s">
        <v>4663</v>
      </c>
      <c r="H723" s="12" t="s">
        <v>4351</v>
      </c>
      <c r="I723" s="12" t="s">
        <v>3059</v>
      </c>
      <c r="J723" s="12" t="s">
        <v>3088</v>
      </c>
      <c r="K723" s="12" t="s">
        <v>4664</v>
      </c>
      <c r="L723" s="13">
        <v>7</v>
      </c>
    </row>
    <row r="724" spans="1:12" hidden="1" x14ac:dyDescent="0.55000000000000004">
      <c r="A724" s="12" t="s">
        <v>2853</v>
      </c>
      <c r="B724" s="12" t="s">
        <v>4298</v>
      </c>
      <c r="C724" s="12" t="s">
        <v>896</v>
      </c>
      <c r="D724" s="12" t="s">
        <v>4752</v>
      </c>
      <c r="E724" s="12" t="s">
        <v>5931</v>
      </c>
      <c r="F724" s="12" t="s">
        <v>909</v>
      </c>
      <c r="G724" s="12" t="s">
        <v>5932</v>
      </c>
      <c r="H724" s="12" t="s">
        <v>4351</v>
      </c>
      <c r="I724" s="12" t="s">
        <v>3075</v>
      </c>
      <c r="J724" s="12" t="s">
        <v>3088</v>
      </c>
      <c r="K724" s="12" t="s">
        <v>5933</v>
      </c>
      <c r="L724" s="13" t="s">
        <v>3075</v>
      </c>
    </row>
    <row r="725" spans="1:12" hidden="1" x14ac:dyDescent="0.55000000000000004">
      <c r="A725" s="12" t="s">
        <v>3021</v>
      </c>
      <c r="B725" s="12" t="s">
        <v>4486</v>
      </c>
      <c r="C725" s="12" t="s">
        <v>5206</v>
      </c>
      <c r="D725" s="12" t="s">
        <v>4752</v>
      </c>
      <c r="E725" s="12" t="s">
        <v>2071</v>
      </c>
      <c r="F725" s="12" t="s">
        <v>2072</v>
      </c>
      <c r="G725" s="12" t="s">
        <v>1137</v>
      </c>
      <c r="H725" s="12" t="s">
        <v>5207</v>
      </c>
      <c r="I725" s="12" t="s">
        <v>3059</v>
      </c>
      <c r="J725" s="12" t="s">
        <v>1222</v>
      </c>
      <c r="K725" s="12" t="s">
        <v>3980</v>
      </c>
      <c r="L725" s="13">
        <v>4</v>
      </c>
    </row>
    <row r="726" spans="1:12" hidden="1" x14ac:dyDescent="0.55000000000000004">
      <c r="A726" s="12" t="s">
        <v>3021</v>
      </c>
      <c r="B726" s="12" t="s">
        <v>4486</v>
      </c>
      <c r="C726" s="12" t="s">
        <v>5206</v>
      </c>
      <c r="D726" s="12" t="s">
        <v>4752</v>
      </c>
      <c r="E726" s="12" t="s">
        <v>2073</v>
      </c>
      <c r="F726" s="12" t="s">
        <v>2074</v>
      </c>
      <c r="G726" s="12" t="s">
        <v>2075</v>
      </c>
      <c r="H726" s="12" t="s">
        <v>5207</v>
      </c>
      <c r="I726" s="12" t="s">
        <v>3059</v>
      </c>
      <c r="J726" s="12" t="s">
        <v>1222</v>
      </c>
      <c r="K726" s="12" t="s">
        <v>3981</v>
      </c>
      <c r="L726" s="13">
        <v>4</v>
      </c>
    </row>
    <row r="727" spans="1:12" hidden="1" x14ac:dyDescent="0.55000000000000004">
      <c r="A727" s="12" t="s">
        <v>3021</v>
      </c>
      <c r="B727" s="12" t="s">
        <v>4486</v>
      </c>
      <c r="C727" s="12" t="s">
        <v>5206</v>
      </c>
      <c r="D727" s="12" t="s">
        <v>4752</v>
      </c>
      <c r="E727" s="12" t="s">
        <v>2076</v>
      </c>
      <c r="F727" s="12" t="s">
        <v>2077</v>
      </c>
      <c r="G727" s="12" t="s">
        <v>2078</v>
      </c>
      <c r="H727" s="12" t="s">
        <v>5207</v>
      </c>
      <c r="I727" s="12" t="s">
        <v>3059</v>
      </c>
      <c r="J727" s="12" t="s">
        <v>1222</v>
      </c>
      <c r="K727" s="12" t="s">
        <v>3982</v>
      </c>
      <c r="L727" s="13">
        <v>4</v>
      </c>
    </row>
    <row r="728" spans="1:12" hidden="1" x14ac:dyDescent="0.55000000000000004">
      <c r="A728" s="12" t="s">
        <v>3021</v>
      </c>
      <c r="B728" s="12" t="s">
        <v>4486</v>
      </c>
      <c r="C728" s="12" t="s">
        <v>5206</v>
      </c>
      <c r="D728" s="12" t="s">
        <v>4752</v>
      </c>
      <c r="E728" s="12" t="s">
        <v>2079</v>
      </c>
      <c r="F728" s="12" t="s">
        <v>1600</v>
      </c>
      <c r="G728" s="12" t="s">
        <v>2080</v>
      </c>
      <c r="H728" s="12" t="s">
        <v>5207</v>
      </c>
      <c r="I728" s="12" t="s">
        <v>3059</v>
      </c>
      <c r="J728" s="12" t="s">
        <v>1222</v>
      </c>
      <c r="K728" s="12" t="s">
        <v>3983</v>
      </c>
      <c r="L728" s="13">
        <v>4</v>
      </c>
    </row>
    <row r="729" spans="1:12" hidden="1" x14ac:dyDescent="0.55000000000000004">
      <c r="A729" s="12" t="s">
        <v>3021</v>
      </c>
      <c r="B729" s="12" t="s">
        <v>4486</v>
      </c>
      <c r="C729" s="12" t="s">
        <v>5206</v>
      </c>
      <c r="D729" s="12" t="s">
        <v>4752</v>
      </c>
      <c r="E729" s="12" t="s">
        <v>2081</v>
      </c>
      <c r="F729" s="12" t="s">
        <v>828</v>
      </c>
      <c r="G729" s="12" t="s">
        <v>2082</v>
      </c>
      <c r="H729" s="12" t="s">
        <v>5207</v>
      </c>
      <c r="I729" s="12" t="s">
        <v>3075</v>
      </c>
      <c r="J729" s="12" t="s">
        <v>1222</v>
      </c>
      <c r="K729" s="12" t="s">
        <v>3984</v>
      </c>
      <c r="L729" s="13" t="s">
        <v>3075</v>
      </c>
    </row>
    <row r="730" spans="1:12" hidden="1" x14ac:dyDescent="0.55000000000000004">
      <c r="A730" s="12" t="s">
        <v>3021</v>
      </c>
      <c r="B730" s="12" t="s">
        <v>4486</v>
      </c>
      <c r="C730" s="12" t="s">
        <v>5206</v>
      </c>
      <c r="D730" s="12" t="s">
        <v>4752</v>
      </c>
      <c r="E730" s="12" t="s">
        <v>5934</v>
      </c>
      <c r="F730" s="12" t="s">
        <v>5935</v>
      </c>
      <c r="G730" s="12" t="s">
        <v>5936</v>
      </c>
      <c r="H730" s="12" t="s">
        <v>5207</v>
      </c>
      <c r="I730" s="12" t="s">
        <v>3075</v>
      </c>
      <c r="J730" s="12" t="s">
        <v>1222</v>
      </c>
      <c r="K730" s="12" t="s">
        <v>5937</v>
      </c>
      <c r="L730" s="13" t="s">
        <v>3075</v>
      </c>
    </row>
    <row r="731" spans="1:12" hidden="1" x14ac:dyDescent="0.55000000000000004">
      <c r="A731" s="12" t="s">
        <v>3015</v>
      </c>
      <c r="B731" s="12" t="s">
        <v>4486</v>
      </c>
      <c r="C731" s="12" t="s">
        <v>5208</v>
      </c>
      <c r="D731" s="12" t="s">
        <v>4752</v>
      </c>
      <c r="E731" s="12" t="s">
        <v>1159</v>
      </c>
      <c r="F731" s="12" t="s">
        <v>1160</v>
      </c>
      <c r="G731" s="12" t="s">
        <v>1161</v>
      </c>
      <c r="H731" s="12" t="s">
        <v>5209</v>
      </c>
      <c r="I731" s="12" t="s">
        <v>3059</v>
      </c>
      <c r="J731" s="12" t="s">
        <v>1222</v>
      </c>
      <c r="K731" s="12" t="s">
        <v>3649</v>
      </c>
      <c r="L731" s="13">
        <v>8</v>
      </c>
    </row>
    <row r="732" spans="1:12" hidden="1" x14ac:dyDescent="0.55000000000000004">
      <c r="A732" s="12" t="s">
        <v>3015</v>
      </c>
      <c r="B732" s="12" t="s">
        <v>4486</v>
      </c>
      <c r="C732" s="12" t="s">
        <v>5208</v>
      </c>
      <c r="D732" s="12" t="s">
        <v>4752</v>
      </c>
      <c r="E732" s="12" t="s">
        <v>1162</v>
      </c>
      <c r="F732" s="12" t="s">
        <v>4688</v>
      </c>
      <c r="G732" s="12" t="s">
        <v>4689</v>
      </c>
      <c r="H732" s="12" t="s">
        <v>5209</v>
      </c>
      <c r="I732" s="12" t="s">
        <v>3059</v>
      </c>
      <c r="J732" s="12" t="s">
        <v>1222</v>
      </c>
      <c r="K732" s="12" t="s">
        <v>4690</v>
      </c>
      <c r="L732" s="13">
        <v>8</v>
      </c>
    </row>
    <row r="733" spans="1:12" hidden="1" x14ac:dyDescent="0.55000000000000004">
      <c r="A733" s="12" t="s">
        <v>3015</v>
      </c>
      <c r="B733" s="12" t="s">
        <v>4486</v>
      </c>
      <c r="C733" s="12" t="s">
        <v>5208</v>
      </c>
      <c r="D733" s="12" t="s">
        <v>4752</v>
      </c>
      <c r="E733" s="12" t="s">
        <v>1163</v>
      </c>
      <c r="F733" s="12" t="s">
        <v>30</v>
      </c>
      <c r="G733" s="12" t="s">
        <v>4691</v>
      </c>
      <c r="H733" s="12" t="s">
        <v>5209</v>
      </c>
      <c r="I733" s="12" t="s">
        <v>3059</v>
      </c>
      <c r="J733" s="12" t="s">
        <v>1222</v>
      </c>
      <c r="K733" s="12" t="s">
        <v>4692</v>
      </c>
      <c r="L733" s="13">
        <v>8</v>
      </c>
    </row>
    <row r="734" spans="1:12" hidden="1" x14ac:dyDescent="0.55000000000000004">
      <c r="A734" s="12" t="s">
        <v>3015</v>
      </c>
      <c r="B734" s="12" t="s">
        <v>4486</v>
      </c>
      <c r="C734" s="12" t="s">
        <v>5208</v>
      </c>
      <c r="D734" s="12" t="s">
        <v>4752</v>
      </c>
      <c r="E734" s="12" t="s">
        <v>1164</v>
      </c>
      <c r="F734" s="12" t="s">
        <v>1165</v>
      </c>
      <c r="G734" s="12" t="s">
        <v>1166</v>
      </c>
      <c r="H734" s="12" t="s">
        <v>5209</v>
      </c>
      <c r="I734" s="12" t="s">
        <v>3059</v>
      </c>
      <c r="J734" s="12" t="s">
        <v>1222</v>
      </c>
      <c r="K734" s="12" t="s">
        <v>3650</v>
      </c>
      <c r="L734" s="13">
        <v>8</v>
      </c>
    </row>
    <row r="735" spans="1:12" hidden="1" x14ac:dyDescent="0.55000000000000004">
      <c r="A735" s="12" t="s">
        <v>3017</v>
      </c>
      <c r="B735" s="12" t="s">
        <v>4486</v>
      </c>
      <c r="C735" s="12" t="s">
        <v>703</v>
      </c>
      <c r="D735" s="12" t="s">
        <v>4752</v>
      </c>
      <c r="E735" s="12" t="s">
        <v>704</v>
      </c>
      <c r="F735" s="12" t="s">
        <v>389</v>
      </c>
      <c r="G735" s="12" t="s">
        <v>705</v>
      </c>
      <c r="H735" s="12" t="s">
        <v>5210</v>
      </c>
      <c r="I735" s="12" t="s">
        <v>3059</v>
      </c>
      <c r="J735" s="12" t="s">
        <v>1071</v>
      </c>
      <c r="K735" s="12" t="s">
        <v>3485</v>
      </c>
      <c r="L735" s="13">
        <v>9</v>
      </c>
    </row>
    <row r="736" spans="1:12" hidden="1" x14ac:dyDescent="0.55000000000000004">
      <c r="A736" s="12" t="s">
        <v>3017</v>
      </c>
      <c r="B736" s="12" t="s">
        <v>4486</v>
      </c>
      <c r="C736" s="12" t="s">
        <v>703</v>
      </c>
      <c r="D736" s="12" t="s">
        <v>4752</v>
      </c>
      <c r="E736" s="12" t="s">
        <v>706</v>
      </c>
      <c r="F736" s="12" t="s">
        <v>707</v>
      </c>
      <c r="G736" s="12" t="s">
        <v>708</v>
      </c>
      <c r="H736" s="12" t="s">
        <v>5210</v>
      </c>
      <c r="I736" s="12" t="s">
        <v>3075</v>
      </c>
      <c r="J736" s="12" t="s">
        <v>1071</v>
      </c>
      <c r="K736" s="12" t="s">
        <v>3486</v>
      </c>
      <c r="L736" s="13" t="s">
        <v>3075</v>
      </c>
    </row>
    <row r="737" spans="1:12" hidden="1" x14ac:dyDescent="0.55000000000000004">
      <c r="A737" s="12" t="s">
        <v>2986</v>
      </c>
      <c r="B737" s="12" t="s">
        <v>4486</v>
      </c>
      <c r="C737" s="12" t="s">
        <v>4885</v>
      </c>
      <c r="D737" s="12" t="s">
        <v>4752</v>
      </c>
      <c r="E737" s="12" t="s">
        <v>1680</v>
      </c>
      <c r="F737" s="12" t="s">
        <v>693</v>
      </c>
      <c r="G737" s="12" t="s">
        <v>1681</v>
      </c>
      <c r="H737" s="12" t="s">
        <v>5211</v>
      </c>
      <c r="I737" s="12" t="s">
        <v>3059</v>
      </c>
      <c r="J737" s="12" t="s">
        <v>3090</v>
      </c>
      <c r="K737" s="12" t="s">
        <v>3835</v>
      </c>
      <c r="L737" s="13">
        <v>4</v>
      </c>
    </row>
    <row r="738" spans="1:12" hidden="1" x14ac:dyDescent="0.55000000000000004">
      <c r="A738" s="12" t="s">
        <v>2986</v>
      </c>
      <c r="B738" s="12" t="s">
        <v>4486</v>
      </c>
      <c r="C738" s="12" t="s">
        <v>4885</v>
      </c>
      <c r="D738" s="12" t="s">
        <v>4752</v>
      </c>
      <c r="E738" s="12" t="s">
        <v>1687</v>
      </c>
      <c r="F738" s="12" t="s">
        <v>1688</v>
      </c>
      <c r="G738" s="12" t="s">
        <v>1689</v>
      </c>
      <c r="H738" s="12" t="s">
        <v>5211</v>
      </c>
      <c r="I738" s="12" t="s">
        <v>3060</v>
      </c>
      <c r="J738" s="12" t="s">
        <v>3090</v>
      </c>
      <c r="K738" s="12" t="s">
        <v>3837</v>
      </c>
      <c r="L738" s="13">
        <v>4</v>
      </c>
    </row>
    <row r="739" spans="1:12" hidden="1" x14ac:dyDescent="0.55000000000000004">
      <c r="A739" s="12" t="s">
        <v>2986</v>
      </c>
      <c r="B739" s="12" t="s">
        <v>4486</v>
      </c>
      <c r="C739" s="12" t="s">
        <v>4885</v>
      </c>
      <c r="D739" s="12" t="s">
        <v>4752</v>
      </c>
      <c r="E739" s="12" t="s">
        <v>1690</v>
      </c>
      <c r="F739" s="12" t="s">
        <v>1685</v>
      </c>
      <c r="G739" s="12" t="s">
        <v>1691</v>
      </c>
      <c r="H739" s="12" t="s">
        <v>5211</v>
      </c>
      <c r="I739" s="12" t="s">
        <v>3075</v>
      </c>
      <c r="J739" s="12" t="s">
        <v>3090</v>
      </c>
      <c r="K739" s="12" t="s">
        <v>3838</v>
      </c>
      <c r="L739" s="13" t="s">
        <v>3075</v>
      </c>
    </row>
    <row r="740" spans="1:12" hidden="1" x14ac:dyDescent="0.55000000000000004">
      <c r="A740" s="12" t="s">
        <v>2986</v>
      </c>
      <c r="B740" s="12" t="s">
        <v>4486</v>
      </c>
      <c r="C740" s="12" t="s">
        <v>4885</v>
      </c>
      <c r="D740" s="12" t="s">
        <v>4752</v>
      </c>
      <c r="E740" s="12" t="s">
        <v>1696</v>
      </c>
      <c r="F740" s="12" t="s">
        <v>1685</v>
      </c>
      <c r="G740" s="12" t="s">
        <v>1697</v>
      </c>
      <c r="H740" s="12" t="s">
        <v>5211</v>
      </c>
      <c r="I740" s="12" t="s">
        <v>3075</v>
      </c>
      <c r="J740" s="12" t="s">
        <v>3090</v>
      </c>
      <c r="K740" s="12" t="s">
        <v>3840</v>
      </c>
      <c r="L740" s="13" t="s">
        <v>3075</v>
      </c>
    </row>
    <row r="741" spans="1:12" hidden="1" x14ac:dyDescent="0.55000000000000004">
      <c r="A741" s="12" t="s">
        <v>2986</v>
      </c>
      <c r="B741" s="12" t="s">
        <v>4486</v>
      </c>
      <c r="C741" s="12" t="s">
        <v>4885</v>
      </c>
      <c r="D741" s="12" t="s">
        <v>4752</v>
      </c>
      <c r="E741" s="12" t="s">
        <v>5938</v>
      </c>
      <c r="F741" s="12" t="s">
        <v>169</v>
      </c>
      <c r="G741" s="12" t="s">
        <v>1701</v>
      </c>
      <c r="H741" s="12" t="s">
        <v>5211</v>
      </c>
      <c r="I741" s="12" t="s">
        <v>3075</v>
      </c>
      <c r="J741" s="12" t="s">
        <v>3090</v>
      </c>
      <c r="K741" s="12" t="s">
        <v>5939</v>
      </c>
      <c r="L741" s="13" t="s">
        <v>3075</v>
      </c>
    </row>
    <row r="742" spans="1:12" hidden="1" x14ac:dyDescent="0.55000000000000004">
      <c r="A742" s="12" t="s">
        <v>2986</v>
      </c>
      <c r="B742" s="12" t="s">
        <v>4486</v>
      </c>
      <c r="C742" s="12" t="s">
        <v>4885</v>
      </c>
      <c r="D742" s="12" t="s">
        <v>4752</v>
      </c>
      <c r="E742" s="12" t="s">
        <v>5940</v>
      </c>
      <c r="F742" s="12" t="s">
        <v>1685</v>
      </c>
      <c r="G742" s="12" t="s">
        <v>5941</v>
      </c>
      <c r="H742" s="12" t="s">
        <v>5211</v>
      </c>
      <c r="I742" s="12" t="s">
        <v>3075</v>
      </c>
      <c r="J742" s="12" t="s">
        <v>3090</v>
      </c>
      <c r="K742" s="12" t="s">
        <v>5942</v>
      </c>
      <c r="L742" s="13" t="s">
        <v>3075</v>
      </c>
    </row>
    <row r="743" spans="1:12" hidden="1" x14ac:dyDescent="0.55000000000000004">
      <c r="A743" s="12" t="s">
        <v>2815</v>
      </c>
      <c r="B743" s="12" t="s">
        <v>4298</v>
      </c>
      <c r="C743" s="12" t="s">
        <v>5212</v>
      </c>
      <c r="D743" s="12" t="s">
        <v>4752</v>
      </c>
      <c r="E743" s="12" t="s">
        <v>410</v>
      </c>
      <c r="F743" s="12" t="s">
        <v>2373</v>
      </c>
      <c r="G743" s="12" t="s">
        <v>3129</v>
      </c>
      <c r="H743" s="12" t="s">
        <v>4308</v>
      </c>
      <c r="I743" s="12" t="s">
        <v>3075</v>
      </c>
      <c r="J743" s="12" t="s">
        <v>3086</v>
      </c>
      <c r="K743" s="12" t="s">
        <v>3383</v>
      </c>
      <c r="L743" s="13" t="s">
        <v>3075</v>
      </c>
    </row>
    <row r="744" spans="1:12" hidden="1" x14ac:dyDescent="0.55000000000000004">
      <c r="A744" s="12" t="s">
        <v>2815</v>
      </c>
      <c r="B744" s="12" t="s">
        <v>4298</v>
      </c>
      <c r="C744" s="12" t="s">
        <v>5212</v>
      </c>
      <c r="D744" s="12" t="s">
        <v>4752</v>
      </c>
      <c r="E744" s="12" t="s">
        <v>412</v>
      </c>
      <c r="F744" s="12" t="s">
        <v>3130</v>
      </c>
      <c r="G744" s="12" t="s">
        <v>413</v>
      </c>
      <c r="H744" s="12" t="s">
        <v>4308</v>
      </c>
      <c r="I744" s="12" t="s">
        <v>3059</v>
      </c>
      <c r="J744" s="12" t="s">
        <v>3086</v>
      </c>
      <c r="K744" s="12" t="s">
        <v>3384</v>
      </c>
      <c r="L744" s="13">
        <v>4</v>
      </c>
    </row>
    <row r="745" spans="1:12" hidden="1" x14ac:dyDescent="0.55000000000000004">
      <c r="A745" s="12" t="s">
        <v>2815</v>
      </c>
      <c r="B745" s="12" t="s">
        <v>4298</v>
      </c>
      <c r="C745" s="12" t="s">
        <v>5212</v>
      </c>
      <c r="D745" s="12" t="s">
        <v>4752</v>
      </c>
      <c r="E745" s="12" t="s">
        <v>422</v>
      </c>
      <c r="F745" s="12" t="s">
        <v>423</v>
      </c>
      <c r="G745" s="12" t="s">
        <v>424</v>
      </c>
      <c r="H745" s="12" t="s">
        <v>4308</v>
      </c>
      <c r="I745" s="12" t="s">
        <v>3059</v>
      </c>
      <c r="J745" s="12" t="s">
        <v>3086</v>
      </c>
      <c r="K745" s="12" t="s">
        <v>3388</v>
      </c>
      <c r="L745" s="13">
        <v>4</v>
      </c>
    </row>
    <row r="746" spans="1:12" hidden="1" x14ac:dyDescent="0.55000000000000004">
      <c r="A746" s="12" t="s">
        <v>2815</v>
      </c>
      <c r="B746" s="12" t="s">
        <v>4298</v>
      </c>
      <c r="C746" s="12" t="s">
        <v>5212</v>
      </c>
      <c r="D746" s="12" t="s">
        <v>4752</v>
      </c>
      <c r="E746" s="12" t="s">
        <v>432</v>
      </c>
      <c r="F746" s="12" t="s">
        <v>433</v>
      </c>
      <c r="G746" s="12" t="s">
        <v>434</v>
      </c>
      <c r="H746" s="12" t="s">
        <v>4308</v>
      </c>
      <c r="I746" s="12" t="s">
        <v>3059</v>
      </c>
      <c r="J746" s="12" t="s">
        <v>3086</v>
      </c>
      <c r="K746" s="12" t="s">
        <v>3392</v>
      </c>
      <c r="L746" s="13">
        <v>4</v>
      </c>
    </row>
    <row r="747" spans="1:12" hidden="1" x14ac:dyDescent="0.55000000000000004">
      <c r="A747" s="12" t="s">
        <v>2815</v>
      </c>
      <c r="B747" s="12" t="s">
        <v>4298</v>
      </c>
      <c r="C747" s="12" t="s">
        <v>5212</v>
      </c>
      <c r="D747" s="12" t="s">
        <v>4752</v>
      </c>
      <c r="E747" s="12" t="s">
        <v>435</v>
      </c>
      <c r="F747" s="12" t="s">
        <v>136</v>
      </c>
      <c r="G747" s="12" t="s">
        <v>436</v>
      </c>
      <c r="H747" s="12" t="s">
        <v>4308</v>
      </c>
      <c r="I747" s="12" t="s">
        <v>3059</v>
      </c>
      <c r="J747" s="12" t="s">
        <v>3086</v>
      </c>
      <c r="K747" s="12" t="s">
        <v>3393</v>
      </c>
      <c r="L747" s="13">
        <v>4</v>
      </c>
    </row>
    <row r="748" spans="1:12" hidden="1" x14ac:dyDescent="0.55000000000000004">
      <c r="A748" s="12" t="s">
        <v>2816</v>
      </c>
      <c r="B748" s="12" t="s">
        <v>4298</v>
      </c>
      <c r="C748" s="12" t="s">
        <v>5212</v>
      </c>
      <c r="D748" s="12" t="s">
        <v>4752</v>
      </c>
      <c r="E748" s="12" t="s">
        <v>404</v>
      </c>
      <c r="F748" s="12" t="s">
        <v>405</v>
      </c>
      <c r="G748" s="12" t="s">
        <v>406</v>
      </c>
      <c r="H748" s="12" t="s">
        <v>4309</v>
      </c>
      <c r="I748" s="12" t="s">
        <v>3059</v>
      </c>
      <c r="J748" s="12" t="s">
        <v>3086</v>
      </c>
      <c r="K748" s="12" t="s">
        <v>3381</v>
      </c>
      <c r="L748" s="13">
        <v>2</v>
      </c>
    </row>
    <row r="749" spans="1:12" hidden="1" x14ac:dyDescent="0.55000000000000004">
      <c r="A749" s="12" t="s">
        <v>2816</v>
      </c>
      <c r="B749" s="12" t="s">
        <v>4298</v>
      </c>
      <c r="C749" s="12" t="s">
        <v>5212</v>
      </c>
      <c r="D749" s="12" t="s">
        <v>4752</v>
      </c>
      <c r="E749" s="12" t="s">
        <v>419</v>
      </c>
      <c r="F749" s="12" t="s">
        <v>420</v>
      </c>
      <c r="G749" s="12" t="s">
        <v>421</v>
      </c>
      <c r="H749" s="12" t="s">
        <v>4309</v>
      </c>
      <c r="I749" s="12" t="s">
        <v>3059</v>
      </c>
      <c r="J749" s="12" t="s">
        <v>3086</v>
      </c>
      <c r="K749" s="12" t="s">
        <v>3387</v>
      </c>
      <c r="L749" s="13">
        <v>2</v>
      </c>
    </row>
    <row r="750" spans="1:12" hidden="1" x14ac:dyDescent="0.55000000000000004">
      <c r="A750" s="12" t="s">
        <v>2954</v>
      </c>
      <c r="B750" s="12" t="s">
        <v>4422</v>
      </c>
      <c r="C750" s="12" t="s">
        <v>639</v>
      </c>
      <c r="D750" s="12" t="s">
        <v>4752</v>
      </c>
      <c r="E750" s="12" t="s">
        <v>642</v>
      </c>
      <c r="F750" s="12" t="s">
        <v>643</v>
      </c>
      <c r="G750" s="12" t="s">
        <v>644</v>
      </c>
      <c r="H750" s="12" t="s">
        <v>4439</v>
      </c>
      <c r="I750" s="12" t="s">
        <v>3059</v>
      </c>
      <c r="J750" s="12" t="s">
        <v>341</v>
      </c>
      <c r="K750" s="12" t="s">
        <v>3465</v>
      </c>
      <c r="L750" s="13">
        <v>7</v>
      </c>
    </row>
    <row r="751" spans="1:12" hidden="1" x14ac:dyDescent="0.55000000000000004">
      <c r="A751" s="12" t="s">
        <v>2954</v>
      </c>
      <c r="B751" s="12" t="s">
        <v>4422</v>
      </c>
      <c r="C751" s="12" t="s">
        <v>639</v>
      </c>
      <c r="D751" s="12" t="s">
        <v>4752</v>
      </c>
      <c r="E751" s="12" t="s">
        <v>647</v>
      </c>
      <c r="F751" s="12" t="s">
        <v>473</v>
      </c>
      <c r="G751" s="12" t="s">
        <v>648</v>
      </c>
      <c r="H751" s="12" t="s">
        <v>4439</v>
      </c>
      <c r="I751" s="12" t="s">
        <v>3059</v>
      </c>
      <c r="J751" s="12" t="s">
        <v>341</v>
      </c>
      <c r="K751" s="12" t="s">
        <v>3467</v>
      </c>
      <c r="L751" s="13">
        <v>7</v>
      </c>
    </row>
    <row r="752" spans="1:12" hidden="1" x14ac:dyDescent="0.55000000000000004">
      <c r="A752" s="12" t="s">
        <v>2896</v>
      </c>
      <c r="B752" s="12" t="s">
        <v>4374</v>
      </c>
      <c r="C752" s="12" t="s">
        <v>1173</v>
      </c>
      <c r="D752" s="12" t="s">
        <v>4752</v>
      </c>
      <c r="E752" s="12" t="s">
        <v>1174</v>
      </c>
      <c r="F752" s="12" t="s">
        <v>1175</v>
      </c>
      <c r="G752" s="12" t="s">
        <v>1176</v>
      </c>
      <c r="H752" s="12" t="s">
        <v>4406</v>
      </c>
      <c r="I752" s="12" t="s">
        <v>3075</v>
      </c>
      <c r="J752" s="12" t="s">
        <v>3094</v>
      </c>
      <c r="K752" s="12" t="s">
        <v>3653</v>
      </c>
      <c r="L752" s="13" t="s">
        <v>3075</v>
      </c>
    </row>
    <row r="753" spans="1:12" hidden="1" x14ac:dyDescent="0.55000000000000004">
      <c r="A753" s="12" t="s">
        <v>2896</v>
      </c>
      <c r="B753" s="12" t="s">
        <v>4374</v>
      </c>
      <c r="C753" s="12" t="s">
        <v>1173</v>
      </c>
      <c r="D753" s="12" t="s">
        <v>4752</v>
      </c>
      <c r="E753" s="12" t="s">
        <v>1177</v>
      </c>
      <c r="F753" s="12" t="s">
        <v>1178</v>
      </c>
      <c r="G753" s="12" t="s">
        <v>1179</v>
      </c>
      <c r="H753" s="12" t="s">
        <v>4406</v>
      </c>
      <c r="I753" s="12" t="s">
        <v>3075</v>
      </c>
      <c r="J753" s="12" t="s">
        <v>3094</v>
      </c>
      <c r="K753" s="12" t="s">
        <v>3654</v>
      </c>
      <c r="L753" s="13" t="s">
        <v>3075</v>
      </c>
    </row>
    <row r="754" spans="1:12" hidden="1" x14ac:dyDescent="0.55000000000000004">
      <c r="A754" s="12" t="s">
        <v>2896</v>
      </c>
      <c r="B754" s="12" t="s">
        <v>4374</v>
      </c>
      <c r="C754" s="12" t="s">
        <v>1173</v>
      </c>
      <c r="D754" s="12" t="s">
        <v>4752</v>
      </c>
      <c r="E754" s="12" t="s">
        <v>1180</v>
      </c>
      <c r="F754" s="12" t="s">
        <v>1181</v>
      </c>
      <c r="G754" s="12" t="s">
        <v>1182</v>
      </c>
      <c r="H754" s="12" t="s">
        <v>4406</v>
      </c>
      <c r="I754" s="12" t="s">
        <v>3059</v>
      </c>
      <c r="J754" s="12" t="s">
        <v>3094</v>
      </c>
      <c r="K754" s="12" t="s">
        <v>3655</v>
      </c>
      <c r="L754" s="13">
        <v>4</v>
      </c>
    </row>
    <row r="755" spans="1:12" hidden="1" x14ac:dyDescent="0.55000000000000004">
      <c r="A755" s="12" t="s">
        <v>2896</v>
      </c>
      <c r="B755" s="12" t="s">
        <v>4374</v>
      </c>
      <c r="C755" s="12" t="s">
        <v>1173</v>
      </c>
      <c r="D755" s="12" t="s">
        <v>4752</v>
      </c>
      <c r="E755" s="12" t="s">
        <v>3228</v>
      </c>
      <c r="F755" s="12" t="s">
        <v>1183</v>
      </c>
      <c r="G755" s="12" t="s">
        <v>1184</v>
      </c>
      <c r="H755" s="12" t="s">
        <v>4406</v>
      </c>
      <c r="I755" s="12" t="s">
        <v>3059</v>
      </c>
      <c r="J755" s="12" t="s">
        <v>3094</v>
      </c>
      <c r="K755" s="12" t="s">
        <v>3656</v>
      </c>
      <c r="L755" s="13">
        <v>4</v>
      </c>
    </row>
    <row r="756" spans="1:12" hidden="1" x14ac:dyDescent="0.55000000000000004">
      <c r="A756" s="12" t="s">
        <v>2896</v>
      </c>
      <c r="B756" s="12" t="s">
        <v>4374</v>
      </c>
      <c r="C756" s="12" t="s">
        <v>1173</v>
      </c>
      <c r="D756" s="12" t="s">
        <v>4752</v>
      </c>
      <c r="E756" s="12" t="s">
        <v>1186</v>
      </c>
      <c r="F756" s="12" t="s">
        <v>1187</v>
      </c>
      <c r="G756" s="12" t="s">
        <v>1188</v>
      </c>
      <c r="H756" s="12" t="s">
        <v>4406</v>
      </c>
      <c r="I756" s="12" t="s">
        <v>3059</v>
      </c>
      <c r="J756" s="12" t="s">
        <v>3094</v>
      </c>
      <c r="K756" s="12" t="s">
        <v>3657</v>
      </c>
      <c r="L756" s="13">
        <v>4</v>
      </c>
    </row>
    <row r="757" spans="1:12" hidden="1" x14ac:dyDescent="0.55000000000000004">
      <c r="A757" s="12" t="s">
        <v>2896</v>
      </c>
      <c r="B757" s="12" t="s">
        <v>4374</v>
      </c>
      <c r="C757" s="12" t="s">
        <v>1173</v>
      </c>
      <c r="D757" s="12" t="s">
        <v>4752</v>
      </c>
      <c r="E757" s="12" t="s">
        <v>1189</v>
      </c>
      <c r="F757" s="12" t="s">
        <v>1190</v>
      </c>
      <c r="G757" s="12" t="s">
        <v>1191</v>
      </c>
      <c r="H757" s="12" t="s">
        <v>4406</v>
      </c>
      <c r="I757" s="12" t="s">
        <v>3075</v>
      </c>
      <c r="J757" s="12" t="s">
        <v>3094</v>
      </c>
      <c r="K757" s="12" t="s">
        <v>3658</v>
      </c>
      <c r="L757" s="13" t="s">
        <v>3075</v>
      </c>
    </row>
    <row r="758" spans="1:12" hidden="1" x14ac:dyDescent="0.55000000000000004">
      <c r="A758" s="12" t="s">
        <v>2896</v>
      </c>
      <c r="B758" s="12" t="s">
        <v>4374</v>
      </c>
      <c r="C758" s="12" t="s">
        <v>1173</v>
      </c>
      <c r="D758" s="12" t="s">
        <v>4752</v>
      </c>
      <c r="E758" s="12" t="s">
        <v>1192</v>
      </c>
      <c r="F758" s="12" t="s">
        <v>1193</v>
      </c>
      <c r="G758" s="12" t="s">
        <v>1194</v>
      </c>
      <c r="H758" s="12" t="s">
        <v>4406</v>
      </c>
      <c r="I758" s="12" t="s">
        <v>3059</v>
      </c>
      <c r="J758" s="12" t="s">
        <v>3094</v>
      </c>
      <c r="K758" s="12" t="s">
        <v>3659</v>
      </c>
      <c r="L758" s="13">
        <v>4</v>
      </c>
    </row>
    <row r="759" spans="1:12" hidden="1" x14ac:dyDescent="0.55000000000000004">
      <c r="A759" s="12" t="s">
        <v>2896</v>
      </c>
      <c r="B759" s="12" t="s">
        <v>4374</v>
      </c>
      <c r="C759" s="12" t="s">
        <v>1173</v>
      </c>
      <c r="D759" s="12" t="s">
        <v>4752</v>
      </c>
      <c r="E759" s="12" t="s">
        <v>1195</v>
      </c>
      <c r="F759" s="12" t="s">
        <v>1196</v>
      </c>
      <c r="G759" s="12" t="s">
        <v>1197</v>
      </c>
      <c r="H759" s="12" t="s">
        <v>4406</v>
      </c>
      <c r="I759" s="12" t="s">
        <v>3075</v>
      </c>
      <c r="J759" s="12" t="s">
        <v>3094</v>
      </c>
      <c r="K759" s="12" t="s">
        <v>3660</v>
      </c>
      <c r="L759" s="13" t="s">
        <v>3075</v>
      </c>
    </row>
    <row r="760" spans="1:12" hidden="1" x14ac:dyDescent="0.55000000000000004">
      <c r="A760" s="12" t="s">
        <v>2896</v>
      </c>
      <c r="B760" s="12" t="s">
        <v>4374</v>
      </c>
      <c r="C760" s="12" t="s">
        <v>1173</v>
      </c>
      <c r="D760" s="12" t="s">
        <v>4752</v>
      </c>
      <c r="E760" s="12" t="s">
        <v>1198</v>
      </c>
      <c r="F760" s="12" t="s">
        <v>1199</v>
      </c>
      <c r="G760" s="12" t="s">
        <v>1200</v>
      </c>
      <c r="H760" s="12" t="s">
        <v>4406</v>
      </c>
      <c r="I760" s="12" t="s">
        <v>3075</v>
      </c>
      <c r="J760" s="12" t="s">
        <v>3094</v>
      </c>
      <c r="K760" s="12" t="s">
        <v>3661</v>
      </c>
      <c r="L760" s="13" t="s">
        <v>3075</v>
      </c>
    </row>
    <row r="761" spans="1:12" hidden="1" x14ac:dyDescent="0.55000000000000004">
      <c r="A761" s="12" t="s">
        <v>2896</v>
      </c>
      <c r="B761" s="12" t="s">
        <v>4374</v>
      </c>
      <c r="C761" s="12" t="s">
        <v>1173</v>
      </c>
      <c r="D761" s="12" t="s">
        <v>4752</v>
      </c>
      <c r="E761" s="12" t="s">
        <v>1201</v>
      </c>
      <c r="F761" s="12" t="s">
        <v>1202</v>
      </c>
      <c r="G761" s="12" t="s">
        <v>1203</v>
      </c>
      <c r="H761" s="12" t="s">
        <v>4406</v>
      </c>
      <c r="I761" s="12" t="s">
        <v>3059</v>
      </c>
      <c r="J761" s="12" t="s">
        <v>3094</v>
      </c>
      <c r="K761" s="12" t="s">
        <v>3662</v>
      </c>
      <c r="L761" s="13">
        <v>4</v>
      </c>
    </row>
    <row r="762" spans="1:12" hidden="1" x14ac:dyDescent="0.55000000000000004">
      <c r="A762" s="12" t="s">
        <v>2896</v>
      </c>
      <c r="B762" s="12" t="s">
        <v>4374</v>
      </c>
      <c r="C762" s="12" t="s">
        <v>1173</v>
      </c>
      <c r="D762" s="12" t="s">
        <v>4752</v>
      </c>
      <c r="E762" s="12" t="s">
        <v>5943</v>
      </c>
      <c r="F762" s="12" t="s">
        <v>5944</v>
      </c>
      <c r="G762" s="12" t="s">
        <v>5945</v>
      </c>
      <c r="H762" s="12" t="s">
        <v>4406</v>
      </c>
      <c r="I762" s="12" t="s">
        <v>3075</v>
      </c>
      <c r="J762" s="12" t="s">
        <v>3094</v>
      </c>
      <c r="K762" s="12" t="s">
        <v>5946</v>
      </c>
      <c r="L762" s="13" t="s">
        <v>3075</v>
      </c>
    </row>
    <row r="763" spans="1:12" hidden="1" x14ac:dyDescent="0.55000000000000004">
      <c r="A763" s="12" t="s">
        <v>2913</v>
      </c>
      <c r="B763" s="12" t="s">
        <v>4422</v>
      </c>
      <c r="C763" s="12" t="s">
        <v>5203</v>
      </c>
      <c r="D763" s="12" t="s">
        <v>4752</v>
      </c>
      <c r="E763" s="12" t="s">
        <v>2093</v>
      </c>
      <c r="F763" s="12" t="s">
        <v>2094</v>
      </c>
      <c r="G763" s="12" t="s">
        <v>2095</v>
      </c>
      <c r="H763" s="12" t="s">
        <v>4432</v>
      </c>
      <c r="I763" s="12" t="s">
        <v>3059</v>
      </c>
      <c r="J763" s="12" t="s">
        <v>341</v>
      </c>
      <c r="K763" s="12" t="s">
        <v>3988</v>
      </c>
      <c r="L763" s="13">
        <v>2</v>
      </c>
    </row>
    <row r="764" spans="1:12" hidden="1" x14ac:dyDescent="0.55000000000000004">
      <c r="A764" s="12" t="s">
        <v>2913</v>
      </c>
      <c r="B764" s="12" t="s">
        <v>4422</v>
      </c>
      <c r="C764" s="12" t="s">
        <v>5203</v>
      </c>
      <c r="D764" s="12" t="s">
        <v>4752</v>
      </c>
      <c r="E764" s="12" t="s">
        <v>2098</v>
      </c>
      <c r="F764" s="12" t="s">
        <v>2099</v>
      </c>
      <c r="G764" s="12" t="s">
        <v>2100</v>
      </c>
      <c r="H764" s="12" t="s">
        <v>4432</v>
      </c>
      <c r="I764" s="12" t="s">
        <v>3059</v>
      </c>
      <c r="J764" s="12" t="s">
        <v>341</v>
      </c>
      <c r="K764" s="12" t="s">
        <v>3990</v>
      </c>
      <c r="L764" s="13">
        <v>2</v>
      </c>
    </row>
    <row r="765" spans="1:12" hidden="1" x14ac:dyDescent="0.55000000000000004">
      <c r="A765" s="12" t="s">
        <v>2913</v>
      </c>
      <c r="B765" s="12" t="s">
        <v>4422</v>
      </c>
      <c r="C765" s="12" t="s">
        <v>5203</v>
      </c>
      <c r="D765" s="12" t="s">
        <v>4752</v>
      </c>
      <c r="E765" s="12" t="s">
        <v>3233</v>
      </c>
      <c r="F765" s="12" t="s">
        <v>2087</v>
      </c>
      <c r="G765" s="12" t="s">
        <v>2088</v>
      </c>
      <c r="H765" s="12" t="s">
        <v>4432</v>
      </c>
      <c r="I765" s="12" t="s">
        <v>3059</v>
      </c>
      <c r="J765" s="12" t="s">
        <v>341</v>
      </c>
      <c r="K765" s="12" t="s">
        <v>3986</v>
      </c>
      <c r="L765" s="13">
        <v>2</v>
      </c>
    </row>
    <row r="766" spans="1:12" hidden="1" x14ac:dyDescent="0.55000000000000004">
      <c r="A766" s="12" t="s">
        <v>2913</v>
      </c>
      <c r="B766" s="12" t="s">
        <v>4422</v>
      </c>
      <c r="C766" s="12" t="s">
        <v>5203</v>
      </c>
      <c r="D766" s="12" t="s">
        <v>4752</v>
      </c>
      <c r="E766" s="12" t="s">
        <v>2114</v>
      </c>
      <c r="F766" s="12" t="s">
        <v>2115</v>
      </c>
      <c r="G766" s="12" t="s">
        <v>2116</v>
      </c>
      <c r="H766" s="12" t="s">
        <v>4432</v>
      </c>
      <c r="I766" s="12" t="s">
        <v>3059</v>
      </c>
      <c r="J766" s="12" t="s">
        <v>341</v>
      </c>
      <c r="K766" s="12" t="s">
        <v>3996</v>
      </c>
      <c r="L766" s="13">
        <v>2</v>
      </c>
    </row>
    <row r="767" spans="1:12" hidden="1" x14ac:dyDescent="0.55000000000000004">
      <c r="A767" s="12" t="s">
        <v>2813</v>
      </c>
      <c r="B767" s="12" t="s">
        <v>4298</v>
      </c>
      <c r="C767" s="12" t="s">
        <v>5140</v>
      </c>
      <c r="D767" s="12" t="s">
        <v>4752</v>
      </c>
      <c r="E767" s="12" t="s">
        <v>170</v>
      </c>
      <c r="F767" s="12" t="s">
        <v>171</v>
      </c>
      <c r="G767" s="12" t="s">
        <v>172</v>
      </c>
      <c r="H767" s="12" t="s">
        <v>4306</v>
      </c>
      <c r="I767" s="12" t="s">
        <v>3075</v>
      </c>
      <c r="J767" s="12" t="s">
        <v>3086</v>
      </c>
      <c r="K767" s="12" t="s">
        <v>3302</v>
      </c>
      <c r="L767" s="13" t="s">
        <v>3075</v>
      </c>
    </row>
    <row r="768" spans="1:12" hidden="1" x14ac:dyDescent="0.55000000000000004">
      <c r="A768" s="12" t="s">
        <v>2813</v>
      </c>
      <c r="B768" s="12" t="s">
        <v>4298</v>
      </c>
      <c r="C768" s="12" t="s">
        <v>5140</v>
      </c>
      <c r="D768" s="12" t="s">
        <v>4752</v>
      </c>
      <c r="E768" s="12" t="s">
        <v>173</v>
      </c>
      <c r="F768" s="12" t="s">
        <v>174</v>
      </c>
      <c r="G768" s="12" t="s">
        <v>175</v>
      </c>
      <c r="H768" s="12" t="s">
        <v>4306</v>
      </c>
      <c r="I768" s="12" t="s">
        <v>3075</v>
      </c>
      <c r="J768" s="12" t="s">
        <v>3086</v>
      </c>
      <c r="K768" s="12" t="s">
        <v>3303</v>
      </c>
      <c r="L768" s="13" t="s">
        <v>3075</v>
      </c>
    </row>
    <row r="769" spans="1:12" hidden="1" x14ac:dyDescent="0.55000000000000004">
      <c r="A769" s="12" t="s">
        <v>2813</v>
      </c>
      <c r="B769" s="12" t="s">
        <v>4298</v>
      </c>
      <c r="C769" s="12" t="s">
        <v>5140</v>
      </c>
      <c r="D769" s="12" t="s">
        <v>4752</v>
      </c>
      <c r="E769" s="12" t="s">
        <v>188</v>
      </c>
      <c r="F769" s="12" t="s">
        <v>189</v>
      </c>
      <c r="G769" s="12" t="s">
        <v>190</v>
      </c>
      <c r="H769" s="12" t="s">
        <v>4306</v>
      </c>
      <c r="I769" s="12" t="s">
        <v>3075</v>
      </c>
      <c r="J769" s="12" t="s">
        <v>3086</v>
      </c>
      <c r="K769" s="12" t="s">
        <v>3308</v>
      </c>
      <c r="L769" s="13" t="s">
        <v>3075</v>
      </c>
    </row>
    <row r="770" spans="1:12" hidden="1" x14ac:dyDescent="0.55000000000000004">
      <c r="A770" s="12" t="s">
        <v>2813</v>
      </c>
      <c r="B770" s="12" t="s">
        <v>4298</v>
      </c>
      <c r="C770" s="12" t="s">
        <v>5140</v>
      </c>
      <c r="D770" s="12" t="s">
        <v>4752</v>
      </c>
      <c r="E770" s="12" t="s">
        <v>202</v>
      </c>
      <c r="F770" s="12" t="s">
        <v>203</v>
      </c>
      <c r="G770" s="12" t="s">
        <v>204</v>
      </c>
      <c r="H770" s="12" t="s">
        <v>4306</v>
      </c>
      <c r="I770" s="12" t="s">
        <v>3075</v>
      </c>
      <c r="J770" s="12" t="s">
        <v>3086</v>
      </c>
      <c r="K770" s="12" t="s">
        <v>3313</v>
      </c>
      <c r="L770" s="13" t="s">
        <v>3075</v>
      </c>
    </row>
    <row r="771" spans="1:12" hidden="1" x14ac:dyDescent="0.55000000000000004">
      <c r="A771" s="12" t="s">
        <v>2813</v>
      </c>
      <c r="B771" s="12" t="s">
        <v>4298</v>
      </c>
      <c r="C771" s="12" t="s">
        <v>5140</v>
      </c>
      <c r="D771" s="12" t="s">
        <v>4752</v>
      </c>
      <c r="E771" s="12" t="s">
        <v>205</v>
      </c>
      <c r="F771" s="12" t="s">
        <v>206</v>
      </c>
      <c r="G771" s="12" t="s">
        <v>207</v>
      </c>
      <c r="H771" s="12" t="s">
        <v>4306</v>
      </c>
      <c r="I771" s="12" t="s">
        <v>3075</v>
      </c>
      <c r="J771" s="12" t="s">
        <v>3086</v>
      </c>
      <c r="K771" s="12" t="s">
        <v>3314</v>
      </c>
      <c r="L771" s="13" t="s">
        <v>3075</v>
      </c>
    </row>
    <row r="772" spans="1:12" hidden="1" x14ac:dyDescent="0.55000000000000004">
      <c r="A772" s="12" t="s">
        <v>2813</v>
      </c>
      <c r="B772" s="12" t="s">
        <v>4298</v>
      </c>
      <c r="C772" s="12" t="s">
        <v>5140</v>
      </c>
      <c r="D772" s="12" t="s">
        <v>4752</v>
      </c>
      <c r="E772" s="12" t="s">
        <v>3119</v>
      </c>
      <c r="F772" s="12" t="s">
        <v>3102</v>
      </c>
      <c r="G772" s="12" t="s">
        <v>3120</v>
      </c>
      <c r="H772" s="12" t="s">
        <v>4306</v>
      </c>
      <c r="I772" s="12" t="s">
        <v>3075</v>
      </c>
      <c r="J772" s="12" t="s">
        <v>3086</v>
      </c>
      <c r="K772" s="12" t="s">
        <v>3322</v>
      </c>
      <c r="L772" s="13" t="s">
        <v>3075</v>
      </c>
    </row>
    <row r="773" spans="1:12" hidden="1" x14ac:dyDescent="0.55000000000000004">
      <c r="A773" s="12" t="s">
        <v>2850</v>
      </c>
      <c r="B773" s="12" t="s">
        <v>4298</v>
      </c>
      <c r="C773" s="12" t="s">
        <v>3068</v>
      </c>
      <c r="D773" s="12" t="s">
        <v>4752</v>
      </c>
      <c r="E773" s="12" t="s">
        <v>623</v>
      </c>
      <c r="F773" s="12" t="s">
        <v>350</v>
      </c>
      <c r="G773" s="12" t="s">
        <v>624</v>
      </c>
      <c r="H773" s="12" t="s">
        <v>4348</v>
      </c>
      <c r="I773" s="12" t="s">
        <v>3059</v>
      </c>
      <c r="J773" s="12" t="s">
        <v>689</v>
      </c>
      <c r="K773" s="12" t="s">
        <v>3458</v>
      </c>
      <c r="L773" s="13">
        <v>6</v>
      </c>
    </row>
    <row r="774" spans="1:12" hidden="1" x14ac:dyDescent="0.55000000000000004">
      <c r="A774" s="12" t="s">
        <v>2844</v>
      </c>
      <c r="B774" s="12" t="s">
        <v>4298</v>
      </c>
      <c r="C774" s="12" t="s">
        <v>1577</v>
      </c>
      <c r="D774" s="12" t="s">
        <v>4752</v>
      </c>
      <c r="E774" s="12" t="s">
        <v>1574</v>
      </c>
      <c r="F774" s="12" t="s">
        <v>1575</v>
      </c>
      <c r="G774" s="12" t="s">
        <v>1576</v>
      </c>
      <c r="H774" s="12" t="s">
        <v>4342</v>
      </c>
      <c r="I774" s="12" t="s">
        <v>3059</v>
      </c>
      <c r="J774" s="12" t="s">
        <v>3088</v>
      </c>
      <c r="K774" s="12" t="s">
        <v>3792</v>
      </c>
      <c r="L774" s="13">
        <v>3</v>
      </c>
    </row>
    <row r="775" spans="1:12" hidden="1" x14ac:dyDescent="0.55000000000000004">
      <c r="A775" s="12" t="s">
        <v>2844</v>
      </c>
      <c r="B775" s="12" t="s">
        <v>4298</v>
      </c>
      <c r="C775" s="12" t="s">
        <v>1577</v>
      </c>
      <c r="D775" s="12" t="s">
        <v>4752</v>
      </c>
      <c r="E775" s="12" t="s">
        <v>1578</v>
      </c>
      <c r="F775" s="12" t="s">
        <v>443</v>
      </c>
      <c r="G775" s="12" t="s">
        <v>1579</v>
      </c>
      <c r="H775" s="12" t="s">
        <v>4342</v>
      </c>
      <c r="I775" s="12" t="s">
        <v>3075</v>
      </c>
      <c r="J775" s="12" t="s">
        <v>3088</v>
      </c>
      <c r="K775" s="12" t="s">
        <v>3793</v>
      </c>
      <c r="L775" s="13" t="s">
        <v>3075</v>
      </c>
    </row>
    <row r="776" spans="1:12" hidden="1" x14ac:dyDescent="0.55000000000000004">
      <c r="A776" s="12" t="s">
        <v>2844</v>
      </c>
      <c r="B776" s="12" t="s">
        <v>4298</v>
      </c>
      <c r="C776" s="12" t="s">
        <v>1577</v>
      </c>
      <c r="D776" s="12" t="s">
        <v>4752</v>
      </c>
      <c r="E776" s="12" t="s">
        <v>1580</v>
      </c>
      <c r="F776" s="12" t="s">
        <v>1581</v>
      </c>
      <c r="G776" s="12" t="s">
        <v>1582</v>
      </c>
      <c r="H776" s="12" t="s">
        <v>4342</v>
      </c>
      <c r="I776" s="12" t="s">
        <v>3059</v>
      </c>
      <c r="J776" s="12" t="s">
        <v>3088</v>
      </c>
      <c r="K776" s="12" t="s">
        <v>3794</v>
      </c>
      <c r="L776" s="13">
        <v>3</v>
      </c>
    </row>
    <row r="777" spans="1:12" hidden="1" x14ac:dyDescent="0.55000000000000004">
      <c r="A777" s="12" t="s">
        <v>2844</v>
      </c>
      <c r="B777" s="12" t="s">
        <v>4298</v>
      </c>
      <c r="C777" s="12" t="s">
        <v>1577</v>
      </c>
      <c r="D777" s="12" t="s">
        <v>4752</v>
      </c>
      <c r="E777" s="12" t="s">
        <v>1583</v>
      </c>
      <c r="F777" s="12" t="s">
        <v>1120</v>
      </c>
      <c r="G777" s="12" t="s">
        <v>7</v>
      </c>
      <c r="H777" s="12" t="s">
        <v>4342</v>
      </c>
      <c r="I777" s="12" t="s">
        <v>3059</v>
      </c>
      <c r="J777" s="12" t="s">
        <v>3088</v>
      </c>
      <c r="K777" s="12" t="s">
        <v>3795</v>
      </c>
      <c r="L777" s="13">
        <v>3</v>
      </c>
    </row>
    <row r="778" spans="1:12" hidden="1" x14ac:dyDescent="0.55000000000000004">
      <c r="A778" s="12" t="s">
        <v>2844</v>
      </c>
      <c r="B778" s="12" t="s">
        <v>4298</v>
      </c>
      <c r="C778" s="12" t="s">
        <v>1577</v>
      </c>
      <c r="D778" s="12" t="s">
        <v>4752</v>
      </c>
      <c r="E778" s="12" t="s">
        <v>1584</v>
      </c>
      <c r="F778" s="12" t="s">
        <v>1585</v>
      </c>
      <c r="G778" s="12" t="s">
        <v>1586</v>
      </c>
      <c r="H778" s="12" t="s">
        <v>4342</v>
      </c>
      <c r="I778" s="12" t="s">
        <v>3059</v>
      </c>
      <c r="J778" s="12" t="s">
        <v>3088</v>
      </c>
      <c r="K778" s="12" t="s">
        <v>3796</v>
      </c>
      <c r="L778" s="13">
        <v>3</v>
      </c>
    </row>
    <row r="779" spans="1:12" hidden="1" x14ac:dyDescent="0.55000000000000004">
      <c r="A779" s="12" t="s">
        <v>2836</v>
      </c>
      <c r="B779" s="12" t="s">
        <v>4298</v>
      </c>
      <c r="C779" s="12" t="s">
        <v>5213</v>
      </c>
      <c r="D779" s="12" t="s">
        <v>4752</v>
      </c>
      <c r="E779" s="12" t="s">
        <v>1736</v>
      </c>
      <c r="F779" s="12" t="s">
        <v>1737</v>
      </c>
      <c r="G779" s="12" t="s">
        <v>1738</v>
      </c>
      <c r="H779" s="12" t="s">
        <v>4330</v>
      </c>
      <c r="I779" s="12" t="s">
        <v>3059</v>
      </c>
      <c r="J779" s="12" t="s">
        <v>3088</v>
      </c>
      <c r="K779" s="12" t="s">
        <v>3856</v>
      </c>
      <c r="L779" s="13">
        <v>6</v>
      </c>
    </row>
    <row r="780" spans="1:12" hidden="1" x14ac:dyDescent="0.55000000000000004">
      <c r="A780" s="12" t="s">
        <v>2836</v>
      </c>
      <c r="B780" s="12" t="s">
        <v>4298</v>
      </c>
      <c r="C780" s="12" t="s">
        <v>5213</v>
      </c>
      <c r="D780" s="12" t="s">
        <v>4752</v>
      </c>
      <c r="E780" s="12" t="s">
        <v>1739</v>
      </c>
      <c r="F780" s="12" t="s">
        <v>1657</v>
      </c>
      <c r="G780" s="12" t="s">
        <v>1740</v>
      </c>
      <c r="H780" s="12" t="s">
        <v>4330</v>
      </c>
      <c r="I780" s="12" t="s">
        <v>3059</v>
      </c>
      <c r="J780" s="12" t="s">
        <v>3088</v>
      </c>
      <c r="K780" s="12" t="s">
        <v>3857</v>
      </c>
      <c r="L780" s="13">
        <v>6</v>
      </c>
    </row>
    <row r="781" spans="1:12" hidden="1" x14ac:dyDescent="0.55000000000000004">
      <c r="A781" s="12" t="s">
        <v>2836</v>
      </c>
      <c r="B781" s="12" t="s">
        <v>4298</v>
      </c>
      <c r="C781" s="12" t="s">
        <v>5213</v>
      </c>
      <c r="D781" s="12" t="s">
        <v>4752</v>
      </c>
      <c r="E781" s="12" t="s">
        <v>1741</v>
      </c>
      <c r="F781" s="12" t="s">
        <v>1742</v>
      </c>
      <c r="G781" s="12" t="s">
        <v>1743</v>
      </c>
      <c r="H781" s="12" t="s">
        <v>4330</v>
      </c>
      <c r="I781" s="12" t="s">
        <v>3059</v>
      </c>
      <c r="J781" s="12" t="s">
        <v>3088</v>
      </c>
      <c r="K781" s="12" t="s">
        <v>3858</v>
      </c>
      <c r="L781" s="13">
        <v>5</v>
      </c>
    </row>
    <row r="782" spans="1:12" hidden="1" x14ac:dyDescent="0.55000000000000004">
      <c r="A782" s="12" t="s">
        <v>2955</v>
      </c>
      <c r="B782" s="12" t="s">
        <v>4442</v>
      </c>
      <c r="C782" s="12" t="s">
        <v>5214</v>
      </c>
      <c r="D782" s="12" t="s">
        <v>4752</v>
      </c>
      <c r="E782" s="12" t="s">
        <v>710</v>
      </c>
      <c r="F782" s="12" t="s">
        <v>564</v>
      </c>
      <c r="G782" s="12" t="s">
        <v>711</v>
      </c>
      <c r="H782" s="12" t="s">
        <v>4475</v>
      </c>
      <c r="I782" s="12" t="s">
        <v>3059</v>
      </c>
      <c r="J782" s="12" t="s">
        <v>1991</v>
      </c>
      <c r="K782" s="12" t="s">
        <v>3487</v>
      </c>
      <c r="L782" s="13">
        <v>6</v>
      </c>
    </row>
    <row r="783" spans="1:12" hidden="1" x14ac:dyDescent="0.55000000000000004">
      <c r="A783" s="12" t="s">
        <v>2955</v>
      </c>
      <c r="B783" s="12" t="s">
        <v>4442</v>
      </c>
      <c r="C783" s="12" t="s">
        <v>5214</v>
      </c>
      <c r="D783" s="12" t="s">
        <v>4752</v>
      </c>
      <c r="E783" s="12" t="s">
        <v>712</v>
      </c>
      <c r="F783" s="12" t="s">
        <v>713</v>
      </c>
      <c r="G783" s="12" t="s">
        <v>714</v>
      </c>
      <c r="H783" s="12" t="s">
        <v>4475</v>
      </c>
      <c r="I783" s="12" t="s">
        <v>3059</v>
      </c>
      <c r="J783" s="12" t="s">
        <v>1991</v>
      </c>
      <c r="K783" s="12" t="s">
        <v>3488</v>
      </c>
      <c r="L783" s="13">
        <v>6</v>
      </c>
    </row>
    <row r="784" spans="1:12" hidden="1" x14ac:dyDescent="0.55000000000000004">
      <c r="A784" s="12" t="s">
        <v>2955</v>
      </c>
      <c r="B784" s="12" t="s">
        <v>4442</v>
      </c>
      <c r="C784" s="12" t="s">
        <v>5214</v>
      </c>
      <c r="D784" s="12" t="s">
        <v>4752</v>
      </c>
      <c r="E784" s="12" t="s">
        <v>718</v>
      </c>
      <c r="F784" s="12" t="s">
        <v>4659</v>
      </c>
      <c r="G784" s="12" t="s">
        <v>4660</v>
      </c>
      <c r="H784" s="12" t="s">
        <v>4475</v>
      </c>
      <c r="I784" s="12" t="s">
        <v>3059</v>
      </c>
      <c r="J784" s="12" t="s">
        <v>1991</v>
      </c>
      <c r="K784" s="12" t="s">
        <v>4661</v>
      </c>
      <c r="L784" s="13">
        <v>6</v>
      </c>
    </row>
    <row r="785" spans="1:12" hidden="1" x14ac:dyDescent="0.55000000000000004">
      <c r="A785" s="12" t="s">
        <v>2955</v>
      </c>
      <c r="B785" s="12" t="s">
        <v>4442</v>
      </c>
      <c r="C785" s="12" t="s">
        <v>5214</v>
      </c>
      <c r="D785" s="12" t="s">
        <v>4752</v>
      </c>
      <c r="E785" s="12" t="s">
        <v>720</v>
      </c>
      <c r="F785" s="12" t="s">
        <v>721</v>
      </c>
      <c r="G785" s="12" t="s">
        <v>722</v>
      </c>
      <c r="H785" s="12" t="s">
        <v>4475</v>
      </c>
      <c r="I785" s="12" t="s">
        <v>3059</v>
      </c>
      <c r="J785" s="12" t="s">
        <v>1991</v>
      </c>
      <c r="K785" s="12" t="s">
        <v>3490</v>
      </c>
      <c r="L785" s="13">
        <v>6</v>
      </c>
    </row>
    <row r="786" spans="1:12" hidden="1" x14ac:dyDescent="0.55000000000000004">
      <c r="A786" s="12" t="s">
        <v>2955</v>
      </c>
      <c r="B786" s="12" t="s">
        <v>4442</v>
      </c>
      <c r="C786" s="12" t="s">
        <v>5214</v>
      </c>
      <c r="D786" s="12" t="s">
        <v>4752</v>
      </c>
      <c r="E786" s="12" t="s">
        <v>723</v>
      </c>
      <c r="F786" s="12" t="s">
        <v>724</v>
      </c>
      <c r="G786" s="12" t="s">
        <v>725</v>
      </c>
      <c r="H786" s="12" t="s">
        <v>4475</v>
      </c>
      <c r="I786" s="12" t="s">
        <v>3059</v>
      </c>
      <c r="J786" s="12" t="s">
        <v>1991</v>
      </c>
      <c r="K786" s="12" t="s">
        <v>3491</v>
      </c>
      <c r="L786" s="13">
        <v>6</v>
      </c>
    </row>
    <row r="787" spans="1:12" hidden="1" x14ac:dyDescent="0.55000000000000004">
      <c r="A787" s="12" t="s">
        <v>2955</v>
      </c>
      <c r="B787" s="12" t="s">
        <v>4442</v>
      </c>
      <c r="C787" s="12" t="s">
        <v>5214</v>
      </c>
      <c r="D787" s="12" t="s">
        <v>4752</v>
      </c>
      <c r="E787" s="12" t="s">
        <v>729</v>
      </c>
      <c r="F787" s="12" t="s">
        <v>719</v>
      </c>
      <c r="G787" s="12" t="s">
        <v>730</v>
      </c>
      <c r="H787" s="12" t="s">
        <v>4475</v>
      </c>
      <c r="I787" s="12" t="s">
        <v>3059</v>
      </c>
      <c r="J787" s="12" t="s">
        <v>1991</v>
      </c>
      <c r="K787" s="12" t="s">
        <v>3493</v>
      </c>
      <c r="L787" s="13">
        <v>6</v>
      </c>
    </row>
    <row r="788" spans="1:12" hidden="1" x14ac:dyDescent="0.55000000000000004">
      <c r="A788" s="12" t="s">
        <v>2955</v>
      </c>
      <c r="B788" s="12" t="s">
        <v>4442</v>
      </c>
      <c r="C788" s="12" t="s">
        <v>5214</v>
      </c>
      <c r="D788" s="12" t="s">
        <v>4752</v>
      </c>
      <c r="E788" s="12" t="s">
        <v>5947</v>
      </c>
      <c r="F788" s="12" t="s">
        <v>169</v>
      </c>
      <c r="G788" s="12" t="s">
        <v>5948</v>
      </c>
      <c r="H788" s="12" t="s">
        <v>4475</v>
      </c>
      <c r="I788" s="12" t="s">
        <v>3075</v>
      </c>
      <c r="J788" s="12" t="s">
        <v>1991</v>
      </c>
      <c r="K788" s="12" t="s">
        <v>5949</v>
      </c>
      <c r="L788" s="13" t="s">
        <v>3075</v>
      </c>
    </row>
    <row r="789" spans="1:12" hidden="1" x14ac:dyDescent="0.55000000000000004">
      <c r="A789" s="12" t="s">
        <v>2955</v>
      </c>
      <c r="B789" s="12" t="s">
        <v>4442</v>
      </c>
      <c r="C789" s="12" t="s">
        <v>5214</v>
      </c>
      <c r="D789" s="12" t="s">
        <v>4752</v>
      </c>
      <c r="E789" s="12" t="s">
        <v>5950</v>
      </c>
      <c r="F789" s="12" t="s">
        <v>5951</v>
      </c>
      <c r="G789" s="12" t="s">
        <v>5952</v>
      </c>
      <c r="H789" s="12" t="s">
        <v>4475</v>
      </c>
      <c r="I789" s="12" t="s">
        <v>3075</v>
      </c>
      <c r="J789" s="12" t="s">
        <v>1991</v>
      </c>
      <c r="K789" s="12" t="s">
        <v>5953</v>
      </c>
      <c r="L789" s="13" t="s">
        <v>3075</v>
      </c>
    </row>
    <row r="790" spans="1:12" hidden="1" x14ac:dyDescent="0.55000000000000004">
      <c r="A790" s="12" t="s">
        <v>2893</v>
      </c>
      <c r="B790" s="12" t="s">
        <v>4374</v>
      </c>
      <c r="C790" s="12" t="s">
        <v>5161</v>
      </c>
      <c r="D790" s="12" t="s">
        <v>4752</v>
      </c>
      <c r="E790" s="12" t="s">
        <v>1847</v>
      </c>
      <c r="F790" s="12" t="s">
        <v>1848</v>
      </c>
      <c r="G790" s="12" t="s">
        <v>1849</v>
      </c>
      <c r="H790" s="12" t="s">
        <v>4401</v>
      </c>
      <c r="I790" s="12" t="s">
        <v>3075</v>
      </c>
      <c r="J790" s="12" t="s">
        <v>3094</v>
      </c>
      <c r="K790" s="12" t="s">
        <v>3898</v>
      </c>
      <c r="L790" s="13" t="s">
        <v>3075</v>
      </c>
    </row>
    <row r="791" spans="1:12" hidden="1" x14ac:dyDescent="0.55000000000000004">
      <c r="A791" s="12" t="s">
        <v>2893</v>
      </c>
      <c r="B791" s="12" t="s">
        <v>4374</v>
      </c>
      <c r="C791" s="12" t="s">
        <v>5161</v>
      </c>
      <c r="D791" s="12" t="s">
        <v>4752</v>
      </c>
      <c r="E791" s="12" t="s">
        <v>1862</v>
      </c>
      <c r="F791" s="12" t="s">
        <v>1863</v>
      </c>
      <c r="G791" s="12" t="s">
        <v>1864</v>
      </c>
      <c r="H791" s="12" t="s">
        <v>4401</v>
      </c>
      <c r="I791" s="12" t="s">
        <v>3059</v>
      </c>
      <c r="J791" s="12" t="s">
        <v>3094</v>
      </c>
      <c r="K791" s="12" t="s">
        <v>3903</v>
      </c>
      <c r="L791" s="13">
        <v>5</v>
      </c>
    </row>
    <row r="792" spans="1:12" hidden="1" x14ac:dyDescent="0.55000000000000004">
      <c r="A792" s="12" t="s">
        <v>2873</v>
      </c>
      <c r="B792" s="12" t="s">
        <v>4374</v>
      </c>
      <c r="C792" s="12" t="s">
        <v>5142</v>
      </c>
      <c r="D792" s="12" t="s">
        <v>4752</v>
      </c>
      <c r="E792" s="12" t="s">
        <v>1395</v>
      </c>
      <c r="F792" s="12" t="s">
        <v>1396</v>
      </c>
      <c r="G792" s="12" t="s">
        <v>1397</v>
      </c>
      <c r="H792" s="12" t="s">
        <v>4377</v>
      </c>
      <c r="I792" s="12" t="s">
        <v>3075</v>
      </c>
      <c r="J792" s="12" t="s">
        <v>3093</v>
      </c>
      <c r="K792" s="12" t="s">
        <v>3729</v>
      </c>
      <c r="L792" s="13" t="s">
        <v>3075</v>
      </c>
    </row>
    <row r="793" spans="1:12" hidden="1" x14ac:dyDescent="0.55000000000000004">
      <c r="A793" s="12" t="s">
        <v>2873</v>
      </c>
      <c r="B793" s="12" t="s">
        <v>4374</v>
      </c>
      <c r="C793" s="12" t="s">
        <v>5142</v>
      </c>
      <c r="D793" s="12" t="s">
        <v>4752</v>
      </c>
      <c r="E793" s="12" t="s">
        <v>1400</v>
      </c>
      <c r="F793" s="12" t="s">
        <v>1401</v>
      </c>
      <c r="G793" s="12" t="s">
        <v>1402</v>
      </c>
      <c r="H793" s="12" t="s">
        <v>4377</v>
      </c>
      <c r="I793" s="12" t="s">
        <v>3059</v>
      </c>
      <c r="J793" s="12" t="s">
        <v>3093</v>
      </c>
      <c r="K793" s="12" t="s">
        <v>3731</v>
      </c>
      <c r="L793" s="13">
        <v>6</v>
      </c>
    </row>
    <row r="794" spans="1:12" hidden="1" x14ac:dyDescent="0.55000000000000004">
      <c r="A794" s="12" t="s">
        <v>2873</v>
      </c>
      <c r="B794" s="12" t="s">
        <v>4374</v>
      </c>
      <c r="C794" s="12" t="s">
        <v>5142</v>
      </c>
      <c r="D794" s="12" t="s">
        <v>4752</v>
      </c>
      <c r="E794" s="12" t="s">
        <v>1403</v>
      </c>
      <c r="F794" s="12" t="s">
        <v>1404</v>
      </c>
      <c r="G794" s="12" t="s">
        <v>1405</v>
      </c>
      <c r="H794" s="12" t="s">
        <v>4377</v>
      </c>
      <c r="I794" s="12" t="s">
        <v>3059</v>
      </c>
      <c r="J794" s="12" t="s">
        <v>3093</v>
      </c>
      <c r="K794" s="12" t="s">
        <v>3732</v>
      </c>
      <c r="L794" s="13">
        <v>6</v>
      </c>
    </row>
    <row r="795" spans="1:12" hidden="1" x14ac:dyDescent="0.55000000000000004">
      <c r="A795" s="12" t="s">
        <v>2873</v>
      </c>
      <c r="B795" s="12" t="s">
        <v>4374</v>
      </c>
      <c r="C795" s="12" t="s">
        <v>5142</v>
      </c>
      <c r="D795" s="12" t="s">
        <v>4752</v>
      </c>
      <c r="E795" s="12" t="s">
        <v>1406</v>
      </c>
      <c r="F795" s="12" t="s">
        <v>1407</v>
      </c>
      <c r="G795" s="12" t="s">
        <v>1408</v>
      </c>
      <c r="H795" s="12" t="s">
        <v>4377</v>
      </c>
      <c r="I795" s="12" t="s">
        <v>3059</v>
      </c>
      <c r="J795" s="12" t="s">
        <v>3093</v>
      </c>
      <c r="K795" s="12" t="s">
        <v>3733</v>
      </c>
      <c r="L795" s="13">
        <v>6</v>
      </c>
    </row>
    <row r="796" spans="1:12" hidden="1" x14ac:dyDescent="0.55000000000000004">
      <c r="A796" s="12" t="s">
        <v>2873</v>
      </c>
      <c r="B796" s="12" t="s">
        <v>4374</v>
      </c>
      <c r="C796" s="12" t="s">
        <v>5142</v>
      </c>
      <c r="D796" s="12" t="s">
        <v>4752</v>
      </c>
      <c r="E796" s="12" t="s">
        <v>1409</v>
      </c>
      <c r="F796" s="12" t="s">
        <v>1410</v>
      </c>
      <c r="G796" s="12" t="s">
        <v>1411</v>
      </c>
      <c r="H796" s="12" t="s">
        <v>4377</v>
      </c>
      <c r="I796" s="12" t="s">
        <v>3059</v>
      </c>
      <c r="J796" s="12" t="s">
        <v>3093</v>
      </c>
      <c r="K796" s="12" t="s">
        <v>3734</v>
      </c>
      <c r="L796" s="13">
        <v>6</v>
      </c>
    </row>
    <row r="797" spans="1:12" hidden="1" x14ac:dyDescent="0.55000000000000004">
      <c r="A797" s="12" t="s">
        <v>2873</v>
      </c>
      <c r="B797" s="12" t="s">
        <v>4374</v>
      </c>
      <c r="C797" s="12" t="s">
        <v>5142</v>
      </c>
      <c r="D797" s="12" t="s">
        <v>4752</v>
      </c>
      <c r="E797" s="12" t="s">
        <v>1412</v>
      </c>
      <c r="F797" s="12" t="s">
        <v>1413</v>
      </c>
      <c r="G797" s="12" t="s">
        <v>1414</v>
      </c>
      <c r="H797" s="12" t="s">
        <v>4377</v>
      </c>
      <c r="I797" s="12" t="s">
        <v>3075</v>
      </c>
      <c r="J797" s="12" t="s">
        <v>3093</v>
      </c>
      <c r="K797" s="12" t="s">
        <v>3735</v>
      </c>
      <c r="L797" s="13" t="s">
        <v>3075</v>
      </c>
    </row>
    <row r="798" spans="1:12" hidden="1" x14ac:dyDescent="0.55000000000000004">
      <c r="A798" s="12" t="s">
        <v>2873</v>
      </c>
      <c r="B798" s="12" t="s">
        <v>4374</v>
      </c>
      <c r="C798" s="12" t="s">
        <v>5142</v>
      </c>
      <c r="D798" s="12" t="s">
        <v>4752</v>
      </c>
      <c r="E798" s="12" t="s">
        <v>1415</v>
      </c>
      <c r="F798" s="12" t="s">
        <v>1416</v>
      </c>
      <c r="G798" s="12" t="s">
        <v>1417</v>
      </c>
      <c r="H798" s="12" t="s">
        <v>4377</v>
      </c>
      <c r="I798" s="12" t="s">
        <v>3059</v>
      </c>
      <c r="J798" s="12" t="s">
        <v>3093</v>
      </c>
      <c r="K798" s="12" t="s">
        <v>3736</v>
      </c>
      <c r="L798" s="13">
        <v>6</v>
      </c>
    </row>
    <row r="799" spans="1:12" hidden="1" x14ac:dyDescent="0.55000000000000004">
      <c r="A799" s="12" t="s">
        <v>2873</v>
      </c>
      <c r="B799" s="12" t="s">
        <v>4374</v>
      </c>
      <c r="C799" s="12" t="s">
        <v>5142</v>
      </c>
      <c r="D799" s="12" t="s">
        <v>4752</v>
      </c>
      <c r="E799" s="12" t="s">
        <v>1418</v>
      </c>
      <c r="F799" s="12" t="s">
        <v>1419</v>
      </c>
      <c r="G799" s="12" t="s">
        <v>1420</v>
      </c>
      <c r="H799" s="12" t="s">
        <v>4377</v>
      </c>
      <c r="I799" s="12" t="s">
        <v>3075</v>
      </c>
      <c r="J799" s="12" t="s">
        <v>3093</v>
      </c>
      <c r="K799" s="12" t="s">
        <v>3737</v>
      </c>
      <c r="L799" s="13" t="s">
        <v>3075</v>
      </c>
    </row>
    <row r="800" spans="1:12" hidden="1" x14ac:dyDescent="0.55000000000000004">
      <c r="A800" s="12" t="s">
        <v>2873</v>
      </c>
      <c r="B800" s="12" t="s">
        <v>4374</v>
      </c>
      <c r="C800" s="12" t="s">
        <v>5142</v>
      </c>
      <c r="D800" s="12" t="s">
        <v>4752</v>
      </c>
      <c r="E800" s="12" t="s">
        <v>1421</v>
      </c>
      <c r="F800" s="12" t="s">
        <v>1422</v>
      </c>
      <c r="G800" s="12" t="s">
        <v>1423</v>
      </c>
      <c r="H800" s="12" t="s">
        <v>4377</v>
      </c>
      <c r="I800" s="12" t="s">
        <v>3059</v>
      </c>
      <c r="J800" s="12" t="s">
        <v>3093</v>
      </c>
      <c r="K800" s="12" t="s">
        <v>3738</v>
      </c>
      <c r="L800" s="13">
        <v>6</v>
      </c>
    </row>
    <row r="801" spans="1:12" hidden="1" x14ac:dyDescent="0.55000000000000004">
      <c r="A801" s="12" t="s">
        <v>2873</v>
      </c>
      <c r="B801" s="12" t="s">
        <v>4374</v>
      </c>
      <c r="C801" s="12" t="s">
        <v>5142</v>
      </c>
      <c r="D801" s="12" t="s">
        <v>4752</v>
      </c>
      <c r="E801" s="12" t="s">
        <v>5954</v>
      </c>
      <c r="F801" s="12" t="s">
        <v>5955</v>
      </c>
      <c r="G801" s="12" t="s">
        <v>5956</v>
      </c>
      <c r="H801" s="12" t="s">
        <v>4377</v>
      </c>
      <c r="I801" s="12" t="s">
        <v>3075</v>
      </c>
      <c r="J801" s="12" t="s">
        <v>3093</v>
      </c>
      <c r="K801" s="12" t="s">
        <v>5957</v>
      </c>
      <c r="L801" s="13" t="s">
        <v>3075</v>
      </c>
    </row>
    <row r="802" spans="1:12" hidden="1" x14ac:dyDescent="0.55000000000000004">
      <c r="A802" s="12" t="s">
        <v>2914</v>
      </c>
      <c r="B802" s="12" t="s">
        <v>4422</v>
      </c>
      <c r="C802" s="12" t="s">
        <v>5203</v>
      </c>
      <c r="D802" s="12" t="s">
        <v>4752</v>
      </c>
      <c r="E802" s="12" t="s">
        <v>2086</v>
      </c>
      <c r="F802" s="12" t="s">
        <v>2087</v>
      </c>
      <c r="G802" s="12" t="s">
        <v>2088</v>
      </c>
      <c r="H802" s="12" t="s">
        <v>5215</v>
      </c>
      <c r="I802" s="12" t="s">
        <v>3059</v>
      </c>
      <c r="J802" s="12" t="s">
        <v>341</v>
      </c>
      <c r="K802" s="12" t="s">
        <v>3986</v>
      </c>
      <c r="L802" s="13">
        <v>2</v>
      </c>
    </row>
    <row r="803" spans="1:12" hidden="1" x14ac:dyDescent="0.55000000000000004">
      <c r="A803" s="12" t="s">
        <v>2914</v>
      </c>
      <c r="B803" s="12" t="s">
        <v>4422</v>
      </c>
      <c r="C803" s="12" t="s">
        <v>5203</v>
      </c>
      <c r="D803" s="12" t="s">
        <v>4752</v>
      </c>
      <c r="E803" s="12" t="s">
        <v>2089</v>
      </c>
      <c r="F803" s="12" t="s">
        <v>2090</v>
      </c>
      <c r="G803" s="12" t="s">
        <v>2091</v>
      </c>
      <c r="H803" s="12" t="s">
        <v>5215</v>
      </c>
      <c r="I803" s="12" t="s">
        <v>3059</v>
      </c>
      <c r="J803" s="12" t="s">
        <v>341</v>
      </c>
      <c r="K803" s="12" t="s">
        <v>3987</v>
      </c>
      <c r="L803" s="13">
        <v>2</v>
      </c>
    </row>
    <row r="804" spans="1:12" hidden="1" x14ac:dyDescent="0.55000000000000004">
      <c r="A804" s="12" t="s">
        <v>2914</v>
      </c>
      <c r="B804" s="12" t="s">
        <v>4422</v>
      </c>
      <c r="C804" s="12" t="s">
        <v>5203</v>
      </c>
      <c r="D804" s="12" t="s">
        <v>4752</v>
      </c>
      <c r="E804" s="12" t="s">
        <v>2117</v>
      </c>
      <c r="F804" s="12" t="s">
        <v>2118</v>
      </c>
      <c r="G804" s="12" t="s">
        <v>2119</v>
      </c>
      <c r="H804" s="12" t="s">
        <v>5215</v>
      </c>
      <c r="I804" s="12" t="s">
        <v>3059</v>
      </c>
      <c r="J804" s="12" t="s">
        <v>341</v>
      </c>
      <c r="K804" s="12" t="s">
        <v>3997</v>
      </c>
      <c r="L804" s="13">
        <v>2</v>
      </c>
    </row>
    <row r="805" spans="1:12" hidden="1" x14ac:dyDescent="0.55000000000000004">
      <c r="A805" s="12" t="s">
        <v>2914</v>
      </c>
      <c r="B805" s="12" t="s">
        <v>4422</v>
      </c>
      <c r="C805" s="12" t="s">
        <v>5203</v>
      </c>
      <c r="D805" s="12" t="s">
        <v>4752</v>
      </c>
      <c r="E805" s="12" t="s">
        <v>2120</v>
      </c>
      <c r="F805" s="12" t="s">
        <v>2121</v>
      </c>
      <c r="G805" s="12" t="s">
        <v>2122</v>
      </c>
      <c r="H805" s="12" t="s">
        <v>5215</v>
      </c>
      <c r="I805" s="12" t="s">
        <v>3059</v>
      </c>
      <c r="J805" s="12" t="s">
        <v>341</v>
      </c>
      <c r="K805" s="12" t="s">
        <v>3998</v>
      </c>
      <c r="L805" s="13">
        <v>2</v>
      </c>
    </row>
    <row r="806" spans="1:12" hidden="1" x14ac:dyDescent="0.55000000000000004">
      <c r="A806" s="12" t="s">
        <v>2914</v>
      </c>
      <c r="B806" s="12" t="s">
        <v>4422</v>
      </c>
      <c r="C806" s="12" t="s">
        <v>5203</v>
      </c>
      <c r="D806" s="12" t="s">
        <v>4752</v>
      </c>
      <c r="E806" s="12" t="s">
        <v>5958</v>
      </c>
      <c r="F806" s="12" t="s">
        <v>2104</v>
      </c>
      <c r="G806" s="12" t="s">
        <v>2105</v>
      </c>
      <c r="H806" s="12" t="s">
        <v>5215</v>
      </c>
      <c r="I806" s="12" t="s">
        <v>3075</v>
      </c>
      <c r="J806" s="12" t="s">
        <v>341</v>
      </c>
      <c r="K806" s="12" t="s">
        <v>3992</v>
      </c>
      <c r="L806" s="13" t="s">
        <v>3075</v>
      </c>
    </row>
    <row r="807" spans="1:12" hidden="1" x14ac:dyDescent="0.55000000000000004">
      <c r="A807" s="12" t="s">
        <v>2859</v>
      </c>
      <c r="B807" s="12" t="s">
        <v>4298</v>
      </c>
      <c r="C807" s="12" t="s">
        <v>627</v>
      </c>
      <c r="D807" s="12" t="s">
        <v>4752</v>
      </c>
      <c r="E807" s="12" t="s">
        <v>625</v>
      </c>
      <c r="F807" s="12" t="s">
        <v>147</v>
      </c>
      <c r="G807" s="12" t="s">
        <v>626</v>
      </c>
      <c r="H807" s="12" t="s">
        <v>4359</v>
      </c>
      <c r="I807" s="12" t="s">
        <v>3059</v>
      </c>
      <c r="J807" s="12" t="s">
        <v>689</v>
      </c>
      <c r="K807" s="12" t="s">
        <v>3459</v>
      </c>
      <c r="L807" s="13">
        <v>6</v>
      </c>
    </row>
    <row r="808" spans="1:12" hidden="1" x14ac:dyDescent="0.55000000000000004">
      <c r="A808" s="12" t="s">
        <v>2859</v>
      </c>
      <c r="B808" s="12" t="s">
        <v>4298</v>
      </c>
      <c r="C808" s="12" t="s">
        <v>627</v>
      </c>
      <c r="D808" s="12" t="s">
        <v>4752</v>
      </c>
      <c r="E808" s="12" t="s">
        <v>628</v>
      </c>
      <c r="F808" s="12" t="s">
        <v>629</v>
      </c>
      <c r="G808" s="12" t="s">
        <v>630</v>
      </c>
      <c r="H808" s="12" t="s">
        <v>4359</v>
      </c>
      <c r="I808" s="12" t="s">
        <v>3059</v>
      </c>
      <c r="J808" s="12" t="s">
        <v>689</v>
      </c>
      <c r="K808" s="12" t="s">
        <v>3460</v>
      </c>
      <c r="L808" s="13">
        <v>3</v>
      </c>
    </row>
    <row r="809" spans="1:12" hidden="1" x14ac:dyDescent="0.55000000000000004">
      <c r="A809" s="12" t="s">
        <v>2859</v>
      </c>
      <c r="B809" s="12" t="s">
        <v>4298</v>
      </c>
      <c r="C809" s="12" t="s">
        <v>627</v>
      </c>
      <c r="D809" s="12" t="s">
        <v>4752</v>
      </c>
      <c r="E809" s="12" t="s">
        <v>631</v>
      </c>
      <c r="F809" s="12" t="s">
        <v>632</v>
      </c>
      <c r="G809" s="12" t="s">
        <v>633</v>
      </c>
      <c r="H809" s="12" t="s">
        <v>4359</v>
      </c>
      <c r="I809" s="12" t="s">
        <v>3059</v>
      </c>
      <c r="J809" s="12" t="s">
        <v>689</v>
      </c>
      <c r="K809" s="12" t="s">
        <v>3461</v>
      </c>
      <c r="L809" s="13">
        <v>6</v>
      </c>
    </row>
    <row r="810" spans="1:12" hidden="1" x14ac:dyDescent="0.55000000000000004">
      <c r="A810" s="12" t="s">
        <v>2859</v>
      </c>
      <c r="B810" s="12" t="s">
        <v>4298</v>
      </c>
      <c r="C810" s="12" t="s">
        <v>627</v>
      </c>
      <c r="D810" s="12" t="s">
        <v>4752</v>
      </c>
      <c r="E810" s="12" t="s">
        <v>5216</v>
      </c>
      <c r="F810" s="12" t="s">
        <v>5217</v>
      </c>
      <c r="G810" s="12" t="s">
        <v>5218</v>
      </c>
      <c r="H810" s="12" t="s">
        <v>4359</v>
      </c>
      <c r="I810" s="12" t="s">
        <v>3059</v>
      </c>
      <c r="J810" s="12" t="s">
        <v>689</v>
      </c>
      <c r="K810" s="12" t="s">
        <v>5219</v>
      </c>
      <c r="L810" s="13">
        <v>6</v>
      </c>
    </row>
    <row r="811" spans="1:12" hidden="1" x14ac:dyDescent="0.55000000000000004">
      <c r="A811" s="12" t="s">
        <v>2859</v>
      </c>
      <c r="B811" s="12" t="s">
        <v>4298</v>
      </c>
      <c r="C811" s="12" t="s">
        <v>627</v>
      </c>
      <c r="D811" s="12" t="s">
        <v>4752</v>
      </c>
      <c r="E811" s="12" t="s">
        <v>634</v>
      </c>
      <c r="F811" s="12" t="s">
        <v>635</v>
      </c>
      <c r="G811" s="12" t="s">
        <v>636</v>
      </c>
      <c r="H811" s="12" t="s">
        <v>4359</v>
      </c>
      <c r="I811" s="12" t="s">
        <v>3059</v>
      </c>
      <c r="J811" s="12" t="s">
        <v>689</v>
      </c>
      <c r="K811" s="12" t="s">
        <v>3462</v>
      </c>
      <c r="L811" s="13">
        <v>6</v>
      </c>
    </row>
    <row r="812" spans="1:12" hidden="1" x14ac:dyDescent="0.55000000000000004">
      <c r="A812" s="12" t="s">
        <v>2859</v>
      </c>
      <c r="B812" s="12" t="s">
        <v>4298</v>
      </c>
      <c r="C812" s="12" t="s">
        <v>627</v>
      </c>
      <c r="D812" s="12" t="s">
        <v>4752</v>
      </c>
      <c r="E812" s="12" t="s">
        <v>5220</v>
      </c>
      <c r="F812" s="12" t="s">
        <v>1314</v>
      </c>
      <c r="G812" s="12" t="s">
        <v>5221</v>
      </c>
      <c r="H812" s="12" t="s">
        <v>4359</v>
      </c>
      <c r="I812" s="12" t="s">
        <v>3059</v>
      </c>
      <c r="J812" s="12" t="s">
        <v>689</v>
      </c>
      <c r="K812" s="12" t="s">
        <v>5222</v>
      </c>
      <c r="L812" s="13">
        <v>9</v>
      </c>
    </row>
    <row r="813" spans="1:12" hidden="1" x14ac:dyDescent="0.55000000000000004">
      <c r="A813" s="12" t="s">
        <v>2859</v>
      </c>
      <c r="B813" s="12" t="s">
        <v>4298</v>
      </c>
      <c r="C813" s="12" t="s">
        <v>627</v>
      </c>
      <c r="D813" s="12" t="s">
        <v>4752</v>
      </c>
      <c r="E813" s="12" t="s">
        <v>5223</v>
      </c>
      <c r="F813" s="12" t="s">
        <v>2074</v>
      </c>
      <c r="G813" s="12" t="s">
        <v>5224</v>
      </c>
      <c r="H813" s="12" t="s">
        <v>4359</v>
      </c>
      <c r="I813" s="12" t="s">
        <v>3059</v>
      </c>
      <c r="J813" s="12" t="s">
        <v>689</v>
      </c>
      <c r="K813" s="12" t="s">
        <v>5225</v>
      </c>
      <c r="L813" s="13">
        <v>9</v>
      </c>
    </row>
    <row r="814" spans="1:12" hidden="1" x14ac:dyDescent="0.55000000000000004">
      <c r="A814" s="12" t="s">
        <v>2874</v>
      </c>
      <c r="B814" s="12" t="s">
        <v>4374</v>
      </c>
      <c r="C814" s="12" t="s">
        <v>5226</v>
      </c>
      <c r="D814" s="12" t="s">
        <v>4752</v>
      </c>
      <c r="E814" s="12" t="s">
        <v>1717</v>
      </c>
      <c r="F814" s="12" t="s">
        <v>323</v>
      </c>
      <c r="G814" s="12" t="s">
        <v>1718</v>
      </c>
      <c r="H814" s="12" t="s">
        <v>4378</v>
      </c>
      <c r="I814" s="12" t="s">
        <v>3075</v>
      </c>
      <c r="J814" s="12" t="s">
        <v>3093</v>
      </c>
      <c r="K814" s="12" t="s">
        <v>3849</v>
      </c>
      <c r="L814" s="13" t="s">
        <v>3075</v>
      </c>
    </row>
    <row r="815" spans="1:12" hidden="1" x14ac:dyDescent="0.55000000000000004">
      <c r="A815" s="12" t="s">
        <v>2874</v>
      </c>
      <c r="B815" s="12" t="s">
        <v>4374</v>
      </c>
      <c r="C815" s="12" t="s">
        <v>5226</v>
      </c>
      <c r="D815" s="12" t="s">
        <v>4752</v>
      </c>
      <c r="E815" s="12" t="s">
        <v>1719</v>
      </c>
      <c r="F815" s="12" t="s">
        <v>1720</v>
      </c>
      <c r="G815" s="12" t="s">
        <v>1721</v>
      </c>
      <c r="H815" s="12" t="s">
        <v>4378</v>
      </c>
      <c r="I815" s="12" t="s">
        <v>3075</v>
      </c>
      <c r="J815" s="12" t="s">
        <v>3093</v>
      </c>
      <c r="K815" s="12" t="s">
        <v>3850</v>
      </c>
      <c r="L815" s="13" t="s">
        <v>3075</v>
      </c>
    </row>
    <row r="816" spans="1:12" hidden="1" x14ac:dyDescent="0.55000000000000004">
      <c r="A816" s="12" t="s">
        <v>2840</v>
      </c>
      <c r="B816" s="12" t="s">
        <v>4298</v>
      </c>
      <c r="C816" s="12" t="s">
        <v>5227</v>
      </c>
      <c r="D816" s="12" t="s">
        <v>4752</v>
      </c>
      <c r="E816" s="12" t="s">
        <v>2051</v>
      </c>
      <c r="F816" s="12" t="s">
        <v>2052</v>
      </c>
      <c r="G816" s="12" t="s">
        <v>2053</v>
      </c>
      <c r="H816" s="12" t="s">
        <v>4334</v>
      </c>
      <c r="I816" s="12" t="s">
        <v>3075</v>
      </c>
      <c r="J816" s="12" t="s">
        <v>3087</v>
      </c>
      <c r="K816" s="12" t="s">
        <v>3971</v>
      </c>
      <c r="L816" s="13" t="s">
        <v>3075</v>
      </c>
    </row>
    <row r="817" spans="1:12" hidden="1" x14ac:dyDescent="0.55000000000000004">
      <c r="A817" s="12" t="s">
        <v>2840</v>
      </c>
      <c r="B817" s="12" t="s">
        <v>4298</v>
      </c>
      <c r="C817" s="12" t="s">
        <v>5227</v>
      </c>
      <c r="D817" s="12" t="s">
        <v>4752</v>
      </c>
      <c r="E817" s="12" t="s">
        <v>2054</v>
      </c>
      <c r="F817" s="12" t="s">
        <v>2055</v>
      </c>
      <c r="G817" s="12" t="s">
        <v>1468</v>
      </c>
      <c r="H817" s="12" t="s">
        <v>4334</v>
      </c>
      <c r="I817" s="12" t="s">
        <v>3075</v>
      </c>
      <c r="J817" s="12" t="s">
        <v>3087</v>
      </c>
      <c r="K817" s="12" t="s">
        <v>3972</v>
      </c>
      <c r="L817" s="13" t="s">
        <v>3075</v>
      </c>
    </row>
    <row r="818" spans="1:12" hidden="1" x14ac:dyDescent="0.55000000000000004">
      <c r="A818" s="12" t="s">
        <v>2840</v>
      </c>
      <c r="B818" s="12" t="s">
        <v>4298</v>
      </c>
      <c r="C818" s="12" t="s">
        <v>5227</v>
      </c>
      <c r="D818" s="12" t="s">
        <v>4752</v>
      </c>
      <c r="E818" s="12" t="s">
        <v>2056</v>
      </c>
      <c r="F818" s="12" t="s">
        <v>977</v>
      </c>
      <c r="G818" s="12" t="s">
        <v>2057</v>
      </c>
      <c r="H818" s="12" t="s">
        <v>4334</v>
      </c>
      <c r="I818" s="12" t="s">
        <v>3075</v>
      </c>
      <c r="J818" s="12" t="s">
        <v>3087</v>
      </c>
      <c r="K818" s="12" t="s">
        <v>3973</v>
      </c>
      <c r="L818" s="13" t="s">
        <v>3075</v>
      </c>
    </row>
    <row r="819" spans="1:12" hidden="1" x14ac:dyDescent="0.55000000000000004">
      <c r="A819" s="12" t="s">
        <v>2840</v>
      </c>
      <c r="B819" s="12" t="s">
        <v>4298</v>
      </c>
      <c r="C819" s="12" t="s">
        <v>5227</v>
      </c>
      <c r="D819" s="12" t="s">
        <v>4752</v>
      </c>
      <c r="E819" s="12" t="s">
        <v>2058</v>
      </c>
      <c r="F819" s="12" t="s">
        <v>2059</v>
      </c>
      <c r="G819" s="12" t="s">
        <v>2060</v>
      </c>
      <c r="H819" s="12" t="s">
        <v>4334</v>
      </c>
      <c r="I819" s="12" t="s">
        <v>3075</v>
      </c>
      <c r="J819" s="12" t="s">
        <v>3087</v>
      </c>
      <c r="K819" s="12" t="s">
        <v>3974</v>
      </c>
      <c r="L819" s="13" t="s">
        <v>3075</v>
      </c>
    </row>
    <row r="820" spans="1:12" hidden="1" x14ac:dyDescent="0.55000000000000004">
      <c r="A820" s="12" t="s">
        <v>2840</v>
      </c>
      <c r="B820" s="12" t="s">
        <v>4298</v>
      </c>
      <c r="C820" s="12" t="s">
        <v>5227</v>
      </c>
      <c r="D820" s="12" t="s">
        <v>4752</v>
      </c>
      <c r="E820" s="12" t="s">
        <v>2061</v>
      </c>
      <c r="F820" s="12" t="s">
        <v>1474</v>
      </c>
      <c r="G820" s="12" t="s">
        <v>619</v>
      </c>
      <c r="H820" s="12" t="s">
        <v>4334</v>
      </c>
      <c r="I820" s="12" t="s">
        <v>3075</v>
      </c>
      <c r="J820" s="12" t="s">
        <v>3087</v>
      </c>
      <c r="K820" s="12" t="s">
        <v>3975</v>
      </c>
      <c r="L820" s="13" t="s">
        <v>3075</v>
      </c>
    </row>
    <row r="821" spans="1:12" hidden="1" x14ac:dyDescent="0.55000000000000004">
      <c r="A821" s="12" t="s">
        <v>2840</v>
      </c>
      <c r="B821" s="12" t="s">
        <v>4298</v>
      </c>
      <c r="C821" s="12" t="s">
        <v>5227</v>
      </c>
      <c r="D821" s="12" t="s">
        <v>4752</v>
      </c>
      <c r="E821" s="12" t="s">
        <v>2062</v>
      </c>
      <c r="F821" s="12" t="s">
        <v>2063</v>
      </c>
      <c r="G821" s="12" t="s">
        <v>921</v>
      </c>
      <c r="H821" s="12" t="s">
        <v>4334</v>
      </c>
      <c r="I821" s="12" t="s">
        <v>3075</v>
      </c>
      <c r="J821" s="12" t="s">
        <v>3087</v>
      </c>
      <c r="K821" s="12" t="s">
        <v>3976</v>
      </c>
      <c r="L821" s="13" t="s">
        <v>3075</v>
      </c>
    </row>
    <row r="822" spans="1:12" hidden="1" x14ac:dyDescent="0.55000000000000004">
      <c r="A822" s="12" t="s">
        <v>2840</v>
      </c>
      <c r="B822" s="12" t="s">
        <v>4298</v>
      </c>
      <c r="C822" s="12" t="s">
        <v>5227</v>
      </c>
      <c r="D822" s="12" t="s">
        <v>4752</v>
      </c>
      <c r="E822" s="12" t="s">
        <v>2064</v>
      </c>
      <c r="F822" s="12" t="s">
        <v>66</v>
      </c>
      <c r="G822" s="12" t="s">
        <v>2065</v>
      </c>
      <c r="H822" s="12" t="s">
        <v>4334</v>
      </c>
      <c r="I822" s="12" t="s">
        <v>3075</v>
      </c>
      <c r="J822" s="12" t="s">
        <v>3087</v>
      </c>
      <c r="K822" s="12" t="s">
        <v>3977</v>
      </c>
      <c r="L822" s="13" t="s">
        <v>3075</v>
      </c>
    </row>
    <row r="823" spans="1:12" hidden="1" x14ac:dyDescent="0.55000000000000004">
      <c r="A823" s="12" t="s">
        <v>2840</v>
      </c>
      <c r="B823" s="12" t="s">
        <v>4298</v>
      </c>
      <c r="C823" s="12" t="s">
        <v>5227</v>
      </c>
      <c r="D823" s="12" t="s">
        <v>4752</v>
      </c>
      <c r="E823" s="12" t="s">
        <v>2066</v>
      </c>
      <c r="F823" s="12" t="s">
        <v>1362</v>
      </c>
      <c r="G823" s="12" t="s">
        <v>2067</v>
      </c>
      <c r="H823" s="12" t="s">
        <v>4334</v>
      </c>
      <c r="I823" s="12" t="s">
        <v>3075</v>
      </c>
      <c r="J823" s="12" t="s">
        <v>3087</v>
      </c>
      <c r="K823" s="12" t="s">
        <v>3978</v>
      </c>
      <c r="L823" s="13" t="s">
        <v>3075</v>
      </c>
    </row>
    <row r="824" spans="1:12" hidden="1" x14ac:dyDescent="0.55000000000000004">
      <c r="A824" s="12" t="s">
        <v>2840</v>
      </c>
      <c r="B824" s="12" t="s">
        <v>4298</v>
      </c>
      <c r="C824" s="12" t="s">
        <v>5227</v>
      </c>
      <c r="D824" s="12" t="s">
        <v>4752</v>
      </c>
      <c r="E824" s="12" t="s">
        <v>2068</v>
      </c>
      <c r="F824" s="12" t="s">
        <v>2069</v>
      </c>
      <c r="G824" s="12" t="s">
        <v>2070</v>
      </c>
      <c r="H824" s="12" t="s">
        <v>4334</v>
      </c>
      <c r="I824" s="12" t="s">
        <v>3075</v>
      </c>
      <c r="J824" s="12" t="s">
        <v>3087</v>
      </c>
      <c r="K824" s="12" t="s">
        <v>3979</v>
      </c>
      <c r="L824" s="13" t="s">
        <v>3075</v>
      </c>
    </row>
    <row r="825" spans="1:12" hidden="1" x14ac:dyDescent="0.55000000000000004">
      <c r="A825" s="12" t="s">
        <v>2898</v>
      </c>
      <c r="B825" s="12" t="s">
        <v>4374</v>
      </c>
      <c r="C825" s="12" t="s">
        <v>5167</v>
      </c>
      <c r="D825" s="12" t="s">
        <v>4752</v>
      </c>
      <c r="E825" s="12" t="s">
        <v>1269</v>
      </c>
      <c r="F825" s="12" t="s">
        <v>1270</v>
      </c>
      <c r="G825" s="12" t="s">
        <v>1271</v>
      </c>
      <c r="H825" s="12" t="s">
        <v>4408</v>
      </c>
      <c r="I825" s="12" t="s">
        <v>3075</v>
      </c>
      <c r="J825" s="12" t="s">
        <v>3096</v>
      </c>
      <c r="K825" s="12" t="s">
        <v>3687</v>
      </c>
      <c r="L825" s="13" t="s">
        <v>3075</v>
      </c>
    </row>
    <row r="826" spans="1:12" hidden="1" x14ac:dyDescent="0.55000000000000004">
      <c r="A826" s="12" t="s">
        <v>2898</v>
      </c>
      <c r="B826" s="12" t="s">
        <v>4374</v>
      </c>
      <c r="C826" s="12" t="s">
        <v>5167</v>
      </c>
      <c r="D826" s="12" t="s">
        <v>4752</v>
      </c>
      <c r="E826" s="12" t="s">
        <v>1283</v>
      </c>
      <c r="F826" s="12" t="s">
        <v>1284</v>
      </c>
      <c r="G826" s="12" t="s">
        <v>1282</v>
      </c>
      <c r="H826" s="12" t="s">
        <v>4408</v>
      </c>
      <c r="I826" s="12" t="s">
        <v>3059</v>
      </c>
      <c r="J826" s="12" t="s">
        <v>3096</v>
      </c>
      <c r="K826" s="12" t="s">
        <v>3691</v>
      </c>
      <c r="L826" s="13">
        <v>5</v>
      </c>
    </row>
    <row r="827" spans="1:12" hidden="1" x14ac:dyDescent="0.55000000000000004">
      <c r="A827" s="12" t="s">
        <v>2898</v>
      </c>
      <c r="B827" s="12" t="s">
        <v>4374</v>
      </c>
      <c r="C827" s="12" t="s">
        <v>5167</v>
      </c>
      <c r="D827" s="12" t="s">
        <v>4752</v>
      </c>
      <c r="E827" s="12" t="s">
        <v>1285</v>
      </c>
      <c r="F827" s="12" t="s">
        <v>1286</v>
      </c>
      <c r="G827" s="12" t="s">
        <v>341</v>
      </c>
      <c r="H827" s="12" t="s">
        <v>4408</v>
      </c>
      <c r="I827" s="12" t="s">
        <v>3059</v>
      </c>
      <c r="J827" s="12" t="s">
        <v>3096</v>
      </c>
      <c r="K827" s="12" t="s">
        <v>3692</v>
      </c>
      <c r="L827" s="13">
        <v>5</v>
      </c>
    </row>
    <row r="828" spans="1:12" hidden="1" x14ac:dyDescent="0.55000000000000004">
      <c r="A828" s="12" t="s">
        <v>2898</v>
      </c>
      <c r="B828" s="12" t="s">
        <v>4374</v>
      </c>
      <c r="C828" s="12" t="s">
        <v>5167</v>
      </c>
      <c r="D828" s="12" t="s">
        <v>4752</v>
      </c>
      <c r="E828" s="12" t="s">
        <v>1290</v>
      </c>
      <c r="F828" s="12" t="s">
        <v>1291</v>
      </c>
      <c r="G828" s="12" t="s">
        <v>1292</v>
      </c>
      <c r="H828" s="12" t="s">
        <v>4408</v>
      </c>
      <c r="I828" s="12" t="s">
        <v>3059</v>
      </c>
      <c r="J828" s="12" t="s">
        <v>3096</v>
      </c>
      <c r="K828" s="12" t="s">
        <v>3694</v>
      </c>
      <c r="L828" s="13">
        <v>5</v>
      </c>
    </row>
    <row r="829" spans="1:12" hidden="1" x14ac:dyDescent="0.55000000000000004">
      <c r="A829" s="12" t="s">
        <v>3033</v>
      </c>
      <c r="B829" s="12" t="s">
        <v>4486</v>
      </c>
      <c r="C829" s="12" t="s">
        <v>3073</v>
      </c>
      <c r="D829" s="12" t="s">
        <v>4752</v>
      </c>
      <c r="E829" s="12" t="s">
        <v>1769</v>
      </c>
      <c r="F829" s="12" t="s">
        <v>1770</v>
      </c>
      <c r="G829" s="12" t="s">
        <v>1771</v>
      </c>
      <c r="H829" s="12" t="s">
        <v>5228</v>
      </c>
      <c r="I829" s="12" t="s">
        <v>3059</v>
      </c>
      <c r="J829" s="12" t="s">
        <v>1071</v>
      </c>
      <c r="K829" s="12" t="s">
        <v>3868</v>
      </c>
      <c r="L829" s="13">
        <v>4</v>
      </c>
    </row>
    <row r="830" spans="1:12" hidden="1" x14ac:dyDescent="0.55000000000000004">
      <c r="A830" s="12" t="s">
        <v>3033</v>
      </c>
      <c r="B830" s="12" t="s">
        <v>4486</v>
      </c>
      <c r="C830" s="12" t="s">
        <v>3073</v>
      </c>
      <c r="D830" s="12" t="s">
        <v>4752</v>
      </c>
      <c r="E830" s="12" t="s">
        <v>5593</v>
      </c>
      <c r="F830" s="12" t="s">
        <v>2149</v>
      </c>
      <c r="G830" s="12" t="s">
        <v>2150</v>
      </c>
      <c r="H830" s="12" t="s">
        <v>5228</v>
      </c>
      <c r="I830" s="12" t="s">
        <v>3059</v>
      </c>
      <c r="J830" s="12" t="s">
        <v>1071</v>
      </c>
      <c r="K830" s="12" t="s">
        <v>4011</v>
      </c>
      <c r="L830" s="13">
        <v>3</v>
      </c>
    </row>
    <row r="831" spans="1:12" hidden="1" x14ac:dyDescent="0.55000000000000004">
      <c r="A831" s="12" t="s">
        <v>3033</v>
      </c>
      <c r="B831" s="12" t="s">
        <v>4486</v>
      </c>
      <c r="C831" s="12" t="s">
        <v>3073</v>
      </c>
      <c r="D831" s="12" t="s">
        <v>4752</v>
      </c>
      <c r="E831" s="12" t="s">
        <v>1772</v>
      </c>
      <c r="F831" s="12" t="s">
        <v>1773</v>
      </c>
      <c r="G831" s="12" t="s">
        <v>1774</v>
      </c>
      <c r="H831" s="12" t="s">
        <v>5228</v>
      </c>
      <c r="I831" s="12" t="s">
        <v>3059</v>
      </c>
      <c r="J831" s="12" t="s">
        <v>1071</v>
      </c>
      <c r="K831" s="12" t="s">
        <v>3869</v>
      </c>
      <c r="L831" s="13">
        <v>5</v>
      </c>
    </row>
    <row r="832" spans="1:12" hidden="1" x14ac:dyDescent="0.55000000000000004">
      <c r="A832" s="12" t="s">
        <v>3033</v>
      </c>
      <c r="B832" s="12" t="s">
        <v>4486</v>
      </c>
      <c r="C832" s="12" t="s">
        <v>3073</v>
      </c>
      <c r="D832" s="12" t="s">
        <v>4752</v>
      </c>
      <c r="E832" s="12" t="s">
        <v>1775</v>
      </c>
      <c r="F832" s="12" t="s">
        <v>1776</v>
      </c>
      <c r="G832" s="12" t="s">
        <v>1777</v>
      </c>
      <c r="H832" s="12" t="s">
        <v>5228</v>
      </c>
      <c r="I832" s="12" t="s">
        <v>3075</v>
      </c>
      <c r="J832" s="12" t="s">
        <v>1071</v>
      </c>
      <c r="K832" s="12" t="s">
        <v>3870</v>
      </c>
      <c r="L832" s="13" t="s">
        <v>3075</v>
      </c>
    </row>
    <row r="833" spans="1:12" hidden="1" x14ac:dyDescent="0.55000000000000004">
      <c r="A833" s="12" t="s">
        <v>2967</v>
      </c>
      <c r="B833" s="12" t="s">
        <v>4486</v>
      </c>
      <c r="C833" s="12" t="s">
        <v>5229</v>
      </c>
      <c r="D833" s="12" t="s">
        <v>4752</v>
      </c>
      <c r="E833" s="12" t="s">
        <v>1939</v>
      </c>
      <c r="F833" s="12" t="s">
        <v>1524</v>
      </c>
      <c r="G833" s="12" t="s">
        <v>1940</v>
      </c>
      <c r="H833" s="12" t="s">
        <v>5230</v>
      </c>
      <c r="I833" s="12" t="s">
        <v>3059</v>
      </c>
      <c r="J833" s="12" t="s">
        <v>118</v>
      </c>
      <c r="K833" s="12" t="s">
        <v>3929</v>
      </c>
      <c r="L833" s="13">
        <v>5</v>
      </c>
    </row>
    <row r="834" spans="1:12" hidden="1" x14ac:dyDescent="0.55000000000000004">
      <c r="A834" s="12" t="s">
        <v>2967</v>
      </c>
      <c r="B834" s="12" t="s">
        <v>4486</v>
      </c>
      <c r="C834" s="12" t="s">
        <v>5229</v>
      </c>
      <c r="D834" s="12" t="s">
        <v>4752</v>
      </c>
      <c r="E834" s="12" t="s">
        <v>1941</v>
      </c>
      <c r="F834" s="12" t="s">
        <v>1942</v>
      </c>
      <c r="G834" s="12" t="s">
        <v>1943</v>
      </c>
      <c r="H834" s="12" t="s">
        <v>5230</v>
      </c>
      <c r="I834" s="12" t="s">
        <v>3059</v>
      </c>
      <c r="J834" s="12" t="s">
        <v>118</v>
      </c>
      <c r="K834" s="12" t="s">
        <v>3930</v>
      </c>
      <c r="L834" s="13">
        <v>5</v>
      </c>
    </row>
    <row r="835" spans="1:12" hidden="1" x14ac:dyDescent="0.55000000000000004">
      <c r="A835" s="12" t="s">
        <v>2967</v>
      </c>
      <c r="B835" s="12" t="s">
        <v>4486</v>
      </c>
      <c r="C835" s="12" t="s">
        <v>5229</v>
      </c>
      <c r="D835" s="12" t="s">
        <v>4752</v>
      </c>
      <c r="E835" s="12" t="s">
        <v>1944</v>
      </c>
      <c r="F835" s="12" t="s">
        <v>1945</v>
      </c>
      <c r="G835" s="12" t="s">
        <v>1946</v>
      </c>
      <c r="H835" s="12" t="s">
        <v>5230</v>
      </c>
      <c r="I835" s="12" t="s">
        <v>3059</v>
      </c>
      <c r="J835" s="12" t="s">
        <v>118</v>
      </c>
      <c r="K835" s="12" t="s">
        <v>3931</v>
      </c>
      <c r="L835" s="13">
        <v>5</v>
      </c>
    </row>
    <row r="836" spans="1:12" hidden="1" x14ac:dyDescent="0.55000000000000004">
      <c r="A836" s="12" t="s">
        <v>2967</v>
      </c>
      <c r="B836" s="12" t="s">
        <v>4486</v>
      </c>
      <c r="C836" s="12" t="s">
        <v>5229</v>
      </c>
      <c r="D836" s="12" t="s">
        <v>4752</v>
      </c>
      <c r="E836" s="12" t="s">
        <v>1947</v>
      </c>
      <c r="F836" s="12" t="s">
        <v>527</v>
      </c>
      <c r="G836" s="12" t="s">
        <v>1948</v>
      </c>
      <c r="H836" s="12" t="s">
        <v>5230</v>
      </c>
      <c r="I836" s="12" t="s">
        <v>3059</v>
      </c>
      <c r="J836" s="12" t="s">
        <v>118</v>
      </c>
      <c r="K836" s="12" t="s">
        <v>3932</v>
      </c>
      <c r="L836" s="13">
        <v>5</v>
      </c>
    </row>
    <row r="837" spans="1:12" hidden="1" x14ac:dyDescent="0.55000000000000004">
      <c r="A837" s="12" t="s">
        <v>2967</v>
      </c>
      <c r="B837" s="12" t="s">
        <v>4486</v>
      </c>
      <c r="C837" s="12" t="s">
        <v>5229</v>
      </c>
      <c r="D837" s="12" t="s">
        <v>4752</v>
      </c>
      <c r="E837" s="12" t="s">
        <v>1949</v>
      </c>
      <c r="F837" s="12" t="s">
        <v>1950</v>
      </c>
      <c r="G837" s="12" t="s">
        <v>1951</v>
      </c>
      <c r="H837" s="12" t="s">
        <v>5230</v>
      </c>
      <c r="I837" s="12" t="s">
        <v>3059</v>
      </c>
      <c r="J837" s="12" t="s">
        <v>118</v>
      </c>
      <c r="K837" s="12" t="s">
        <v>3933</v>
      </c>
      <c r="L837" s="13">
        <v>5</v>
      </c>
    </row>
    <row r="838" spans="1:12" hidden="1" x14ac:dyDescent="0.55000000000000004">
      <c r="A838" s="12" t="s">
        <v>2967</v>
      </c>
      <c r="B838" s="12" t="s">
        <v>4486</v>
      </c>
      <c r="C838" s="12" t="s">
        <v>5229</v>
      </c>
      <c r="D838" s="12" t="s">
        <v>4752</v>
      </c>
      <c r="E838" s="12" t="s">
        <v>1952</v>
      </c>
      <c r="F838" s="12" t="s">
        <v>589</v>
      </c>
      <c r="G838" s="12" t="s">
        <v>1953</v>
      </c>
      <c r="H838" s="12" t="s">
        <v>5230</v>
      </c>
      <c r="I838" s="12" t="s">
        <v>3059</v>
      </c>
      <c r="J838" s="12" t="s">
        <v>118</v>
      </c>
      <c r="K838" s="12" t="s">
        <v>3934</v>
      </c>
      <c r="L838" s="13">
        <v>5</v>
      </c>
    </row>
    <row r="839" spans="1:12" hidden="1" x14ac:dyDescent="0.55000000000000004">
      <c r="A839" s="12" t="s">
        <v>2890</v>
      </c>
      <c r="B839" s="12" t="s">
        <v>4374</v>
      </c>
      <c r="C839" s="12" t="s">
        <v>5156</v>
      </c>
      <c r="D839" s="12" t="s">
        <v>4752</v>
      </c>
      <c r="E839" s="12" t="s">
        <v>1662</v>
      </c>
      <c r="F839" s="12" t="s">
        <v>1663</v>
      </c>
      <c r="G839" s="12" t="s">
        <v>1664</v>
      </c>
      <c r="H839" s="12" t="s">
        <v>2568</v>
      </c>
      <c r="I839" s="12" t="s">
        <v>3075</v>
      </c>
      <c r="J839" s="12" t="s">
        <v>3094</v>
      </c>
      <c r="K839" s="12" t="s">
        <v>3828</v>
      </c>
      <c r="L839" s="13" t="s">
        <v>3075</v>
      </c>
    </row>
    <row r="840" spans="1:12" hidden="1" x14ac:dyDescent="0.55000000000000004">
      <c r="A840" s="12" t="s">
        <v>2890</v>
      </c>
      <c r="B840" s="12" t="s">
        <v>4374</v>
      </c>
      <c r="C840" s="12" t="s">
        <v>5156</v>
      </c>
      <c r="D840" s="12" t="s">
        <v>4752</v>
      </c>
      <c r="E840" s="12" t="s">
        <v>1665</v>
      </c>
      <c r="F840" s="12" t="s">
        <v>3153</v>
      </c>
      <c r="G840" s="12" t="s">
        <v>1666</v>
      </c>
      <c r="H840" s="12" t="s">
        <v>2568</v>
      </c>
      <c r="I840" s="12" t="s">
        <v>3059</v>
      </c>
      <c r="J840" s="12" t="s">
        <v>3094</v>
      </c>
      <c r="K840" s="12" t="s">
        <v>3829</v>
      </c>
      <c r="L840" s="13">
        <v>3</v>
      </c>
    </row>
    <row r="841" spans="1:12" hidden="1" x14ac:dyDescent="0.55000000000000004">
      <c r="A841" s="12" t="s">
        <v>2890</v>
      </c>
      <c r="B841" s="12" t="s">
        <v>4374</v>
      </c>
      <c r="C841" s="12" t="s">
        <v>5156</v>
      </c>
      <c r="D841" s="12" t="s">
        <v>4752</v>
      </c>
      <c r="E841" s="12" t="s">
        <v>1667</v>
      </c>
      <c r="F841" s="12" t="s">
        <v>1668</v>
      </c>
      <c r="G841" s="12" t="s">
        <v>1669</v>
      </c>
      <c r="H841" s="12" t="s">
        <v>2568</v>
      </c>
      <c r="I841" s="12" t="s">
        <v>3075</v>
      </c>
      <c r="J841" s="12" t="s">
        <v>3094</v>
      </c>
      <c r="K841" s="12" t="s">
        <v>3830</v>
      </c>
      <c r="L841" s="13" t="s">
        <v>3075</v>
      </c>
    </row>
    <row r="842" spans="1:12" hidden="1" x14ac:dyDescent="0.55000000000000004">
      <c r="A842" s="12" t="s">
        <v>2890</v>
      </c>
      <c r="B842" s="12" t="s">
        <v>4374</v>
      </c>
      <c r="C842" s="12" t="s">
        <v>5156</v>
      </c>
      <c r="D842" s="12" t="s">
        <v>4752</v>
      </c>
      <c r="E842" s="12" t="s">
        <v>1670</v>
      </c>
      <c r="F842" s="12" t="s">
        <v>1671</v>
      </c>
      <c r="G842" s="12" t="s">
        <v>1672</v>
      </c>
      <c r="H842" s="12" t="s">
        <v>2568</v>
      </c>
      <c r="I842" s="12" t="s">
        <v>3075</v>
      </c>
      <c r="J842" s="12" t="s">
        <v>3094</v>
      </c>
      <c r="K842" s="12" t="s">
        <v>3831</v>
      </c>
      <c r="L842" s="13" t="s">
        <v>3075</v>
      </c>
    </row>
    <row r="843" spans="1:12" hidden="1" x14ac:dyDescent="0.55000000000000004">
      <c r="A843" s="12" t="s">
        <v>2890</v>
      </c>
      <c r="B843" s="12" t="s">
        <v>4374</v>
      </c>
      <c r="C843" s="12" t="s">
        <v>5156</v>
      </c>
      <c r="D843" s="12" t="s">
        <v>4752</v>
      </c>
      <c r="E843" s="12" t="s">
        <v>1675</v>
      </c>
      <c r="F843" s="12" t="s">
        <v>1071</v>
      </c>
      <c r="G843" s="12" t="s">
        <v>1676</v>
      </c>
      <c r="H843" s="12" t="s">
        <v>2568</v>
      </c>
      <c r="I843" s="12" t="s">
        <v>3059</v>
      </c>
      <c r="J843" s="12" t="s">
        <v>3094</v>
      </c>
      <c r="K843" s="12" t="s">
        <v>3833</v>
      </c>
      <c r="L843" s="13">
        <v>3</v>
      </c>
    </row>
    <row r="844" spans="1:12" hidden="1" x14ac:dyDescent="0.55000000000000004">
      <c r="A844" s="12" t="s">
        <v>2890</v>
      </c>
      <c r="B844" s="12" t="s">
        <v>4374</v>
      </c>
      <c r="C844" s="12" t="s">
        <v>5156</v>
      </c>
      <c r="D844" s="12" t="s">
        <v>4752</v>
      </c>
      <c r="E844" s="12" t="s">
        <v>1677</v>
      </c>
      <c r="F844" s="12" t="s">
        <v>1678</v>
      </c>
      <c r="G844" s="12" t="s">
        <v>1679</v>
      </c>
      <c r="H844" s="12" t="s">
        <v>2568</v>
      </c>
      <c r="I844" s="12" t="s">
        <v>3059</v>
      </c>
      <c r="J844" s="12" t="s">
        <v>3094</v>
      </c>
      <c r="K844" s="12" t="s">
        <v>3834</v>
      </c>
      <c r="L844" s="13">
        <v>3</v>
      </c>
    </row>
    <row r="845" spans="1:12" hidden="1" x14ac:dyDescent="0.55000000000000004">
      <c r="A845" s="12" t="s">
        <v>2890</v>
      </c>
      <c r="B845" s="12" t="s">
        <v>4374</v>
      </c>
      <c r="C845" s="12" t="s">
        <v>5156</v>
      </c>
      <c r="D845" s="12" t="s">
        <v>4752</v>
      </c>
      <c r="E845" s="12" t="s">
        <v>5959</v>
      </c>
      <c r="F845" s="12" t="s">
        <v>5960</v>
      </c>
      <c r="G845" s="12" t="s">
        <v>5961</v>
      </c>
      <c r="H845" s="12" t="s">
        <v>2568</v>
      </c>
      <c r="I845" s="12" t="s">
        <v>3075</v>
      </c>
      <c r="J845" s="12" t="s">
        <v>3094</v>
      </c>
      <c r="K845" s="12" t="s">
        <v>5962</v>
      </c>
      <c r="L845" s="13" t="s">
        <v>3075</v>
      </c>
    </row>
    <row r="846" spans="1:12" hidden="1" x14ac:dyDescent="0.55000000000000004">
      <c r="A846" s="12" t="s">
        <v>2890</v>
      </c>
      <c r="B846" s="12" t="s">
        <v>4374</v>
      </c>
      <c r="C846" s="12" t="s">
        <v>5156</v>
      </c>
      <c r="D846" s="12" t="s">
        <v>4752</v>
      </c>
      <c r="E846" s="12" t="s">
        <v>5963</v>
      </c>
      <c r="F846" s="12" t="s">
        <v>3127</v>
      </c>
      <c r="G846" s="12" t="s">
        <v>5964</v>
      </c>
      <c r="H846" s="12" t="s">
        <v>2568</v>
      </c>
      <c r="I846" s="12" t="s">
        <v>3075</v>
      </c>
      <c r="J846" s="12" t="s">
        <v>3094</v>
      </c>
      <c r="K846" s="12" t="s">
        <v>5965</v>
      </c>
      <c r="L846" s="13" t="s">
        <v>3075</v>
      </c>
    </row>
    <row r="847" spans="1:12" hidden="1" x14ac:dyDescent="0.55000000000000004">
      <c r="A847" s="12" t="s">
        <v>2890</v>
      </c>
      <c r="B847" s="12" t="s">
        <v>4374</v>
      </c>
      <c r="C847" s="12" t="s">
        <v>5156</v>
      </c>
      <c r="D847" s="12" t="s">
        <v>4752</v>
      </c>
      <c r="E847" s="12" t="s">
        <v>5966</v>
      </c>
      <c r="F847" s="12" t="s">
        <v>5967</v>
      </c>
      <c r="G847" s="12" t="s">
        <v>5968</v>
      </c>
      <c r="H847" s="12" t="s">
        <v>2568</v>
      </c>
      <c r="I847" s="12" t="s">
        <v>3075</v>
      </c>
      <c r="J847" s="12" t="s">
        <v>3094</v>
      </c>
      <c r="K847" s="12" t="s">
        <v>5969</v>
      </c>
      <c r="L847" s="13" t="s">
        <v>3075</v>
      </c>
    </row>
    <row r="848" spans="1:12" hidden="1" x14ac:dyDescent="0.55000000000000004">
      <c r="A848" s="12" t="s">
        <v>2936</v>
      </c>
      <c r="B848" s="12" t="s">
        <v>4442</v>
      </c>
      <c r="C848" s="12" t="s">
        <v>5231</v>
      </c>
      <c r="D848" s="12" t="s">
        <v>4752</v>
      </c>
      <c r="E848" s="12" t="s">
        <v>2517</v>
      </c>
      <c r="F848" s="12" t="s">
        <v>1591</v>
      </c>
      <c r="G848" s="12" t="s">
        <v>2451</v>
      </c>
      <c r="H848" s="12" t="s">
        <v>4455</v>
      </c>
      <c r="I848" s="12" t="s">
        <v>3059</v>
      </c>
      <c r="J848" s="12" t="s">
        <v>3084</v>
      </c>
      <c r="K848" s="12" t="s">
        <v>4082</v>
      </c>
      <c r="L848" s="13">
        <v>3</v>
      </c>
    </row>
    <row r="849" spans="1:12" hidden="1" x14ac:dyDescent="0.55000000000000004">
      <c r="A849" s="12" t="s">
        <v>2936</v>
      </c>
      <c r="B849" s="12" t="s">
        <v>4442</v>
      </c>
      <c r="C849" s="12" t="s">
        <v>5231</v>
      </c>
      <c r="D849" s="12" t="s">
        <v>4752</v>
      </c>
      <c r="E849" s="12" t="s">
        <v>2520</v>
      </c>
      <c r="F849" s="12" t="s">
        <v>779</v>
      </c>
      <c r="G849" s="12" t="s">
        <v>2521</v>
      </c>
      <c r="H849" s="12" t="s">
        <v>4455</v>
      </c>
      <c r="I849" s="12" t="s">
        <v>3075</v>
      </c>
      <c r="J849" s="12" t="s">
        <v>3084</v>
      </c>
      <c r="K849" s="12" t="s">
        <v>4084</v>
      </c>
      <c r="L849" s="13" t="s">
        <v>3075</v>
      </c>
    </row>
    <row r="850" spans="1:12" hidden="1" x14ac:dyDescent="0.55000000000000004">
      <c r="A850" s="12" t="s">
        <v>2936</v>
      </c>
      <c r="B850" s="12" t="s">
        <v>4442</v>
      </c>
      <c r="C850" s="12" t="s">
        <v>5231</v>
      </c>
      <c r="D850" s="12" t="s">
        <v>4752</v>
      </c>
      <c r="E850" s="12" t="s">
        <v>5232</v>
      </c>
      <c r="F850" s="12" t="s">
        <v>5233</v>
      </c>
      <c r="G850" s="12" t="s">
        <v>5234</v>
      </c>
      <c r="H850" s="12" t="s">
        <v>4455</v>
      </c>
      <c r="I850" s="12" t="s">
        <v>3059</v>
      </c>
      <c r="J850" s="12" t="s">
        <v>3084</v>
      </c>
      <c r="K850" s="12" t="s">
        <v>5235</v>
      </c>
      <c r="L850" s="13">
        <v>3</v>
      </c>
    </row>
    <row r="851" spans="1:12" hidden="1" x14ac:dyDescent="0.55000000000000004">
      <c r="A851" s="12" t="s">
        <v>2936</v>
      </c>
      <c r="B851" s="12" t="s">
        <v>4442</v>
      </c>
      <c r="C851" s="12" t="s">
        <v>5231</v>
      </c>
      <c r="D851" s="12" t="s">
        <v>4752</v>
      </c>
      <c r="E851" s="12" t="s">
        <v>2522</v>
      </c>
      <c r="F851" s="12" t="s">
        <v>2523</v>
      </c>
      <c r="G851" s="12" t="s">
        <v>2524</v>
      </c>
      <c r="H851" s="12" t="s">
        <v>4455</v>
      </c>
      <c r="I851" s="12" t="s">
        <v>3059</v>
      </c>
      <c r="J851" s="12" t="s">
        <v>3084</v>
      </c>
      <c r="K851" s="12" t="s">
        <v>4085</v>
      </c>
      <c r="L851" s="13">
        <v>3</v>
      </c>
    </row>
    <row r="852" spans="1:12" hidden="1" x14ac:dyDescent="0.55000000000000004">
      <c r="A852" s="12" t="s">
        <v>2936</v>
      </c>
      <c r="B852" s="12" t="s">
        <v>4442</v>
      </c>
      <c r="C852" s="12" t="s">
        <v>5231</v>
      </c>
      <c r="D852" s="12" t="s">
        <v>4752</v>
      </c>
      <c r="E852" s="12" t="s">
        <v>5236</v>
      </c>
      <c r="F852" s="12" t="s">
        <v>1700</v>
      </c>
      <c r="G852" s="12" t="s">
        <v>2519</v>
      </c>
      <c r="H852" s="12" t="s">
        <v>4455</v>
      </c>
      <c r="I852" s="12" t="s">
        <v>3059</v>
      </c>
      <c r="J852" s="12" t="s">
        <v>3084</v>
      </c>
      <c r="K852" s="12" t="s">
        <v>5237</v>
      </c>
      <c r="L852" s="13">
        <v>3</v>
      </c>
    </row>
    <row r="853" spans="1:12" hidden="1" x14ac:dyDescent="0.55000000000000004">
      <c r="A853" s="12" t="s">
        <v>2936</v>
      </c>
      <c r="B853" s="12" t="s">
        <v>4442</v>
      </c>
      <c r="C853" s="12" t="s">
        <v>5231</v>
      </c>
      <c r="D853" s="12" t="s">
        <v>4752</v>
      </c>
      <c r="E853" s="12" t="s">
        <v>2525</v>
      </c>
      <c r="F853" s="12" t="s">
        <v>3161</v>
      </c>
      <c r="G853" s="12" t="s">
        <v>2526</v>
      </c>
      <c r="H853" s="12" t="s">
        <v>4455</v>
      </c>
      <c r="I853" s="12" t="s">
        <v>3059</v>
      </c>
      <c r="J853" s="12" t="s">
        <v>3084</v>
      </c>
      <c r="K853" s="12" t="s">
        <v>4086</v>
      </c>
      <c r="L853" s="13">
        <v>7</v>
      </c>
    </row>
    <row r="854" spans="1:12" hidden="1" x14ac:dyDescent="0.55000000000000004">
      <c r="A854" s="12" t="s">
        <v>2936</v>
      </c>
      <c r="B854" s="12" t="s">
        <v>4442</v>
      </c>
      <c r="C854" s="12" t="s">
        <v>5231</v>
      </c>
      <c r="D854" s="12" t="s">
        <v>4752</v>
      </c>
      <c r="E854" s="12" t="s">
        <v>2528</v>
      </c>
      <c r="F854" s="12" t="s">
        <v>2529</v>
      </c>
      <c r="G854" s="12" t="s">
        <v>2530</v>
      </c>
      <c r="H854" s="12" t="s">
        <v>4455</v>
      </c>
      <c r="I854" s="12" t="s">
        <v>3059</v>
      </c>
      <c r="J854" s="12" t="s">
        <v>3084</v>
      </c>
      <c r="K854" s="12" t="s">
        <v>4088</v>
      </c>
      <c r="L854" s="13">
        <v>7</v>
      </c>
    </row>
    <row r="855" spans="1:12" hidden="1" x14ac:dyDescent="0.55000000000000004">
      <c r="A855" s="12" t="s">
        <v>2936</v>
      </c>
      <c r="B855" s="12" t="s">
        <v>4442</v>
      </c>
      <c r="C855" s="12" t="s">
        <v>5231</v>
      </c>
      <c r="D855" s="12" t="s">
        <v>4752</v>
      </c>
      <c r="E855" s="12" t="s">
        <v>2531</v>
      </c>
      <c r="F855" s="12" t="s">
        <v>2532</v>
      </c>
      <c r="G855" s="12" t="s">
        <v>2533</v>
      </c>
      <c r="H855" s="12" t="s">
        <v>4455</v>
      </c>
      <c r="I855" s="12" t="s">
        <v>3059</v>
      </c>
      <c r="J855" s="12" t="s">
        <v>3084</v>
      </c>
      <c r="K855" s="12" t="s">
        <v>4089</v>
      </c>
      <c r="L855" s="13">
        <v>7</v>
      </c>
    </row>
    <row r="856" spans="1:12" hidden="1" x14ac:dyDescent="0.55000000000000004">
      <c r="A856" s="12" t="s">
        <v>2936</v>
      </c>
      <c r="B856" s="12" t="s">
        <v>4442</v>
      </c>
      <c r="C856" s="12" t="s">
        <v>5231</v>
      </c>
      <c r="D856" s="12" t="s">
        <v>4752</v>
      </c>
      <c r="E856" s="12" t="s">
        <v>2534</v>
      </c>
      <c r="F856" s="12" t="s">
        <v>2535</v>
      </c>
      <c r="G856" s="12" t="s">
        <v>2519</v>
      </c>
      <c r="H856" s="12" t="s">
        <v>4455</v>
      </c>
      <c r="I856" s="12" t="s">
        <v>3059</v>
      </c>
      <c r="J856" s="12" t="s">
        <v>3084</v>
      </c>
      <c r="K856" s="12" t="s">
        <v>4090</v>
      </c>
      <c r="L856" s="13">
        <v>8</v>
      </c>
    </row>
    <row r="857" spans="1:12" hidden="1" x14ac:dyDescent="0.55000000000000004">
      <c r="A857" s="12" t="s">
        <v>2936</v>
      </c>
      <c r="B857" s="12" t="s">
        <v>4442</v>
      </c>
      <c r="C857" s="12" t="s">
        <v>5231</v>
      </c>
      <c r="D857" s="12" t="s">
        <v>4752</v>
      </c>
      <c r="E857" s="12" t="s">
        <v>2536</v>
      </c>
      <c r="F857" s="12" t="s">
        <v>751</v>
      </c>
      <c r="G857" s="12" t="s">
        <v>2537</v>
      </c>
      <c r="H857" s="12" t="s">
        <v>4455</v>
      </c>
      <c r="I857" s="12" t="s">
        <v>3059</v>
      </c>
      <c r="J857" s="12" t="s">
        <v>3084</v>
      </c>
      <c r="K857" s="12" t="s">
        <v>4091</v>
      </c>
      <c r="L857" s="13">
        <v>7</v>
      </c>
    </row>
    <row r="858" spans="1:12" hidden="1" x14ac:dyDescent="0.55000000000000004">
      <c r="A858" s="12" t="s">
        <v>2936</v>
      </c>
      <c r="B858" s="12" t="s">
        <v>4442</v>
      </c>
      <c r="C858" s="12" t="s">
        <v>5231</v>
      </c>
      <c r="D858" s="12" t="s">
        <v>4752</v>
      </c>
      <c r="E858" s="12" t="s">
        <v>2538</v>
      </c>
      <c r="F858" s="12" t="s">
        <v>2539</v>
      </c>
      <c r="G858" s="12" t="s">
        <v>2540</v>
      </c>
      <c r="H858" s="12" t="s">
        <v>4455</v>
      </c>
      <c r="I858" s="12" t="s">
        <v>3059</v>
      </c>
      <c r="J858" s="12" t="s">
        <v>3084</v>
      </c>
      <c r="K858" s="12" t="s">
        <v>4092</v>
      </c>
      <c r="L858" s="13">
        <v>8</v>
      </c>
    </row>
    <row r="859" spans="1:12" hidden="1" x14ac:dyDescent="0.55000000000000004">
      <c r="A859" s="12" t="s">
        <v>2936</v>
      </c>
      <c r="B859" s="12" t="s">
        <v>4442</v>
      </c>
      <c r="C859" s="12" t="s">
        <v>5231</v>
      </c>
      <c r="D859" s="12" t="s">
        <v>4752</v>
      </c>
      <c r="E859" s="12" t="s">
        <v>2541</v>
      </c>
      <c r="F859" s="12" t="s">
        <v>870</v>
      </c>
      <c r="G859" s="12" t="s">
        <v>536</v>
      </c>
      <c r="H859" s="12" t="s">
        <v>4455</v>
      </c>
      <c r="I859" s="12" t="s">
        <v>3059</v>
      </c>
      <c r="J859" s="12" t="s">
        <v>3084</v>
      </c>
      <c r="K859" s="12" t="s">
        <v>4093</v>
      </c>
      <c r="L859" s="13">
        <v>7</v>
      </c>
    </row>
    <row r="860" spans="1:12" hidden="1" x14ac:dyDescent="0.55000000000000004">
      <c r="A860" s="12" t="s">
        <v>2936</v>
      </c>
      <c r="B860" s="12" t="s">
        <v>4442</v>
      </c>
      <c r="C860" s="12" t="s">
        <v>5231</v>
      </c>
      <c r="D860" s="12" t="s">
        <v>4752</v>
      </c>
      <c r="E860" s="12" t="s">
        <v>2542</v>
      </c>
      <c r="F860" s="12" t="s">
        <v>2543</v>
      </c>
      <c r="G860" s="12" t="s">
        <v>2544</v>
      </c>
      <c r="H860" s="12" t="s">
        <v>4455</v>
      </c>
      <c r="I860" s="12" t="s">
        <v>3059</v>
      </c>
      <c r="J860" s="12" t="s">
        <v>3084</v>
      </c>
      <c r="K860" s="12" t="s">
        <v>4094</v>
      </c>
      <c r="L860" s="13">
        <v>8</v>
      </c>
    </row>
    <row r="861" spans="1:12" hidden="1" x14ac:dyDescent="0.55000000000000004">
      <c r="A861" s="12" t="s">
        <v>2936</v>
      </c>
      <c r="B861" s="12" t="s">
        <v>4442</v>
      </c>
      <c r="C861" s="12" t="s">
        <v>5231</v>
      </c>
      <c r="D861" s="12" t="s">
        <v>4752</v>
      </c>
      <c r="E861" s="12" t="s">
        <v>2545</v>
      </c>
      <c r="F861" s="12" t="s">
        <v>826</v>
      </c>
      <c r="G861" s="12" t="s">
        <v>2546</v>
      </c>
      <c r="H861" s="12" t="s">
        <v>4455</v>
      </c>
      <c r="I861" s="12" t="s">
        <v>3059</v>
      </c>
      <c r="J861" s="12" t="s">
        <v>3084</v>
      </c>
      <c r="K861" s="12" t="s">
        <v>4095</v>
      </c>
      <c r="L861" s="13">
        <v>8</v>
      </c>
    </row>
    <row r="862" spans="1:12" hidden="1" x14ac:dyDescent="0.55000000000000004">
      <c r="A862" s="12" t="s">
        <v>2936</v>
      </c>
      <c r="B862" s="12" t="s">
        <v>4442</v>
      </c>
      <c r="C862" s="12" t="s">
        <v>5231</v>
      </c>
      <c r="D862" s="12" t="s">
        <v>4752</v>
      </c>
      <c r="E862" s="12" t="s">
        <v>4708</v>
      </c>
      <c r="F862" s="12" t="s">
        <v>4709</v>
      </c>
      <c r="G862" s="12" t="s">
        <v>4710</v>
      </c>
      <c r="H862" s="12" t="s">
        <v>4455</v>
      </c>
      <c r="I862" s="12" t="s">
        <v>3059</v>
      </c>
      <c r="J862" s="12" t="s">
        <v>3084</v>
      </c>
      <c r="K862" s="12" t="s">
        <v>4711</v>
      </c>
      <c r="L862" s="13">
        <v>6</v>
      </c>
    </row>
    <row r="863" spans="1:12" hidden="1" x14ac:dyDescent="0.55000000000000004">
      <c r="A863" s="12" t="s">
        <v>2936</v>
      </c>
      <c r="B863" s="12" t="s">
        <v>4442</v>
      </c>
      <c r="C863" s="12" t="s">
        <v>5231</v>
      </c>
      <c r="D863" s="12" t="s">
        <v>4752</v>
      </c>
      <c r="E863" s="12" t="s">
        <v>5970</v>
      </c>
      <c r="F863" s="12" t="s">
        <v>1965</v>
      </c>
      <c r="G863" s="12" t="s">
        <v>73</v>
      </c>
      <c r="H863" s="12" t="s">
        <v>4455</v>
      </c>
      <c r="I863" s="12" t="s">
        <v>3075</v>
      </c>
      <c r="J863" s="12" t="s">
        <v>3084</v>
      </c>
      <c r="K863" s="12" t="s">
        <v>5971</v>
      </c>
      <c r="L863" s="13" t="s">
        <v>3075</v>
      </c>
    </row>
    <row r="864" spans="1:12" hidden="1" x14ac:dyDescent="0.55000000000000004">
      <c r="A864" s="12" t="s">
        <v>2936</v>
      </c>
      <c r="B864" s="12" t="s">
        <v>4442</v>
      </c>
      <c r="C864" s="12" t="s">
        <v>5231</v>
      </c>
      <c r="D864" s="12" t="s">
        <v>4752</v>
      </c>
      <c r="E864" s="12" t="s">
        <v>5972</v>
      </c>
      <c r="F864" s="12" t="s">
        <v>5973</v>
      </c>
      <c r="G864" s="12" t="s">
        <v>5974</v>
      </c>
      <c r="H864" s="12" t="s">
        <v>4455</v>
      </c>
      <c r="I864" s="12" t="s">
        <v>3059</v>
      </c>
      <c r="J864" s="12" t="s">
        <v>3084</v>
      </c>
      <c r="K864" s="12" t="s">
        <v>5975</v>
      </c>
      <c r="L864" s="13">
        <v>8</v>
      </c>
    </row>
    <row r="865" spans="1:12" hidden="1" x14ac:dyDescent="0.55000000000000004">
      <c r="A865" s="12" t="s">
        <v>3004</v>
      </c>
      <c r="B865" s="12" t="s">
        <v>4486</v>
      </c>
      <c r="C865" s="12" t="s">
        <v>5238</v>
      </c>
      <c r="D865" s="12" t="s">
        <v>4752</v>
      </c>
      <c r="E865" s="12" t="s">
        <v>1830</v>
      </c>
      <c r="F865" s="12" t="s">
        <v>1831</v>
      </c>
      <c r="G865" s="12" t="s">
        <v>1832</v>
      </c>
      <c r="H865" s="12" t="s">
        <v>5239</v>
      </c>
      <c r="I865" s="12" t="s">
        <v>3059</v>
      </c>
      <c r="J865" s="12" t="s">
        <v>1222</v>
      </c>
      <c r="K865" s="12" t="s">
        <v>3892</v>
      </c>
      <c r="L865" s="13">
        <v>5</v>
      </c>
    </row>
    <row r="866" spans="1:12" hidden="1" x14ac:dyDescent="0.55000000000000004">
      <c r="A866" s="12" t="s">
        <v>3004</v>
      </c>
      <c r="B866" s="12" t="s">
        <v>4486</v>
      </c>
      <c r="C866" s="12" t="s">
        <v>5238</v>
      </c>
      <c r="D866" s="12" t="s">
        <v>4752</v>
      </c>
      <c r="E866" s="12" t="s">
        <v>1833</v>
      </c>
      <c r="F866" s="12" t="s">
        <v>1068</v>
      </c>
      <c r="G866" s="12" t="s">
        <v>1834</v>
      </c>
      <c r="H866" s="12" t="s">
        <v>5239</v>
      </c>
      <c r="I866" s="12" t="s">
        <v>3059</v>
      </c>
      <c r="J866" s="12" t="s">
        <v>1222</v>
      </c>
      <c r="K866" s="12" t="s">
        <v>3893</v>
      </c>
      <c r="L866" s="13">
        <v>5</v>
      </c>
    </row>
    <row r="867" spans="1:12" hidden="1" x14ac:dyDescent="0.55000000000000004">
      <c r="A867" s="12" t="s">
        <v>3004</v>
      </c>
      <c r="B867" s="12" t="s">
        <v>4486</v>
      </c>
      <c r="C867" s="12" t="s">
        <v>5238</v>
      </c>
      <c r="D867" s="12" t="s">
        <v>4752</v>
      </c>
      <c r="E867" s="12" t="s">
        <v>3174</v>
      </c>
      <c r="F867" s="12" t="s">
        <v>2131</v>
      </c>
      <c r="G867" s="12" t="s">
        <v>3173</v>
      </c>
      <c r="H867" s="12" t="s">
        <v>5239</v>
      </c>
      <c r="I867" s="12" t="s">
        <v>3059</v>
      </c>
      <c r="J867" s="12" t="s">
        <v>1222</v>
      </c>
      <c r="K867" s="12" t="s">
        <v>4269</v>
      </c>
      <c r="L867" s="13">
        <v>5</v>
      </c>
    </row>
    <row r="868" spans="1:12" hidden="1" x14ac:dyDescent="0.55000000000000004">
      <c r="A868" s="12" t="s">
        <v>3040</v>
      </c>
      <c r="B868" s="12" t="s">
        <v>4486</v>
      </c>
      <c r="C868" s="12" t="s">
        <v>5240</v>
      </c>
      <c r="D868" s="12" t="s">
        <v>4752</v>
      </c>
      <c r="E868" s="12" t="s">
        <v>2215</v>
      </c>
      <c r="F868" s="12" t="s">
        <v>2216</v>
      </c>
      <c r="G868" s="12" t="s">
        <v>2217</v>
      </c>
      <c r="H868" s="12" t="s">
        <v>5241</v>
      </c>
      <c r="I868" s="12" t="s">
        <v>3075</v>
      </c>
      <c r="J868" s="12" t="s">
        <v>545</v>
      </c>
      <c r="K868" s="12" t="s">
        <v>4035</v>
      </c>
      <c r="L868" s="13" t="s">
        <v>3075</v>
      </c>
    </row>
    <row r="869" spans="1:12" hidden="1" x14ac:dyDescent="0.55000000000000004">
      <c r="A869" s="12" t="s">
        <v>3040</v>
      </c>
      <c r="B869" s="12" t="s">
        <v>4486</v>
      </c>
      <c r="C869" s="12" t="s">
        <v>5240</v>
      </c>
      <c r="D869" s="12" t="s">
        <v>4752</v>
      </c>
      <c r="E869" s="12" t="s">
        <v>2218</v>
      </c>
      <c r="F869" s="12" t="s">
        <v>2219</v>
      </c>
      <c r="G869" s="12" t="s">
        <v>2220</v>
      </c>
      <c r="H869" s="12" t="s">
        <v>5241</v>
      </c>
      <c r="I869" s="12" t="s">
        <v>3075</v>
      </c>
      <c r="J869" s="12" t="s">
        <v>545</v>
      </c>
      <c r="K869" s="12" t="s">
        <v>4036</v>
      </c>
      <c r="L869" s="13" t="s">
        <v>3075</v>
      </c>
    </row>
    <row r="870" spans="1:12" hidden="1" x14ac:dyDescent="0.55000000000000004">
      <c r="A870" s="12" t="s">
        <v>3040</v>
      </c>
      <c r="B870" s="12" t="s">
        <v>4486</v>
      </c>
      <c r="C870" s="12" t="s">
        <v>5240</v>
      </c>
      <c r="D870" s="12" t="s">
        <v>4752</v>
      </c>
      <c r="E870" s="12" t="s">
        <v>3234</v>
      </c>
      <c r="F870" s="12" t="s">
        <v>3235</v>
      </c>
      <c r="G870" s="12" t="s">
        <v>2221</v>
      </c>
      <c r="H870" s="12" t="s">
        <v>5241</v>
      </c>
      <c r="I870" s="12" t="s">
        <v>3075</v>
      </c>
      <c r="J870" s="12" t="s">
        <v>545</v>
      </c>
      <c r="K870" s="12" t="s">
        <v>4285</v>
      </c>
      <c r="L870" s="13" t="s">
        <v>3075</v>
      </c>
    </row>
    <row r="871" spans="1:12" hidden="1" x14ac:dyDescent="0.55000000000000004">
      <c r="A871" s="12" t="s">
        <v>3040</v>
      </c>
      <c r="B871" s="12" t="s">
        <v>4486</v>
      </c>
      <c r="C871" s="12" t="s">
        <v>5240</v>
      </c>
      <c r="D871" s="12" t="s">
        <v>4752</v>
      </c>
      <c r="E871" s="12" t="s">
        <v>5976</v>
      </c>
      <c r="F871" s="12" t="s">
        <v>476</v>
      </c>
      <c r="G871" s="12" t="s">
        <v>5977</v>
      </c>
      <c r="H871" s="12" t="s">
        <v>5241</v>
      </c>
      <c r="I871" s="12" t="s">
        <v>3075</v>
      </c>
      <c r="J871" s="12" t="s">
        <v>545</v>
      </c>
      <c r="K871" s="12" t="s">
        <v>5978</v>
      </c>
      <c r="L871" s="13" t="s">
        <v>3075</v>
      </c>
    </row>
    <row r="872" spans="1:12" hidden="1" x14ac:dyDescent="0.55000000000000004">
      <c r="A872" s="12" t="s">
        <v>3040</v>
      </c>
      <c r="B872" s="12" t="s">
        <v>4486</v>
      </c>
      <c r="C872" s="12" t="s">
        <v>5240</v>
      </c>
      <c r="D872" s="12" t="s">
        <v>4752</v>
      </c>
      <c r="E872" s="12" t="s">
        <v>5979</v>
      </c>
      <c r="F872" s="12" t="s">
        <v>5980</v>
      </c>
      <c r="G872" s="12" t="s">
        <v>5981</v>
      </c>
      <c r="H872" s="12" t="s">
        <v>5241</v>
      </c>
      <c r="I872" s="12" t="s">
        <v>3075</v>
      </c>
      <c r="J872" s="12" t="s">
        <v>545</v>
      </c>
      <c r="K872" s="12" t="s">
        <v>5982</v>
      </c>
      <c r="L872" s="13" t="s">
        <v>3075</v>
      </c>
    </row>
    <row r="873" spans="1:12" hidden="1" x14ac:dyDescent="0.55000000000000004">
      <c r="A873" s="12" t="s">
        <v>3040</v>
      </c>
      <c r="B873" s="12" t="s">
        <v>4486</v>
      </c>
      <c r="C873" s="12" t="s">
        <v>5240</v>
      </c>
      <c r="D873" s="12" t="s">
        <v>4752</v>
      </c>
      <c r="E873" s="12" t="s">
        <v>5983</v>
      </c>
      <c r="F873" s="12" t="s">
        <v>5984</v>
      </c>
      <c r="G873" s="12" t="s">
        <v>2221</v>
      </c>
      <c r="H873" s="12" t="s">
        <v>5241</v>
      </c>
      <c r="I873" s="12" t="s">
        <v>3075</v>
      </c>
      <c r="J873" s="12" t="s">
        <v>545</v>
      </c>
      <c r="K873" s="12" t="s">
        <v>5985</v>
      </c>
      <c r="L873" s="13" t="s">
        <v>3075</v>
      </c>
    </row>
    <row r="874" spans="1:12" hidden="1" x14ac:dyDescent="0.55000000000000004">
      <c r="A874" s="12" t="s">
        <v>3040</v>
      </c>
      <c r="B874" s="12" t="s">
        <v>4486</v>
      </c>
      <c r="C874" s="12" t="s">
        <v>5240</v>
      </c>
      <c r="D874" s="12" t="s">
        <v>4752</v>
      </c>
      <c r="E874" s="12" t="s">
        <v>5986</v>
      </c>
      <c r="F874" s="12" t="s">
        <v>5987</v>
      </c>
      <c r="G874" s="12" t="s">
        <v>791</v>
      </c>
      <c r="H874" s="12" t="s">
        <v>5241</v>
      </c>
      <c r="I874" s="12" t="s">
        <v>3075</v>
      </c>
      <c r="J874" s="12" t="s">
        <v>545</v>
      </c>
      <c r="K874" s="12" t="s">
        <v>5988</v>
      </c>
      <c r="L874" s="13" t="s">
        <v>3075</v>
      </c>
    </row>
    <row r="875" spans="1:12" hidden="1" x14ac:dyDescent="0.55000000000000004">
      <c r="A875" s="12" t="s">
        <v>3040</v>
      </c>
      <c r="B875" s="12" t="s">
        <v>4486</v>
      </c>
      <c r="C875" s="12" t="s">
        <v>5240</v>
      </c>
      <c r="D875" s="12" t="s">
        <v>4752</v>
      </c>
      <c r="E875" s="12" t="s">
        <v>5989</v>
      </c>
      <c r="F875" s="12" t="s">
        <v>1139</v>
      </c>
      <c r="G875" s="12" t="s">
        <v>5990</v>
      </c>
      <c r="H875" s="12" t="s">
        <v>5241</v>
      </c>
      <c r="I875" s="12" t="s">
        <v>3075</v>
      </c>
      <c r="J875" s="12" t="s">
        <v>545</v>
      </c>
      <c r="K875" s="12" t="s">
        <v>5991</v>
      </c>
      <c r="L875" s="13" t="s">
        <v>3075</v>
      </c>
    </row>
    <row r="876" spans="1:12" hidden="1" x14ac:dyDescent="0.55000000000000004">
      <c r="A876" s="12" t="s">
        <v>3040</v>
      </c>
      <c r="B876" s="12" t="s">
        <v>4486</v>
      </c>
      <c r="C876" s="12" t="s">
        <v>5240</v>
      </c>
      <c r="D876" s="12" t="s">
        <v>4752</v>
      </c>
      <c r="E876" s="12" t="s">
        <v>5992</v>
      </c>
      <c r="F876" s="12" t="s">
        <v>2222</v>
      </c>
      <c r="G876" s="12" t="s">
        <v>5993</v>
      </c>
      <c r="H876" s="12" t="s">
        <v>5241</v>
      </c>
      <c r="I876" s="12" t="s">
        <v>3075</v>
      </c>
      <c r="J876" s="12" t="s">
        <v>545</v>
      </c>
      <c r="K876" s="12" t="s">
        <v>5994</v>
      </c>
      <c r="L876" s="13" t="s">
        <v>3075</v>
      </c>
    </row>
    <row r="877" spans="1:12" hidden="1" x14ac:dyDescent="0.55000000000000004">
      <c r="A877" s="12" t="s">
        <v>3040</v>
      </c>
      <c r="B877" s="12" t="s">
        <v>4486</v>
      </c>
      <c r="C877" s="12" t="s">
        <v>5240</v>
      </c>
      <c r="D877" s="12" t="s">
        <v>4752</v>
      </c>
      <c r="E877" s="12" t="s">
        <v>5995</v>
      </c>
      <c r="F877" s="12" t="s">
        <v>1332</v>
      </c>
      <c r="G877" s="12" t="s">
        <v>5996</v>
      </c>
      <c r="H877" s="12" t="s">
        <v>5241</v>
      </c>
      <c r="I877" s="12" t="s">
        <v>3075</v>
      </c>
      <c r="J877" s="12" t="s">
        <v>545</v>
      </c>
      <c r="K877" s="12" t="s">
        <v>5997</v>
      </c>
      <c r="L877" s="13" t="s">
        <v>3075</v>
      </c>
    </row>
    <row r="878" spans="1:12" hidden="1" x14ac:dyDescent="0.55000000000000004">
      <c r="A878" s="12" t="s">
        <v>3040</v>
      </c>
      <c r="B878" s="12" t="s">
        <v>4486</v>
      </c>
      <c r="C878" s="12" t="s">
        <v>5240</v>
      </c>
      <c r="D878" s="12" t="s">
        <v>4752</v>
      </c>
      <c r="E878" s="12" t="s">
        <v>5998</v>
      </c>
      <c r="F878" s="12" t="s">
        <v>5832</v>
      </c>
      <c r="G878" s="12" t="s">
        <v>5999</v>
      </c>
      <c r="H878" s="12" t="s">
        <v>5241</v>
      </c>
      <c r="I878" s="12" t="s">
        <v>3075</v>
      </c>
      <c r="J878" s="12" t="s">
        <v>545</v>
      </c>
      <c r="K878" s="12" t="s">
        <v>6000</v>
      </c>
      <c r="L878" s="13" t="s">
        <v>3075</v>
      </c>
    </row>
    <row r="879" spans="1:12" hidden="1" x14ac:dyDescent="0.55000000000000004">
      <c r="A879" s="12" t="s">
        <v>2920</v>
      </c>
      <c r="B879" s="12" t="s">
        <v>4422</v>
      </c>
      <c r="C879" s="12" t="s">
        <v>5242</v>
      </c>
      <c r="D879" s="12" t="s">
        <v>4752</v>
      </c>
      <c r="E879" s="12" t="s">
        <v>2133</v>
      </c>
      <c r="F879" s="12" t="s">
        <v>286</v>
      </c>
      <c r="G879" s="12" t="s">
        <v>2134</v>
      </c>
      <c r="H879" s="12" t="s">
        <v>4437</v>
      </c>
      <c r="I879" s="12" t="s">
        <v>3059</v>
      </c>
      <c r="J879" s="12" t="s">
        <v>338</v>
      </c>
      <c r="K879" s="12" t="s">
        <v>4003</v>
      </c>
      <c r="L879" s="13">
        <v>5</v>
      </c>
    </row>
    <row r="880" spans="1:12" hidden="1" x14ac:dyDescent="0.55000000000000004">
      <c r="A880" s="12" t="s">
        <v>2920</v>
      </c>
      <c r="B880" s="12" t="s">
        <v>4422</v>
      </c>
      <c r="C880" s="12" t="s">
        <v>5242</v>
      </c>
      <c r="D880" s="12" t="s">
        <v>4752</v>
      </c>
      <c r="E880" s="12" t="s">
        <v>2136</v>
      </c>
      <c r="F880" s="12" t="s">
        <v>2137</v>
      </c>
      <c r="G880" s="12" t="s">
        <v>2138</v>
      </c>
      <c r="H880" s="12" t="s">
        <v>4437</v>
      </c>
      <c r="I880" s="12" t="s">
        <v>3059</v>
      </c>
      <c r="J880" s="12" t="s">
        <v>338</v>
      </c>
      <c r="K880" s="12" t="s">
        <v>4004</v>
      </c>
      <c r="L880" s="13">
        <v>2</v>
      </c>
    </row>
    <row r="881" spans="1:12" hidden="1" x14ac:dyDescent="0.55000000000000004">
      <c r="A881" s="12" t="s">
        <v>2920</v>
      </c>
      <c r="B881" s="12" t="s">
        <v>4422</v>
      </c>
      <c r="C881" s="12" t="s">
        <v>5242</v>
      </c>
      <c r="D881" s="12" t="s">
        <v>4752</v>
      </c>
      <c r="E881" s="12" t="s">
        <v>2139</v>
      </c>
      <c r="F881" s="12" t="s">
        <v>700</v>
      </c>
      <c r="G881" s="12" t="s">
        <v>2140</v>
      </c>
      <c r="H881" s="12" t="s">
        <v>4437</v>
      </c>
      <c r="I881" s="12" t="s">
        <v>3059</v>
      </c>
      <c r="J881" s="12" t="s">
        <v>338</v>
      </c>
      <c r="K881" s="12" t="s">
        <v>4005</v>
      </c>
      <c r="L881" s="13">
        <v>2</v>
      </c>
    </row>
    <row r="882" spans="1:12" hidden="1" x14ac:dyDescent="0.55000000000000004">
      <c r="A882" s="12" t="s">
        <v>2920</v>
      </c>
      <c r="B882" s="12" t="s">
        <v>4422</v>
      </c>
      <c r="C882" s="12" t="s">
        <v>5242</v>
      </c>
      <c r="D882" s="12" t="s">
        <v>4752</v>
      </c>
      <c r="E882" s="12" t="s">
        <v>2141</v>
      </c>
      <c r="F882" s="12" t="s">
        <v>2142</v>
      </c>
      <c r="G882" s="12" t="s">
        <v>2143</v>
      </c>
      <c r="H882" s="12" t="s">
        <v>4437</v>
      </c>
      <c r="I882" s="12" t="s">
        <v>3059</v>
      </c>
      <c r="J882" s="12" t="s">
        <v>338</v>
      </c>
      <c r="K882" s="12" t="s">
        <v>4006</v>
      </c>
      <c r="L882" s="13">
        <v>5</v>
      </c>
    </row>
    <row r="883" spans="1:12" hidden="1" x14ac:dyDescent="0.55000000000000004">
      <c r="A883" s="12" t="s">
        <v>2920</v>
      </c>
      <c r="B883" s="12" t="s">
        <v>4422</v>
      </c>
      <c r="C883" s="12" t="s">
        <v>5242</v>
      </c>
      <c r="D883" s="12" t="s">
        <v>4752</v>
      </c>
      <c r="E883" s="12" t="s">
        <v>2144</v>
      </c>
      <c r="F883" s="12" t="s">
        <v>2145</v>
      </c>
      <c r="G883" s="12" t="s">
        <v>2146</v>
      </c>
      <c r="H883" s="12" t="s">
        <v>4437</v>
      </c>
      <c r="I883" s="12" t="s">
        <v>3059</v>
      </c>
      <c r="J883" s="12" t="s">
        <v>338</v>
      </c>
      <c r="K883" s="12" t="s">
        <v>4007</v>
      </c>
      <c r="L883" s="13">
        <v>5</v>
      </c>
    </row>
    <row r="884" spans="1:12" hidden="1" x14ac:dyDescent="0.55000000000000004">
      <c r="A884" s="12" t="s">
        <v>2875</v>
      </c>
      <c r="B884" s="12" t="s">
        <v>4374</v>
      </c>
      <c r="C884" s="12" t="s">
        <v>5243</v>
      </c>
      <c r="D884" s="12" t="s">
        <v>4752</v>
      </c>
      <c r="E884" s="12" t="s">
        <v>1778</v>
      </c>
      <c r="F884" s="12" t="s">
        <v>1545</v>
      </c>
      <c r="G884" s="12" t="s">
        <v>1779</v>
      </c>
      <c r="H884" s="12" t="s">
        <v>5244</v>
      </c>
      <c r="I884" s="12" t="s">
        <v>3075</v>
      </c>
      <c r="J884" s="12" t="s">
        <v>3093</v>
      </c>
      <c r="K884" s="12" t="s">
        <v>3871</v>
      </c>
      <c r="L884" s="13" t="s">
        <v>3075</v>
      </c>
    </row>
    <row r="885" spans="1:12" hidden="1" x14ac:dyDescent="0.55000000000000004">
      <c r="A885" s="12" t="s">
        <v>2875</v>
      </c>
      <c r="B885" s="12" t="s">
        <v>4374</v>
      </c>
      <c r="C885" s="12" t="s">
        <v>5243</v>
      </c>
      <c r="D885" s="12" t="s">
        <v>4752</v>
      </c>
      <c r="E885" s="12" t="s">
        <v>1780</v>
      </c>
      <c r="F885" s="12" t="s">
        <v>375</v>
      </c>
      <c r="G885" s="12" t="s">
        <v>1781</v>
      </c>
      <c r="H885" s="12" t="s">
        <v>5244</v>
      </c>
      <c r="I885" s="12" t="s">
        <v>3075</v>
      </c>
      <c r="J885" s="12" t="s">
        <v>3093</v>
      </c>
      <c r="K885" s="12" t="s">
        <v>3872</v>
      </c>
      <c r="L885" s="13" t="s">
        <v>3075</v>
      </c>
    </row>
    <row r="886" spans="1:12" hidden="1" x14ac:dyDescent="0.55000000000000004">
      <c r="A886" s="12" t="s">
        <v>2875</v>
      </c>
      <c r="B886" s="12" t="s">
        <v>4374</v>
      </c>
      <c r="C886" s="12" t="s">
        <v>5243</v>
      </c>
      <c r="D886" s="12" t="s">
        <v>4752</v>
      </c>
      <c r="E886" s="12" t="s">
        <v>1782</v>
      </c>
      <c r="F886" s="12" t="s">
        <v>826</v>
      </c>
      <c r="G886" s="12" t="s">
        <v>1783</v>
      </c>
      <c r="H886" s="12" t="s">
        <v>5244</v>
      </c>
      <c r="I886" s="12" t="s">
        <v>3075</v>
      </c>
      <c r="J886" s="12" t="s">
        <v>3093</v>
      </c>
      <c r="K886" s="12" t="s">
        <v>3873</v>
      </c>
      <c r="L886" s="13" t="s">
        <v>3075</v>
      </c>
    </row>
    <row r="887" spans="1:12" hidden="1" x14ac:dyDescent="0.55000000000000004">
      <c r="A887" s="12" t="s">
        <v>2875</v>
      </c>
      <c r="B887" s="12" t="s">
        <v>4374</v>
      </c>
      <c r="C887" s="12" t="s">
        <v>5243</v>
      </c>
      <c r="D887" s="12" t="s">
        <v>4752</v>
      </c>
      <c r="E887" s="12" t="s">
        <v>1784</v>
      </c>
      <c r="F887" s="12" t="s">
        <v>183</v>
      </c>
      <c r="G887" s="12" t="s">
        <v>1785</v>
      </c>
      <c r="H887" s="12" t="s">
        <v>5244</v>
      </c>
      <c r="I887" s="12" t="s">
        <v>3075</v>
      </c>
      <c r="J887" s="12" t="s">
        <v>3093</v>
      </c>
      <c r="K887" s="12" t="s">
        <v>3874</v>
      </c>
      <c r="L887" s="13" t="s">
        <v>3075</v>
      </c>
    </row>
    <row r="888" spans="1:12" hidden="1" x14ac:dyDescent="0.55000000000000004">
      <c r="A888" s="12" t="s">
        <v>2875</v>
      </c>
      <c r="B888" s="12" t="s">
        <v>4374</v>
      </c>
      <c r="C888" s="12" t="s">
        <v>5243</v>
      </c>
      <c r="D888" s="12" t="s">
        <v>4752</v>
      </c>
      <c r="E888" s="12" t="s">
        <v>1786</v>
      </c>
      <c r="F888" s="12" t="s">
        <v>473</v>
      </c>
      <c r="G888" s="12" t="s">
        <v>1787</v>
      </c>
      <c r="H888" s="12" t="s">
        <v>5244</v>
      </c>
      <c r="I888" s="12" t="s">
        <v>3075</v>
      </c>
      <c r="J888" s="12" t="s">
        <v>3093</v>
      </c>
      <c r="K888" s="12" t="s">
        <v>3875</v>
      </c>
      <c r="L888" s="13" t="s">
        <v>3075</v>
      </c>
    </row>
    <row r="889" spans="1:12" hidden="1" x14ac:dyDescent="0.55000000000000004">
      <c r="A889" s="12" t="s">
        <v>2875</v>
      </c>
      <c r="B889" s="12" t="s">
        <v>4374</v>
      </c>
      <c r="C889" s="12" t="s">
        <v>5243</v>
      </c>
      <c r="D889" s="12" t="s">
        <v>4752</v>
      </c>
      <c r="E889" s="12" t="s">
        <v>1788</v>
      </c>
      <c r="F889" s="12" t="s">
        <v>1789</v>
      </c>
      <c r="G889" s="12" t="s">
        <v>1790</v>
      </c>
      <c r="H889" s="12" t="s">
        <v>5244</v>
      </c>
      <c r="I889" s="12" t="s">
        <v>3075</v>
      </c>
      <c r="J889" s="12" t="s">
        <v>3093</v>
      </c>
      <c r="K889" s="12" t="s">
        <v>3876</v>
      </c>
      <c r="L889" s="13" t="s">
        <v>3075</v>
      </c>
    </row>
    <row r="890" spans="1:12" hidden="1" x14ac:dyDescent="0.55000000000000004">
      <c r="A890" s="12" t="s">
        <v>2875</v>
      </c>
      <c r="B890" s="12" t="s">
        <v>4374</v>
      </c>
      <c r="C890" s="12" t="s">
        <v>5243</v>
      </c>
      <c r="D890" s="12" t="s">
        <v>4752</v>
      </c>
      <c r="E890" s="12" t="s">
        <v>6001</v>
      </c>
      <c r="F890" s="12" t="s">
        <v>6002</v>
      </c>
      <c r="G890" s="12" t="s">
        <v>6003</v>
      </c>
      <c r="H890" s="12" t="s">
        <v>5244</v>
      </c>
      <c r="I890" s="12" t="s">
        <v>3075</v>
      </c>
      <c r="J890" s="12" t="s">
        <v>3093</v>
      </c>
      <c r="K890" s="12" t="s">
        <v>6004</v>
      </c>
      <c r="L890" s="13" t="s">
        <v>3075</v>
      </c>
    </row>
    <row r="891" spans="1:12" hidden="1" x14ac:dyDescent="0.55000000000000004">
      <c r="A891" s="12" t="s">
        <v>2848</v>
      </c>
      <c r="B891" s="12" t="s">
        <v>4298</v>
      </c>
      <c r="C891" s="12" t="s">
        <v>1816</v>
      </c>
      <c r="D891" s="12" t="s">
        <v>4752</v>
      </c>
      <c r="E891" s="12" t="s">
        <v>1814</v>
      </c>
      <c r="F891" s="12" t="s">
        <v>216</v>
      </c>
      <c r="G891" s="12" t="s">
        <v>1815</v>
      </c>
      <c r="H891" s="12" t="s">
        <v>4346</v>
      </c>
      <c r="I891" s="12" t="s">
        <v>3059</v>
      </c>
      <c r="J891" s="12" t="s">
        <v>3088</v>
      </c>
      <c r="K891" s="12" t="s">
        <v>3886</v>
      </c>
      <c r="L891" s="13">
        <v>4</v>
      </c>
    </row>
    <row r="892" spans="1:12" hidden="1" x14ac:dyDescent="0.55000000000000004">
      <c r="A892" s="12" t="s">
        <v>2848</v>
      </c>
      <c r="B892" s="12" t="s">
        <v>4298</v>
      </c>
      <c r="C892" s="12" t="s">
        <v>1816</v>
      </c>
      <c r="D892" s="12" t="s">
        <v>4752</v>
      </c>
      <c r="E892" s="12" t="s">
        <v>1817</v>
      </c>
      <c r="F892" s="12" t="s">
        <v>1818</v>
      </c>
      <c r="G892" s="12" t="s">
        <v>1819</v>
      </c>
      <c r="H892" s="12" t="s">
        <v>4346</v>
      </c>
      <c r="I892" s="12" t="s">
        <v>3059</v>
      </c>
      <c r="J892" s="12" t="s">
        <v>3088</v>
      </c>
      <c r="K892" s="12" t="s">
        <v>3887</v>
      </c>
      <c r="L892" s="13">
        <v>4</v>
      </c>
    </row>
    <row r="893" spans="1:12" hidden="1" x14ac:dyDescent="0.55000000000000004">
      <c r="A893" s="12" t="s">
        <v>2848</v>
      </c>
      <c r="B893" s="12" t="s">
        <v>4298</v>
      </c>
      <c r="C893" s="12" t="s">
        <v>1816</v>
      </c>
      <c r="D893" s="12" t="s">
        <v>4752</v>
      </c>
      <c r="E893" s="12" t="s">
        <v>1823</v>
      </c>
      <c r="F893" s="12" t="s">
        <v>1824</v>
      </c>
      <c r="G893" s="12" t="s">
        <v>1825</v>
      </c>
      <c r="H893" s="12" t="s">
        <v>4346</v>
      </c>
      <c r="I893" s="12" t="s">
        <v>3075</v>
      </c>
      <c r="J893" s="12" t="s">
        <v>3088</v>
      </c>
      <c r="K893" s="12" t="s">
        <v>3889</v>
      </c>
      <c r="L893" s="13" t="s">
        <v>3075</v>
      </c>
    </row>
    <row r="894" spans="1:12" hidden="1" x14ac:dyDescent="0.55000000000000004">
      <c r="A894" s="12" t="s">
        <v>2848</v>
      </c>
      <c r="B894" s="12" t="s">
        <v>4298</v>
      </c>
      <c r="C894" s="12" t="s">
        <v>1816</v>
      </c>
      <c r="D894" s="12" t="s">
        <v>4752</v>
      </c>
      <c r="E894" s="12" t="s">
        <v>1826</v>
      </c>
      <c r="F894" s="12" t="s">
        <v>350</v>
      </c>
      <c r="G894" s="12" t="s">
        <v>1827</v>
      </c>
      <c r="H894" s="12" t="s">
        <v>4346</v>
      </c>
      <c r="I894" s="12" t="s">
        <v>3059</v>
      </c>
      <c r="J894" s="12" t="s">
        <v>3088</v>
      </c>
      <c r="K894" s="12" t="s">
        <v>3890</v>
      </c>
      <c r="L894" s="13">
        <v>4</v>
      </c>
    </row>
    <row r="895" spans="1:12" hidden="1" x14ac:dyDescent="0.55000000000000004">
      <c r="A895" s="12" t="s">
        <v>2848</v>
      </c>
      <c r="B895" s="12" t="s">
        <v>4298</v>
      </c>
      <c r="C895" s="12" t="s">
        <v>1816</v>
      </c>
      <c r="D895" s="12" t="s">
        <v>4752</v>
      </c>
      <c r="E895" s="12" t="s">
        <v>1828</v>
      </c>
      <c r="F895" s="12" t="s">
        <v>1829</v>
      </c>
      <c r="G895" s="12" t="s">
        <v>341</v>
      </c>
      <c r="H895" s="12" t="s">
        <v>4346</v>
      </c>
      <c r="I895" s="12" t="s">
        <v>3059</v>
      </c>
      <c r="J895" s="12" t="s">
        <v>3088</v>
      </c>
      <c r="K895" s="12" t="s">
        <v>3891</v>
      </c>
      <c r="L895" s="13">
        <v>4</v>
      </c>
    </row>
    <row r="896" spans="1:12" hidden="1" x14ac:dyDescent="0.55000000000000004">
      <c r="A896" s="12" t="s">
        <v>2848</v>
      </c>
      <c r="B896" s="12" t="s">
        <v>4298</v>
      </c>
      <c r="C896" s="12" t="s">
        <v>1816</v>
      </c>
      <c r="D896" s="12" t="s">
        <v>4752</v>
      </c>
      <c r="E896" s="12" t="s">
        <v>6005</v>
      </c>
      <c r="F896" s="12" t="s">
        <v>6006</v>
      </c>
      <c r="G896" s="12" t="s">
        <v>1822</v>
      </c>
      <c r="H896" s="12" t="s">
        <v>4346</v>
      </c>
      <c r="I896" s="12" t="s">
        <v>3075</v>
      </c>
      <c r="J896" s="12" t="s">
        <v>3088</v>
      </c>
      <c r="K896" s="12" t="s">
        <v>6007</v>
      </c>
      <c r="L896" s="13" t="s">
        <v>3075</v>
      </c>
    </row>
    <row r="897" spans="1:12" hidden="1" x14ac:dyDescent="0.55000000000000004">
      <c r="A897" s="12" t="s">
        <v>2981</v>
      </c>
      <c r="B897" s="12" t="s">
        <v>4486</v>
      </c>
      <c r="C897" s="12" t="s">
        <v>5245</v>
      </c>
      <c r="D897" s="12" t="s">
        <v>4752</v>
      </c>
      <c r="E897" s="12" t="s">
        <v>2043</v>
      </c>
      <c r="F897" s="12" t="s">
        <v>192</v>
      </c>
      <c r="G897" s="12" t="s">
        <v>2044</v>
      </c>
      <c r="H897" s="12" t="s">
        <v>5246</v>
      </c>
      <c r="I897" s="12" t="s">
        <v>3075</v>
      </c>
      <c r="J897" s="12" t="s">
        <v>545</v>
      </c>
      <c r="K897" s="12" t="s">
        <v>3968</v>
      </c>
      <c r="L897" s="13" t="s">
        <v>3075</v>
      </c>
    </row>
    <row r="898" spans="1:12" hidden="1" x14ac:dyDescent="0.55000000000000004">
      <c r="A898" s="12" t="s">
        <v>2981</v>
      </c>
      <c r="B898" s="12" t="s">
        <v>4486</v>
      </c>
      <c r="C898" s="12" t="s">
        <v>5245</v>
      </c>
      <c r="D898" s="12" t="s">
        <v>4752</v>
      </c>
      <c r="E898" s="12" t="s">
        <v>2045</v>
      </c>
      <c r="F898" s="12" t="s">
        <v>2046</v>
      </c>
      <c r="G898" s="12" t="s">
        <v>2047</v>
      </c>
      <c r="H898" s="12" t="s">
        <v>5246</v>
      </c>
      <c r="I898" s="12" t="s">
        <v>3075</v>
      </c>
      <c r="J898" s="12" t="s">
        <v>545</v>
      </c>
      <c r="K898" s="12" t="s">
        <v>3969</v>
      </c>
      <c r="L898" s="13" t="s">
        <v>3075</v>
      </c>
    </row>
    <row r="899" spans="1:12" hidden="1" x14ac:dyDescent="0.55000000000000004">
      <c r="A899" s="12" t="s">
        <v>3031</v>
      </c>
      <c r="B899" s="12" t="s">
        <v>4486</v>
      </c>
      <c r="C899" s="12" t="s">
        <v>1919</v>
      </c>
      <c r="D899" s="12" t="s">
        <v>4752</v>
      </c>
      <c r="E899" s="12" t="s">
        <v>1927</v>
      </c>
      <c r="F899" s="12" t="s">
        <v>405</v>
      </c>
      <c r="G899" s="12" t="s">
        <v>1928</v>
      </c>
      <c r="H899" s="12" t="s">
        <v>5247</v>
      </c>
      <c r="I899" s="12" t="s">
        <v>3075</v>
      </c>
      <c r="J899" s="12" t="s">
        <v>545</v>
      </c>
      <c r="K899" s="12" t="s">
        <v>3925</v>
      </c>
      <c r="L899" s="13" t="s">
        <v>3075</v>
      </c>
    </row>
    <row r="900" spans="1:12" hidden="1" x14ac:dyDescent="0.55000000000000004">
      <c r="A900" s="12" t="s">
        <v>3031</v>
      </c>
      <c r="B900" s="12" t="s">
        <v>4486</v>
      </c>
      <c r="C900" s="12" t="s">
        <v>1919</v>
      </c>
      <c r="D900" s="12" t="s">
        <v>4752</v>
      </c>
      <c r="E900" s="12" t="s">
        <v>1931</v>
      </c>
      <c r="F900" s="12" t="s">
        <v>1773</v>
      </c>
      <c r="G900" s="12" t="s">
        <v>1932</v>
      </c>
      <c r="H900" s="12" t="s">
        <v>5247</v>
      </c>
      <c r="I900" s="12" t="s">
        <v>3075</v>
      </c>
      <c r="J900" s="12" t="s">
        <v>545</v>
      </c>
      <c r="K900" s="12" t="s">
        <v>3927</v>
      </c>
      <c r="L900" s="13" t="s">
        <v>3075</v>
      </c>
    </row>
    <row r="901" spans="1:12" hidden="1" x14ac:dyDescent="0.55000000000000004">
      <c r="A901" s="12" t="s">
        <v>3031</v>
      </c>
      <c r="B901" s="12" t="s">
        <v>4486</v>
      </c>
      <c r="C901" s="12" t="s">
        <v>1919</v>
      </c>
      <c r="D901" s="12" t="s">
        <v>4752</v>
      </c>
      <c r="E901" s="12" t="s">
        <v>6008</v>
      </c>
      <c r="F901" s="12" t="s">
        <v>250</v>
      </c>
      <c r="G901" s="12" t="s">
        <v>6009</v>
      </c>
      <c r="H901" s="12" t="s">
        <v>5247</v>
      </c>
      <c r="I901" s="12" t="s">
        <v>3075</v>
      </c>
      <c r="J901" s="12" t="s">
        <v>545</v>
      </c>
      <c r="K901" s="12" t="s">
        <v>6010</v>
      </c>
      <c r="L901" s="13" t="s">
        <v>3075</v>
      </c>
    </row>
    <row r="902" spans="1:12" hidden="1" x14ac:dyDescent="0.55000000000000004">
      <c r="A902" s="12" t="s">
        <v>3031</v>
      </c>
      <c r="B902" s="12" t="s">
        <v>4486</v>
      </c>
      <c r="C902" s="12" t="s">
        <v>1919</v>
      </c>
      <c r="D902" s="12" t="s">
        <v>4752</v>
      </c>
      <c r="E902" s="12" t="s">
        <v>6011</v>
      </c>
      <c r="F902" s="12" t="s">
        <v>6012</v>
      </c>
      <c r="G902" s="12" t="s">
        <v>6013</v>
      </c>
      <c r="H902" s="12" t="s">
        <v>5247</v>
      </c>
      <c r="I902" s="12" t="s">
        <v>3075</v>
      </c>
      <c r="J902" s="12" t="s">
        <v>545</v>
      </c>
      <c r="K902" s="12" t="s">
        <v>6014</v>
      </c>
      <c r="L902" s="13" t="s">
        <v>3075</v>
      </c>
    </row>
    <row r="903" spans="1:12" hidden="1" x14ac:dyDescent="0.55000000000000004">
      <c r="A903" s="12" t="s">
        <v>2976</v>
      </c>
      <c r="B903" s="12" t="s">
        <v>4486</v>
      </c>
      <c r="C903" s="12" t="s">
        <v>5171</v>
      </c>
      <c r="D903" s="12" t="s">
        <v>4752</v>
      </c>
      <c r="E903" s="12" t="s">
        <v>224</v>
      </c>
      <c r="F903" s="12" t="s">
        <v>225</v>
      </c>
      <c r="G903" s="12" t="s">
        <v>226</v>
      </c>
      <c r="H903" s="12" t="s">
        <v>5248</v>
      </c>
      <c r="I903" s="12" t="s">
        <v>3059</v>
      </c>
      <c r="J903" s="12" t="s">
        <v>3092</v>
      </c>
      <c r="K903" s="12" t="s">
        <v>3323</v>
      </c>
      <c r="L903" s="13">
        <v>4</v>
      </c>
    </row>
    <row r="904" spans="1:12" hidden="1" x14ac:dyDescent="0.55000000000000004">
      <c r="A904" s="12" t="s">
        <v>2976</v>
      </c>
      <c r="B904" s="12" t="s">
        <v>4486</v>
      </c>
      <c r="C904" s="12" t="s">
        <v>5171</v>
      </c>
      <c r="D904" s="12" t="s">
        <v>4752</v>
      </c>
      <c r="E904" s="12" t="s">
        <v>242</v>
      </c>
      <c r="F904" s="12" t="s">
        <v>1086</v>
      </c>
      <c r="G904" s="12" t="s">
        <v>1271</v>
      </c>
      <c r="H904" s="12" t="s">
        <v>5248</v>
      </c>
      <c r="I904" s="12" t="s">
        <v>3075</v>
      </c>
      <c r="J904" s="12" t="s">
        <v>3092</v>
      </c>
      <c r="K904" s="12" t="s">
        <v>4624</v>
      </c>
      <c r="L904" s="13" t="s">
        <v>3075</v>
      </c>
    </row>
    <row r="905" spans="1:12" hidden="1" x14ac:dyDescent="0.55000000000000004">
      <c r="A905" s="12" t="s">
        <v>2976</v>
      </c>
      <c r="B905" s="12" t="s">
        <v>4486</v>
      </c>
      <c r="C905" s="12" t="s">
        <v>5171</v>
      </c>
      <c r="D905" s="12" t="s">
        <v>4752</v>
      </c>
      <c r="E905" s="12" t="s">
        <v>251</v>
      </c>
      <c r="F905" s="12" t="s">
        <v>252</v>
      </c>
      <c r="G905" s="12" t="s">
        <v>253</v>
      </c>
      <c r="H905" s="12" t="s">
        <v>5248</v>
      </c>
      <c r="I905" s="12" t="s">
        <v>3059</v>
      </c>
      <c r="J905" s="12" t="s">
        <v>3092</v>
      </c>
      <c r="K905" s="12" t="s">
        <v>3331</v>
      </c>
      <c r="L905" s="13">
        <v>4</v>
      </c>
    </row>
    <row r="906" spans="1:12" hidden="1" x14ac:dyDescent="0.55000000000000004">
      <c r="A906" s="12" t="s">
        <v>2976</v>
      </c>
      <c r="B906" s="12" t="s">
        <v>4486</v>
      </c>
      <c r="C906" s="12" t="s">
        <v>5171</v>
      </c>
      <c r="D906" s="12" t="s">
        <v>4752</v>
      </c>
      <c r="E906" s="12" t="s">
        <v>259</v>
      </c>
      <c r="F906" s="12" t="s">
        <v>564</v>
      </c>
      <c r="G906" s="12" t="s">
        <v>4625</v>
      </c>
      <c r="H906" s="12" t="s">
        <v>5248</v>
      </c>
      <c r="I906" s="12" t="s">
        <v>3075</v>
      </c>
      <c r="J906" s="12" t="s">
        <v>3092</v>
      </c>
      <c r="K906" s="12" t="s">
        <v>4626</v>
      </c>
      <c r="L906" s="13" t="s">
        <v>3075</v>
      </c>
    </row>
    <row r="907" spans="1:12" hidden="1" x14ac:dyDescent="0.55000000000000004">
      <c r="A907" s="12" t="s">
        <v>2976</v>
      </c>
      <c r="B907" s="12" t="s">
        <v>4486</v>
      </c>
      <c r="C907" s="12" t="s">
        <v>5171</v>
      </c>
      <c r="D907" s="12" t="s">
        <v>4752</v>
      </c>
      <c r="E907" s="12" t="s">
        <v>6015</v>
      </c>
      <c r="F907" s="12" t="s">
        <v>252</v>
      </c>
      <c r="G907" s="12" t="s">
        <v>6016</v>
      </c>
      <c r="H907" s="12" t="s">
        <v>5248</v>
      </c>
      <c r="I907" s="12" t="s">
        <v>3075</v>
      </c>
      <c r="J907" s="12" t="s">
        <v>3092</v>
      </c>
      <c r="K907" s="12" t="s">
        <v>6017</v>
      </c>
      <c r="L907" s="13" t="s">
        <v>3075</v>
      </c>
    </row>
    <row r="908" spans="1:12" hidden="1" x14ac:dyDescent="0.55000000000000004">
      <c r="A908" s="12" t="s">
        <v>2817</v>
      </c>
      <c r="B908" s="12" t="s">
        <v>4298</v>
      </c>
      <c r="C908" s="12" t="s">
        <v>5212</v>
      </c>
      <c r="D908" s="12" t="s">
        <v>4752</v>
      </c>
      <c r="E908" s="12" t="s">
        <v>407</v>
      </c>
      <c r="F908" s="12" t="s">
        <v>408</v>
      </c>
      <c r="G908" s="12" t="s">
        <v>409</v>
      </c>
      <c r="H908" s="12" t="s">
        <v>4310</v>
      </c>
      <c r="I908" s="12" t="s">
        <v>3059</v>
      </c>
      <c r="J908" s="12" t="s">
        <v>3086</v>
      </c>
      <c r="K908" s="12" t="s">
        <v>3382</v>
      </c>
      <c r="L908" s="13">
        <v>5</v>
      </c>
    </row>
    <row r="909" spans="1:12" hidden="1" x14ac:dyDescent="0.55000000000000004">
      <c r="A909" s="12" t="s">
        <v>2817</v>
      </c>
      <c r="B909" s="12" t="s">
        <v>4298</v>
      </c>
      <c r="C909" s="12" t="s">
        <v>5212</v>
      </c>
      <c r="D909" s="12" t="s">
        <v>4752</v>
      </c>
      <c r="E909" s="12" t="s">
        <v>430</v>
      </c>
      <c r="F909" s="12" t="s">
        <v>292</v>
      </c>
      <c r="G909" s="12" t="s">
        <v>431</v>
      </c>
      <c r="H909" s="12" t="s">
        <v>4310</v>
      </c>
      <c r="I909" s="12" t="s">
        <v>3059</v>
      </c>
      <c r="J909" s="12" t="s">
        <v>3086</v>
      </c>
      <c r="K909" s="12" t="s">
        <v>3391</v>
      </c>
      <c r="L909" s="13">
        <v>5</v>
      </c>
    </row>
    <row r="910" spans="1:12" hidden="1" x14ac:dyDescent="0.55000000000000004">
      <c r="A910" s="12" t="s">
        <v>2915</v>
      </c>
      <c r="B910" s="12" t="s">
        <v>4422</v>
      </c>
      <c r="C910" s="12" t="s">
        <v>5203</v>
      </c>
      <c r="D910" s="12" t="s">
        <v>4752</v>
      </c>
      <c r="E910" s="12" t="s">
        <v>2096</v>
      </c>
      <c r="F910" s="12" t="s">
        <v>1776</v>
      </c>
      <c r="G910" s="12" t="s">
        <v>2097</v>
      </c>
      <c r="H910" s="12" t="s">
        <v>4433</v>
      </c>
      <c r="I910" s="12" t="s">
        <v>3059</v>
      </c>
      <c r="J910" s="12" t="s">
        <v>341</v>
      </c>
      <c r="K910" s="12" t="s">
        <v>3989</v>
      </c>
      <c r="L910" s="13">
        <v>2</v>
      </c>
    </row>
    <row r="911" spans="1:12" hidden="1" x14ac:dyDescent="0.55000000000000004">
      <c r="A911" s="12" t="s">
        <v>2915</v>
      </c>
      <c r="B911" s="12" t="s">
        <v>4422</v>
      </c>
      <c r="C911" s="12" t="s">
        <v>5203</v>
      </c>
      <c r="D911" s="12" t="s">
        <v>4752</v>
      </c>
      <c r="E911" s="12" t="s">
        <v>2109</v>
      </c>
      <c r="F911" s="12" t="s">
        <v>192</v>
      </c>
      <c r="G911" s="12" t="s">
        <v>2110</v>
      </c>
      <c r="H911" s="12" t="s">
        <v>4433</v>
      </c>
      <c r="I911" s="12" t="s">
        <v>3059</v>
      </c>
      <c r="J911" s="12" t="s">
        <v>341</v>
      </c>
      <c r="K911" s="12" t="s">
        <v>3994</v>
      </c>
      <c r="L911" s="13">
        <v>2</v>
      </c>
    </row>
    <row r="912" spans="1:12" hidden="1" x14ac:dyDescent="0.55000000000000004">
      <c r="A912" s="12" t="s">
        <v>2915</v>
      </c>
      <c r="B912" s="12" t="s">
        <v>4422</v>
      </c>
      <c r="C912" s="12" t="s">
        <v>5203</v>
      </c>
      <c r="D912" s="12" t="s">
        <v>4752</v>
      </c>
      <c r="E912" s="12" t="s">
        <v>2111</v>
      </c>
      <c r="F912" s="12" t="s">
        <v>2112</v>
      </c>
      <c r="G912" s="12" t="s">
        <v>2113</v>
      </c>
      <c r="H912" s="12" t="s">
        <v>4433</v>
      </c>
      <c r="I912" s="12" t="s">
        <v>3059</v>
      </c>
      <c r="J912" s="12" t="s">
        <v>341</v>
      </c>
      <c r="K912" s="12" t="s">
        <v>3995</v>
      </c>
      <c r="L912" s="13">
        <v>2</v>
      </c>
    </row>
    <row r="913" spans="1:12" hidden="1" x14ac:dyDescent="0.55000000000000004">
      <c r="A913" s="12" t="s">
        <v>2919</v>
      </c>
      <c r="B913" s="12" t="s">
        <v>4422</v>
      </c>
      <c r="C913" s="12" t="s">
        <v>5165</v>
      </c>
      <c r="D913" s="12" t="s">
        <v>4752</v>
      </c>
      <c r="E913" s="12" t="s">
        <v>2123</v>
      </c>
      <c r="F913" s="12" t="s">
        <v>2124</v>
      </c>
      <c r="G913" s="12" t="s">
        <v>2125</v>
      </c>
      <c r="H913" s="12" t="s">
        <v>4436</v>
      </c>
      <c r="I913" s="12" t="s">
        <v>3059</v>
      </c>
      <c r="J913" s="12" t="s">
        <v>341</v>
      </c>
      <c r="K913" s="12" t="s">
        <v>3999</v>
      </c>
      <c r="L913" s="13">
        <v>2</v>
      </c>
    </row>
    <row r="914" spans="1:12" hidden="1" x14ac:dyDescent="0.55000000000000004">
      <c r="A914" s="12" t="s">
        <v>2919</v>
      </c>
      <c r="B914" s="12" t="s">
        <v>4422</v>
      </c>
      <c r="C914" s="12" t="s">
        <v>5165</v>
      </c>
      <c r="D914" s="12" t="s">
        <v>4752</v>
      </c>
      <c r="E914" s="12" t="s">
        <v>2126</v>
      </c>
      <c r="F914" s="12" t="s">
        <v>473</v>
      </c>
      <c r="G914" s="12" t="s">
        <v>3158</v>
      </c>
      <c r="H914" s="12" t="s">
        <v>4436</v>
      </c>
      <c r="I914" s="12" t="s">
        <v>3059</v>
      </c>
      <c r="J914" s="12" t="s">
        <v>341</v>
      </c>
      <c r="K914" s="12" t="s">
        <v>4000</v>
      </c>
      <c r="L914" s="13">
        <v>5</v>
      </c>
    </row>
    <row r="915" spans="1:12" hidden="1" x14ac:dyDescent="0.55000000000000004">
      <c r="A915" s="12" t="s">
        <v>2919</v>
      </c>
      <c r="B915" s="12" t="s">
        <v>4422</v>
      </c>
      <c r="C915" s="12" t="s">
        <v>5165</v>
      </c>
      <c r="D915" s="12" t="s">
        <v>4752</v>
      </c>
      <c r="E915" s="12" t="s">
        <v>2127</v>
      </c>
      <c r="F915" s="12" t="s">
        <v>2128</v>
      </c>
      <c r="G915" s="12" t="s">
        <v>2020</v>
      </c>
      <c r="H915" s="12" t="s">
        <v>4436</v>
      </c>
      <c r="I915" s="12" t="s">
        <v>3059</v>
      </c>
      <c r="J915" s="12" t="s">
        <v>341</v>
      </c>
      <c r="K915" s="12" t="s">
        <v>4001</v>
      </c>
      <c r="L915" s="13">
        <v>5</v>
      </c>
    </row>
    <row r="916" spans="1:12" hidden="1" x14ac:dyDescent="0.55000000000000004">
      <c r="A916" s="12" t="s">
        <v>2919</v>
      </c>
      <c r="B916" s="12" t="s">
        <v>4422</v>
      </c>
      <c r="C916" s="12" t="s">
        <v>5165</v>
      </c>
      <c r="D916" s="12" t="s">
        <v>4752</v>
      </c>
      <c r="E916" s="12" t="s">
        <v>2129</v>
      </c>
      <c r="F916" s="12" t="s">
        <v>579</v>
      </c>
      <c r="G916" s="12" t="s">
        <v>2130</v>
      </c>
      <c r="H916" s="12" t="s">
        <v>4436</v>
      </c>
      <c r="I916" s="12" t="s">
        <v>3059</v>
      </c>
      <c r="J916" s="12" t="s">
        <v>341</v>
      </c>
      <c r="K916" s="12" t="s">
        <v>4002</v>
      </c>
      <c r="L916" s="13">
        <v>2</v>
      </c>
    </row>
    <row r="917" spans="1:12" hidden="1" x14ac:dyDescent="0.55000000000000004">
      <c r="A917" s="12" t="s">
        <v>2919</v>
      </c>
      <c r="B917" s="12" t="s">
        <v>4422</v>
      </c>
      <c r="C917" s="12" t="s">
        <v>5165</v>
      </c>
      <c r="D917" s="12" t="s">
        <v>4752</v>
      </c>
      <c r="E917" s="12" t="s">
        <v>2430</v>
      </c>
      <c r="F917" s="12" t="s">
        <v>2431</v>
      </c>
      <c r="G917" s="12" t="s">
        <v>2432</v>
      </c>
      <c r="H917" s="12" t="s">
        <v>4436</v>
      </c>
      <c r="I917" s="12" t="s">
        <v>3059</v>
      </c>
      <c r="J917" s="12" t="s">
        <v>341</v>
      </c>
      <c r="K917" s="12" t="s">
        <v>4182</v>
      </c>
      <c r="L917" s="13">
        <v>2</v>
      </c>
    </row>
    <row r="918" spans="1:12" hidden="1" x14ac:dyDescent="0.55000000000000004">
      <c r="A918" s="12" t="s">
        <v>2919</v>
      </c>
      <c r="B918" s="12" t="s">
        <v>4422</v>
      </c>
      <c r="C918" s="12" t="s">
        <v>5165</v>
      </c>
      <c r="D918" s="12" t="s">
        <v>4752</v>
      </c>
      <c r="E918" s="12" t="s">
        <v>2433</v>
      </c>
      <c r="F918" s="12" t="s">
        <v>2168</v>
      </c>
      <c r="G918" s="12" t="s">
        <v>2434</v>
      </c>
      <c r="H918" s="12" t="s">
        <v>4436</v>
      </c>
      <c r="I918" s="12" t="s">
        <v>3059</v>
      </c>
      <c r="J918" s="12" t="s">
        <v>341</v>
      </c>
      <c r="K918" s="12" t="s">
        <v>4183</v>
      </c>
      <c r="L918" s="13">
        <v>2</v>
      </c>
    </row>
    <row r="919" spans="1:12" hidden="1" x14ac:dyDescent="0.55000000000000004">
      <c r="A919" s="12" t="s">
        <v>2919</v>
      </c>
      <c r="B919" s="12" t="s">
        <v>4422</v>
      </c>
      <c r="C919" s="12" t="s">
        <v>5165</v>
      </c>
      <c r="D919" s="12" t="s">
        <v>4752</v>
      </c>
      <c r="E919" s="12" t="s">
        <v>6018</v>
      </c>
      <c r="F919" s="12" t="s">
        <v>6019</v>
      </c>
      <c r="G919" s="12" t="s">
        <v>1124</v>
      </c>
      <c r="H919" s="12" t="s">
        <v>4436</v>
      </c>
      <c r="I919" s="12" t="s">
        <v>3075</v>
      </c>
      <c r="J919" s="12" t="s">
        <v>341</v>
      </c>
      <c r="K919" s="12" t="s">
        <v>6020</v>
      </c>
      <c r="L919" s="13" t="s">
        <v>3075</v>
      </c>
    </row>
    <row r="920" spans="1:12" hidden="1" x14ac:dyDescent="0.55000000000000004">
      <c r="A920" s="12" t="s">
        <v>2919</v>
      </c>
      <c r="B920" s="12" t="s">
        <v>4422</v>
      </c>
      <c r="C920" s="12" t="s">
        <v>5165</v>
      </c>
      <c r="D920" s="12" t="s">
        <v>4752</v>
      </c>
      <c r="E920" s="12" t="s">
        <v>6021</v>
      </c>
      <c r="F920" s="12" t="s">
        <v>6022</v>
      </c>
      <c r="G920" s="12" t="s">
        <v>2037</v>
      </c>
      <c r="H920" s="12" t="s">
        <v>4436</v>
      </c>
      <c r="I920" s="12" t="s">
        <v>3075</v>
      </c>
      <c r="J920" s="12" t="s">
        <v>341</v>
      </c>
      <c r="K920" s="12" t="s">
        <v>6023</v>
      </c>
      <c r="L920" s="13" t="s">
        <v>3075</v>
      </c>
    </row>
    <row r="921" spans="1:12" hidden="1" x14ac:dyDescent="0.55000000000000004">
      <c r="A921" s="12" t="s">
        <v>2919</v>
      </c>
      <c r="B921" s="12" t="s">
        <v>4422</v>
      </c>
      <c r="C921" s="12" t="s">
        <v>5165</v>
      </c>
      <c r="D921" s="12" t="s">
        <v>4752</v>
      </c>
      <c r="E921" s="12" t="s">
        <v>6024</v>
      </c>
      <c r="F921" s="12" t="s">
        <v>88</v>
      </c>
      <c r="G921" s="12" t="s">
        <v>6025</v>
      </c>
      <c r="H921" s="12" t="s">
        <v>4436</v>
      </c>
      <c r="I921" s="12" t="s">
        <v>3075</v>
      </c>
      <c r="J921" s="12" t="s">
        <v>341</v>
      </c>
      <c r="K921" s="12" t="s">
        <v>6026</v>
      </c>
      <c r="L921" s="13" t="s">
        <v>3075</v>
      </c>
    </row>
    <row r="922" spans="1:12" hidden="1" x14ac:dyDescent="0.55000000000000004">
      <c r="A922" s="12" t="s">
        <v>2829</v>
      </c>
      <c r="B922" s="12" t="s">
        <v>4298</v>
      </c>
      <c r="C922" s="12" t="s">
        <v>5166</v>
      </c>
      <c r="D922" s="12" t="s">
        <v>4752</v>
      </c>
      <c r="E922" s="12" t="s">
        <v>761</v>
      </c>
      <c r="F922" s="12" t="s">
        <v>762</v>
      </c>
      <c r="G922" s="12" t="s">
        <v>763</v>
      </c>
      <c r="H922" s="12" t="s">
        <v>4324</v>
      </c>
      <c r="I922" s="12" t="s">
        <v>3059</v>
      </c>
      <c r="J922" s="12" t="s">
        <v>3088</v>
      </c>
      <c r="K922" s="12" t="s">
        <v>3506</v>
      </c>
      <c r="L922" s="13">
        <v>6</v>
      </c>
    </row>
    <row r="923" spans="1:12" hidden="1" x14ac:dyDescent="0.55000000000000004">
      <c r="A923" s="12" t="s">
        <v>2829</v>
      </c>
      <c r="B923" s="12" t="s">
        <v>4298</v>
      </c>
      <c r="C923" s="12" t="s">
        <v>5166</v>
      </c>
      <c r="D923" s="12" t="s">
        <v>4752</v>
      </c>
      <c r="E923" s="12" t="s">
        <v>3219</v>
      </c>
      <c r="F923" s="12" t="s">
        <v>3220</v>
      </c>
      <c r="G923" s="12" t="s">
        <v>3221</v>
      </c>
      <c r="H923" s="12" t="s">
        <v>4324</v>
      </c>
      <c r="I923" s="12" t="s">
        <v>3059</v>
      </c>
      <c r="J923" s="12" t="s">
        <v>3088</v>
      </c>
      <c r="K923" s="12" t="s">
        <v>4290</v>
      </c>
      <c r="L923" s="13">
        <v>6</v>
      </c>
    </row>
    <row r="924" spans="1:12" hidden="1" x14ac:dyDescent="0.55000000000000004">
      <c r="A924" s="12" t="s">
        <v>2829</v>
      </c>
      <c r="B924" s="12" t="s">
        <v>4298</v>
      </c>
      <c r="C924" s="12" t="s">
        <v>5166</v>
      </c>
      <c r="D924" s="12" t="s">
        <v>4752</v>
      </c>
      <c r="E924" s="12" t="s">
        <v>3222</v>
      </c>
      <c r="F924" s="12" t="s">
        <v>3223</v>
      </c>
      <c r="G924" s="12" t="s">
        <v>3224</v>
      </c>
      <c r="H924" s="12" t="s">
        <v>4324</v>
      </c>
      <c r="I924" s="12" t="s">
        <v>3059</v>
      </c>
      <c r="J924" s="12" t="s">
        <v>3088</v>
      </c>
      <c r="K924" s="12" t="s">
        <v>4291</v>
      </c>
      <c r="L924" s="13">
        <v>6</v>
      </c>
    </row>
    <row r="925" spans="1:12" hidden="1" x14ac:dyDescent="0.55000000000000004">
      <c r="A925" s="12" t="s">
        <v>2884</v>
      </c>
      <c r="B925" s="12" t="s">
        <v>4374</v>
      </c>
      <c r="C925" s="12" t="s">
        <v>5179</v>
      </c>
      <c r="D925" s="12" t="s">
        <v>4752</v>
      </c>
      <c r="E925" s="12" t="s">
        <v>1625</v>
      </c>
      <c r="F925" s="12" t="s">
        <v>1626</v>
      </c>
      <c r="G925" s="12" t="s">
        <v>1627</v>
      </c>
      <c r="H925" s="12" t="s">
        <v>4388</v>
      </c>
      <c r="I925" s="12" t="s">
        <v>3059</v>
      </c>
      <c r="J925" s="12" t="s">
        <v>3096</v>
      </c>
      <c r="K925" s="12" t="s">
        <v>3814</v>
      </c>
      <c r="L925" s="13">
        <v>5</v>
      </c>
    </row>
    <row r="926" spans="1:12" hidden="1" x14ac:dyDescent="0.55000000000000004">
      <c r="A926" s="12" t="s">
        <v>2884</v>
      </c>
      <c r="B926" s="12" t="s">
        <v>4374</v>
      </c>
      <c r="C926" s="12" t="s">
        <v>5179</v>
      </c>
      <c r="D926" s="12" t="s">
        <v>4752</v>
      </c>
      <c r="E926" s="12" t="s">
        <v>1641</v>
      </c>
      <c r="F926" s="12" t="s">
        <v>782</v>
      </c>
      <c r="G926" s="12" t="s">
        <v>1642</v>
      </c>
      <c r="H926" s="12" t="s">
        <v>4388</v>
      </c>
      <c r="I926" s="12" t="s">
        <v>3059</v>
      </c>
      <c r="J926" s="12" t="s">
        <v>3096</v>
      </c>
      <c r="K926" s="12" t="s">
        <v>3820</v>
      </c>
      <c r="L926" s="13">
        <v>5</v>
      </c>
    </row>
    <row r="927" spans="1:12" hidden="1" x14ac:dyDescent="0.55000000000000004">
      <c r="A927" s="12" t="s">
        <v>2884</v>
      </c>
      <c r="B927" s="12" t="s">
        <v>4374</v>
      </c>
      <c r="C927" s="12" t="s">
        <v>5179</v>
      </c>
      <c r="D927" s="12" t="s">
        <v>4752</v>
      </c>
      <c r="E927" s="12" t="s">
        <v>1643</v>
      </c>
      <c r="F927" s="12" t="s">
        <v>260</v>
      </c>
      <c r="G927" s="12" t="s">
        <v>1644</v>
      </c>
      <c r="H927" s="12" t="s">
        <v>4388</v>
      </c>
      <c r="I927" s="12" t="s">
        <v>3060</v>
      </c>
      <c r="J927" s="12" t="s">
        <v>3096</v>
      </c>
      <c r="K927" s="12" t="s">
        <v>3821</v>
      </c>
      <c r="L927" s="13">
        <v>5</v>
      </c>
    </row>
    <row r="928" spans="1:12" hidden="1" x14ac:dyDescent="0.55000000000000004">
      <c r="A928" s="12" t="s">
        <v>2884</v>
      </c>
      <c r="B928" s="12" t="s">
        <v>4374</v>
      </c>
      <c r="C928" s="12" t="s">
        <v>5179</v>
      </c>
      <c r="D928" s="12" t="s">
        <v>4752</v>
      </c>
      <c r="E928" s="12" t="s">
        <v>1645</v>
      </c>
      <c r="F928" s="12" t="s">
        <v>1646</v>
      </c>
      <c r="G928" s="12" t="s">
        <v>1647</v>
      </c>
      <c r="H928" s="12" t="s">
        <v>4388</v>
      </c>
      <c r="I928" s="12" t="s">
        <v>3059</v>
      </c>
      <c r="J928" s="12" t="s">
        <v>3096</v>
      </c>
      <c r="K928" s="12" t="s">
        <v>3822</v>
      </c>
      <c r="L928" s="13">
        <v>5</v>
      </c>
    </row>
    <row r="929" spans="1:12" hidden="1" x14ac:dyDescent="0.55000000000000004">
      <c r="A929" s="12" t="s">
        <v>2884</v>
      </c>
      <c r="B929" s="12" t="s">
        <v>4374</v>
      </c>
      <c r="C929" s="12" t="s">
        <v>5179</v>
      </c>
      <c r="D929" s="12" t="s">
        <v>4752</v>
      </c>
      <c r="E929" s="12" t="s">
        <v>1648</v>
      </c>
      <c r="F929" s="12" t="s">
        <v>1649</v>
      </c>
      <c r="G929" s="12" t="s">
        <v>1647</v>
      </c>
      <c r="H929" s="12" t="s">
        <v>4388</v>
      </c>
      <c r="I929" s="12" t="s">
        <v>3059</v>
      </c>
      <c r="J929" s="12" t="s">
        <v>3096</v>
      </c>
      <c r="K929" s="12" t="s">
        <v>3823</v>
      </c>
      <c r="L929" s="13">
        <v>5</v>
      </c>
    </row>
    <row r="930" spans="1:12" hidden="1" x14ac:dyDescent="0.55000000000000004">
      <c r="A930" s="12" t="s">
        <v>2884</v>
      </c>
      <c r="B930" s="12" t="s">
        <v>4374</v>
      </c>
      <c r="C930" s="12" t="s">
        <v>5179</v>
      </c>
      <c r="D930" s="12" t="s">
        <v>4752</v>
      </c>
      <c r="E930" s="12" t="s">
        <v>1650</v>
      </c>
      <c r="F930" s="12" t="s">
        <v>1651</v>
      </c>
      <c r="G930" s="12" t="s">
        <v>1652</v>
      </c>
      <c r="H930" s="12" t="s">
        <v>4388</v>
      </c>
      <c r="I930" s="12" t="s">
        <v>3059</v>
      </c>
      <c r="J930" s="12" t="s">
        <v>3096</v>
      </c>
      <c r="K930" s="12" t="s">
        <v>3824</v>
      </c>
      <c r="L930" s="13">
        <v>5</v>
      </c>
    </row>
    <row r="931" spans="1:12" hidden="1" x14ac:dyDescent="0.55000000000000004">
      <c r="A931" s="12" t="s">
        <v>2908</v>
      </c>
      <c r="B931" s="12" t="s">
        <v>4422</v>
      </c>
      <c r="C931" s="12" t="s">
        <v>5138</v>
      </c>
      <c r="D931" s="12" t="s">
        <v>4752</v>
      </c>
      <c r="E931" s="12" t="s">
        <v>1587</v>
      </c>
      <c r="F931" s="12" t="s">
        <v>971</v>
      </c>
      <c r="G931" s="12" t="s">
        <v>1588</v>
      </c>
      <c r="H931" s="12" t="s">
        <v>4425</v>
      </c>
      <c r="I931" s="12" t="s">
        <v>3059</v>
      </c>
      <c r="J931" s="12" t="s">
        <v>338</v>
      </c>
      <c r="K931" s="12" t="s">
        <v>3797</v>
      </c>
      <c r="L931" s="13">
        <v>5</v>
      </c>
    </row>
    <row r="932" spans="1:12" hidden="1" x14ac:dyDescent="0.55000000000000004">
      <c r="A932" s="12" t="s">
        <v>2908</v>
      </c>
      <c r="B932" s="12" t="s">
        <v>4422</v>
      </c>
      <c r="C932" s="12" t="s">
        <v>5138</v>
      </c>
      <c r="D932" s="12" t="s">
        <v>4752</v>
      </c>
      <c r="E932" s="12" t="s">
        <v>1620</v>
      </c>
      <c r="F932" s="12" t="s">
        <v>3152</v>
      </c>
      <c r="G932" s="12" t="s">
        <v>1621</v>
      </c>
      <c r="H932" s="12" t="s">
        <v>4425</v>
      </c>
      <c r="I932" s="12" t="s">
        <v>3059</v>
      </c>
      <c r="J932" s="12" t="s">
        <v>338</v>
      </c>
      <c r="K932" s="12" t="s">
        <v>3812</v>
      </c>
      <c r="L932" s="13">
        <v>4</v>
      </c>
    </row>
    <row r="933" spans="1:12" hidden="1" x14ac:dyDescent="0.55000000000000004">
      <c r="A933" s="12" t="s">
        <v>2945</v>
      </c>
      <c r="B933" s="12" t="s">
        <v>4442</v>
      </c>
      <c r="C933" s="12" t="s">
        <v>5154</v>
      </c>
      <c r="D933" s="12" t="s">
        <v>4752</v>
      </c>
      <c r="E933" s="12" t="s">
        <v>437</v>
      </c>
      <c r="F933" s="12" t="s">
        <v>438</v>
      </c>
      <c r="G933" s="12" t="s">
        <v>439</v>
      </c>
      <c r="H933" s="12" t="s">
        <v>4463</v>
      </c>
      <c r="I933" s="12" t="s">
        <v>3059</v>
      </c>
      <c r="J933" s="12" t="s">
        <v>3084</v>
      </c>
      <c r="K933" s="12" t="s">
        <v>3394</v>
      </c>
      <c r="L933" s="13">
        <v>5</v>
      </c>
    </row>
    <row r="934" spans="1:12" hidden="1" x14ac:dyDescent="0.55000000000000004">
      <c r="A934" s="12" t="s">
        <v>2945</v>
      </c>
      <c r="B934" s="12" t="s">
        <v>4442</v>
      </c>
      <c r="C934" s="12" t="s">
        <v>5154</v>
      </c>
      <c r="D934" s="12" t="s">
        <v>4752</v>
      </c>
      <c r="E934" s="12" t="s">
        <v>440</v>
      </c>
      <c r="F934" s="12" t="s">
        <v>441</v>
      </c>
      <c r="G934" s="12" t="s">
        <v>442</v>
      </c>
      <c r="H934" s="12" t="s">
        <v>4463</v>
      </c>
      <c r="I934" s="12" t="s">
        <v>3059</v>
      </c>
      <c r="J934" s="12" t="s">
        <v>3084</v>
      </c>
      <c r="K934" s="12" t="s">
        <v>3395</v>
      </c>
      <c r="L934" s="13">
        <v>5</v>
      </c>
    </row>
    <row r="935" spans="1:12" hidden="1" x14ac:dyDescent="0.55000000000000004">
      <c r="A935" s="12" t="s">
        <v>2945</v>
      </c>
      <c r="B935" s="12" t="s">
        <v>4442</v>
      </c>
      <c r="C935" s="12" t="s">
        <v>5154</v>
      </c>
      <c r="D935" s="12" t="s">
        <v>4752</v>
      </c>
      <c r="E935" s="12" t="s">
        <v>444</v>
      </c>
      <c r="F935" s="12" t="s">
        <v>445</v>
      </c>
      <c r="G935" s="12" t="s">
        <v>446</v>
      </c>
      <c r="H935" s="12" t="s">
        <v>4463</v>
      </c>
      <c r="I935" s="12" t="s">
        <v>3059</v>
      </c>
      <c r="J935" s="12" t="s">
        <v>3084</v>
      </c>
      <c r="K935" s="12" t="s">
        <v>3396</v>
      </c>
      <c r="L935" s="13">
        <v>5</v>
      </c>
    </row>
    <row r="936" spans="1:12" hidden="1" x14ac:dyDescent="0.55000000000000004">
      <c r="A936" s="12" t="s">
        <v>2945</v>
      </c>
      <c r="B936" s="12" t="s">
        <v>4442</v>
      </c>
      <c r="C936" s="12" t="s">
        <v>5154</v>
      </c>
      <c r="D936" s="12" t="s">
        <v>4752</v>
      </c>
      <c r="E936" s="12" t="s">
        <v>459</v>
      </c>
      <c r="F936" s="12" t="s">
        <v>460</v>
      </c>
      <c r="G936" s="12" t="s">
        <v>461</v>
      </c>
      <c r="H936" s="12" t="s">
        <v>4463</v>
      </c>
      <c r="I936" s="12" t="s">
        <v>3059</v>
      </c>
      <c r="J936" s="12" t="s">
        <v>3084</v>
      </c>
      <c r="K936" s="12" t="s">
        <v>3400</v>
      </c>
      <c r="L936" s="13">
        <v>5</v>
      </c>
    </row>
    <row r="937" spans="1:12" hidden="1" x14ac:dyDescent="0.55000000000000004">
      <c r="A937" s="12" t="s">
        <v>2945</v>
      </c>
      <c r="B937" s="12" t="s">
        <v>4442</v>
      </c>
      <c r="C937" s="12" t="s">
        <v>5154</v>
      </c>
      <c r="D937" s="12" t="s">
        <v>4752</v>
      </c>
      <c r="E937" s="12" t="s">
        <v>462</v>
      </c>
      <c r="F937" s="12" t="s">
        <v>3132</v>
      </c>
      <c r="G937" s="12" t="s">
        <v>442</v>
      </c>
      <c r="H937" s="12" t="s">
        <v>4463</v>
      </c>
      <c r="I937" s="12" t="s">
        <v>3075</v>
      </c>
      <c r="J937" s="12" t="s">
        <v>3084</v>
      </c>
      <c r="K937" s="12" t="s">
        <v>4649</v>
      </c>
      <c r="L937" s="13" t="s">
        <v>3075</v>
      </c>
    </row>
    <row r="938" spans="1:12" hidden="1" x14ac:dyDescent="0.55000000000000004">
      <c r="A938" s="12" t="s">
        <v>2945</v>
      </c>
      <c r="B938" s="12" t="s">
        <v>4442</v>
      </c>
      <c r="C938" s="12" t="s">
        <v>5154</v>
      </c>
      <c r="D938" s="12" t="s">
        <v>4752</v>
      </c>
      <c r="E938" s="12" t="s">
        <v>472</v>
      </c>
      <c r="F938" s="12" t="s">
        <v>473</v>
      </c>
      <c r="G938" s="12" t="s">
        <v>474</v>
      </c>
      <c r="H938" s="12" t="s">
        <v>4463</v>
      </c>
      <c r="I938" s="12" t="s">
        <v>3059</v>
      </c>
      <c r="J938" s="12" t="s">
        <v>3084</v>
      </c>
      <c r="K938" s="12" t="s">
        <v>3404</v>
      </c>
      <c r="L938" s="13">
        <v>5</v>
      </c>
    </row>
    <row r="939" spans="1:12" hidden="1" x14ac:dyDescent="0.55000000000000004">
      <c r="A939" s="12" t="s">
        <v>2945</v>
      </c>
      <c r="B939" s="12" t="s">
        <v>4442</v>
      </c>
      <c r="C939" s="12" t="s">
        <v>5154</v>
      </c>
      <c r="D939" s="12" t="s">
        <v>4752</v>
      </c>
      <c r="E939" s="12" t="s">
        <v>491</v>
      </c>
      <c r="F939" s="12" t="s">
        <v>492</v>
      </c>
      <c r="G939" s="12" t="s">
        <v>493</v>
      </c>
      <c r="H939" s="12" t="s">
        <v>4463</v>
      </c>
      <c r="I939" s="12" t="s">
        <v>3059</v>
      </c>
      <c r="J939" s="12" t="s">
        <v>3084</v>
      </c>
      <c r="K939" s="12" t="s">
        <v>3411</v>
      </c>
      <c r="L939" s="13">
        <v>5</v>
      </c>
    </row>
    <row r="940" spans="1:12" hidden="1" x14ac:dyDescent="0.55000000000000004">
      <c r="A940" s="12" t="s">
        <v>2945</v>
      </c>
      <c r="B940" s="12" t="s">
        <v>4442</v>
      </c>
      <c r="C940" s="12" t="s">
        <v>5154</v>
      </c>
      <c r="D940" s="12" t="s">
        <v>4752</v>
      </c>
      <c r="E940" s="12" t="s">
        <v>499</v>
      </c>
      <c r="F940" s="12" t="s">
        <v>500</v>
      </c>
      <c r="G940" s="12" t="s">
        <v>488</v>
      </c>
      <c r="H940" s="12" t="s">
        <v>4463</v>
      </c>
      <c r="I940" s="12" t="s">
        <v>3059</v>
      </c>
      <c r="J940" s="12" t="s">
        <v>3084</v>
      </c>
      <c r="K940" s="12" t="s">
        <v>3414</v>
      </c>
      <c r="L940" s="13">
        <v>5</v>
      </c>
    </row>
    <row r="941" spans="1:12" hidden="1" x14ac:dyDescent="0.55000000000000004">
      <c r="A941" s="12" t="s">
        <v>2945</v>
      </c>
      <c r="B941" s="12" t="s">
        <v>4442</v>
      </c>
      <c r="C941" s="12" t="s">
        <v>5154</v>
      </c>
      <c r="D941" s="12" t="s">
        <v>4752</v>
      </c>
      <c r="E941" s="12" t="s">
        <v>520</v>
      </c>
      <c r="F941" s="12" t="s">
        <v>521</v>
      </c>
      <c r="G941" s="12" t="s">
        <v>522</v>
      </c>
      <c r="H941" s="12" t="s">
        <v>4463</v>
      </c>
      <c r="I941" s="12" t="s">
        <v>3059</v>
      </c>
      <c r="J941" s="12" t="s">
        <v>3084</v>
      </c>
      <c r="K941" s="12" t="s">
        <v>3421</v>
      </c>
      <c r="L941" s="13">
        <v>5</v>
      </c>
    </row>
    <row r="942" spans="1:12" hidden="1" x14ac:dyDescent="0.55000000000000004">
      <c r="A942" s="12" t="s">
        <v>2945</v>
      </c>
      <c r="B942" s="12" t="s">
        <v>4442</v>
      </c>
      <c r="C942" s="12" t="s">
        <v>5154</v>
      </c>
      <c r="D942" s="12" t="s">
        <v>4752</v>
      </c>
      <c r="E942" s="12" t="s">
        <v>529</v>
      </c>
      <c r="F942" s="12" t="s">
        <v>147</v>
      </c>
      <c r="G942" s="12" t="s">
        <v>530</v>
      </c>
      <c r="H942" s="12" t="s">
        <v>4463</v>
      </c>
      <c r="I942" s="12" t="s">
        <v>3059</v>
      </c>
      <c r="J942" s="12" t="s">
        <v>3084</v>
      </c>
      <c r="K942" s="12" t="s">
        <v>3424</v>
      </c>
      <c r="L942" s="13">
        <v>5</v>
      </c>
    </row>
    <row r="943" spans="1:12" hidden="1" x14ac:dyDescent="0.55000000000000004">
      <c r="A943" s="12" t="s">
        <v>2945</v>
      </c>
      <c r="B943" s="12" t="s">
        <v>4442</v>
      </c>
      <c r="C943" s="12" t="s">
        <v>5154</v>
      </c>
      <c r="D943" s="12" t="s">
        <v>4752</v>
      </c>
      <c r="E943" s="12" t="s">
        <v>531</v>
      </c>
      <c r="F943" s="12" t="s">
        <v>532</v>
      </c>
      <c r="G943" s="12" t="s">
        <v>533</v>
      </c>
      <c r="H943" s="12" t="s">
        <v>4463</v>
      </c>
      <c r="I943" s="12" t="s">
        <v>3059</v>
      </c>
      <c r="J943" s="12" t="s">
        <v>3084</v>
      </c>
      <c r="K943" s="12" t="s">
        <v>3425</v>
      </c>
      <c r="L943" s="13">
        <v>5</v>
      </c>
    </row>
    <row r="944" spans="1:12" hidden="1" x14ac:dyDescent="0.55000000000000004">
      <c r="A944" s="12" t="s">
        <v>2945</v>
      </c>
      <c r="B944" s="12" t="s">
        <v>4442</v>
      </c>
      <c r="C944" s="12" t="s">
        <v>5154</v>
      </c>
      <c r="D944" s="12" t="s">
        <v>4752</v>
      </c>
      <c r="E944" s="12" t="s">
        <v>540</v>
      </c>
      <c r="F944" s="12" t="s">
        <v>541</v>
      </c>
      <c r="G944" s="12" t="s">
        <v>471</v>
      </c>
      <c r="H944" s="12" t="s">
        <v>4463</v>
      </c>
      <c r="I944" s="12" t="s">
        <v>3059</v>
      </c>
      <c r="J944" s="12" t="s">
        <v>3084</v>
      </c>
      <c r="K944" s="12" t="s">
        <v>3428</v>
      </c>
      <c r="L944" s="13">
        <v>5</v>
      </c>
    </row>
    <row r="945" spans="1:12" hidden="1" x14ac:dyDescent="0.55000000000000004">
      <c r="A945" s="12" t="s">
        <v>2945</v>
      </c>
      <c r="B945" s="12" t="s">
        <v>4442</v>
      </c>
      <c r="C945" s="12" t="s">
        <v>5154</v>
      </c>
      <c r="D945" s="12" t="s">
        <v>4752</v>
      </c>
      <c r="E945" s="12" t="s">
        <v>542</v>
      </c>
      <c r="F945" s="12" t="s">
        <v>543</v>
      </c>
      <c r="G945" s="12" t="s">
        <v>544</v>
      </c>
      <c r="H945" s="12" t="s">
        <v>4463</v>
      </c>
      <c r="I945" s="12" t="s">
        <v>3059</v>
      </c>
      <c r="J945" s="12" t="s">
        <v>3084</v>
      </c>
      <c r="K945" s="12" t="s">
        <v>3429</v>
      </c>
      <c r="L945" s="13">
        <v>5</v>
      </c>
    </row>
    <row r="946" spans="1:12" hidden="1" x14ac:dyDescent="0.55000000000000004">
      <c r="A946" s="12" t="s">
        <v>2945</v>
      </c>
      <c r="B946" s="12" t="s">
        <v>4442</v>
      </c>
      <c r="C946" s="12" t="s">
        <v>5154</v>
      </c>
      <c r="D946" s="12" t="s">
        <v>4752</v>
      </c>
      <c r="E946" s="12" t="s">
        <v>557</v>
      </c>
      <c r="F946" s="12" t="s">
        <v>558</v>
      </c>
      <c r="G946" s="12" t="s">
        <v>555</v>
      </c>
      <c r="H946" s="12" t="s">
        <v>4463</v>
      </c>
      <c r="I946" s="12" t="s">
        <v>3059</v>
      </c>
      <c r="J946" s="12" t="s">
        <v>3084</v>
      </c>
      <c r="K946" s="12" t="s">
        <v>3433</v>
      </c>
      <c r="L946" s="13">
        <v>5</v>
      </c>
    </row>
    <row r="947" spans="1:12" hidden="1" x14ac:dyDescent="0.55000000000000004">
      <c r="A947" s="12" t="s">
        <v>2945</v>
      </c>
      <c r="B947" s="12" t="s">
        <v>4442</v>
      </c>
      <c r="C947" s="12" t="s">
        <v>5154</v>
      </c>
      <c r="D947" s="12" t="s">
        <v>4752</v>
      </c>
      <c r="E947" s="12" t="s">
        <v>580</v>
      </c>
      <c r="F947" s="12" t="s">
        <v>147</v>
      </c>
      <c r="G947" s="12" t="s">
        <v>439</v>
      </c>
      <c r="H947" s="12" t="s">
        <v>4463</v>
      </c>
      <c r="I947" s="12" t="s">
        <v>3059</v>
      </c>
      <c r="J947" s="12" t="s">
        <v>3084</v>
      </c>
      <c r="K947" s="12" t="s">
        <v>3442</v>
      </c>
      <c r="L947" s="13">
        <v>5</v>
      </c>
    </row>
    <row r="948" spans="1:12" hidden="1" x14ac:dyDescent="0.55000000000000004">
      <c r="A948" s="12" t="s">
        <v>2945</v>
      </c>
      <c r="B948" s="12" t="s">
        <v>4442</v>
      </c>
      <c r="C948" s="12" t="s">
        <v>5154</v>
      </c>
      <c r="D948" s="12" t="s">
        <v>4752</v>
      </c>
      <c r="E948" s="12" t="s">
        <v>581</v>
      </c>
      <c r="F948" s="12" t="s">
        <v>582</v>
      </c>
      <c r="G948" s="12" t="s">
        <v>583</v>
      </c>
      <c r="H948" s="12" t="s">
        <v>4463</v>
      </c>
      <c r="I948" s="12" t="s">
        <v>3059</v>
      </c>
      <c r="J948" s="12" t="s">
        <v>3084</v>
      </c>
      <c r="K948" s="12" t="s">
        <v>3443</v>
      </c>
      <c r="L948" s="13">
        <v>5</v>
      </c>
    </row>
    <row r="949" spans="1:12" hidden="1" x14ac:dyDescent="0.55000000000000004">
      <c r="A949" s="12" t="s">
        <v>2945</v>
      </c>
      <c r="B949" s="12" t="s">
        <v>4442</v>
      </c>
      <c r="C949" s="12" t="s">
        <v>5154</v>
      </c>
      <c r="D949" s="12" t="s">
        <v>4752</v>
      </c>
      <c r="E949" s="12" t="s">
        <v>3177</v>
      </c>
      <c r="F949" s="12" t="s">
        <v>3176</v>
      </c>
      <c r="G949" s="12" t="s">
        <v>488</v>
      </c>
      <c r="H949" s="12" t="s">
        <v>4463</v>
      </c>
      <c r="I949" s="12" t="s">
        <v>3059</v>
      </c>
      <c r="J949" s="12" t="s">
        <v>3084</v>
      </c>
      <c r="K949" s="12" t="s">
        <v>4267</v>
      </c>
      <c r="L949" s="13">
        <v>5</v>
      </c>
    </row>
    <row r="950" spans="1:12" hidden="1" x14ac:dyDescent="0.55000000000000004">
      <c r="A950" s="12" t="s">
        <v>2945</v>
      </c>
      <c r="B950" s="12" t="s">
        <v>4442</v>
      </c>
      <c r="C950" s="12" t="s">
        <v>5154</v>
      </c>
      <c r="D950" s="12" t="s">
        <v>4752</v>
      </c>
      <c r="E950" s="12" t="s">
        <v>3179</v>
      </c>
      <c r="F950" s="12" t="s">
        <v>1490</v>
      </c>
      <c r="G950" s="12" t="s">
        <v>3178</v>
      </c>
      <c r="H950" s="12" t="s">
        <v>4463</v>
      </c>
      <c r="I950" s="12" t="s">
        <v>3059</v>
      </c>
      <c r="J950" s="12" t="s">
        <v>3084</v>
      </c>
      <c r="K950" s="12" t="s">
        <v>4268</v>
      </c>
      <c r="L950" s="13">
        <v>5</v>
      </c>
    </row>
    <row r="951" spans="1:12" hidden="1" x14ac:dyDescent="0.55000000000000004">
      <c r="A951" s="12" t="s">
        <v>2945</v>
      </c>
      <c r="B951" s="12" t="s">
        <v>4442</v>
      </c>
      <c r="C951" s="12" t="s">
        <v>5154</v>
      </c>
      <c r="D951" s="12" t="s">
        <v>4752</v>
      </c>
      <c r="E951" s="12" t="s">
        <v>3175</v>
      </c>
      <c r="F951" s="12" t="s">
        <v>1556</v>
      </c>
      <c r="G951" s="12" t="s">
        <v>544</v>
      </c>
      <c r="H951" s="12" t="s">
        <v>4463</v>
      </c>
      <c r="I951" s="12" t="s">
        <v>3059</v>
      </c>
      <c r="J951" s="12" t="s">
        <v>3084</v>
      </c>
      <c r="K951" s="12" t="s">
        <v>4266</v>
      </c>
      <c r="L951" s="13">
        <v>5</v>
      </c>
    </row>
    <row r="952" spans="1:12" hidden="1" x14ac:dyDescent="0.55000000000000004">
      <c r="A952" s="12" t="s">
        <v>3037</v>
      </c>
      <c r="B952" s="12" t="s">
        <v>4486</v>
      </c>
      <c r="C952" s="12" t="s">
        <v>1974</v>
      </c>
      <c r="D952" s="12" t="s">
        <v>4752</v>
      </c>
      <c r="E952" s="12" t="s">
        <v>1971</v>
      </c>
      <c r="F952" s="12" t="s">
        <v>1972</v>
      </c>
      <c r="G952" s="12" t="s">
        <v>1973</v>
      </c>
      <c r="H952" s="12" t="s">
        <v>5249</v>
      </c>
      <c r="I952" s="12" t="s">
        <v>3059</v>
      </c>
      <c r="J952" s="12" t="s">
        <v>1071</v>
      </c>
      <c r="K952" s="12" t="s">
        <v>3941</v>
      </c>
      <c r="L952" s="13">
        <v>4</v>
      </c>
    </row>
    <row r="953" spans="1:12" hidden="1" x14ac:dyDescent="0.55000000000000004">
      <c r="A953" s="12" t="s">
        <v>3037</v>
      </c>
      <c r="B953" s="12" t="s">
        <v>4486</v>
      </c>
      <c r="C953" s="12" t="s">
        <v>1974</v>
      </c>
      <c r="D953" s="12" t="s">
        <v>4752</v>
      </c>
      <c r="E953" s="12" t="s">
        <v>1975</v>
      </c>
      <c r="F953" s="12" t="s">
        <v>1976</v>
      </c>
      <c r="G953" s="12" t="s">
        <v>1977</v>
      </c>
      <c r="H953" s="12" t="s">
        <v>5249</v>
      </c>
      <c r="I953" s="12" t="s">
        <v>3059</v>
      </c>
      <c r="J953" s="12" t="s">
        <v>1071</v>
      </c>
      <c r="K953" s="12" t="s">
        <v>3942</v>
      </c>
      <c r="L953" s="13">
        <v>2</v>
      </c>
    </row>
    <row r="954" spans="1:12" hidden="1" x14ac:dyDescent="0.55000000000000004">
      <c r="A954" s="12" t="s">
        <v>3037</v>
      </c>
      <c r="B954" s="12" t="s">
        <v>4486</v>
      </c>
      <c r="C954" s="12" t="s">
        <v>1974</v>
      </c>
      <c r="D954" s="12" t="s">
        <v>4752</v>
      </c>
      <c r="E954" s="12" t="s">
        <v>1978</v>
      </c>
      <c r="F954" s="12" t="s">
        <v>693</v>
      </c>
      <c r="G954" s="12" t="s">
        <v>1979</v>
      </c>
      <c r="H954" s="12" t="s">
        <v>5249</v>
      </c>
      <c r="I954" s="12" t="s">
        <v>3059</v>
      </c>
      <c r="J954" s="12" t="s">
        <v>1071</v>
      </c>
      <c r="K954" s="12" t="s">
        <v>3943</v>
      </c>
      <c r="L954" s="13">
        <v>3</v>
      </c>
    </row>
    <row r="955" spans="1:12" hidden="1" x14ac:dyDescent="0.55000000000000004">
      <c r="A955" s="12" t="s">
        <v>3037</v>
      </c>
      <c r="B955" s="12" t="s">
        <v>4486</v>
      </c>
      <c r="C955" s="12" t="s">
        <v>1974</v>
      </c>
      <c r="D955" s="12" t="s">
        <v>4752</v>
      </c>
      <c r="E955" s="12" t="s">
        <v>1980</v>
      </c>
      <c r="F955" s="12" t="s">
        <v>39</v>
      </c>
      <c r="G955" s="12" t="s">
        <v>1981</v>
      </c>
      <c r="H955" s="12" t="s">
        <v>5249</v>
      </c>
      <c r="I955" s="12" t="s">
        <v>3059</v>
      </c>
      <c r="J955" s="12" t="s">
        <v>1071</v>
      </c>
      <c r="K955" s="12" t="s">
        <v>3944</v>
      </c>
      <c r="L955" s="13">
        <v>3</v>
      </c>
    </row>
    <row r="956" spans="1:12" hidden="1" x14ac:dyDescent="0.55000000000000004">
      <c r="A956" s="12" t="s">
        <v>3037</v>
      </c>
      <c r="B956" s="12" t="s">
        <v>4486</v>
      </c>
      <c r="C956" s="12" t="s">
        <v>1974</v>
      </c>
      <c r="D956" s="12" t="s">
        <v>4752</v>
      </c>
      <c r="E956" s="12" t="s">
        <v>1982</v>
      </c>
      <c r="F956" s="12" t="s">
        <v>1474</v>
      </c>
      <c r="G956" s="12" t="s">
        <v>1983</v>
      </c>
      <c r="H956" s="12" t="s">
        <v>5249</v>
      </c>
      <c r="I956" s="12" t="s">
        <v>3059</v>
      </c>
      <c r="J956" s="12" t="s">
        <v>1071</v>
      </c>
      <c r="K956" s="12" t="s">
        <v>3945</v>
      </c>
      <c r="L956" s="13">
        <v>3</v>
      </c>
    </row>
    <row r="957" spans="1:12" hidden="1" x14ac:dyDescent="0.55000000000000004">
      <c r="A957" s="12" t="s">
        <v>3037</v>
      </c>
      <c r="B957" s="12" t="s">
        <v>4486</v>
      </c>
      <c r="C957" s="12" t="s">
        <v>1974</v>
      </c>
      <c r="D957" s="12" t="s">
        <v>4752</v>
      </c>
      <c r="E957" s="12" t="s">
        <v>1988</v>
      </c>
      <c r="F957" s="12" t="s">
        <v>1989</v>
      </c>
      <c r="G957" s="12" t="s">
        <v>1990</v>
      </c>
      <c r="H957" s="12" t="s">
        <v>5249</v>
      </c>
      <c r="I957" s="12" t="s">
        <v>3059</v>
      </c>
      <c r="J957" s="12" t="s">
        <v>1071</v>
      </c>
      <c r="K957" s="12" t="s">
        <v>3948</v>
      </c>
      <c r="L957" s="13">
        <v>3</v>
      </c>
    </row>
    <row r="958" spans="1:12" hidden="1" x14ac:dyDescent="0.55000000000000004">
      <c r="A958" s="12" t="s">
        <v>2834</v>
      </c>
      <c r="B958" s="12" t="s">
        <v>4298</v>
      </c>
      <c r="C958" s="12" t="s">
        <v>5131</v>
      </c>
      <c r="D958" s="12" t="s">
        <v>4752</v>
      </c>
      <c r="E958" s="12" t="s">
        <v>835</v>
      </c>
      <c r="F958" s="12" t="s">
        <v>836</v>
      </c>
      <c r="G958" s="12" t="s">
        <v>837</v>
      </c>
      <c r="H958" s="12" t="s">
        <v>4328</v>
      </c>
      <c r="I958" s="12" t="s">
        <v>3059</v>
      </c>
      <c r="J958" s="12" t="s">
        <v>1404</v>
      </c>
      <c r="K958" s="12" t="s">
        <v>3533</v>
      </c>
      <c r="L958" s="13">
        <v>2</v>
      </c>
    </row>
    <row r="959" spans="1:12" hidden="1" x14ac:dyDescent="0.55000000000000004">
      <c r="A959" s="12" t="s">
        <v>2834</v>
      </c>
      <c r="B959" s="12" t="s">
        <v>4298</v>
      </c>
      <c r="C959" s="12" t="s">
        <v>5131</v>
      </c>
      <c r="D959" s="12" t="s">
        <v>4752</v>
      </c>
      <c r="E959" s="12" t="s">
        <v>838</v>
      </c>
      <c r="F959" s="12" t="s">
        <v>808</v>
      </c>
      <c r="G959" s="12" t="s">
        <v>839</v>
      </c>
      <c r="H959" s="12" t="s">
        <v>4328</v>
      </c>
      <c r="I959" s="12" t="s">
        <v>3059</v>
      </c>
      <c r="J959" s="12" t="s">
        <v>1404</v>
      </c>
      <c r="K959" s="12" t="s">
        <v>3534</v>
      </c>
      <c r="L959" s="13">
        <v>2</v>
      </c>
    </row>
    <row r="960" spans="1:12" hidden="1" x14ac:dyDescent="0.55000000000000004">
      <c r="A960" s="12" t="s">
        <v>2834</v>
      </c>
      <c r="B960" s="12" t="s">
        <v>4298</v>
      </c>
      <c r="C960" s="12" t="s">
        <v>5131</v>
      </c>
      <c r="D960" s="12" t="s">
        <v>4752</v>
      </c>
      <c r="E960" s="12" t="s">
        <v>846</v>
      </c>
      <c r="F960" s="12" t="s">
        <v>836</v>
      </c>
      <c r="G960" s="12" t="s">
        <v>847</v>
      </c>
      <c r="H960" s="12" t="s">
        <v>4328</v>
      </c>
      <c r="I960" s="12" t="s">
        <v>3059</v>
      </c>
      <c r="J960" s="12" t="s">
        <v>1404</v>
      </c>
      <c r="K960" s="12" t="s">
        <v>3537</v>
      </c>
      <c r="L960" s="13">
        <v>4</v>
      </c>
    </row>
    <row r="961" spans="1:12" hidden="1" x14ac:dyDescent="0.55000000000000004">
      <c r="A961" s="12" t="s">
        <v>2834</v>
      </c>
      <c r="B961" s="12" t="s">
        <v>4298</v>
      </c>
      <c r="C961" s="12" t="s">
        <v>5131</v>
      </c>
      <c r="D961" s="12" t="s">
        <v>4752</v>
      </c>
      <c r="E961" s="12" t="s">
        <v>6027</v>
      </c>
      <c r="F961" s="12" t="s">
        <v>768</v>
      </c>
      <c r="G961" s="12" t="s">
        <v>769</v>
      </c>
      <c r="H961" s="12" t="s">
        <v>4328</v>
      </c>
      <c r="I961" s="12" t="s">
        <v>3075</v>
      </c>
      <c r="J961" s="12" t="s">
        <v>1404</v>
      </c>
      <c r="K961" s="12" t="s">
        <v>3508</v>
      </c>
      <c r="L961" s="13" t="s">
        <v>3075</v>
      </c>
    </row>
    <row r="962" spans="1:12" hidden="1" x14ac:dyDescent="0.55000000000000004">
      <c r="A962" s="12" t="s">
        <v>3041</v>
      </c>
      <c r="B962" s="12" t="s">
        <v>4486</v>
      </c>
      <c r="C962" s="12" t="s">
        <v>2000</v>
      </c>
      <c r="D962" s="12" t="s">
        <v>4752</v>
      </c>
      <c r="E962" s="12" t="s">
        <v>1997</v>
      </c>
      <c r="F962" s="12" t="s">
        <v>1998</v>
      </c>
      <c r="G962" s="12" t="s">
        <v>1999</v>
      </c>
      <c r="H962" s="12" t="s">
        <v>5250</v>
      </c>
      <c r="I962" s="12" t="s">
        <v>3075</v>
      </c>
      <c r="J962" s="12" t="s">
        <v>3090</v>
      </c>
      <c r="K962" s="12" t="s">
        <v>3951</v>
      </c>
      <c r="L962" s="13" t="s">
        <v>3075</v>
      </c>
    </row>
    <row r="963" spans="1:12" hidden="1" x14ac:dyDescent="0.55000000000000004">
      <c r="A963" s="12" t="s">
        <v>3041</v>
      </c>
      <c r="B963" s="12" t="s">
        <v>4486</v>
      </c>
      <c r="C963" s="12" t="s">
        <v>2000</v>
      </c>
      <c r="D963" s="12" t="s">
        <v>4752</v>
      </c>
      <c r="E963" s="12" t="s">
        <v>2004</v>
      </c>
      <c r="F963" s="12" t="s">
        <v>2005</v>
      </c>
      <c r="G963" s="12" t="s">
        <v>2006</v>
      </c>
      <c r="H963" s="12" t="s">
        <v>5250</v>
      </c>
      <c r="I963" s="12" t="s">
        <v>3075</v>
      </c>
      <c r="J963" s="12" t="s">
        <v>3090</v>
      </c>
      <c r="K963" s="12" t="s">
        <v>3953</v>
      </c>
      <c r="L963" s="13" t="s">
        <v>3075</v>
      </c>
    </row>
    <row r="964" spans="1:12" hidden="1" x14ac:dyDescent="0.55000000000000004">
      <c r="A964" s="12" t="s">
        <v>3041</v>
      </c>
      <c r="B964" s="12" t="s">
        <v>4486</v>
      </c>
      <c r="C964" s="12" t="s">
        <v>2000</v>
      </c>
      <c r="D964" s="12" t="s">
        <v>4752</v>
      </c>
      <c r="E964" s="12" t="s">
        <v>2016</v>
      </c>
      <c r="F964" s="12" t="s">
        <v>2017</v>
      </c>
      <c r="G964" s="12" t="s">
        <v>2018</v>
      </c>
      <c r="H964" s="12" t="s">
        <v>5250</v>
      </c>
      <c r="I964" s="12" t="s">
        <v>3075</v>
      </c>
      <c r="J964" s="12" t="s">
        <v>3090</v>
      </c>
      <c r="K964" s="12" t="s">
        <v>3958</v>
      </c>
      <c r="L964" s="13" t="s">
        <v>3075</v>
      </c>
    </row>
    <row r="965" spans="1:12" hidden="1" x14ac:dyDescent="0.55000000000000004">
      <c r="A965" s="12" t="s">
        <v>3041</v>
      </c>
      <c r="B965" s="12" t="s">
        <v>4486</v>
      </c>
      <c r="C965" s="12" t="s">
        <v>2000</v>
      </c>
      <c r="D965" s="12" t="s">
        <v>4752</v>
      </c>
      <c r="E965" s="12" t="s">
        <v>2022</v>
      </c>
      <c r="F965" s="12" t="s">
        <v>291</v>
      </c>
      <c r="G965" s="12" t="s">
        <v>2023</v>
      </c>
      <c r="H965" s="12" t="s">
        <v>5250</v>
      </c>
      <c r="I965" s="12" t="s">
        <v>3059</v>
      </c>
      <c r="J965" s="12" t="s">
        <v>3090</v>
      </c>
      <c r="K965" s="12" t="s">
        <v>3960</v>
      </c>
      <c r="L965" s="13">
        <v>6</v>
      </c>
    </row>
    <row r="966" spans="1:12" hidden="1" x14ac:dyDescent="0.55000000000000004">
      <c r="A966" s="12" t="s">
        <v>3041</v>
      </c>
      <c r="B966" s="12" t="s">
        <v>4486</v>
      </c>
      <c r="C966" s="12" t="s">
        <v>2000</v>
      </c>
      <c r="D966" s="12" t="s">
        <v>4752</v>
      </c>
      <c r="E966" s="12" t="s">
        <v>2024</v>
      </c>
      <c r="F966" s="12" t="s">
        <v>2025</v>
      </c>
      <c r="G966" s="12" t="s">
        <v>2026</v>
      </c>
      <c r="H966" s="12" t="s">
        <v>5250</v>
      </c>
      <c r="I966" s="12" t="s">
        <v>3059</v>
      </c>
      <c r="J966" s="12" t="s">
        <v>3090</v>
      </c>
      <c r="K966" s="12" t="s">
        <v>3961</v>
      </c>
      <c r="L966" s="13">
        <v>6</v>
      </c>
    </row>
    <row r="967" spans="1:12" hidden="1" x14ac:dyDescent="0.55000000000000004">
      <c r="A967" s="12" t="s">
        <v>2821</v>
      </c>
      <c r="B967" s="12" t="s">
        <v>4298</v>
      </c>
      <c r="C967" s="12" t="s">
        <v>5251</v>
      </c>
      <c r="D967" s="12" t="s">
        <v>4752</v>
      </c>
      <c r="E967" s="12" t="s">
        <v>1888</v>
      </c>
      <c r="F967" s="12" t="s">
        <v>1889</v>
      </c>
      <c r="G967" s="12" t="s">
        <v>1890</v>
      </c>
      <c r="H967" s="12" t="s">
        <v>4316</v>
      </c>
      <c r="I967" s="12" t="s">
        <v>3060</v>
      </c>
      <c r="J967" s="12" t="s">
        <v>1603</v>
      </c>
      <c r="K967" s="12" t="s">
        <v>3912</v>
      </c>
      <c r="L967" s="13">
        <v>6</v>
      </c>
    </row>
    <row r="968" spans="1:12" hidden="1" x14ac:dyDescent="0.55000000000000004">
      <c r="A968" s="12" t="s">
        <v>2821</v>
      </c>
      <c r="B968" s="12" t="s">
        <v>4298</v>
      </c>
      <c r="C968" s="12" t="s">
        <v>5251</v>
      </c>
      <c r="D968" s="12" t="s">
        <v>4752</v>
      </c>
      <c r="E968" s="12" t="s">
        <v>1911</v>
      </c>
      <c r="F968" s="12" t="s">
        <v>1545</v>
      </c>
      <c r="G968" s="12" t="s">
        <v>1912</v>
      </c>
      <c r="H968" s="12" t="s">
        <v>4316</v>
      </c>
      <c r="I968" s="12" t="s">
        <v>3059</v>
      </c>
      <c r="J968" s="12" t="s">
        <v>1603</v>
      </c>
      <c r="K968" s="12" t="s">
        <v>3920</v>
      </c>
      <c r="L968" s="13">
        <v>7</v>
      </c>
    </row>
    <row r="969" spans="1:12" hidden="1" x14ac:dyDescent="0.55000000000000004">
      <c r="A969" s="12" t="s">
        <v>2821</v>
      </c>
      <c r="B969" s="12" t="s">
        <v>4298</v>
      </c>
      <c r="C969" s="12" t="s">
        <v>5251</v>
      </c>
      <c r="D969" s="12" t="s">
        <v>4752</v>
      </c>
      <c r="E969" s="12" t="s">
        <v>6028</v>
      </c>
      <c r="F969" s="12" t="s">
        <v>250</v>
      </c>
      <c r="G969" s="12" t="s">
        <v>6029</v>
      </c>
      <c r="H969" s="12" t="s">
        <v>4316</v>
      </c>
      <c r="I969" s="12" t="s">
        <v>3060</v>
      </c>
      <c r="J969" s="12" t="s">
        <v>1603</v>
      </c>
      <c r="K969" s="12" t="s">
        <v>6030</v>
      </c>
      <c r="L969" s="13">
        <v>6</v>
      </c>
    </row>
    <row r="970" spans="1:12" hidden="1" x14ac:dyDescent="0.55000000000000004">
      <c r="A970" s="12" t="s">
        <v>2818</v>
      </c>
      <c r="B970" s="12" t="s">
        <v>4298</v>
      </c>
      <c r="C970" s="12" t="s">
        <v>5212</v>
      </c>
      <c r="D970" s="12" t="s">
        <v>4752</v>
      </c>
      <c r="E970" s="12" t="s">
        <v>416</v>
      </c>
      <c r="F970" s="12" t="s">
        <v>417</v>
      </c>
      <c r="G970" s="12" t="s">
        <v>418</v>
      </c>
      <c r="H970" s="12" t="s">
        <v>4311</v>
      </c>
      <c r="I970" s="12" t="s">
        <v>3059</v>
      </c>
      <c r="J970" s="12" t="s">
        <v>3086</v>
      </c>
      <c r="K970" s="12" t="s">
        <v>3386</v>
      </c>
      <c r="L970" s="13">
        <v>4</v>
      </c>
    </row>
    <row r="971" spans="1:12" hidden="1" x14ac:dyDescent="0.55000000000000004">
      <c r="A971" s="12" t="s">
        <v>2818</v>
      </c>
      <c r="B971" s="12" t="s">
        <v>4298</v>
      </c>
      <c r="C971" s="12" t="s">
        <v>5212</v>
      </c>
      <c r="D971" s="12" t="s">
        <v>4752</v>
      </c>
      <c r="E971" s="12" t="s">
        <v>427</v>
      </c>
      <c r="F971" s="12" t="s">
        <v>428</v>
      </c>
      <c r="G971" s="12" t="s">
        <v>429</v>
      </c>
      <c r="H971" s="12" t="s">
        <v>4311</v>
      </c>
      <c r="I971" s="12" t="s">
        <v>3059</v>
      </c>
      <c r="J971" s="12" t="s">
        <v>3086</v>
      </c>
      <c r="K971" s="12" t="s">
        <v>3390</v>
      </c>
      <c r="L971" s="13">
        <v>4</v>
      </c>
    </row>
    <row r="972" spans="1:12" hidden="1" x14ac:dyDescent="0.55000000000000004">
      <c r="A972" s="12" t="s">
        <v>3053</v>
      </c>
      <c r="B972" s="12" t="s">
        <v>4486</v>
      </c>
      <c r="C972" s="12" t="s">
        <v>923</v>
      </c>
      <c r="D972" s="12" t="s">
        <v>4752</v>
      </c>
      <c r="E972" s="12" t="s">
        <v>956</v>
      </c>
      <c r="F972" s="12" t="s">
        <v>957</v>
      </c>
      <c r="G972" s="12" t="s">
        <v>958</v>
      </c>
      <c r="H972" s="12" t="s">
        <v>5252</v>
      </c>
      <c r="I972" s="12" t="s">
        <v>3059</v>
      </c>
      <c r="J972" s="12" t="s">
        <v>3089</v>
      </c>
      <c r="K972" s="12" t="s">
        <v>3575</v>
      </c>
      <c r="L972" s="13">
        <v>4</v>
      </c>
    </row>
    <row r="973" spans="1:12" hidden="1" x14ac:dyDescent="0.55000000000000004">
      <c r="A973" s="12" t="s">
        <v>3053</v>
      </c>
      <c r="B973" s="12" t="s">
        <v>4486</v>
      </c>
      <c r="C973" s="12" t="s">
        <v>923</v>
      </c>
      <c r="D973" s="12" t="s">
        <v>4752</v>
      </c>
      <c r="E973" s="12" t="s">
        <v>973</v>
      </c>
      <c r="F973" s="12" t="s">
        <v>974</v>
      </c>
      <c r="G973" s="12" t="s">
        <v>975</v>
      </c>
      <c r="H973" s="12" t="s">
        <v>5252</v>
      </c>
      <c r="I973" s="12" t="s">
        <v>3059</v>
      </c>
      <c r="J973" s="12" t="s">
        <v>3089</v>
      </c>
      <c r="K973" s="12" t="s">
        <v>3581</v>
      </c>
      <c r="L973" s="13">
        <v>7</v>
      </c>
    </row>
    <row r="974" spans="1:12" hidden="1" x14ac:dyDescent="0.55000000000000004">
      <c r="A974" s="12" t="s">
        <v>3053</v>
      </c>
      <c r="B974" s="12" t="s">
        <v>4486</v>
      </c>
      <c r="C974" s="12" t="s">
        <v>923</v>
      </c>
      <c r="D974" s="12" t="s">
        <v>4752</v>
      </c>
      <c r="E974" s="12" t="s">
        <v>993</v>
      </c>
      <c r="F974" s="12" t="s">
        <v>524</v>
      </c>
      <c r="G974" s="12" t="s">
        <v>994</v>
      </c>
      <c r="H974" s="12" t="s">
        <v>5252</v>
      </c>
      <c r="I974" s="12" t="s">
        <v>3059</v>
      </c>
      <c r="J974" s="12" t="s">
        <v>3089</v>
      </c>
      <c r="K974" s="12" t="s">
        <v>3588</v>
      </c>
      <c r="L974" s="13">
        <v>3</v>
      </c>
    </row>
    <row r="975" spans="1:12" hidden="1" x14ac:dyDescent="0.55000000000000004">
      <c r="A975" s="12" t="s">
        <v>3053</v>
      </c>
      <c r="B975" s="12" t="s">
        <v>4486</v>
      </c>
      <c r="C975" s="12" t="s">
        <v>923</v>
      </c>
      <c r="D975" s="12" t="s">
        <v>4752</v>
      </c>
      <c r="E975" s="12" t="s">
        <v>995</v>
      </c>
      <c r="F975" s="12" t="s">
        <v>996</v>
      </c>
      <c r="G975" s="12" t="s">
        <v>997</v>
      </c>
      <c r="H975" s="12" t="s">
        <v>5252</v>
      </c>
      <c r="I975" s="12" t="s">
        <v>3059</v>
      </c>
      <c r="J975" s="12" t="s">
        <v>3089</v>
      </c>
      <c r="K975" s="12" t="s">
        <v>3589</v>
      </c>
      <c r="L975" s="13">
        <v>4</v>
      </c>
    </row>
    <row r="976" spans="1:12" hidden="1" x14ac:dyDescent="0.55000000000000004">
      <c r="A976" s="12" t="s">
        <v>3053</v>
      </c>
      <c r="B976" s="12" t="s">
        <v>4486</v>
      </c>
      <c r="C976" s="12" t="s">
        <v>923</v>
      </c>
      <c r="D976" s="12" t="s">
        <v>4752</v>
      </c>
      <c r="E976" s="12" t="s">
        <v>1022</v>
      </c>
      <c r="F976" s="12" t="s">
        <v>1023</v>
      </c>
      <c r="G976" s="12" t="s">
        <v>1024</v>
      </c>
      <c r="H976" s="12" t="s">
        <v>5252</v>
      </c>
      <c r="I976" s="12" t="s">
        <v>3059</v>
      </c>
      <c r="J976" s="12" t="s">
        <v>3089</v>
      </c>
      <c r="K976" s="12" t="s">
        <v>3599</v>
      </c>
      <c r="L976" s="13">
        <v>3</v>
      </c>
    </row>
    <row r="977" spans="1:12" hidden="1" x14ac:dyDescent="0.55000000000000004">
      <c r="A977" s="12" t="s">
        <v>3053</v>
      </c>
      <c r="B977" s="12" t="s">
        <v>4486</v>
      </c>
      <c r="C977" s="12" t="s">
        <v>923</v>
      </c>
      <c r="D977" s="12" t="s">
        <v>4752</v>
      </c>
      <c r="E977" s="12" t="s">
        <v>3226</v>
      </c>
      <c r="F977" s="12" t="s">
        <v>556</v>
      </c>
      <c r="G977" s="12" t="s">
        <v>3227</v>
      </c>
      <c r="H977" s="12" t="s">
        <v>5252</v>
      </c>
      <c r="I977" s="12" t="s">
        <v>3059</v>
      </c>
      <c r="J977" s="12" t="s">
        <v>3089</v>
      </c>
      <c r="K977" s="12" t="s">
        <v>4292</v>
      </c>
      <c r="L977" s="13">
        <v>7</v>
      </c>
    </row>
    <row r="978" spans="1:12" hidden="1" x14ac:dyDescent="0.55000000000000004">
      <c r="A978" s="12" t="s">
        <v>3034</v>
      </c>
      <c r="B978" s="12" t="s">
        <v>4486</v>
      </c>
      <c r="C978" s="12" t="s">
        <v>5253</v>
      </c>
      <c r="D978" s="12" t="s">
        <v>4752</v>
      </c>
      <c r="E978" s="12" t="s">
        <v>2147</v>
      </c>
      <c r="F978" s="12" t="s">
        <v>100</v>
      </c>
      <c r="G978" s="12" t="s">
        <v>2148</v>
      </c>
      <c r="H978" s="12" t="s">
        <v>5254</v>
      </c>
      <c r="I978" s="12" t="s">
        <v>3059</v>
      </c>
      <c r="J978" s="12" t="s">
        <v>1071</v>
      </c>
      <c r="K978" s="12" t="s">
        <v>4008</v>
      </c>
      <c r="L978" s="13">
        <v>3</v>
      </c>
    </row>
    <row r="979" spans="1:12" hidden="1" x14ac:dyDescent="0.55000000000000004">
      <c r="A979" s="12" t="s">
        <v>3034</v>
      </c>
      <c r="B979" s="12" t="s">
        <v>4486</v>
      </c>
      <c r="C979" s="12" t="s">
        <v>5253</v>
      </c>
      <c r="D979" s="12" t="s">
        <v>4752</v>
      </c>
      <c r="E979" s="12" t="s">
        <v>2151</v>
      </c>
      <c r="F979" s="12" t="s">
        <v>2152</v>
      </c>
      <c r="G979" s="12" t="s">
        <v>2153</v>
      </c>
      <c r="H979" s="12" t="s">
        <v>5254</v>
      </c>
      <c r="I979" s="12" t="s">
        <v>3059</v>
      </c>
      <c r="J979" s="12" t="s">
        <v>1071</v>
      </c>
      <c r="K979" s="12" t="s">
        <v>4009</v>
      </c>
      <c r="L979" s="13">
        <v>3</v>
      </c>
    </row>
    <row r="980" spans="1:12" hidden="1" x14ac:dyDescent="0.55000000000000004">
      <c r="A980" s="12" t="s">
        <v>3034</v>
      </c>
      <c r="B980" s="12" t="s">
        <v>4486</v>
      </c>
      <c r="C980" s="12" t="s">
        <v>5253</v>
      </c>
      <c r="D980" s="12" t="s">
        <v>4752</v>
      </c>
      <c r="E980" s="12" t="s">
        <v>2154</v>
      </c>
      <c r="F980" s="12" t="s">
        <v>1727</v>
      </c>
      <c r="G980" s="12" t="s">
        <v>2155</v>
      </c>
      <c r="H980" s="12" t="s">
        <v>5254</v>
      </c>
      <c r="I980" s="12" t="s">
        <v>3059</v>
      </c>
      <c r="J980" s="12" t="s">
        <v>1071</v>
      </c>
      <c r="K980" s="12" t="s">
        <v>4010</v>
      </c>
      <c r="L980" s="13">
        <v>3</v>
      </c>
    </row>
    <row r="981" spans="1:12" hidden="1" x14ac:dyDescent="0.55000000000000004">
      <c r="A981" s="12" t="s">
        <v>3005</v>
      </c>
      <c r="B981" s="12" t="s">
        <v>4486</v>
      </c>
      <c r="C981" s="12" t="s">
        <v>5255</v>
      </c>
      <c r="D981" s="12" t="s">
        <v>4752</v>
      </c>
      <c r="E981" s="12" t="s">
        <v>2620</v>
      </c>
      <c r="F981" s="12" t="s">
        <v>1706</v>
      </c>
      <c r="G981" s="12" t="s">
        <v>2621</v>
      </c>
      <c r="H981" s="12" t="s">
        <v>5256</v>
      </c>
      <c r="I981" s="12" t="s">
        <v>3059</v>
      </c>
      <c r="J981" s="12" t="s">
        <v>1222</v>
      </c>
      <c r="K981" s="12" t="s">
        <v>4125</v>
      </c>
      <c r="L981" s="13">
        <v>4</v>
      </c>
    </row>
    <row r="982" spans="1:12" hidden="1" x14ac:dyDescent="0.55000000000000004">
      <c r="A982" s="12" t="s">
        <v>3005</v>
      </c>
      <c r="B982" s="12" t="s">
        <v>4486</v>
      </c>
      <c r="C982" s="12" t="s">
        <v>5255</v>
      </c>
      <c r="D982" s="12" t="s">
        <v>4752</v>
      </c>
      <c r="E982" s="12" t="s">
        <v>2622</v>
      </c>
      <c r="F982" s="12" t="s">
        <v>183</v>
      </c>
      <c r="G982" s="12" t="s">
        <v>2623</v>
      </c>
      <c r="H982" s="12" t="s">
        <v>5256</v>
      </c>
      <c r="I982" s="12" t="s">
        <v>3059</v>
      </c>
      <c r="J982" s="12" t="s">
        <v>1222</v>
      </c>
      <c r="K982" s="12" t="s">
        <v>4126</v>
      </c>
      <c r="L982" s="13">
        <v>4</v>
      </c>
    </row>
    <row r="983" spans="1:12" hidden="1" x14ac:dyDescent="0.55000000000000004">
      <c r="A983" s="12" t="s">
        <v>3005</v>
      </c>
      <c r="B983" s="12" t="s">
        <v>4486</v>
      </c>
      <c r="C983" s="12" t="s">
        <v>5255</v>
      </c>
      <c r="D983" s="12" t="s">
        <v>4752</v>
      </c>
      <c r="E983" s="12" t="s">
        <v>5594</v>
      </c>
      <c r="F983" s="12" t="s">
        <v>949</v>
      </c>
      <c r="G983" s="12" t="s">
        <v>5595</v>
      </c>
      <c r="H983" s="12" t="s">
        <v>5256</v>
      </c>
      <c r="I983" s="12" t="s">
        <v>3059</v>
      </c>
      <c r="J983" s="12" t="s">
        <v>1222</v>
      </c>
      <c r="K983" s="12" t="s">
        <v>5596</v>
      </c>
      <c r="L983" s="13">
        <v>9</v>
      </c>
    </row>
    <row r="984" spans="1:12" hidden="1" x14ac:dyDescent="0.55000000000000004">
      <c r="A984" s="12" t="s">
        <v>2899</v>
      </c>
      <c r="B984" s="12" t="s">
        <v>4374</v>
      </c>
      <c r="C984" s="12" t="s">
        <v>5167</v>
      </c>
      <c r="D984" s="12" t="s">
        <v>4752</v>
      </c>
      <c r="E984" s="12" t="s">
        <v>1260</v>
      </c>
      <c r="F984" s="12" t="s">
        <v>1261</v>
      </c>
      <c r="G984" s="12" t="s">
        <v>1262</v>
      </c>
      <c r="H984" s="12" t="s">
        <v>4409</v>
      </c>
      <c r="I984" s="12" t="s">
        <v>3059</v>
      </c>
      <c r="J984" s="12" t="s">
        <v>3096</v>
      </c>
      <c r="K984" s="12" t="s">
        <v>3683</v>
      </c>
      <c r="L984" s="13">
        <v>5</v>
      </c>
    </row>
    <row r="985" spans="1:12" hidden="1" x14ac:dyDescent="0.55000000000000004">
      <c r="A985" s="12" t="s">
        <v>2899</v>
      </c>
      <c r="B985" s="12" t="s">
        <v>4374</v>
      </c>
      <c r="C985" s="12" t="s">
        <v>5167</v>
      </c>
      <c r="D985" s="12" t="s">
        <v>4752</v>
      </c>
      <c r="E985" s="12" t="s">
        <v>1267</v>
      </c>
      <c r="F985" s="12" t="s">
        <v>271</v>
      </c>
      <c r="G985" s="12" t="s">
        <v>1268</v>
      </c>
      <c r="H985" s="12" t="s">
        <v>4409</v>
      </c>
      <c r="I985" s="12" t="s">
        <v>3059</v>
      </c>
      <c r="J985" s="12" t="s">
        <v>3096</v>
      </c>
      <c r="K985" s="12" t="s">
        <v>3686</v>
      </c>
      <c r="L985" s="13">
        <v>5</v>
      </c>
    </row>
    <row r="986" spans="1:12" hidden="1" x14ac:dyDescent="0.55000000000000004">
      <c r="A986" s="12" t="s">
        <v>2899</v>
      </c>
      <c r="B986" s="12" t="s">
        <v>4374</v>
      </c>
      <c r="C986" s="12" t="s">
        <v>5167</v>
      </c>
      <c r="D986" s="12" t="s">
        <v>4752</v>
      </c>
      <c r="E986" s="12" t="s">
        <v>1287</v>
      </c>
      <c r="F986" s="12" t="s">
        <v>1288</v>
      </c>
      <c r="G986" s="12" t="s">
        <v>1289</v>
      </c>
      <c r="H986" s="12" t="s">
        <v>4409</v>
      </c>
      <c r="I986" s="12" t="s">
        <v>3059</v>
      </c>
      <c r="J986" s="12" t="s">
        <v>3096</v>
      </c>
      <c r="K986" s="12" t="s">
        <v>3693</v>
      </c>
      <c r="L986" s="13">
        <v>5</v>
      </c>
    </row>
    <row r="987" spans="1:12" hidden="1" x14ac:dyDescent="0.55000000000000004">
      <c r="A987" s="12" t="s">
        <v>2944</v>
      </c>
      <c r="B987" s="12" t="s">
        <v>4442</v>
      </c>
      <c r="C987" s="12" t="s">
        <v>5154</v>
      </c>
      <c r="D987" s="12" t="s">
        <v>4752</v>
      </c>
      <c r="E987" s="12" t="s">
        <v>463</v>
      </c>
      <c r="F987" s="12" t="s">
        <v>464</v>
      </c>
      <c r="G987" s="12" t="s">
        <v>465</v>
      </c>
      <c r="H987" s="12" t="s">
        <v>4464</v>
      </c>
      <c r="I987" s="12" t="s">
        <v>3059</v>
      </c>
      <c r="J987" s="12" t="s">
        <v>3084</v>
      </c>
      <c r="K987" s="12" t="s">
        <v>3401</v>
      </c>
      <c r="L987" s="13">
        <v>5</v>
      </c>
    </row>
    <row r="988" spans="1:12" hidden="1" x14ac:dyDescent="0.55000000000000004">
      <c r="A988" s="12" t="s">
        <v>2944</v>
      </c>
      <c r="B988" s="12" t="s">
        <v>4442</v>
      </c>
      <c r="C988" s="12" t="s">
        <v>5154</v>
      </c>
      <c r="D988" s="12" t="s">
        <v>4752</v>
      </c>
      <c r="E988" s="12" t="s">
        <v>466</v>
      </c>
      <c r="F988" s="12" t="s">
        <v>467</v>
      </c>
      <c r="G988" s="12" t="s">
        <v>468</v>
      </c>
      <c r="H988" s="12" t="s">
        <v>4464</v>
      </c>
      <c r="I988" s="12" t="s">
        <v>3059</v>
      </c>
      <c r="J988" s="12" t="s">
        <v>3084</v>
      </c>
      <c r="K988" s="12" t="s">
        <v>3402</v>
      </c>
      <c r="L988" s="13">
        <v>5</v>
      </c>
    </row>
    <row r="989" spans="1:12" hidden="1" x14ac:dyDescent="0.55000000000000004">
      <c r="A989" s="12" t="s">
        <v>2944</v>
      </c>
      <c r="B989" s="12" t="s">
        <v>4442</v>
      </c>
      <c r="C989" s="12" t="s">
        <v>5154</v>
      </c>
      <c r="D989" s="12" t="s">
        <v>4752</v>
      </c>
      <c r="E989" s="12" t="s">
        <v>475</v>
      </c>
      <c r="F989" s="12" t="s">
        <v>476</v>
      </c>
      <c r="G989" s="12" t="s">
        <v>477</v>
      </c>
      <c r="H989" s="12" t="s">
        <v>4464</v>
      </c>
      <c r="I989" s="12" t="s">
        <v>3059</v>
      </c>
      <c r="J989" s="12" t="s">
        <v>3084</v>
      </c>
      <c r="K989" s="12" t="s">
        <v>3405</v>
      </c>
      <c r="L989" s="13">
        <v>5</v>
      </c>
    </row>
    <row r="990" spans="1:12" hidden="1" x14ac:dyDescent="0.55000000000000004">
      <c r="A990" s="12" t="s">
        <v>2944</v>
      </c>
      <c r="B990" s="12" t="s">
        <v>4442</v>
      </c>
      <c r="C990" s="12" t="s">
        <v>5154</v>
      </c>
      <c r="D990" s="12" t="s">
        <v>4752</v>
      </c>
      <c r="E990" s="12" t="s">
        <v>489</v>
      </c>
      <c r="F990" s="12" t="s">
        <v>2131</v>
      </c>
      <c r="G990" s="12" t="s">
        <v>490</v>
      </c>
      <c r="H990" s="12" t="s">
        <v>4464</v>
      </c>
      <c r="I990" s="12" t="s">
        <v>3059</v>
      </c>
      <c r="J990" s="12" t="s">
        <v>3084</v>
      </c>
      <c r="K990" s="12" t="s">
        <v>3410</v>
      </c>
      <c r="L990" s="13">
        <v>5</v>
      </c>
    </row>
    <row r="991" spans="1:12" hidden="1" x14ac:dyDescent="0.55000000000000004">
      <c r="A991" s="12" t="s">
        <v>2944</v>
      </c>
      <c r="B991" s="12" t="s">
        <v>4442</v>
      </c>
      <c r="C991" s="12" t="s">
        <v>5154</v>
      </c>
      <c r="D991" s="12" t="s">
        <v>4752</v>
      </c>
      <c r="E991" s="12" t="s">
        <v>494</v>
      </c>
      <c r="F991" s="12" t="s">
        <v>495</v>
      </c>
      <c r="G991" s="12" t="s">
        <v>496</v>
      </c>
      <c r="H991" s="12" t="s">
        <v>4464</v>
      </c>
      <c r="I991" s="12" t="s">
        <v>3059</v>
      </c>
      <c r="J991" s="12" t="s">
        <v>3084</v>
      </c>
      <c r="K991" s="12" t="s">
        <v>3412</v>
      </c>
      <c r="L991" s="13">
        <v>5</v>
      </c>
    </row>
    <row r="992" spans="1:12" hidden="1" x14ac:dyDescent="0.55000000000000004">
      <c r="A992" s="12" t="s">
        <v>2944</v>
      </c>
      <c r="B992" s="12" t="s">
        <v>4442</v>
      </c>
      <c r="C992" s="12" t="s">
        <v>5154</v>
      </c>
      <c r="D992" s="12" t="s">
        <v>4752</v>
      </c>
      <c r="E992" s="12" t="s">
        <v>516</v>
      </c>
      <c r="F992" s="12" t="s">
        <v>517</v>
      </c>
      <c r="G992" s="12" t="s">
        <v>518</v>
      </c>
      <c r="H992" s="12" t="s">
        <v>4464</v>
      </c>
      <c r="I992" s="12" t="s">
        <v>3059</v>
      </c>
      <c r="J992" s="12" t="s">
        <v>3084</v>
      </c>
      <c r="K992" s="12" t="s">
        <v>3420</v>
      </c>
      <c r="L992" s="13">
        <v>7</v>
      </c>
    </row>
    <row r="993" spans="1:12" hidden="1" x14ac:dyDescent="0.55000000000000004">
      <c r="A993" s="12" t="s">
        <v>2944</v>
      </c>
      <c r="B993" s="12" t="s">
        <v>4442</v>
      </c>
      <c r="C993" s="12" t="s">
        <v>5154</v>
      </c>
      <c r="D993" s="12" t="s">
        <v>4752</v>
      </c>
      <c r="E993" s="12" t="s">
        <v>534</v>
      </c>
      <c r="F993" s="12" t="s">
        <v>535</v>
      </c>
      <c r="G993" s="12" t="s">
        <v>536</v>
      </c>
      <c r="H993" s="12" t="s">
        <v>4464</v>
      </c>
      <c r="I993" s="12" t="s">
        <v>3059</v>
      </c>
      <c r="J993" s="12" t="s">
        <v>3084</v>
      </c>
      <c r="K993" s="12" t="s">
        <v>3426</v>
      </c>
      <c r="L993" s="13">
        <v>5</v>
      </c>
    </row>
    <row r="994" spans="1:12" hidden="1" x14ac:dyDescent="0.55000000000000004">
      <c r="A994" s="12" t="s">
        <v>2944</v>
      </c>
      <c r="B994" s="12" t="s">
        <v>4442</v>
      </c>
      <c r="C994" s="12" t="s">
        <v>5154</v>
      </c>
      <c r="D994" s="12" t="s">
        <v>4752</v>
      </c>
      <c r="E994" s="12" t="s">
        <v>537</v>
      </c>
      <c r="F994" s="12" t="s">
        <v>538</v>
      </c>
      <c r="G994" s="12" t="s">
        <v>240</v>
      </c>
      <c r="H994" s="12" t="s">
        <v>4464</v>
      </c>
      <c r="I994" s="12" t="s">
        <v>3059</v>
      </c>
      <c r="J994" s="12" t="s">
        <v>3084</v>
      </c>
      <c r="K994" s="12" t="s">
        <v>3427</v>
      </c>
      <c r="L994" s="13">
        <v>5</v>
      </c>
    </row>
    <row r="995" spans="1:12" hidden="1" x14ac:dyDescent="0.55000000000000004">
      <c r="A995" s="12" t="s">
        <v>2944</v>
      </c>
      <c r="B995" s="12" t="s">
        <v>4442</v>
      </c>
      <c r="C995" s="12" t="s">
        <v>5154</v>
      </c>
      <c r="D995" s="12" t="s">
        <v>4752</v>
      </c>
      <c r="E995" s="12" t="s">
        <v>563</v>
      </c>
      <c r="F995" s="12" t="s">
        <v>564</v>
      </c>
      <c r="G995" s="12" t="s">
        <v>565</v>
      </c>
      <c r="H995" s="12" t="s">
        <v>4464</v>
      </c>
      <c r="I995" s="12" t="s">
        <v>3059</v>
      </c>
      <c r="J995" s="12" t="s">
        <v>3084</v>
      </c>
      <c r="K995" s="12" t="s">
        <v>3436</v>
      </c>
      <c r="L995" s="13">
        <v>5</v>
      </c>
    </row>
    <row r="996" spans="1:12" hidden="1" x14ac:dyDescent="0.55000000000000004">
      <c r="A996" s="12" t="s">
        <v>2944</v>
      </c>
      <c r="B996" s="12" t="s">
        <v>4442</v>
      </c>
      <c r="C996" s="12" t="s">
        <v>5154</v>
      </c>
      <c r="D996" s="12" t="s">
        <v>4752</v>
      </c>
      <c r="E996" s="12" t="s">
        <v>578</v>
      </c>
      <c r="F996" s="12" t="s">
        <v>323</v>
      </c>
      <c r="G996" s="12" t="s">
        <v>579</v>
      </c>
      <c r="H996" s="12" t="s">
        <v>4464</v>
      </c>
      <c r="I996" s="12" t="s">
        <v>3059</v>
      </c>
      <c r="J996" s="12" t="s">
        <v>3084</v>
      </c>
      <c r="K996" s="12" t="s">
        <v>3441</v>
      </c>
      <c r="L996" s="13">
        <v>5</v>
      </c>
    </row>
    <row r="997" spans="1:12" hidden="1" x14ac:dyDescent="0.55000000000000004">
      <c r="A997" s="12" t="s">
        <v>2934</v>
      </c>
      <c r="B997" s="12" t="s">
        <v>4442</v>
      </c>
      <c r="C997" s="12" t="s">
        <v>5149</v>
      </c>
      <c r="D997" s="12" t="s">
        <v>4752</v>
      </c>
      <c r="E997" s="12" t="s">
        <v>2223</v>
      </c>
      <c r="F997" s="12" t="s">
        <v>165</v>
      </c>
      <c r="G997" s="12" t="s">
        <v>717</v>
      </c>
      <c r="H997" s="12" t="s">
        <v>4453</v>
      </c>
      <c r="I997" s="12" t="s">
        <v>3059</v>
      </c>
      <c r="J997" s="12" t="s">
        <v>3085</v>
      </c>
      <c r="K997" s="12" t="s">
        <v>4037</v>
      </c>
      <c r="L997" s="13">
        <v>5</v>
      </c>
    </row>
    <row r="998" spans="1:12" hidden="1" x14ac:dyDescent="0.55000000000000004">
      <c r="A998" s="12" t="s">
        <v>2934</v>
      </c>
      <c r="B998" s="12" t="s">
        <v>4442</v>
      </c>
      <c r="C998" s="12" t="s">
        <v>5149</v>
      </c>
      <c r="D998" s="12" t="s">
        <v>4752</v>
      </c>
      <c r="E998" s="12" t="s">
        <v>2232</v>
      </c>
      <c r="F998" s="12" t="s">
        <v>638</v>
      </c>
      <c r="G998" s="12" t="s">
        <v>2233</v>
      </c>
      <c r="H998" s="12" t="s">
        <v>4453</v>
      </c>
      <c r="I998" s="12" t="s">
        <v>3059</v>
      </c>
      <c r="J998" s="12" t="s">
        <v>3085</v>
      </c>
      <c r="K998" s="12" t="s">
        <v>4042</v>
      </c>
      <c r="L998" s="13">
        <v>5</v>
      </c>
    </row>
    <row r="999" spans="1:12" hidden="1" x14ac:dyDescent="0.55000000000000004">
      <c r="A999" s="12" t="s">
        <v>2934</v>
      </c>
      <c r="B999" s="12" t="s">
        <v>4442</v>
      </c>
      <c r="C999" s="12" t="s">
        <v>5149</v>
      </c>
      <c r="D999" s="12" t="s">
        <v>4752</v>
      </c>
      <c r="E999" s="12" t="s">
        <v>2274</v>
      </c>
      <c r="F999" s="12" t="s">
        <v>2275</v>
      </c>
      <c r="G999" s="12" t="s">
        <v>2276</v>
      </c>
      <c r="H999" s="12" t="s">
        <v>4453</v>
      </c>
      <c r="I999" s="12" t="s">
        <v>3059</v>
      </c>
      <c r="J999" s="12" t="s">
        <v>3085</v>
      </c>
      <c r="K999" s="12" t="s">
        <v>4059</v>
      </c>
      <c r="L999" s="13">
        <v>10</v>
      </c>
    </row>
    <row r="1000" spans="1:12" hidden="1" x14ac:dyDescent="0.55000000000000004">
      <c r="A1000" s="12" t="s">
        <v>2934</v>
      </c>
      <c r="B1000" s="12" t="s">
        <v>4442</v>
      </c>
      <c r="C1000" s="12" t="s">
        <v>5149</v>
      </c>
      <c r="D1000" s="12" t="s">
        <v>4752</v>
      </c>
      <c r="E1000" s="12" t="s">
        <v>2487</v>
      </c>
      <c r="F1000" s="12" t="s">
        <v>2488</v>
      </c>
      <c r="G1000" s="12" t="s">
        <v>2489</v>
      </c>
      <c r="H1000" s="12" t="s">
        <v>4453</v>
      </c>
      <c r="I1000" s="12" t="s">
        <v>3059</v>
      </c>
      <c r="J1000" s="12" t="s">
        <v>3085</v>
      </c>
      <c r="K1000" s="12" t="s">
        <v>4070</v>
      </c>
      <c r="L1000" s="13">
        <v>5</v>
      </c>
    </row>
    <row r="1001" spans="1:12" hidden="1" x14ac:dyDescent="0.55000000000000004">
      <c r="A1001" s="12" t="s">
        <v>2934</v>
      </c>
      <c r="B1001" s="12" t="s">
        <v>4442</v>
      </c>
      <c r="C1001" s="12" t="s">
        <v>5149</v>
      </c>
      <c r="D1001" s="12" t="s">
        <v>4752</v>
      </c>
      <c r="E1001" s="12" t="s">
        <v>2500</v>
      </c>
      <c r="F1001" s="12" t="s">
        <v>2168</v>
      </c>
      <c r="G1001" s="12" t="s">
        <v>2501</v>
      </c>
      <c r="H1001" s="12" t="s">
        <v>4453</v>
      </c>
      <c r="I1001" s="12" t="s">
        <v>3059</v>
      </c>
      <c r="J1001" s="12" t="s">
        <v>3085</v>
      </c>
      <c r="K1001" s="12" t="s">
        <v>4075</v>
      </c>
      <c r="L1001" s="13">
        <v>5</v>
      </c>
    </row>
    <row r="1002" spans="1:12" hidden="1" x14ac:dyDescent="0.55000000000000004">
      <c r="A1002" s="12" t="s">
        <v>2934</v>
      </c>
      <c r="B1002" s="12" t="s">
        <v>4442</v>
      </c>
      <c r="C1002" s="12" t="s">
        <v>5149</v>
      </c>
      <c r="D1002" s="12" t="s">
        <v>4752</v>
      </c>
      <c r="E1002" s="12" t="s">
        <v>2510</v>
      </c>
      <c r="F1002" s="12" t="s">
        <v>1492</v>
      </c>
      <c r="G1002" s="12" t="s">
        <v>1475</v>
      </c>
      <c r="H1002" s="12" t="s">
        <v>4453</v>
      </c>
      <c r="I1002" s="12" t="s">
        <v>3059</v>
      </c>
      <c r="J1002" s="12" t="s">
        <v>3085</v>
      </c>
      <c r="K1002" s="12" t="s">
        <v>4079</v>
      </c>
      <c r="L1002" s="13">
        <v>5</v>
      </c>
    </row>
    <row r="1003" spans="1:12" hidden="1" x14ac:dyDescent="0.55000000000000004">
      <c r="A1003" s="12" t="s">
        <v>2934</v>
      </c>
      <c r="B1003" s="12" t="s">
        <v>4442</v>
      </c>
      <c r="C1003" s="12" t="s">
        <v>5149</v>
      </c>
      <c r="D1003" s="12" t="s">
        <v>4752</v>
      </c>
      <c r="E1003" s="12" t="s">
        <v>2511</v>
      </c>
      <c r="F1003" s="12" t="s">
        <v>2512</v>
      </c>
      <c r="G1003" s="12" t="s">
        <v>2513</v>
      </c>
      <c r="H1003" s="12" t="s">
        <v>4453</v>
      </c>
      <c r="I1003" s="12" t="s">
        <v>3059</v>
      </c>
      <c r="J1003" s="12" t="s">
        <v>3085</v>
      </c>
      <c r="K1003" s="12" t="s">
        <v>4080</v>
      </c>
      <c r="L1003" s="13">
        <v>5</v>
      </c>
    </row>
    <row r="1004" spans="1:12" hidden="1" x14ac:dyDescent="0.55000000000000004">
      <c r="A1004" s="12" t="s">
        <v>2934</v>
      </c>
      <c r="B1004" s="12" t="s">
        <v>4442</v>
      </c>
      <c r="C1004" s="12" t="s">
        <v>5149</v>
      </c>
      <c r="D1004" s="12" t="s">
        <v>4752</v>
      </c>
      <c r="E1004" s="12" t="s">
        <v>6031</v>
      </c>
      <c r="F1004" s="12" t="s">
        <v>3151</v>
      </c>
      <c r="G1004" s="12" t="s">
        <v>6032</v>
      </c>
      <c r="H1004" s="12" t="s">
        <v>4453</v>
      </c>
      <c r="I1004" s="12" t="s">
        <v>3059</v>
      </c>
      <c r="J1004" s="12" t="s">
        <v>3085</v>
      </c>
      <c r="K1004" s="12" t="s">
        <v>6033</v>
      </c>
      <c r="L1004" s="13">
        <v>10</v>
      </c>
    </row>
    <row r="1005" spans="1:12" hidden="1" x14ac:dyDescent="0.55000000000000004">
      <c r="A1005" s="12" t="s">
        <v>4336</v>
      </c>
      <c r="B1005" s="12" t="s">
        <v>4298</v>
      </c>
      <c r="C1005" s="12" t="s">
        <v>587</v>
      </c>
      <c r="D1005" s="12" t="s">
        <v>4752</v>
      </c>
      <c r="E1005" s="12" t="s">
        <v>588</v>
      </c>
      <c r="F1005" s="12" t="s">
        <v>589</v>
      </c>
      <c r="G1005" s="12" t="s">
        <v>590</v>
      </c>
      <c r="H1005" s="12" t="s">
        <v>4337</v>
      </c>
      <c r="I1005" s="12" t="s">
        <v>3059</v>
      </c>
      <c r="J1005" s="12" t="s">
        <v>689</v>
      </c>
      <c r="K1005" s="12" t="s">
        <v>3446</v>
      </c>
      <c r="L1005" s="13">
        <v>2</v>
      </c>
    </row>
    <row r="1006" spans="1:12" hidden="1" x14ac:dyDescent="0.55000000000000004">
      <c r="A1006" s="12" t="s">
        <v>2835</v>
      </c>
      <c r="B1006" s="12" t="s">
        <v>4298</v>
      </c>
      <c r="C1006" s="12" t="s">
        <v>5131</v>
      </c>
      <c r="D1006" s="12" t="s">
        <v>4752</v>
      </c>
      <c r="E1006" s="12" t="s">
        <v>778</v>
      </c>
      <c r="F1006" s="12" t="s">
        <v>779</v>
      </c>
      <c r="G1006" s="12" t="s">
        <v>780</v>
      </c>
      <c r="H1006" s="12" t="s">
        <v>4329</v>
      </c>
      <c r="I1006" s="12" t="s">
        <v>3059</v>
      </c>
      <c r="J1006" s="12" t="s">
        <v>1404</v>
      </c>
      <c r="K1006" s="12" t="s">
        <v>3512</v>
      </c>
      <c r="L1006" s="13">
        <v>4</v>
      </c>
    </row>
    <row r="1007" spans="1:12" hidden="1" x14ac:dyDescent="0.55000000000000004">
      <c r="A1007" s="12" t="s">
        <v>2835</v>
      </c>
      <c r="B1007" s="12" t="s">
        <v>4298</v>
      </c>
      <c r="C1007" s="12" t="s">
        <v>5131</v>
      </c>
      <c r="D1007" s="12" t="s">
        <v>4752</v>
      </c>
      <c r="E1007" s="12" t="s">
        <v>803</v>
      </c>
      <c r="F1007" s="12" t="s">
        <v>804</v>
      </c>
      <c r="G1007" s="12" t="s">
        <v>805</v>
      </c>
      <c r="H1007" s="12" t="s">
        <v>4329</v>
      </c>
      <c r="I1007" s="12" t="s">
        <v>3075</v>
      </c>
      <c r="J1007" s="12" t="s">
        <v>1404</v>
      </c>
      <c r="K1007" s="12" t="s">
        <v>3521</v>
      </c>
      <c r="L1007" s="13" t="s">
        <v>3075</v>
      </c>
    </row>
    <row r="1008" spans="1:12" hidden="1" x14ac:dyDescent="0.55000000000000004">
      <c r="A1008" s="12" t="s">
        <v>2835</v>
      </c>
      <c r="B1008" s="12" t="s">
        <v>4298</v>
      </c>
      <c r="C1008" s="12" t="s">
        <v>5131</v>
      </c>
      <c r="D1008" s="12" t="s">
        <v>4752</v>
      </c>
      <c r="E1008" s="12" t="s">
        <v>815</v>
      </c>
      <c r="F1008" s="12" t="s">
        <v>816</v>
      </c>
      <c r="G1008" s="12" t="s">
        <v>817</v>
      </c>
      <c r="H1008" s="12" t="s">
        <v>4329</v>
      </c>
      <c r="I1008" s="12" t="s">
        <v>3059</v>
      </c>
      <c r="J1008" s="12" t="s">
        <v>1404</v>
      </c>
      <c r="K1008" s="12" t="s">
        <v>3525</v>
      </c>
      <c r="L1008" s="13">
        <v>2</v>
      </c>
    </row>
    <row r="1009" spans="1:12" hidden="1" x14ac:dyDescent="0.55000000000000004">
      <c r="A1009" s="12" t="s">
        <v>2835</v>
      </c>
      <c r="B1009" s="12" t="s">
        <v>4298</v>
      </c>
      <c r="C1009" s="12" t="s">
        <v>5131</v>
      </c>
      <c r="D1009" s="12" t="s">
        <v>4752</v>
      </c>
      <c r="E1009" s="12" t="s">
        <v>822</v>
      </c>
      <c r="F1009" s="12" t="s">
        <v>823</v>
      </c>
      <c r="G1009" s="12" t="s">
        <v>824</v>
      </c>
      <c r="H1009" s="12" t="s">
        <v>4329</v>
      </c>
      <c r="I1009" s="12" t="s">
        <v>3059</v>
      </c>
      <c r="J1009" s="12" t="s">
        <v>1404</v>
      </c>
      <c r="K1009" s="12" t="s">
        <v>3528</v>
      </c>
      <c r="L1009" s="13">
        <v>4</v>
      </c>
    </row>
    <row r="1010" spans="1:12" hidden="1" x14ac:dyDescent="0.55000000000000004">
      <c r="A1010" s="12" t="s">
        <v>2819</v>
      </c>
      <c r="B1010" s="12" t="s">
        <v>4298</v>
      </c>
      <c r="C1010" s="12" t="s">
        <v>5212</v>
      </c>
      <c r="D1010" s="12" t="s">
        <v>4752</v>
      </c>
      <c r="E1010" s="12" t="s">
        <v>414</v>
      </c>
      <c r="F1010" s="12" t="s">
        <v>3131</v>
      </c>
      <c r="G1010" s="12" t="s">
        <v>415</v>
      </c>
      <c r="H1010" s="12" t="s">
        <v>4312</v>
      </c>
      <c r="I1010" s="12" t="s">
        <v>3059</v>
      </c>
      <c r="J1010" s="12" t="s">
        <v>3086</v>
      </c>
      <c r="K1010" s="12" t="s">
        <v>3385</v>
      </c>
      <c r="L1010" s="13">
        <v>4</v>
      </c>
    </row>
    <row r="1011" spans="1:12" hidden="1" x14ac:dyDescent="0.55000000000000004">
      <c r="A1011" s="12" t="s">
        <v>2819</v>
      </c>
      <c r="B1011" s="12" t="s">
        <v>4298</v>
      </c>
      <c r="C1011" s="12" t="s">
        <v>5212</v>
      </c>
      <c r="D1011" s="12" t="s">
        <v>4752</v>
      </c>
      <c r="E1011" s="12" t="s">
        <v>425</v>
      </c>
      <c r="F1011" s="12" t="s">
        <v>100</v>
      </c>
      <c r="G1011" s="12" t="s">
        <v>426</v>
      </c>
      <c r="H1011" s="12" t="s">
        <v>4312</v>
      </c>
      <c r="I1011" s="12" t="s">
        <v>3059</v>
      </c>
      <c r="J1011" s="12" t="s">
        <v>3086</v>
      </c>
      <c r="K1011" s="12" t="s">
        <v>3389</v>
      </c>
      <c r="L1011" s="13">
        <v>4</v>
      </c>
    </row>
    <row r="1012" spans="1:12" hidden="1" x14ac:dyDescent="0.55000000000000004">
      <c r="A1012" s="12" t="s">
        <v>2881</v>
      </c>
      <c r="B1012" s="12" t="s">
        <v>4374</v>
      </c>
      <c r="C1012" s="12" t="s">
        <v>5257</v>
      </c>
      <c r="D1012" s="12" t="s">
        <v>4752</v>
      </c>
      <c r="E1012" s="12" t="s">
        <v>2551</v>
      </c>
      <c r="F1012" s="12" t="s">
        <v>2552</v>
      </c>
      <c r="G1012" s="12" t="s">
        <v>2553</v>
      </c>
      <c r="H1012" s="12" t="s">
        <v>4386</v>
      </c>
      <c r="I1012" s="12" t="s">
        <v>3075</v>
      </c>
      <c r="J1012" s="12" t="s">
        <v>3095</v>
      </c>
      <c r="K1012" s="12" t="s">
        <v>4098</v>
      </c>
      <c r="L1012" s="13" t="s">
        <v>3075</v>
      </c>
    </row>
    <row r="1013" spans="1:12" hidden="1" x14ac:dyDescent="0.55000000000000004">
      <c r="A1013" s="12" t="s">
        <v>2881</v>
      </c>
      <c r="B1013" s="12" t="s">
        <v>4374</v>
      </c>
      <c r="C1013" s="12" t="s">
        <v>5257</v>
      </c>
      <c r="D1013" s="12" t="s">
        <v>4752</v>
      </c>
      <c r="E1013" s="12" t="s">
        <v>2554</v>
      </c>
      <c r="F1013" s="12" t="s">
        <v>2555</v>
      </c>
      <c r="G1013" s="12" t="s">
        <v>2556</v>
      </c>
      <c r="H1013" s="12" t="s">
        <v>4386</v>
      </c>
      <c r="I1013" s="12" t="s">
        <v>3059</v>
      </c>
      <c r="J1013" s="12" t="s">
        <v>3095</v>
      </c>
      <c r="K1013" s="12" t="s">
        <v>4099</v>
      </c>
      <c r="L1013" s="13">
        <v>5</v>
      </c>
    </row>
    <row r="1014" spans="1:12" hidden="1" x14ac:dyDescent="0.55000000000000004">
      <c r="A1014" s="12" t="s">
        <v>2881</v>
      </c>
      <c r="B1014" s="12" t="s">
        <v>4374</v>
      </c>
      <c r="C1014" s="12" t="s">
        <v>5257</v>
      </c>
      <c r="D1014" s="12" t="s">
        <v>4752</v>
      </c>
      <c r="E1014" s="12" t="s">
        <v>2557</v>
      </c>
      <c r="F1014" s="12" t="s">
        <v>2558</v>
      </c>
      <c r="G1014" s="12" t="s">
        <v>2559</v>
      </c>
      <c r="H1014" s="12" t="s">
        <v>4386</v>
      </c>
      <c r="I1014" s="12" t="s">
        <v>3059</v>
      </c>
      <c r="J1014" s="12" t="s">
        <v>3095</v>
      </c>
      <c r="K1014" s="12" t="s">
        <v>4100</v>
      </c>
      <c r="L1014" s="13">
        <v>5</v>
      </c>
    </row>
    <row r="1015" spans="1:12" hidden="1" x14ac:dyDescent="0.55000000000000004">
      <c r="A1015" s="12" t="s">
        <v>2881</v>
      </c>
      <c r="B1015" s="12" t="s">
        <v>4374</v>
      </c>
      <c r="C1015" s="12" t="s">
        <v>5257</v>
      </c>
      <c r="D1015" s="12" t="s">
        <v>4752</v>
      </c>
      <c r="E1015" s="12" t="s">
        <v>2560</v>
      </c>
      <c r="F1015" s="12" t="s">
        <v>2222</v>
      </c>
      <c r="G1015" s="12" t="s">
        <v>2561</v>
      </c>
      <c r="H1015" s="12" t="s">
        <v>4386</v>
      </c>
      <c r="I1015" s="12" t="s">
        <v>3075</v>
      </c>
      <c r="J1015" s="12" t="s">
        <v>3095</v>
      </c>
      <c r="K1015" s="12" t="s">
        <v>4101</v>
      </c>
      <c r="L1015" s="13" t="s">
        <v>3075</v>
      </c>
    </row>
    <row r="1016" spans="1:12" hidden="1" x14ac:dyDescent="0.55000000000000004">
      <c r="A1016" s="12" t="s">
        <v>2881</v>
      </c>
      <c r="B1016" s="12" t="s">
        <v>4374</v>
      </c>
      <c r="C1016" s="12" t="s">
        <v>5257</v>
      </c>
      <c r="D1016" s="12" t="s">
        <v>4752</v>
      </c>
      <c r="E1016" s="12" t="s">
        <v>2562</v>
      </c>
      <c r="F1016" s="12" t="s">
        <v>2563</v>
      </c>
      <c r="G1016" s="12" t="s">
        <v>2564</v>
      </c>
      <c r="H1016" s="12" t="s">
        <v>4386</v>
      </c>
      <c r="I1016" s="12" t="s">
        <v>3075</v>
      </c>
      <c r="J1016" s="12" t="s">
        <v>3095</v>
      </c>
      <c r="K1016" s="12" t="s">
        <v>4102</v>
      </c>
      <c r="L1016" s="13" t="s">
        <v>3075</v>
      </c>
    </row>
    <row r="1017" spans="1:12" hidden="1" x14ac:dyDescent="0.55000000000000004">
      <c r="A1017" s="12" t="s">
        <v>2881</v>
      </c>
      <c r="B1017" s="12" t="s">
        <v>4374</v>
      </c>
      <c r="C1017" s="12" t="s">
        <v>5257</v>
      </c>
      <c r="D1017" s="12" t="s">
        <v>4752</v>
      </c>
      <c r="E1017" s="12" t="s">
        <v>2565</v>
      </c>
      <c r="F1017" s="12" t="s">
        <v>2566</v>
      </c>
      <c r="G1017" s="12" t="s">
        <v>2567</v>
      </c>
      <c r="H1017" s="12" t="s">
        <v>4386</v>
      </c>
      <c r="I1017" s="12" t="s">
        <v>3075</v>
      </c>
      <c r="J1017" s="12" t="s">
        <v>3095</v>
      </c>
      <c r="K1017" s="12" t="s">
        <v>4103</v>
      </c>
      <c r="L1017" s="13" t="s">
        <v>3075</v>
      </c>
    </row>
    <row r="1018" spans="1:12" hidden="1" x14ac:dyDescent="0.55000000000000004">
      <c r="A1018" s="12" t="s">
        <v>3022</v>
      </c>
      <c r="B1018" s="12" t="s">
        <v>4486</v>
      </c>
      <c r="C1018" s="12" t="s">
        <v>2572</v>
      </c>
      <c r="D1018" s="12" t="s">
        <v>4752</v>
      </c>
      <c r="E1018" s="12" t="s">
        <v>2575</v>
      </c>
      <c r="F1018" s="12" t="s">
        <v>169</v>
      </c>
      <c r="G1018" s="12" t="s">
        <v>2576</v>
      </c>
      <c r="H1018" s="12" t="s">
        <v>5258</v>
      </c>
      <c r="I1018" s="12" t="s">
        <v>3075</v>
      </c>
      <c r="J1018" s="12" t="s">
        <v>118</v>
      </c>
      <c r="K1018" s="12" t="s">
        <v>4106</v>
      </c>
      <c r="L1018" s="13" t="s">
        <v>3075</v>
      </c>
    </row>
    <row r="1019" spans="1:12" hidden="1" x14ac:dyDescent="0.55000000000000004">
      <c r="A1019" s="12" t="s">
        <v>3022</v>
      </c>
      <c r="B1019" s="12" t="s">
        <v>4486</v>
      </c>
      <c r="C1019" s="12" t="s">
        <v>2572</v>
      </c>
      <c r="D1019" s="12" t="s">
        <v>4752</v>
      </c>
      <c r="E1019" s="12" t="s">
        <v>2577</v>
      </c>
      <c r="F1019" s="12" t="s">
        <v>169</v>
      </c>
      <c r="G1019" s="12" t="s">
        <v>2578</v>
      </c>
      <c r="H1019" s="12" t="s">
        <v>5258</v>
      </c>
      <c r="I1019" s="12" t="s">
        <v>3075</v>
      </c>
      <c r="J1019" s="12" t="s">
        <v>118</v>
      </c>
      <c r="K1019" s="12" t="s">
        <v>4107</v>
      </c>
      <c r="L1019" s="13" t="s">
        <v>3075</v>
      </c>
    </row>
    <row r="1020" spans="1:12" hidden="1" x14ac:dyDescent="0.55000000000000004">
      <c r="A1020" s="12" t="s">
        <v>3022</v>
      </c>
      <c r="B1020" s="12" t="s">
        <v>4486</v>
      </c>
      <c r="C1020" s="12" t="s">
        <v>2572</v>
      </c>
      <c r="D1020" s="12" t="s">
        <v>4752</v>
      </c>
      <c r="E1020" s="12" t="s">
        <v>2579</v>
      </c>
      <c r="F1020" s="12" t="s">
        <v>169</v>
      </c>
      <c r="G1020" s="12" t="s">
        <v>2580</v>
      </c>
      <c r="H1020" s="12" t="s">
        <v>5258</v>
      </c>
      <c r="I1020" s="12" t="s">
        <v>3075</v>
      </c>
      <c r="J1020" s="12" t="s">
        <v>118</v>
      </c>
      <c r="K1020" s="12" t="s">
        <v>4108</v>
      </c>
      <c r="L1020" s="13" t="s">
        <v>3075</v>
      </c>
    </row>
    <row r="1021" spans="1:12" hidden="1" x14ac:dyDescent="0.55000000000000004">
      <c r="A1021" s="12" t="s">
        <v>3022</v>
      </c>
      <c r="B1021" s="12" t="s">
        <v>4486</v>
      </c>
      <c r="C1021" s="12" t="s">
        <v>2572</v>
      </c>
      <c r="D1021" s="12" t="s">
        <v>4752</v>
      </c>
      <c r="E1021" s="12" t="s">
        <v>2581</v>
      </c>
      <c r="F1021" s="12" t="s">
        <v>169</v>
      </c>
      <c r="G1021" s="12" t="s">
        <v>2582</v>
      </c>
      <c r="H1021" s="12" t="s">
        <v>5258</v>
      </c>
      <c r="I1021" s="12" t="s">
        <v>3075</v>
      </c>
      <c r="J1021" s="12" t="s">
        <v>118</v>
      </c>
      <c r="K1021" s="12" t="s">
        <v>4109</v>
      </c>
      <c r="L1021" s="13" t="s">
        <v>3075</v>
      </c>
    </row>
    <row r="1022" spans="1:12" hidden="1" x14ac:dyDescent="0.55000000000000004">
      <c r="A1022" s="12" t="s">
        <v>3022</v>
      </c>
      <c r="B1022" s="12" t="s">
        <v>4486</v>
      </c>
      <c r="C1022" s="12" t="s">
        <v>2572</v>
      </c>
      <c r="D1022" s="12" t="s">
        <v>4752</v>
      </c>
      <c r="E1022" s="12" t="s">
        <v>2583</v>
      </c>
      <c r="F1022" s="12" t="s">
        <v>2584</v>
      </c>
      <c r="G1022" s="12" t="s">
        <v>2585</v>
      </c>
      <c r="H1022" s="12" t="s">
        <v>5258</v>
      </c>
      <c r="I1022" s="12" t="s">
        <v>3075</v>
      </c>
      <c r="J1022" s="12" t="s">
        <v>118</v>
      </c>
      <c r="K1022" s="12" t="s">
        <v>4110</v>
      </c>
      <c r="L1022" s="13" t="s">
        <v>3075</v>
      </c>
    </row>
    <row r="1023" spans="1:12" hidden="1" x14ac:dyDescent="0.55000000000000004">
      <c r="A1023" s="12" t="s">
        <v>3022</v>
      </c>
      <c r="B1023" s="12" t="s">
        <v>4486</v>
      </c>
      <c r="C1023" s="12" t="s">
        <v>2572</v>
      </c>
      <c r="D1023" s="12" t="s">
        <v>4752</v>
      </c>
      <c r="E1023" s="12" t="s">
        <v>2589</v>
      </c>
      <c r="F1023" s="12" t="s">
        <v>2590</v>
      </c>
      <c r="G1023" s="12" t="s">
        <v>2591</v>
      </c>
      <c r="H1023" s="12" t="s">
        <v>5258</v>
      </c>
      <c r="I1023" s="12" t="s">
        <v>3075</v>
      </c>
      <c r="J1023" s="12" t="s">
        <v>118</v>
      </c>
      <c r="K1023" s="12" t="s">
        <v>4112</v>
      </c>
      <c r="L1023" s="13" t="s">
        <v>3075</v>
      </c>
    </row>
    <row r="1024" spans="1:12" hidden="1" x14ac:dyDescent="0.55000000000000004">
      <c r="A1024" s="12" t="s">
        <v>3022</v>
      </c>
      <c r="B1024" s="12" t="s">
        <v>4486</v>
      </c>
      <c r="C1024" s="12" t="s">
        <v>2572</v>
      </c>
      <c r="D1024" s="12" t="s">
        <v>4752</v>
      </c>
      <c r="E1024" s="12" t="s">
        <v>2592</v>
      </c>
      <c r="F1024" s="12" t="s">
        <v>2593</v>
      </c>
      <c r="G1024" s="12" t="s">
        <v>2594</v>
      </c>
      <c r="H1024" s="12" t="s">
        <v>5258</v>
      </c>
      <c r="I1024" s="12" t="s">
        <v>3075</v>
      </c>
      <c r="J1024" s="12" t="s">
        <v>118</v>
      </c>
      <c r="K1024" s="12" t="s">
        <v>4113</v>
      </c>
      <c r="L1024" s="13" t="s">
        <v>3075</v>
      </c>
    </row>
    <row r="1025" spans="1:12" hidden="1" x14ac:dyDescent="0.55000000000000004">
      <c r="A1025" s="12" t="s">
        <v>3022</v>
      </c>
      <c r="B1025" s="12" t="s">
        <v>4486</v>
      </c>
      <c r="C1025" s="12" t="s">
        <v>2572</v>
      </c>
      <c r="D1025" s="12" t="s">
        <v>4752</v>
      </c>
      <c r="E1025" s="12" t="s">
        <v>2595</v>
      </c>
      <c r="F1025" s="12" t="s">
        <v>2202</v>
      </c>
      <c r="G1025" s="12" t="s">
        <v>2596</v>
      </c>
      <c r="H1025" s="12" t="s">
        <v>5258</v>
      </c>
      <c r="I1025" s="12" t="s">
        <v>3075</v>
      </c>
      <c r="J1025" s="12" t="s">
        <v>118</v>
      </c>
      <c r="K1025" s="12" t="s">
        <v>4114</v>
      </c>
      <c r="L1025" s="13" t="s">
        <v>3075</v>
      </c>
    </row>
    <row r="1026" spans="1:12" hidden="1" x14ac:dyDescent="0.55000000000000004">
      <c r="A1026" s="12" t="s">
        <v>3022</v>
      </c>
      <c r="B1026" s="12" t="s">
        <v>4486</v>
      </c>
      <c r="C1026" s="12" t="s">
        <v>2572</v>
      </c>
      <c r="D1026" s="12" t="s">
        <v>4752</v>
      </c>
      <c r="E1026" s="12" t="s">
        <v>2597</v>
      </c>
      <c r="F1026" s="12" t="s">
        <v>2598</v>
      </c>
      <c r="G1026" s="12" t="s">
        <v>2599</v>
      </c>
      <c r="H1026" s="12" t="s">
        <v>5258</v>
      </c>
      <c r="I1026" s="12" t="s">
        <v>3075</v>
      </c>
      <c r="J1026" s="12" t="s">
        <v>118</v>
      </c>
      <c r="K1026" s="12" t="s">
        <v>4115</v>
      </c>
      <c r="L1026" s="13" t="s">
        <v>3075</v>
      </c>
    </row>
    <row r="1027" spans="1:12" hidden="1" x14ac:dyDescent="0.55000000000000004">
      <c r="A1027" s="12" t="s">
        <v>3022</v>
      </c>
      <c r="B1027" s="12" t="s">
        <v>4486</v>
      </c>
      <c r="C1027" s="12" t="s">
        <v>2572</v>
      </c>
      <c r="D1027" s="12" t="s">
        <v>4752</v>
      </c>
      <c r="E1027" s="12" t="s">
        <v>2600</v>
      </c>
      <c r="F1027" s="12" t="s">
        <v>917</v>
      </c>
      <c r="G1027" s="12" t="s">
        <v>2601</v>
      </c>
      <c r="H1027" s="12" t="s">
        <v>5258</v>
      </c>
      <c r="I1027" s="12" t="s">
        <v>3075</v>
      </c>
      <c r="J1027" s="12" t="s">
        <v>118</v>
      </c>
      <c r="K1027" s="12" t="s">
        <v>4116</v>
      </c>
      <c r="L1027" s="13" t="s">
        <v>3075</v>
      </c>
    </row>
    <row r="1028" spans="1:12" hidden="1" x14ac:dyDescent="0.55000000000000004">
      <c r="A1028" s="12" t="s">
        <v>3022</v>
      </c>
      <c r="B1028" s="12" t="s">
        <v>4486</v>
      </c>
      <c r="C1028" s="12" t="s">
        <v>2572</v>
      </c>
      <c r="D1028" s="12" t="s">
        <v>4752</v>
      </c>
      <c r="E1028" s="12" t="s">
        <v>2602</v>
      </c>
      <c r="F1028" s="12" t="s">
        <v>971</v>
      </c>
      <c r="G1028" s="12" t="s">
        <v>2596</v>
      </c>
      <c r="H1028" s="12" t="s">
        <v>5258</v>
      </c>
      <c r="I1028" s="12" t="s">
        <v>3075</v>
      </c>
      <c r="J1028" s="12" t="s">
        <v>118</v>
      </c>
      <c r="K1028" s="12" t="s">
        <v>4117</v>
      </c>
      <c r="L1028" s="13" t="s">
        <v>3075</v>
      </c>
    </row>
    <row r="1029" spans="1:12" hidden="1" x14ac:dyDescent="0.55000000000000004">
      <c r="A1029" s="12" t="s">
        <v>3022</v>
      </c>
      <c r="B1029" s="12" t="s">
        <v>4486</v>
      </c>
      <c r="C1029" s="12" t="s">
        <v>2572</v>
      </c>
      <c r="D1029" s="12" t="s">
        <v>4752</v>
      </c>
      <c r="E1029" s="12" t="s">
        <v>6034</v>
      </c>
      <c r="F1029" s="12" t="s">
        <v>169</v>
      </c>
      <c r="G1029" s="12" t="s">
        <v>6035</v>
      </c>
      <c r="H1029" s="12" t="s">
        <v>5258</v>
      </c>
      <c r="I1029" s="12" t="s">
        <v>3075</v>
      </c>
      <c r="J1029" s="12" t="s">
        <v>118</v>
      </c>
      <c r="K1029" s="12" t="s">
        <v>6036</v>
      </c>
      <c r="L1029" s="13" t="s">
        <v>3075</v>
      </c>
    </row>
    <row r="1030" spans="1:12" hidden="1" x14ac:dyDescent="0.55000000000000004">
      <c r="A1030" s="12" t="s">
        <v>3022</v>
      </c>
      <c r="B1030" s="12" t="s">
        <v>4486</v>
      </c>
      <c r="C1030" s="12" t="s">
        <v>2572</v>
      </c>
      <c r="D1030" s="12" t="s">
        <v>4752</v>
      </c>
      <c r="E1030" s="12" t="s">
        <v>6037</v>
      </c>
      <c r="F1030" s="12" t="s">
        <v>169</v>
      </c>
      <c r="G1030" s="12" t="s">
        <v>2412</v>
      </c>
      <c r="H1030" s="12" t="s">
        <v>5258</v>
      </c>
      <c r="I1030" s="12" t="s">
        <v>3075</v>
      </c>
      <c r="J1030" s="12" t="s">
        <v>118</v>
      </c>
      <c r="K1030" s="12" t="s">
        <v>6038</v>
      </c>
      <c r="L1030" s="13" t="s">
        <v>3075</v>
      </c>
    </row>
    <row r="1031" spans="1:12" hidden="1" x14ac:dyDescent="0.55000000000000004">
      <c r="A1031" s="12" t="s">
        <v>3022</v>
      </c>
      <c r="B1031" s="12" t="s">
        <v>4486</v>
      </c>
      <c r="C1031" s="12" t="s">
        <v>2572</v>
      </c>
      <c r="D1031" s="12" t="s">
        <v>4752</v>
      </c>
      <c r="E1031" s="12" t="s">
        <v>6039</v>
      </c>
      <c r="F1031" s="12" t="s">
        <v>6040</v>
      </c>
      <c r="G1031" s="12" t="s">
        <v>6041</v>
      </c>
      <c r="H1031" s="12" t="s">
        <v>5258</v>
      </c>
      <c r="I1031" s="12" t="s">
        <v>3075</v>
      </c>
      <c r="J1031" s="12" t="s">
        <v>118</v>
      </c>
      <c r="K1031" s="12" t="s">
        <v>6042</v>
      </c>
      <c r="L1031" s="13" t="s">
        <v>3075</v>
      </c>
    </row>
    <row r="1032" spans="1:12" hidden="1" x14ac:dyDescent="0.55000000000000004">
      <c r="A1032" s="12" t="s">
        <v>3022</v>
      </c>
      <c r="B1032" s="12" t="s">
        <v>4486</v>
      </c>
      <c r="C1032" s="12" t="s">
        <v>2572</v>
      </c>
      <c r="D1032" s="12" t="s">
        <v>4752</v>
      </c>
      <c r="E1032" s="12" t="s">
        <v>6043</v>
      </c>
      <c r="F1032" s="12" t="s">
        <v>6040</v>
      </c>
      <c r="G1032" s="12" t="s">
        <v>6041</v>
      </c>
      <c r="H1032" s="12" t="s">
        <v>5258</v>
      </c>
      <c r="I1032" s="12" t="s">
        <v>3075</v>
      </c>
      <c r="J1032" s="12" t="s">
        <v>118</v>
      </c>
      <c r="K1032" s="12" t="s">
        <v>6042</v>
      </c>
      <c r="L1032" s="13" t="s">
        <v>3075</v>
      </c>
    </row>
    <row r="1033" spans="1:12" hidden="1" x14ac:dyDescent="0.55000000000000004">
      <c r="A1033" s="12" t="s">
        <v>3022</v>
      </c>
      <c r="B1033" s="12" t="s">
        <v>4486</v>
      </c>
      <c r="C1033" s="12" t="s">
        <v>2572</v>
      </c>
      <c r="D1033" s="12" t="s">
        <v>4752</v>
      </c>
      <c r="E1033" s="12" t="s">
        <v>6044</v>
      </c>
      <c r="F1033" s="12" t="s">
        <v>6045</v>
      </c>
      <c r="G1033" s="12" t="s">
        <v>6046</v>
      </c>
      <c r="H1033" s="12" t="s">
        <v>5258</v>
      </c>
      <c r="I1033" s="12" t="s">
        <v>3075</v>
      </c>
      <c r="J1033" s="12" t="s">
        <v>118</v>
      </c>
      <c r="K1033" s="12" t="s">
        <v>6047</v>
      </c>
      <c r="L1033" s="13" t="s">
        <v>3075</v>
      </c>
    </row>
    <row r="1034" spans="1:12" hidden="1" x14ac:dyDescent="0.55000000000000004">
      <c r="A1034" s="12" t="s">
        <v>2993</v>
      </c>
      <c r="B1034" s="12" t="s">
        <v>4486</v>
      </c>
      <c r="C1034" s="12" t="s">
        <v>5181</v>
      </c>
      <c r="D1034" s="12" t="s">
        <v>4752</v>
      </c>
      <c r="E1034" s="12" t="s">
        <v>1122</v>
      </c>
      <c r="F1034" s="12" t="s">
        <v>1123</v>
      </c>
      <c r="G1034" s="12" t="s">
        <v>1124</v>
      </c>
      <c r="H1034" s="12" t="s">
        <v>5259</v>
      </c>
      <c r="I1034" s="12" t="s">
        <v>3059</v>
      </c>
      <c r="J1034" s="12" t="s">
        <v>1222</v>
      </c>
      <c r="K1034" s="12" t="s">
        <v>3636</v>
      </c>
      <c r="L1034" s="13">
        <v>5</v>
      </c>
    </row>
    <row r="1035" spans="1:12" hidden="1" x14ac:dyDescent="0.55000000000000004">
      <c r="A1035" s="12" t="s">
        <v>2993</v>
      </c>
      <c r="B1035" s="12" t="s">
        <v>4486</v>
      </c>
      <c r="C1035" s="12" t="s">
        <v>5181</v>
      </c>
      <c r="D1035" s="12" t="s">
        <v>4752</v>
      </c>
      <c r="E1035" s="12" t="s">
        <v>1128</v>
      </c>
      <c r="F1035" s="12" t="s">
        <v>1129</v>
      </c>
      <c r="G1035" s="12" t="s">
        <v>1130</v>
      </c>
      <c r="H1035" s="12" t="s">
        <v>5259</v>
      </c>
      <c r="I1035" s="12" t="s">
        <v>3059</v>
      </c>
      <c r="J1035" s="12" t="s">
        <v>1222</v>
      </c>
      <c r="K1035" s="12" t="s">
        <v>3638</v>
      </c>
      <c r="L1035" s="13">
        <v>5</v>
      </c>
    </row>
    <row r="1036" spans="1:12" hidden="1" x14ac:dyDescent="0.55000000000000004">
      <c r="A1036" s="12" t="s">
        <v>2993</v>
      </c>
      <c r="B1036" s="12" t="s">
        <v>4486</v>
      </c>
      <c r="C1036" s="12" t="s">
        <v>5181</v>
      </c>
      <c r="D1036" s="12" t="s">
        <v>4752</v>
      </c>
      <c r="E1036" s="12" t="s">
        <v>1133</v>
      </c>
      <c r="F1036" s="12" t="s">
        <v>748</v>
      </c>
      <c r="G1036" s="12" t="s">
        <v>1134</v>
      </c>
      <c r="H1036" s="12" t="s">
        <v>5259</v>
      </c>
      <c r="I1036" s="12" t="s">
        <v>3059</v>
      </c>
      <c r="J1036" s="12" t="s">
        <v>1222</v>
      </c>
      <c r="K1036" s="12" t="s">
        <v>3640</v>
      </c>
      <c r="L1036" s="13">
        <v>5</v>
      </c>
    </row>
    <row r="1037" spans="1:12" hidden="1" x14ac:dyDescent="0.55000000000000004">
      <c r="A1037" s="12" t="s">
        <v>2988</v>
      </c>
      <c r="B1037" s="12" t="s">
        <v>4486</v>
      </c>
      <c r="C1037" s="12" t="s">
        <v>5260</v>
      </c>
      <c r="D1037" s="12" t="s">
        <v>4752</v>
      </c>
      <c r="E1037" s="12" t="s">
        <v>2610</v>
      </c>
      <c r="F1037" s="12" t="s">
        <v>2558</v>
      </c>
      <c r="G1037" s="12" t="s">
        <v>2611</v>
      </c>
      <c r="H1037" s="12" t="s">
        <v>5261</v>
      </c>
      <c r="I1037" s="12" t="s">
        <v>3075</v>
      </c>
      <c r="J1037" s="12" t="s">
        <v>545</v>
      </c>
      <c r="K1037" s="12" t="s">
        <v>4121</v>
      </c>
      <c r="L1037" s="13" t="s">
        <v>3075</v>
      </c>
    </row>
    <row r="1038" spans="1:12" hidden="1" x14ac:dyDescent="0.55000000000000004">
      <c r="A1038" s="12" t="s">
        <v>2988</v>
      </c>
      <c r="B1038" s="12" t="s">
        <v>4486</v>
      </c>
      <c r="C1038" s="12" t="s">
        <v>5260</v>
      </c>
      <c r="D1038" s="12" t="s">
        <v>4752</v>
      </c>
      <c r="E1038" s="12" t="s">
        <v>2612</v>
      </c>
      <c r="F1038" s="12" t="s">
        <v>2613</v>
      </c>
      <c r="G1038" s="12" t="s">
        <v>2614</v>
      </c>
      <c r="H1038" s="12" t="s">
        <v>5261</v>
      </c>
      <c r="I1038" s="12" t="s">
        <v>3059</v>
      </c>
      <c r="J1038" s="12" t="s">
        <v>545</v>
      </c>
      <c r="K1038" s="12" t="s">
        <v>4122</v>
      </c>
      <c r="L1038" s="13">
        <v>2</v>
      </c>
    </row>
    <row r="1039" spans="1:12" hidden="1" x14ac:dyDescent="0.55000000000000004">
      <c r="A1039" s="12" t="s">
        <v>2988</v>
      </c>
      <c r="B1039" s="12" t="s">
        <v>4486</v>
      </c>
      <c r="C1039" s="12" t="s">
        <v>5260</v>
      </c>
      <c r="D1039" s="12" t="s">
        <v>4752</v>
      </c>
      <c r="E1039" s="12" t="s">
        <v>2615</v>
      </c>
      <c r="F1039" s="12" t="s">
        <v>2616</v>
      </c>
      <c r="G1039" s="12" t="s">
        <v>2617</v>
      </c>
      <c r="H1039" s="12" t="s">
        <v>5261</v>
      </c>
      <c r="I1039" s="12" t="s">
        <v>3059</v>
      </c>
      <c r="J1039" s="12" t="s">
        <v>545</v>
      </c>
      <c r="K1039" s="12" t="s">
        <v>4123</v>
      </c>
      <c r="L1039" s="13">
        <v>2</v>
      </c>
    </row>
    <row r="1040" spans="1:12" hidden="1" x14ac:dyDescent="0.55000000000000004">
      <c r="A1040" s="12" t="s">
        <v>2988</v>
      </c>
      <c r="B1040" s="12" t="s">
        <v>4486</v>
      </c>
      <c r="C1040" s="12" t="s">
        <v>5260</v>
      </c>
      <c r="D1040" s="12" t="s">
        <v>4752</v>
      </c>
      <c r="E1040" s="12" t="s">
        <v>2618</v>
      </c>
      <c r="F1040" s="12" t="s">
        <v>701</v>
      </c>
      <c r="G1040" s="12" t="s">
        <v>2619</v>
      </c>
      <c r="H1040" s="12" t="s">
        <v>5261</v>
      </c>
      <c r="I1040" s="12" t="s">
        <v>3059</v>
      </c>
      <c r="J1040" s="12" t="s">
        <v>545</v>
      </c>
      <c r="K1040" s="12" t="s">
        <v>4124</v>
      </c>
      <c r="L1040" s="13">
        <v>2</v>
      </c>
    </row>
    <row r="1041" spans="1:12" hidden="1" x14ac:dyDescent="0.55000000000000004">
      <c r="A1041" s="12" t="s">
        <v>2988</v>
      </c>
      <c r="B1041" s="12" t="s">
        <v>4486</v>
      </c>
      <c r="C1041" s="12" t="s">
        <v>5260</v>
      </c>
      <c r="D1041" s="12" t="s">
        <v>4752</v>
      </c>
      <c r="E1041" s="12" t="s">
        <v>6048</v>
      </c>
      <c r="F1041" s="12" t="s">
        <v>6049</v>
      </c>
      <c r="G1041" s="12" t="s">
        <v>6050</v>
      </c>
      <c r="H1041" s="12" t="s">
        <v>5261</v>
      </c>
      <c r="I1041" s="12" t="s">
        <v>3075</v>
      </c>
      <c r="J1041" s="12" t="s">
        <v>545</v>
      </c>
      <c r="K1041" s="12" t="s">
        <v>6051</v>
      </c>
      <c r="L1041" s="13" t="s">
        <v>3075</v>
      </c>
    </row>
    <row r="1042" spans="1:12" hidden="1" x14ac:dyDescent="0.55000000000000004">
      <c r="A1042" s="12" t="s">
        <v>2988</v>
      </c>
      <c r="B1042" s="12" t="s">
        <v>4486</v>
      </c>
      <c r="C1042" s="12" t="s">
        <v>5260</v>
      </c>
      <c r="D1042" s="12" t="s">
        <v>4752</v>
      </c>
      <c r="E1042" s="12" t="s">
        <v>6052</v>
      </c>
      <c r="F1042" s="12" t="s">
        <v>6053</v>
      </c>
      <c r="G1042" s="12" t="s">
        <v>6054</v>
      </c>
      <c r="H1042" s="12" t="s">
        <v>5261</v>
      </c>
      <c r="I1042" s="12" t="s">
        <v>3075</v>
      </c>
      <c r="J1042" s="12" t="s">
        <v>545</v>
      </c>
      <c r="K1042" s="12" t="s">
        <v>6055</v>
      </c>
      <c r="L1042" s="13" t="s">
        <v>3075</v>
      </c>
    </row>
    <row r="1043" spans="1:12" hidden="1" x14ac:dyDescent="0.55000000000000004">
      <c r="A1043" s="12" t="s">
        <v>2882</v>
      </c>
      <c r="B1043" s="12" t="s">
        <v>4374</v>
      </c>
      <c r="C1043" s="12" t="s">
        <v>4956</v>
      </c>
      <c r="D1043" s="12" t="s">
        <v>4752</v>
      </c>
      <c r="E1043" s="12" t="s">
        <v>2603</v>
      </c>
      <c r="F1043" s="12" t="s">
        <v>1314</v>
      </c>
      <c r="G1043" s="12" t="s">
        <v>2604</v>
      </c>
      <c r="H1043" s="12" t="s">
        <v>4385</v>
      </c>
      <c r="I1043" s="12" t="s">
        <v>3075</v>
      </c>
      <c r="J1043" s="12" t="s">
        <v>3095</v>
      </c>
      <c r="K1043" s="12" t="s">
        <v>4118</v>
      </c>
      <c r="L1043" s="13" t="s">
        <v>3075</v>
      </c>
    </row>
    <row r="1044" spans="1:12" hidden="1" x14ac:dyDescent="0.55000000000000004">
      <c r="A1044" s="12" t="s">
        <v>2882</v>
      </c>
      <c r="B1044" s="12" t="s">
        <v>4374</v>
      </c>
      <c r="C1044" s="12" t="s">
        <v>4956</v>
      </c>
      <c r="D1044" s="12" t="s">
        <v>4752</v>
      </c>
      <c r="E1044" s="12" t="s">
        <v>2605</v>
      </c>
      <c r="F1044" s="12" t="s">
        <v>2606</v>
      </c>
      <c r="G1044" s="12" t="s">
        <v>2607</v>
      </c>
      <c r="H1044" s="12" t="s">
        <v>4385</v>
      </c>
      <c r="I1044" s="12" t="s">
        <v>3059</v>
      </c>
      <c r="J1044" s="12" t="s">
        <v>3095</v>
      </c>
      <c r="K1044" s="12" t="s">
        <v>4119</v>
      </c>
      <c r="L1044" s="13">
        <v>5</v>
      </c>
    </row>
    <row r="1045" spans="1:12" hidden="1" x14ac:dyDescent="0.55000000000000004">
      <c r="A1045" s="12" t="s">
        <v>2882</v>
      </c>
      <c r="B1045" s="12" t="s">
        <v>4374</v>
      </c>
      <c r="C1045" s="12" t="s">
        <v>4956</v>
      </c>
      <c r="D1045" s="12" t="s">
        <v>4752</v>
      </c>
      <c r="E1045" s="12" t="s">
        <v>2608</v>
      </c>
      <c r="F1045" s="12" t="s">
        <v>2609</v>
      </c>
      <c r="G1045" s="12" t="s">
        <v>1544</v>
      </c>
      <c r="H1045" s="12" t="s">
        <v>4385</v>
      </c>
      <c r="I1045" s="12" t="s">
        <v>3075</v>
      </c>
      <c r="J1045" s="12" t="s">
        <v>3095</v>
      </c>
      <c r="K1045" s="12" t="s">
        <v>4120</v>
      </c>
      <c r="L1045" s="13" t="s">
        <v>3075</v>
      </c>
    </row>
    <row r="1046" spans="1:12" hidden="1" x14ac:dyDescent="0.55000000000000004">
      <c r="A1046" s="12" t="s">
        <v>2882</v>
      </c>
      <c r="B1046" s="12" t="s">
        <v>4374</v>
      </c>
      <c r="C1046" s="12" t="s">
        <v>4956</v>
      </c>
      <c r="D1046" s="12" t="s">
        <v>4752</v>
      </c>
      <c r="E1046" s="12" t="s">
        <v>4715</v>
      </c>
      <c r="F1046" s="12" t="s">
        <v>3079</v>
      </c>
      <c r="G1046" s="12" t="s">
        <v>4716</v>
      </c>
      <c r="H1046" s="12" t="s">
        <v>4385</v>
      </c>
      <c r="I1046" s="12" t="s">
        <v>3075</v>
      </c>
      <c r="J1046" s="12" t="s">
        <v>3095</v>
      </c>
      <c r="K1046" s="12" t="s">
        <v>4717</v>
      </c>
      <c r="L1046" s="13" t="s">
        <v>3075</v>
      </c>
    </row>
    <row r="1047" spans="1:12" hidden="1" x14ac:dyDescent="0.55000000000000004">
      <c r="A1047" s="12" t="s">
        <v>2882</v>
      </c>
      <c r="B1047" s="12" t="s">
        <v>4374</v>
      </c>
      <c r="C1047" s="12" t="s">
        <v>4956</v>
      </c>
      <c r="D1047" s="12" t="s">
        <v>4752</v>
      </c>
      <c r="E1047" s="12" t="s">
        <v>4718</v>
      </c>
      <c r="F1047" s="12" t="s">
        <v>3081</v>
      </c>
      <c r="G1047" s="12" t="s">
        <v>3082</v>
      </c>
      <c r="H1047" s="12" t="s">
        <v>4385</v>
      </c>
      <c r="I1047" s="12" t="s">
        <v>3075</v>
      </c>
      <c r="J1047" s="12" t="s">
        <v>3095</v>
      </c>
      <c r="K1047" s="12" t="s">
        <v>4263</v>
      </c>
      <c r="L1047" s="13" t="s">
        <v>3075</v>
      </c>
    </row>
    <row r="1048" spans="1:12" hidden="1" x14ac:dyDescent="0.55000000000000004">
      <c r="A1048" s="12" t="s">
        <v>2882</v>
      </c>
      <c r="B1048" s="12" t="s">
        <v>4374</v>
      </c>
      <c r="C1048" s="12" t="s">
        <v>4956</v>
      </c>
      <c r="D1048" s="12" t="s">
        <v>4752</v>
      </c>
      <c r="E1048" s="12" t="s">
        <v>4719</v>
      </c>
      <c r="F1048" s="12" t="s">
        <v>836</v>
      </c>
      <c r="G1048" s="12" t="s">
        <v>4720</v>
      </c>
      <c r="H1048" s="12" t="s">
        <v>4385</v>
      </c>
      <c r="I1048" s="12" t="s">
        <v>3075</v>
      </c>
      <c r="J1048" s="12" t="s">
        <v>3095</v>
      </c>
      <c r="K1048" s="12" t="s">
        <v>4721</v>
      </c>
      <c r="L1048" s="13" t="s">
        <v>3075</v>
      </c>
    </row>
    <row r="1049" spans="1:12" hidden="1" x14ac:dyDescent="0.55000000000000004">
      <c r="A1049" s="12" t="s">
        <v>2882</v>
      </c>
      <c r="B1049" s="12" t="s">
        <v>4374</v>
      </c>
      <c r="C1049" s="12" t="s">
        <v>4956</v>
      </c>
      <c r="D1049" s="12" t="s">
        <v>4752</v>
      </c>
      <c r="E1049" s="12" t="s">
        <v>4722</v>
      </c>
      <c r="F1049" s="12" t="s">
        <v>3083</v>
      </c>
      <c r="G1049" s="12" t="s">
        <v>4723</v>
      </c>
      <c r="H1049" s="12" t="s">
        <v>4385</v>
      </c>
      <c r="I1049" s="12" t="s">
        <v>3059</v>
      </c>
      <c r="J1049" s="12" t="s">
        <v>3095</v>
      </c>
      <c r="K1049" s="12" t="s">
        <v>4724</v>
      </c>
      <c r="L1049" s="13">
        <v>8</v>
      </c>
    </row>
    <row r="1050" spans="1:12" hidden="1" x14ac:dyDescent="0.55000000000000004">
      <c r="A1050" s="12" t="s">
        <v>2882</v>
      </c>
      <c r="B1050" s="12" t="s">
        <v>4374</v>
      </c>
      <c r="C1050" s="12" t="s">
        <v>4956</v>
      </c>
      <c r="D1050" s="12" t="s">
        <v>4752</v>
      </c>
      <c r="E1050" s="12" t="s">
        <v>4725</v>
      </c>
      <c r="F1050" s="12" t="s">
        <v>147</v>
      </c>
      <c r="G1050" s="12" t="s">
        <v>3080</v>
      </c>
      <c r="H1050" s="12" t="s">
        <v>4385</v>
      </c>
      <c r="I1050" s="12" t="s">
        <v>3075</v>
      </c>
      <c r="J1050" s="12" t="s">
        <v>3095</v>
      </c>
      <c r="K1050" s="12" t="s">
        <v>4262</v>
      </c>
      <c r="L1050" s="13" t="s">
        <v>3075</v>
      </c>
    </row>
    <row r="1051" spans="1:12" hidden="1" x14ac:dyDescent="0.55000000000000004">
      <c r="A1051" s="12" t="s">
        <v>2882</v>
      </c>
      <c r="B1051" s="12" t="s">
        <v>4374</v>
      </c>
      <c r="C1051" s="12" t="s">
        <v>4956</v>
      </c>
      <c r="D1051" s="12" t="s">
        <v>4752</v>
      </c>
      <c r="E1051" s="12" t="s">
        <v>4726</v>
      </c>
      <c r="F1051" s="12" t="s">
        <v>844</v>
      </c>
      <c r="G1051" s="12" t="s">
        <v>4727</v>
      </c>
      <c r="H1051" s="12" t="s">
        <v>4385</v>
      </c>
      <c r="I1051" s="12" t="s">
        <v>3075</v>
      </c>
      <c r="J1051" s="12" t="s">
        <v>3095</v>
      </c>
      <c r="K1051" s="12" t="s">
        <v>4728</v>
      </c>
      <c r="L1051" s="13" t="s">
        <v>3075</v>
      </c>
    </row>
    <row r="1052" spans="1:12" hidden="1" x14ac:dyDescent="0.55000000000000004">
      <c r="A1052" s="12" t="s">
        <v>2987</v>
      </c>
      <c r="B1052" s="12" t="s">
        <v>4486</v>
      </c>
      <c r="C1052" s="12" t="s">
        <v>4885</v>
      </c>
      <c r="D1052" s="12" t="s">
        <v>4752</v>
      </c>
      <c r="E1052" s="12" t="s">
        <v>1684</v>
      </c>
      <c r="F1052" s="12" t="s">
        <v>1685</v>
      </c>
      <c r="G1052" s="12" t="s">
        <v>1686</v>
      </c>
      <c r="H1052" s="12" t="s">
        <v>5262</v>
      </c>
      <c r="I1052" s="12" t="s">
        <v>3075</v>
      </c>
      <c r="J1052" s="12" t="s">
        <v>3090</v>
      </c>
      <c r="K1052" s="12" t="s">
        <v>6056</v>
      </c>
      <c r="L1052" s="13" t="s">
        <v>3075</v>
      </c>
    </row>
    <row r="1053" spans="1:12" hidden="1" x14ac:dyDescent="0.55000000000000004">
      <c r="A1053" s="12" t="s">
        <v>2808</v>
      </c>
      <c r="B1053" s="12" t="s">
        <v>4298</v>
      </c>
      <c r="C1053" s="12" t="s">
        <v>5136</v>
      </c>
      <c r="D1053" s="12" t="s">
        <v>4752</v>
      </c>
      <c r="E1053" s="12" t="s">
        <v>1458</v>
      </c>
      <c r="F1053" s="12" t="s">
        <v>1459</v>
      </c>
      <c r="G1053" s="12" t="s">
        <v>1460</v>
      </c>
      <c r="H1053" s="12" t="s">
        <v>4301</v>
      </c>
      <c r="I1053" s="12" t="s">
        <v>3075</v>
      </c>
      <c r="J1053" s="12" t="s">
        <v>1603</v>
      </c>
      <c r="K1053" s="12" t="s">
        <v>3752</v>
      </c>
      <c r="L1053" s="13" t="s">
        <v>3075</v>
      </c>
    </row>
    <row r="1054" spans="1:12" hidden="1" x14ac:dyDescent="0.55000000000000004">
      <c r="A1054" s="12" t="s">
        <v>2808</v>
      </c>
      <c r="B1054" s="12" t="s">
        <v>4298</v>
      </c>
      <c r="C1054" s="12" t="s">
        <v>5136</v>
      </c>
      <c r="D1054" s="12" t="s">
        <v>4752</v>
      </c>
      <c r="E1054" s="12" t="s">
        <v>3141</v>
      </c>
      <c r="F1054" s="12" t="s">
        <v>3142</v>
      </c>
      <c r="G1054" s="12" t="s">
        <v>3143</v>
      </c>
      <c r="H1054" s="12" t="s">
        <v>4301</v>
      </c>
      <c r="I1054" s="12" t="s">
        <v>3059</v>
      </c>
      <c r="J1054" s="12" t="s">
        <v>1603</v>
      </c>
      <c r="K1054" s="12" t="s">
        <v>3753</v>
      </c>
      <c r="L1054" s="13">
        <v>5</v>
      </c>
    </row>
    <row r="1055" spans="1:12" hidden="1" x14ac:dyDescent="0.55000000000000004">
      <c r="A1055" s="12" t="s">
        <v>3006</v>
      </c>
      <c r="B1055" s="12" t="s">
        <v>4486</v>
      </c>
      <c r="C1055" s="12" t="s">
        <v>1053</v>
      </c>
      <c r="D1055" s="12" t="s">
        <v>4752</v>
      </c>
      <c r="E1055" s="12" t="s">
        <v>1054</v>
      </c>
      <c r="F1055" s="12" t="s">
        <v>1055</v>
      </c>
      <c r="G1055" s="12" t="s">
        <v>1056</v>
      </c>
      <c r="H1055" s="12" t="s">
        <v>5263</v>
      </c>
      <c r="I1055" s="12" t="s">
        <v>3059</v>
      </c>
      <c r="J1055" s="12" t="s">
        <v>1222</v>
      </c>
      <c r="K1055" s="12" t="s">
        <v>3612</v>
      </c>
      <c r="L1055" s="13">
        <v>4</v>
      </c>
    </row>
    <row r="1056" spans="1:12" hidden="1" x14ac:dyDescent="0.55000000000000004">
      <c r="A1056" s="12" t="s">
        <v>3006</v>
      </c>
      <c r="B1056" s="12" t="s">
        <v>4486</v>
      </c>
      <c r="C1056" s="12" t="s">
        <v>1053</v>
      </c>
      <c r="D1056" s="12" t="s">
        <v>4752</v>
      </c>
      <c r="E1056" s="12" t="s">
        <v>1057</v>
      </c>
      <c r="F1056" s="12" t="s">
        <v>168</v>
      </c>
      <c r="G1056" s="12" t="s">
        <v>1058</v>
      </c>
      <c r="H1056" s="12" t="s">
        <v>5263</v>
      </c>
      <c r="I1056" s="12" t="s">
        <v>3059</v>
      </c>
      <c r="J1056" s="12" t="s">
        <v>1222</v>
      </c>
      <c r="K1056" s="12" t="s">
        <v>3613</v>
      </c>
      <c r="L1056" s="13">
        <v>4</v>
      </c>
    </row>
    <row r="1057" spans="1:12" hidden="1" x14ac:dyDescent="0.55000000000000004">
      <c r="A1057" s="12" t="s">
        <v>3006</v>
      </c>
      <c r="B1057" s="12" t="s">
        <v>4486</v>
      </c>
      <c r="C1057" s="12" t="s">
        <v>1053</v>
      </c>
      <c r="D1057" s="12" t="s">
        <v>4752</v>
      </c>
      <c r="E1057" s="12" t="s">
        <v>1060</v>
      </c>
      <c r="F1057" s="12" t="s">
        <v>686</v>
      </c>
      <c r="G1057" s="12" t="s">
        <v>1061</v>
      </c>
      <c r="H1057" s="12" t="s">
        <v>5263</v>
      </c>
      <c r="I1057" s="12" t="s">
        <v>3059</v>
      </c>
      <c r="J1057" s="12" t="s">
        <v>1222</v>
      </c>
      <c r="K1057" s="12" t="s">
        <v>3614</v>
      </c>
      <c r="L1057" s="13">
        <v>5</v>
      </c>
    </row>
    <row r="1058" spans="1:12" hidden="1" x14ac:dyDescent="0.55000000000000004">
      <c r="A1058" s="12" t="s">
        <v>3006</v>
      </c>
      <c r="B1058" s="12" t="s">
        <v>4486</v>
      </c>
      <c r="C1058" s="12" t="s">
        <v>1053</v>
      </c>
      <c r="D1058" s="12" t="s">
        <v>4752</v>
      </c>
      <c r="E1058" s="12" t="s">
        <v>1062</v>
      </c>
      <c r="F1058" s="12" t="s">
        <v>844</v>
      </c>
      <c r="G1058" s="12" t="s">
        <v>1063</v>
      </c>
      <c r="H1058" s="12" t="s">
        <v>5263</v>
      </c>
      <c r="I1058" s="12" t="s">
        <v>3059</v>
      </c>
      <c r="J1058" s="12" t="s">
        <v>1222</v>
      </c>
      <c r="K1058" s="12" t="s">
        <v>3615</v>
      </c>
      <c r="L1058" s="13">
        <v>4</v>
      </c>
    </row>
    <row r="1059" spans="1:12" hidden="1" x14ac:dyDescent="0.55000000000000004">
      <c r="A1059" s="12" t="s">
        <v>3006</v>
      </c>
      <c r="B1059" s="12" t="s">
        <v>4486</v>
      </c>
      <c r="C1059" s="12" t="s">
        <v>1053</v>
      </c>
      <c r="D1059" s="12" t="s">
        <v>4752</v>
      </c>
      <c r="E1059" s="12" t="s">
        <v>1064</v>
      </c>
      <c r="F1059" s="12" t="s">
        <v>1065</v>
      </c>
      <c r="G1059" s="12" t="s">
        <v>1066</v>
      </c>
      <c r="H1059" s="12" t="s">
        <v>5263</v>
      </c>
      <c r="I1059" s="12" t="s">
        <v>3059</v>
      </c>
      <c r="J1059" s="12" t="s">
        <v>1222</v>
      </c>
      <c r="K1059" s="12" t="s">
        <v>3616</v>
      </c>
      <c r="L1059" s="13">
        <v>5</v>
      </c>
    </row>
    <row r="1060" spans="1:12" hidden="1" x14ac:dyDescent="0.55000000000000004">
      <c r="A1060" s="12" t="s">
        <v>3013</v>
      </c>
      <c r="B1060" s="12" t="s">
        <v>4486</v>
      </c>
      <c r="C1060" s="12" t="s">
        <v>5264</v>
      </c>
      <c r="D1060" s="12" t="s">
        <v>4752</v>
      </c>
      <c r="E1060" s="12" t="s">
        <v>2627</v>
      </c>
      <c r="F1060" s="12" t="s">
        <v>2628</v>
      </c>
      <c r="G1060" s="12" t="s">
        <v>2629</v>
      </c>
      <c r="H1060" s="12" t="s">
        <v>4552</v>
      </c>
      <c r="I1060" s="12" t="s">
        <v>3075</v>
      </c>
      <c r="J1060" s="12" t="s">
        <v>3091</v>
      </c>
      <c r="K1060" s="12" t="s">
        <v>4128</v>
      </c>
      <c r="L1060" s="13" t="s">
        <v>3075</v>
      </c>
    </row>
    <row r="1061" spans="1:12" hidden="1" x14ac:dyDescent="0.55000000000000004">
      <c r="A1061" s="12" t="s">
        <v>3013</v>
      </c>
      <c r="B1061" s="12" t="s">
        <v>4486</v>
      </c>
      <c r="C1061" s="12" t="s">
        <v>5264</v>
      </c>
      <c r="D1061" s="12" t="s">
        <v>4752</v>
      </c>
      <c r="E1061" s="12" t="s">
        <v>2286</v>
      </c>
      <c r="F1061" s="12" t="s">
        <v>2287</v>
      </c>
      <c r="G1061" s="12" t="s">
        <v>2288</v>
      </c>
      <c r="H1061" s="12" t="s">
        <v>4552</v>
      </c>
      <c r="I1061" s="12" t="s">
        <v>3059</v>
      </c>
      <c r="J1061" s="12" t="s">
        <v>3091</v>
      </c>
      <c r="K1061" s="12" t="s">
        <v>4130</v>
      </c>
      <c r="L1061" s="13">
        <v>9</v>
      </c>
    </row>
    <row r="1062" spans="1:12" hidden="1" x14ac:dyDescent="0.55000000000000004">
      <c r="A1062" s="12" t="s">
        <v>3013</v>
      </c>
      <c r="B1062" s="12" t="s">
        <v>4486</v>
      </c>
      <c r="C1062" s="12" t="s">
        <v>5264</v>
      </c>
      <c r="D1062" s="12" t="s">
        <v>4752</v>
      </c>
      <c r="E1062" s="12" t="s">
        <v>2289</v>
      </c>
      <c r="F1062" s="12" t="s">
        <v>2290</v>
      </c>
      <c r="G1062" s="12" t="s">
        <v>2291</v>
      </c>
      <c r="H1062" s="12" t="s">
        <v>4552</v>
      </c>
      <c r="I1062" s="12" t="s">
        <v>3059</v>
      </c>
      <c r="J1062" s="12" t="s">
        <v>3091</v>
      </c>
      <c r="K1062" s="12" t="s">
        <v>4131</v>
      </c>
      <c r="L1062" s="13">
        <v>9</v>
      </c>
    </row>
    <row r="1063" spans="1:12" hidden="1" x14ac:dyDescent="0.55000000000000004">
      <c r="A1063" s="12" t="s">
        <v>3013</v>
      </c>
      <c r="B1063" s="12" t="s">
        <v>4486</v>
      </c>
      <c r="C1063" s="12" t="s">
        <v>5264</v>
      </c>
      <c r="D1063" s="12" t="s">
        <v>4752</v>
      </c>
      <c r="E1063" s="12" t="s">
        <v>2292</v>
      </c>
      <c r="F1063" s="12" t="s">
        <v>2290</v>
      </c>
      <c r="G1063" s="12" t="s">
        <v>2293</v>
      </c>
      <c r="H1063" s="12" t="s">
        <v>4552</v>
      </c>
      <c r="I1063" s="12" t="s">
        <v>3059</v>
      </c>
      <c r="J1063" s="12" t="s">
        <v>3091</v>
      </c>
      <c r="K1063" s="12" t="s">
        <v>4132</v>
      </c>
      <c r="L1063" s="13">
        <v>9</v>
      </c>
    </row>
    <row r="1064" spans="1:12" hidden="1" x14ac:dyDescent="0.55000000000000004">
      <c r="A1064" s="12" t="s">
        <v>3013</v>
      </c>
      <c r="B1064" s="12" t="s">
        <v>4486</v>
      </c>
      <c r="C1064" s="12" t="s">
        <v>5264</v>
      </c>
      <c r="D1064" s="12" t="s">
        <v>4752</v>
      </c>
      <c r="E1064" s="12" t="s">
        <v>2294</v>
      </c>
      <c r="F1064" s="12" t="s">
        <v>3127</v>
      </c>
      <c r="G1064" s="12" t="s">
        <v>2295</v>
      </c>
      <c r="H1064" s="12" t="s">
        <v>4552</v>
      </c>
      <c r="I1064" s="12" t="s">
        <v>3059</v>
      </c>
      <c r="J1064" s="12" t="s">
        <v>3091</v>
      </c>
      <c r="K1064" s="12" t="s">
        <v>4133</v>
      </c>
      <c r="L1064" s="13">
        <v>9</v>
      </c>
    </row>
    <row r="1065" spans="1:12" hidden="1" x14ac:dyDescent="0.55000000000000004">
      <c r="A1065" s="12" t="s">
        <v>3013</v>
      </c>
      <c r="B1065" s="12" t="s">
        <v>4486</v>
      </c>
      <c r="C1065" s="12" t="s">
        <v>5264</v>
      </c>
      <c r="D1065" s="12" t="s">
        <v>4752</v>
      </c>
      <c r="E1065" s="12" t="s">
        <v>2296</v>
      </c>
      <c r="F1065" s="12" t="s">
        <v>1358</v>
      </c>
      <c r="G1065" s="12" t="s">
        <v>2297</v>
      </c>
      <c r="H1065" s="12" t="s">
        <v>4552</v>
      </c>
      <c r="I1065" s="12" t="s">
        <v>3075</v>
      </c>
      <c r="J1065" s="12" t="s">
        <v>3091</v>
      </c>
      <c r="K1065" s="12" t="s">
        <v>4134</v>
      </c>
      <c r="L1065" s="13" t="s">
        <v>3075</v>
      </c>
    </row>
    <row r="1066" spans="1:12" hidden="1" x14ac:dyDescent="0.55000000000000004">
      <c r="A1066" s="12" t="s">
        <v>3018</v>
      </c>
      <c r="B1066" s="12" t="s">
        <v>4486</v>
      </c>
      <c r="C1066" s="12" t="s">
        <v>4888</v>
      </c>
      <c r="D1066" s="12" t="s">
        <v>4752</v>
      </c>
      <c r="E1066" s="12" t="s">
        <v>2334</v>
      </c>
      <c r="F1066" s="12" t="s">
        <v>556</v>
      </c>
      <c r="G1066" s="12" t="s">
        <v>2335</v>
      </c>
      <c r="H1066" s="12" t="s">
        <v>5265</v>
      </c>
      <c r="I1066" s="12" t="s">
        <v>3075</v>
      </c>
      <c r="J1066" s="12" t="s">
        <v>3091</v>
      </c>
      <c r="K1066" s="12" t="s">
        <v>4149</v>
      </c>
      <c r="L1066" s="13" t="s">
        <v>3075</v>
      </c>
    </row>
    <row r="1067" spans="1:12" hidden="1" x14ac:dyDescent="0.55000000000000004">
      <c r="A1067" s="12" t="s">
        <v>3018</v>
      </c>
      <c r="B1067" s="12" t="s">
        <v>4486</v>
      </c>
      <c r="C1067" s="12" t="s">
        <v>4888</v>
      </c>
      <c r="D1067" s="12" t="s">
        <v>4752</v>
      </c>
      <c r="E1067" s="12" t="s">
        <v>2336</v>
      </c>
      <c r="F1067" s="12" t="s">
        <v>2337</v>
      </c>
      <c r="G1067" s="12" t="s">
        <v>2338</v>
      </c>
      <c r="H1067" s="12" t="s">
        <v>5265</v>
      </c>
      <c r="I1067" s="12" t="s">
        <v>3075</v>
      </c>
      <c r="J1067" s="12" t="s">
        <v>3091</v>
      </c>
      <c r="K1067" s="12" t="s">
        <v>4150</v>
      </c>
      <c r="L1067" s="13" t="s">
        <v>3075</v>
      </c>
    </row>
    <row r="1068" spans="1:12" hidden="1" x14ac:dyDescent="0.55000000000000004">
      <c r="A1068" s="12" t="s">
        <v>3018</v>
      </c>
      <c r="B1068" s="12" t="s">
        <v>4486</v>
      </c>
      <c r="C1068" s="12" t="s">
        <v>4888</v>
      </c>
      <c r="D1068" s="12" t="s">
        <v>4752</v>
      </c>
      <c r="E1068" s="12" t="s">
        <v>2339</v>
      </c>
      <c r="F1068" s="12" t="s">
        <v>3162</v>
      </c>
      <c r="G1068" s="12" t="s">
        <v>2340</v>
      </c>
      <c r="H1068" s="12" t="s">
        <v>5265</v>
      </c>
      <c r="I1068" s="12" t="s">
        <v>3060</v>
      </c>
      <c r="J1068" s="12" t="s">
        <v>3091</v>
      </c>
      <c r="K1068" s="12" t="s">
        <v>4151</v>
      </c>
      <c r="L1068" s="13">
        <v>2</v>
      </c>
    </row>
    <row r="1069" spans="1:12" hidden="1" x14ac:dyDescent="0.55000000000000004">
      <c r="A1069" s="12" t="s">
        <v>3018</v>
      </c>
      <c r="B1069" s="12" t="s">
        <v>4486</v>
      </c>
      <c r="C1069" s="12" t="s">
        <v>4888</v>
      </c>
      <c r="D1069" s="12" t="s">
        <v>4752</v>
      </c>
      <c r="E1069" s="12" t="s">
        <v>2341</v>
      </c>
      <c r="F1069" s="12" t="s">
        <v>2342</v>
      </c>
      <c r="G1069" s="12" t="s">
        <v>2343</v>
      </c>
      <c r="H1069" s="12" t="s">
        <v>5265</v>
      </c>
      <c r="I1069" s="12" t="s">
        <v>3075</v>
      </c>
      <c r="J1069" s="12" t="s">
        <v>3091</v>
      </c>
      <c r="K1069" s="12" t="s">
        <v>4152</v>
      </c>
      <c r="L1069" s="13" t="s">
        <v>3075</v>
      </c>
    </row>
    <row r="1070" spans="1:12" hidden="1" x14ac:dyDescent="0.55000000000000004">
      <c r="A1070" s="12" t="s">
        <v>3018</v>
      </c>
      <c r="B1070" s="12" t="s">
        <v>4486</v>
      </c>
      <c r="C1070" s="12" t="s">
        <v>4888</v>
      </c>
      <c r="D1070" s="12" t="s">
        <v>4752</v>
      </c>
      <c r="E1070" s="12" t="s">
        <v>6057</v>
      </c>
      <c r="F1070" s="12" t="s">
        <v>1706</v>
      </c>
      <c r="G1070" s="12" t="s">
        <v>6058</v>
      </c>
      <c r="H1070" s="12" t="s">
        <v>5265</v>
      </c>
      <c r="I1070" s="12" t="s">
        <v>3075</v>
      </c>
      <c r="J1070" s="12" t="s">
        <v>3091</v>
      </c>
      <c r="K1070" s="12" t="s">
        <v>6059</v>
      </c>
      <c r="L1070" s="13" t="s">
        <v>3075</v>
      </c>
    </row>
    <row r="1071" spans="1:12" hidden="1" x14ac:dyDescent="0.55000000000000004">
      <c r="A1071" s="12" t="s">
        <v>2822</v>
      </c>
      <c r="B1071" s="12" t="s">
        <v>4298</v>
      </c>
      <c r="C1071" s="12" t="s">
        <v>5251</v>
      </c>
      <c r="D1071" s="12" t="s">
        <v>4752</v>
      </c>
      <c r="E1071" s="12" t="s">
        <v>1891</v>
      </c>
      <c r="F1071" s="12" t="s">
        <v>1863</v>
      </c>
      <c r="G1071" s="12" t="s">
        <v>1892</v>
      </c>
      <c r="H1071" s="12" t="s">
        <v>4317</v>
      </c>
      <c r="I1071" s="12" t="s">
        <v>3059</v>
      </c>
      <c r="J1071" s="12" t="s">
        <v>1603</v>
      </c>
      <c r="K1071" s="12" t="s">
        <v>3913</v>
      </c>
      <c r="L1071" s="13">
        <v>5</v>
      </c>
    </row>
    <row r="1072" spans="1:12" hidden="1" x14ac:dyDescent="0.55000000000000004">
      <c r="A1072" s="12" t="s">
        <v>2822</v>
      </c>
      <c r="B1072" s="12" t="s">
        <v>4298</v>
      </c>
      <c r="C1072" s="12" t="s">
        <v>5251</v>
      </c>
      <c r="D1072" s="12" t="s">
        <v>4752</v>
      </c>
      <c r="E1072" s="12" t="s">
        <v>1899</v>
      </c>
      <c r="F1072" s="12" t="s">
        <v>1900</v>
      </c>
      <c r="G1072" s="12" t="s">
        <v>1901</v>
      </c>
      <c r="H1072" s="12" t="s">
        <v>4317</v>
      </c>
      <c r="I1072" s="12" t="s">
        <v>3059</v>
      </c>
      <c r="J1072" s="12" t="s">
        <v>1603</v>
      </c>
      <c r="K1072" s="12" t="s">
        <v>3916</v>
      </c>
      <c r="L1072" s="13">
        <v>7</v>
      </c>
    </row>
    <row r="1073" spans="1:12" hidden="1" x14ac:dyDescent="0.55000000000000004">
      <c r="A1073" s="12" t="s">
        <v>2822</v>
      </c>
      <c r="B1073" s="12" t="s">
        <v>4298</v>
      </c>
      <c r="C1073" s="12" t="s">
        <v>5251</v>
      </c>
      <c r="D1073" s="12" t="s">
        <v>4752</v>
      </c>
      <c r="E1073" s="12" t="s">
        <v>1902</v>
      </c>
      <c r="F1073" s="12" t="s">
        <v>1903</v>
      </c>
      <c r="G1073" s="12" t="s">
        <v>1904</v>
      </c>
      <c r="H1073" s="12" t="s">
        <v>4317</v>
      </c>
      <c r="I1073" s="12" t="s">
        <v>3059</v>
      </c>
      <c r="J1073" s="12" t="s">
        <v>1603</v>
      </c>
      <c r="K1073" s="12" t="s">
        <v>3917</v>
      </c>
      <c r="L1073" s="13">
        <v>5</v>
      </c>
    </row>
    <row r="1074" spans="1:12" hidden="1" x14ac:dyDescent="0.55000000000000004">
      <c r="A1074" s="12" t="s">
        <v>2885</v>
      </c>
      <c r="B1074" s="12" t="s">
        <v>4374</v>
      </c>
      <c r="C1074" s="12" t="s">
        <v>5266</v>
      </c>
      <c r="D1074" s="12" t="s">
        <v>4752</v>
      </c>
      <c r="E1074" s="12" t="s">
        <v>2298</v>
      </c>
      <c r="F1074" s="12" t="s">
        <v>1265</v>
      </c>
      <c r="G1074" s="12" t="s">
        <v>2299</v>
      </c>
      <c r="H1074" s="12" t="s">
        <v>4389</v>
      </c>
      <c r="I1074" s="12" t="s">
        <v>3075</v>
      </c>
      <c r="J1074" s="12" t="s">
        <v>3096</v>
      </c>
      <c r="K1074" s="12" t="s">
        <v>4135</v>
      </c>
      <c r="L1074" s="13" t="s">
        <v>3075</v>
      </c>
    </row>
    <row r="1075" spans="1:12" hidden="1" x14ac:dyDescent="0.55000000000000004">
      <c r="A1075" s="12" t="s">
        <v>2885</v>
      </c>
      <c r="B1075" s="12" t="s">
        <v>4374</v>
      </c>
      <c r="C1075" s="12" t="s">
        <v>5266</v>
      </c>
      <c r="D1075" s="12" t="s">
        <v>4752</v>
      </c>
      <c r="E1075" s="12" t="s">
        <v>4733</v>
      </c>
      <c r="F1075" s="12" t="s">
        <v>2766</v>
      </c>
      <c r="G1075" s="12" t="s">
        <v>4734</v>
      </c>
      <c r="H1075" s="12" t="s">
        <v>4389</v>
      </c>
      <c r="I1075" s="12" t="s">
        <v>3075</v>
      </c>
      <c r="J1075" s="12" t="s">
        <v>3096</v>
      </c>
      <c r="K1075" s="12" t="s">
        <v>4735</v>
      </c>
      <c r="L1075" s="13" t="s">
        <v>3075</v>
      </c>
    </row>
    <row r="1076" spans="1:12" hidden="1" x14ac:dyDescent="0.55000000000000004">
      <c r="A1076" s="12" t="s">
        <v>2885</v>
      </c>
      <c r="B1076" s="12" t="s">
        <v>4374</v>
      </c>
      <c r="C1076" s="12" t="s">
        <v>5266</v>
      </c>
      <c r="D1076" s="12" t="s">
        <v>4752</v>
      </c>
      <c r="E1076" s="12" t="s">
        <v>4736</v>
      </c>
      <c r="F1076" s="12" t="s">
        <v>4737</v>
      </c>
      <c r="G1076" s="12" t="s">
        <v>4738</v>
      </c>
      <c r="H1076" s="12" t="s">
        <v>4389</v>
      </c>
      <c r="I1076" s="12" t="s">
        <v>3075</v>
      </c>
      <c r="J1076" s="12" t="s">
        <v>3096</v>
      </c>
      <c r="K1076" s="12" t="s">
        <v>4739</v>
      </c>
      <c r="L1076" s="13" t="s">
        <v>3075</v>
      </c>
    </row>
    <row r="1077" spans="1:12" hidden="1" x14ac:dyDescent="0.55000000000000004">
      <c r="A1077" s="12" t="s">
        <v>2885</v>
      </c>
      <c r="B1077" s="12" t="s">
        <v>4374</v>
      </c>
      <c r="C1077" s="12" t="s">
        <v>5266</v>
      </c>
      <c r="D1077" s="12" t="s">
        <v>4752</v>
      </c>
      <c r="E1077" s="12" t="s">
        <v>4740</v>
      </c>
      <c r="F1077" s="12" t="s">
        <v>4741</v>
      </c>
      <c r="G1077" s="12" t="s">
        <v>4742</v>
      </c>
      <c r="H1077" s="12" t="s">
        <v>4389</v>
      </c>
      <c r="I1077" s="12" t="s">
        <v>3075</v>
      </c>
      <c r="J1077" s="12" t="s">
        <v>3096</v>
      </c>
      <c r="K1077" s="12" t="s">
        <v>4743</v>
      </c>
      <c r="L1077" s="13" t="s">
        <v>3075</v>
      </c>
    </row>
    <row r="1078" spans="1:12" hidden="1" x14ac:dyDescent="0.55000000000000004">
      <c r="A1078" s="12" t="s">
        <v>3029</v>
      </c>
      <c r="B1078" s="12" t="s">
        <v>4486</v>
      </c>
      <c r="C1078" s="12" t="s">
        <v>3069</v>
      </c>
      <c r="D1078" s="12" t="s">
        <v>4752</v>
      </c>
      <c r="E1078" s="12" t="s">
        <v>2320</v>
      </c>
      <c r="F1078" s="12" t="s">
        <v>2321</v>
      </c>
      <c r="G1078" s="12" t="s">
        <v>2322</v>
      </c>
      <c r="H1078" s="12" t="s">
        <v>5267</v>
      </c>
      <c r="I1078" s="12" t="s">
        <v>3075</v>
      </c>
      <c r="J1078" s="12" t="s">
        <v>545</v>
      </c>
      <c r="K1078" s="12" t="s">
        <v>4144</v>
      </c>
      <c r="L1078" s="13" t="s">
        <v>3075</v>
      </c>
    </row>
    <row r="1079" spans="1:12" hidden="1" x14ac:dyDescent="0.55000000000000004">
      <c r="A1079" s="12" t="s">
        <v>3029</v>
      </c>
      <c r="B1079" s="12" t="s">
        <v>4486</v>
      </c>
      <c r="C1079" s="12" t="s">
        <v>3069</v>
      </c>
      <c r="D1079" s="12" t="s">
        <v>4752</v>
      </c>
      <c r="E1079" s="12" t="s">
        <v>2323</v>
      </c>
      <c r="F1079" s="12" t="s">
        <v>2324</v>
      </c>
      <c r="G1079" s="12" t="s">
        <v>2279</v>
      </c>
      <c r="H1079" s="12" t="s">
        <v>5267</v>
      </c>
      <c r="I1079" s="12" t="s">
        <v>3075</v>
      </c>
      <c r="J1079" s="12" t="s">
        <v>545</v>
      </c>
      <c r="K1079" s="12" t="s">
        <v>4145</v>
      </c>
      <c r="L1079" s="13" t="s">
        <v>3075</v>
      </c>
    </row>
    <row r="1080" spans="1:12" hidden="1" x14ac:dyDescent="0.55000000000000004">
      <c r="A1080" s="12" t="s">
        <v>3029</v>
      </c>
      <c r="B1080" s="12" t="s">
        <v>4486</v>
      </c>
      <c r="C1080" s="12" t="s">
        <v>3069</v>
      </c>
      <c r="D1080" s="12" t="s">
        <v>4752</v>
      </c>
      <c r="E1080" s="12" t="s">
        <v>2325</v>
      </c>
      <c r="F1080" s="12" t="s">
        <v>2326</v>
      </c>
      <c r="G1080" s="12" t="s">
        <v>2327</v>
      </c>
      <c r="H1080" s="12" t="s">
        <v>5267</v>
      </c>
      <c r="I1080" s="12" t="s">
        <v>3075</v>
      </c>
      <c r="J1080" s="12" t="s">
        <v>545</v>
      </c>
      <c r="K1080" s="12" t="s">
        <v>4146</v>
      </c>
      <c r="L1080" s="13" t="s">
        <v>3075</v>
      </c>
    </row>
    <row r="1081" spans="1:12" hidden="1" x14ac:dyDescent="0.55000000000000004">
      <c r="A1081" s="12" t="s">
        <v>3029</v>
      </c>
      <c r="B1081" s="12" t="s">
        <v>4486</v>
      </c>
      <c r="C1081" s="12" t="s">
        <v>3069</v>
      </c>
      <c r="D1081" s="12" t="s">
        <v>4752</v>
      </c>
      <c r="E1081" s="12" t="s">
        <v>2328</v>
      </c>
      <c r="F1081" s="12" t="s">
        <v>255</v>
      </c>
      <c r="G1081" s="12" t="s">
        <v>2329</v>
      </c>
      <c r="H1081" s="12" t="s">
        <v>5267</v>
      </c>
      <c r="I1081" s="12" t="s">
        <v>3075</v>
      </c>
      <c r="J1081" s="12" t="s">
        <v>545</v>
      </c>
      <c r="K1081" s="12" t="s">
        <v>4147</v>
      </c>
      <c r="L1081" s="13" t="s">
        <v>3075</v>
      </c>
    </row>
    <row r="1082" spans="1:12" hidden="1" x14ac:dyDescent="0.55000000000000004">
      <c r="A1082" s="12" t="s">
        <v>3029</v>
      </c>
      <c r="B1082" s="12" t="s">
        <v>4486</v>
      </c>
      <c r="C1082" s="12" t="s">
        <v>3069</v>
      </c>
      <c r="D1082" s="12" t="s">
        <v>4752</v>
      </c>
      <c r="E1082" s="12" t="s">
        <v>6060</v>
      </c>
      <c r="F1082" s="12" t="s">
        <v>1917</v>
      </c>
      <c r="G1082" s="12" t="s">
        <v>6061</v>
      </c>
      <c r="H1082" s="12" t="s">
        <v>5267</v>
      </c>
      <c r="I1082" s="12" t="s">
        <v>3075</v>
      </c>
      <c r="J1082" s="12" t="s">
        <v>545</v>
      </c>
      <c r="K1082" s="12" t="s">
        <v>6062</v>
      </c>
      <c r="L1082" s="13" t="s">
        <v>3075</v>
      </c>
    </row>
    <row r="1083" spans="1:12" hidden="1" x14ac:dyDescent="0.55000000000000004">
      <c r="A1083" s="12" t="s">
        <v>3029</v>
      </c>
      <c r="B1083" s="12" t="s">
        <v>4486</v>
      </c>
      <c r="C1083" s="12" t="s">
        <v>3069</v>
      </c>
      <c r="D1083" s="12" t="s">
        <v>4752</v>
      </c>
      <c r="E1083" s="12" t="s">
        <v>6063</v>
      </c>
      <c r="F1083" s="12" t="s">
        <v>2326</v>
      </c>
      <c r="G1083" s="12" t="s">
        <v>2327</v>
      </c>
      <c r="H1083" s="12" t="s">
        <v>5267</v>
      </c>
      <c r="I1083" s="12" t="s">
        <v>3075</v>
      </c>
      <c r="J1083" s="12" t="s">
        <v>545</v>
      </c>
      <c r="K1083" s="12" t="s">
        <v>4146</v>
      </c>
      <c r="L1083" s="13" t="s">
        <v>3075</v>
      </c>
    </row>
    <row r="1084" spans="1:12" hidden="1" x14ac:dyDescent="0.55000000000000004">
      <c r="A1084" s="12" t="s">
        <v>2856</v>
      </c>
      <c r="B1084" s="12" t="s">
        <v>4298</v>
      </c>
      <c r="C1084" s="12" t="s">
        <v>5268</v>
      </c>
      <c r="D1084" s="12" t="s">
        <v>4752</v>
      </c>
      <c r="E1084" s="12" t="s">
        <v>2300</v>
      </c>
      <c r="F1084" s="12" t="s">
        <v>724</v>
      </c>
      <c r="G1084" s="12" t="s">
        <v>2301</v>
      </c>
      <c r="H1084" s="12" t="s">
        <v>4354</v>
      </c>
      <c r="I1084" s="12" t="s">
        <v>3059</v>
      </c>
      <c r="J1084" s="12" t="s">
        <v>689</v>
      </c>
      <c r="K1084" s="12" t="s">
        <v>4136</v>
      </c>
      <c r="L1084" s="13">
        <v>3</v>
      </c>
    </row>
    <row r="1085" spans="1:12" hidden="1" x14ac:dyDescent="0.55000000000000004">
      <c r="A1085" s="12" t="s">
        <v>2856</v>
      </c>
      <c r="B1085" s="12" t="s">
        <v>4298</v>
      </c>
      <c r="C1085" s="12" t="s">
        <v>5268</v>
      </c>
      <c r="D1085" s="12" t="s">
        <v>4752</v>
      </c>
      <c r="E1085" s="12" t="s">
        <v>2302</v>
      </c>
      <c r="F1085" s="12" t="s">
        <v>692</v>
      </c>
      <c r="G1085" s="12" t="s">
        <v>2303</v>
      </c>
      <c r="H1085" s="12" t="s">
        <v>4354</v>
      </c>
      <c r="I1085" s="12" t="s">
        <v>3059</v>
      </c>
      <c r="J1085" s="12" t="s">
        <v>689</v>
      </c>
      <c r="K1085" s="12" t="s">
        <v>4137</v>
      </c>
      <c r="L1085" s="13">
        <v>3</v>
      </c>
    </row>
    <row r="1086" spans="1:12" hidden="1" x14ac:dyDescent="0.55000000000000004">
      <c r="A1086" s="12" t="s">
        <v>2856</v>
      </c>
      <c r="B1086" s="12" t="s">
        <v>4298</v>
      </c>
      <c r="C1086" s="12" t="s">
        <v>5268</v>
      </c>
      <c r="D1086" s="12" t="s">
        <v>4752</v>
      </c>
      <c r="E1086" s="12" t="s">
        <v>2304</v>
      </c>
      <c r="F1086" s="12" t="s">
        <v>2305</v>
      </c>
      <c r="G1086" s="12" t="s">
        <v>2306</v>
      </c>
      <c r="H1086" s="12" t="s">
        <v>4354</v>
      </c>
      <c r="I1086" s="12" t="s">
        <v>3059</v>
      </c>
      <c r="J1086" s="12" t="s">
        <v>689</v>
      </c>
      <c r="K1086" s="12" t="s">
        <v>4138</v>
      </c>
      <c r="L1086" s="13">
        <v>3</v>
      </c>
    </row>
    <row r="1087" spans="1:12" hidden="1" x14ac:dyDescent="0.55000000000000004">
      <c r="A1087" s="12" t="s">
        <v>2856</v>
      </c>
      <c r="B1087" s="12" t="s">
        <v>4298</v>
      </c>
      <c r="C1087" s="12" t="s">
        <v>5268</v>
      </c>
      <c r="D1087" s="12" t="s">
        <v>4752</v>
      </c>
      <c r="E1087" s="12" t="s">
        <v>2307</v>
      </c>
      <c r="F1087" s="12" t="s">
        <v>130</v>
      </c>
      <c r="G1087" s="12" t="s">
        <v>2308</v>
      </c>
      <c r="H1087" s="12" t="s">
        <v>4354</v>
      </c>
      <c r="I1087" s="12" t="s">
        <v>3059</v>
      </c>
      <c r="J1087" s="12" t="s">
        <v>689</v>
      </c>
      <c r="K1087" s="12" t="s">
        <v>4139</v>
      </c>
      <c r="L1087" s="13">
        <v>3</v>
      </c>
    </row>
    <row r="1088" spans="1:12" hidden="1" x14ac:dyDescent="0.55000000000000004">
      <c r="A1088" s="12" t="s">
        <v>2856</v>
      </c>
      <c r="B1088" s="12" t="s">
        <v>4298</v>
      </c>
      <c r="C1088" s="12" t="s">
        <v>5268</v>
      </c>
      <c r="D1088" s="12" t="s">
        <v>4752</v>
      </c>
      <c r="E1088" s="12" t="s">
        <v>2309</v>
      </c>
      <c r="F1088" s="12" t="s">
        <v>2310</v>
      </c>
      <c r="G1088" s="12" t="s">
        <v>2311</v>
      </c>
      <c r="H1088" s="12" t="s">
        <v>4354</v>
      </c>
      <c r="I1088" s="12" t="s">
        <v>3059</v>
      </c>
      <c r="J1088" s="12" t="s">
        <v>689</v>
      </c>
      <c r="K1088" s="12" t="s">
        <v>4140</v>
      </c>
      <c r="L1088" s="13">
        <v>3</v>
      </c>
    </row>
    <row r="1089" spans="1:12" hidden="1" x14ac:dyDescent="0.55000000000000004">
      <c r="A1089" s="12" t="s">
        <v>2856</v>
      </c>
      <c r="B1089" s="12" t="s">
        <v>4298</v>
      </c>
      <c r="C1089" s="12" t="s">
        <v>5268</v>
      </c>
      <c r="D1089" s="12" t="s">
        <v>4752</v>
      </c>
      <c r="E1089" s="12" t="s">
        <v>2312</v>
      </c>
      <c r="F1089" s="12" t="s">
        <v>901</v>
      </c>
      <c r="G1089" s="12" t="s">
        <v>2313</v>
      </c>
      <c r="H1089" s="12" t="s">
        <v>4354</v>
      </c>
      <c r="I1089" s="12" t="s">
        <v>3059</v>
      </c>
      <c r="J1089" s="12" t="s">
        <v>689</v>
      </c>
      <c r="K1089" s="12" t="s">
        <v>4141</v>
      </c>
      <c r="L1089" s="13">
        <v>6</v>
      </c>
    </row>
    <row r="1090" spans="1:12" hidden="1" x14ac:dyDescent="0.55000000000000004">
      <c r="A1090" s="12" t="s">
        <v>2856</v>
      </c>
      <c r="B1090" s="12" t="s">
        <v>4298</v>
      </c>
      <c r="C1090" s="12" t="s">
        <v>5268</v>
      </c>
      <c r="D1090" s="12" t="s">
        <v>4752</v>
      </c>
      <c r="E1090" s="12" t="s">
        <v>2314</v>
      </c>
      <c r="F1090" s="12" t="s">
        <v>2315</v>
      </c>
      <c r="G1090" s="12" t="s">
        <v>2316</v>
      </c>
      <c r="H1090" s="12" t="s">
        <v>4354</v>
      </c>
      <c r="I1090" s="12" t="s">
        <v>3059</v>
      </c>
      <c r="J1090" s="12" t="s">
        <v>689</v>
      </c>
      <c r="K1090" s="12" t="s">
        <v>4142</v>
      </c>
      <c r="L1090" s="13">
        <v>3</v>
      </c>
    </row>
    <row r="1091" spans="1:12" hidden="1" x14ac:dyDescent="0.55000000000000004">
      <c r="A1091" s="12" t="s">
        <v>2856</v>
      </c>
      <c r="B1091" s="12" t="s">
        <v>4298</v>
      </c>
      <c r="C1091" s="12" t="s">
        <v>5268</v>
      </c>
      <c r="D1091" s="12" t="s">
        <v>4752</v>
      </c>
      <c r="E1091" s="12" t="s">
        <v>2317</v>
      </c>
      <c r="F1091" s="12" t="s">
        <v>2318</v>
      </c>
      <c r="G1091" s="12" t="s">
        <v>2319</v>
      </c>
      <c r="H1091" s="12" t="s">
        <v>4354</v>
      </c>
      <c r="I1091" s="12" t="s">
        <v>3059</v>
      </c>
      <c r="J1091" s="12" t="s">
        <v>689</v>
      </c>
      <c r="K1091" s="12" t="s">
        <v>4143</v>
      </c>
      <c r="L1091" s="13">
        <v>5</v>
      </c>
    </row>
    <row r="1092" spans="1:12" hidden="1" x14ac:dyDescent="0.55000000000000004">
      <c r="A1092" s="12" t="s">
        <v>2916</v>
      </c>
      <c r="B1092" s="12" t="s">
        <v>4422</v>
      </c>
      <c r="C1092" s="12" t="s">
        <v>5203</v>
      </c>
      <c r="D1092" s="12" t="s">
        <v>4752</v>
      </c>
      <c r="E1092" s="12" t="s">
        <v>2101</v>
      </c>
      <c r="F1092" s="12" t="s">
        <v>971</v>
      </c>
      <c r="G1092" s="12" t="s">
        <v>2102</v>
      </c>
      <c r="H1092" s="12" t="s">
        <v>5269</v>
      </c>
      <c r="I1092" s="12" t="s">
        <v>3059</v>
      </c>
      <c r="J1092" s="12" t="s">
        <v>341</v>
      </c>
      <c r="K1092" s="12" t="s">
        <v>3991</v>
      </c>
      <c r="L1092" s="13">
        <v>2</v>
      </c>
    </row>
    <row r="1093" spans="1:12" hidden="1" x14ac:dyDescent="0.55000000000000004">
      <c r="A1093" s="12" t="s">
        <v>2916</v>
      </c>
      <c r="B1093" s="12" t="s">
        <v>4422</v>
      </c>
      <c r="C1093" s="12" t="s">
        <v>5203</v>
      </c>
      <c r="D1093" s="12" t="s">
        <v>4752</v>
      </c>
      <c r="E1093" s="12" t="s">
        <v>2103</v>
      </c>
      <c r="F1093" s="12" t="s">
        <v>2104</v>
      </c>
      <c r="G1093" s="12" t="s">
        <v>2105</v>
      </c>
      <c r="H1093" s="12" t="s">
        <v>5269</v>
      </c>
      <c r="I1093" s="12" t="s">
        <v>3075</v>
      </c>
      <c r="J1093" s="12" t="s">
        <v>341</v>
      </c>
      <c r="K1093" s="12" t="s">
        <v>3992</v>
      </c>
      <c r="L1093" s="13" t="s">
        <v>3075</v>
      </c>
    </row>
    <row r="1094" spans="1:12" hidden="1" x14ac:dyDescent="0.55000000000000004">
      <c r="A1094" s="12" t="s">
        <v>2916</v>
      </c>
      <c r="B1094" s="12" t="s">
        <v>4422</v>
      </c>
      <c r="C1094" s="12" t="s">
        <v>5203</v>
      </c>
      <c r="D1094" s="12" t="s">
        <v>4752</v>
      </c>
      <c r="E1094" s="12" t="s">
        <v>2106</v>
      </c>
      <c r="F1094" s="12" t="s">
        <v>2107</v>
      </c>
      <c r="G1094" s="12" t="s">
        <v>2108</v>
      </c>
      <c r="H1094" s="12" t="s">
        <v>5269</v>
      </c>
      <c r="I1094" s="12" t="s">
        <v>3059</v>
      </c>
      <c r="J1094" s="12" t="s">
        <v>341</v>
      </c>
      <c r="K1094" s="12" t="s">
        <v>3993</v>
      </c>
      <c r="L1094" s="13">
        <v>6</v>
      </c>
    </row>
    <row r="1095" spans="1:12" hidden="1" x14ac:dyDescent="0.55000000000000004">
      <c r="A1095" s="12" t="s">
        <v>2916</v>
      </c>
      <c r="B1095" s="12" t="s">
        <v>4422</v>
      </c>
      <c r="C1095" s="12" t="s">
        <v>5203</v>
      </c>
      <c r="D1095" s="12" t="s">
        <v>4752</v>
      </c>
      <c r="E1095" s="12" t="s">
        <v>6064</v>
      </c>
      <c r="F1095" s="12" t="s">
        <v>169</v>
      </c>
      <c r="G1095" s="12" t="s">
        <v>6065</v>
      </c>
      <c r="H1095" s="12" t="s">
        <v>5269</v>
      </c>
      <c r="I1095" s="12" t="s">
        <v>3075</v>
      </c>
      <c r="J1095" s="12" t="s">
        <v>341</v>
      </c>
      <c r="K1095" s="12" t="s">
        <v>6066</v>
      </c>
      <c r="L1095" s="13" t="s">
        <v>3075</v>
      </c>
    </row>
    <row r="1096" spans="1:12" hidden="1" x14ac:dyDescent="0.55000000000000004">
      <c r="A1096" s="12" t="s">
        <v>2946</v>
      </c>
      <c r="B1096" s="12" t="s">
        <v>4442</v>
      </c>
      <c r="C1096" s="12" t="s">
        <v>5154</v>
      </c>
      <c r="D1096" s="12" t="s">
        <v>4752</v>
      </c>
      <c r="E1096" s="12" t="s">
        <v>469</v>
      </c>
      <c r="F1096" s="12" t="s">
        <v>470</v>
      </c>
      <c r="G1096" s="12" t="s">
        <v>471</v>
      </c>
      <c r="H1096" s="12" t="s">
        <v>4465</v>
      </c>
      <c r="I1096" s="12" t="s">
        <v>3059</v>
      </c>
      <c r="J1096" s="12" t="s">
        <v>3084</v>
      </c>
      <c r="K1096" s="12" t="s">
        <v>3403</v>
      </c>
      <c r="L1096" s="13">
        <v>5</v>
      </c>
    </row>
    <row r="1097" spans="1:12" hidden="1" x14ac:dyDescent="0.55000000000000004">
      <c r="A1097" s="12" t="s">
        <v>2946</v>
      </c>
      <c r="B1097" s="12" t="s">
        <v>4442</v>
      </c>
      <c r="C1097" s="12" t="s">
        <v>5154</v>
      </c>
      <c r="D1097" s="12" t="s">
        <v>4752</v>
      </c>
      <c r="E1097" s="12" t="s">
        <v>481</v>
      </c>
      <c r="F1097" s="12" t="s">
        <v>482</v>
      </c>
      <c r="G1097" s="12" t="s">
        <v>442</v>
      </c>
      <c r="H1097" s="12" t="s">
        <v>4465</v>
      </c>
      <c r="I1097" s="12" t="s">
        <v>3059</v>
      </c>
      <c r="J1097" s="12" t="s">
        <v>3084</v>
      </c>
      <c r="K1097" s="12" t="s">
        <v>3407</v>
      </c>
      <c r="L1097" s="13">
        <v>5</v>
      </c>
    </row>
    <row r="1098" spans="1:12" hidden="1" x14ac:dyDescent="0.55000000000000004">
      <c r="A1098" s="12" t="s">
        <v>2946</v>
      </c>
      <c r="B1098" s="12" t="s">
        <v>4442</v>
      </c>
      <c r="C1098" s="12" t="s">
        <v>5154</v>
      </c>
      <c r="D1098" s="12" t="s">
        <v>4752</v>
      </c>
      <c r="E1098" s="12" t="s">
        <v>483</v>
      </c>
      <c r="F1098" s="12" t="s">
        <v>484</v>
      </c>
      <c r="G1098" s="12" t="s">
        <v>485</v>
      </c>
      <c r="H1098" s="12" t="s">
        <v>4465</v>
      </c>
      <c r="I1098" s="12" t="s">
        <v>3059</v>
      </c>
      <c r="J1098" s="12" t="s">
        <v>3084</v>
      </c>
      <c r="K1098" s="12" t="s">
        <v>3408</v>
      </c>
      <c r="L1098" s="13">
        <v>5</v>
      </c>
    </row>
    <row r="1099" spans="1:12" hidden="1" x14ac:dyDescent="0.55000000000000004">
      <c r="A1099" s="12" t="s">
        <v>2946</v>
      </c>
      <c r="B1099" s="12" t="s">
        <v>4442</v>
      </c>
      <c r="C1099" s="12" t="s">
        <v>5154</v>
      </c>
      <c r="D1099" s="12" t="s">
        <v>4752</v>
      </c>
      <c r="E1099" s="12" t="s">
        <v>497</v>
      </c>
      <c r="F1099" s="12" t="s">
        <v>498</v>
      </c>
      <c r="G1099" s="12" t="s">
        <v>442</v>
      </c>
      <c r="H1099" s="12" t="s">
        <v>4465</v>
      </c>
      <c r="I1099" s="12" t="s">
        <v>3059</v>
      </c>
      <c r="J1099" s="12" t="s">
        <v>3084</v>
      </c>
      <c r="K1099" s="12" t="s">
        <v>3413</v>
      </c>
      <c r="L1099" s="13">
        <v>5</v>
      </c>
    </row>
    <row r="1100" spans="1:12" hidden="1" x14ac:dyDescent="0.55000000000000004">
      <c r="A1100" s="12" t="s">
        <v>2946</v>
      </c>
      <c r="B1100" s="12" t="s">
        <v>4442</v>
      </c>
      <c r="C1100" s="12" t="s">
        <v>5154</v>
      </c>
      <c r="D1100" s="12" t="s">
        <v>4752</v>
      </c>
      <c r="E1100" s="12" t="s">
        <v>501</v>
      </c>
      <c r="F1100" s="12" t="s">
        <v>502</v>
      </c>
      <c r="G1100" s="12" t="s">
        <v>503</v>
      </c>
      <c r="H1100" s="12" t="s">
        <v>4465</v>
      </c>
      <c r="I1100" s="12" t="s">
        <v>3059</v>
      </c>
      <c r="J1100" s="12" t="s">
        <v>3084</v>
      </c>
      <c r="K1100" s="12" t="s">
        <v>3415</v>
      </c>
      <c r="L1100" s="13">
        <v>5</v>
      </c>
    </row>
    <row r="1101" spans="1:12" hidden="1" x14ac:dyDescent="0.55000000000000004">
      <c r="A1101" s="12" t="s">
        <v>2946</v>
      </c>
      <c r="B1101" s="12" t="s">
        <v>4442</v>
      </c>
      <c r="C1101" s="12" t="s">
        <v>5154</v>
      </c>
      <c r="D1101" s="12" t="s">
        <v>4752</v>
      </c>
      <c r="E1101" s="12" t="s">
        <v>559</v>
      </c>
      <c r="F1101" s="12" t="s">
        <v>560</v>
      </c>
      <c r="G1101" s="12" t="s">
        <v>442</v>
      </c>
      <c r="H1101" s="12" t="s">
        <v>4465</v>
      </c>
      <c r="I1101" s="12" t="s">
        <v>3059</v>
      </c>
      <c r="J1101" s="12" t="s">
        <v>3084</v>
      </c>
      <c r="K1101" s="12" t="s">
        <v>3434</v>
      </c>
      <c r="L1101" s="13">
        <v>5</v>
      </c>
    </row>
    <row r="1102" spans="1:12" hidden="1" x14ac:dyDescent="0.55000000000000004">
      <c r="A1102" s="12" t="s">
        <v>2946</v>
      </c>
      <c r="B1102" s="12" t="s">
        <v>4442</v>
      </c>
      <c r="C1102" s="12" t="s">
        <v>5154</v>
      </c>
      <c r="D1102" s="12" t="s">
        <v>4752</v>
      </c>
      <c r="E1102" s="12" t="s">
        <v>694</v>
      </c>
      <c r="F1102" s="12" t="s">
        <v>695</v>
      </c>
      <c r="G1102" s="12" t="s">
        <v>696</v>
      </c>
      <c r="H1102" s="12" t="s">
        <v>4465</v>
      </c>
      <c r="I1102" s="12" t="s">
        <v>3059</v>
      </c>
      <c r="J1102" s="12" t="s">
        <v>3084</v>
      </c>
      <c r="K1102" s="12" t="s">
        <v>3482</v>
      </c>
      <c r="L1102" s="13">
        <v>5</v>
      </c>
    </row>
    <row r="1103" spans="1:12" hidden="1" x14ac:dyDescent="0.55000000000000004">
      <c r="A1103" s="12" t="s">
        <v>2946</v>
      </c>
      <c r="B1103" s="12" t="s">
        <v>4442</v>
      </c>
      <c r="C1103" s="12" t="s">
        <v>5154</v>
      </c>
      <c r="D1103" s="12" t="s">
        <v>4752</v>
      </c>
      <c r="E1103" s="12" t="s">
        <v>697</v>
      </c>
      <c r="F1103" s="12" t="s">
        <v>698</v>
      </c>
      <c r="G1103" s="12" t="s">
        <v>699</v>
      </c>
      <c r="H1103" s="12" t="s">
        <v>4465</v>
      </c>
      <c r="I1103" s="12" t="s">
        <v>3059</v>
      </c>
      <c r="J1103" s="12" t="s">
        <v>3084</v>
      </c>
      <c r="K1103" s="12" t="s">
        <v>3483</v>
      </c>
      <c r="L1103" s="13">
        <v>5</v>
      </c>
    </row>
    <row r="1104" spans="1:12" hidden="1" x14ac:dyDescent="0.55000000000000004">
      <c r="A1104" s="12" t="s">
        <v>2946</v>
      </c>
      <c r="B1104" s="12" t="s">
        <v>4442</v>
      </c>
      <c r="C1104" s="12" t="s">
        <v>5154</v>
      </c>
      <c r="D1104" s="12" t="s">
        <v>4752</v>
      </c>
      <c r="E1104" s="12" t="s">
        <v>3172</v>
      </c>
      <c r="F1104" s="12" t="s">
        <v>254</v>
      </c>
      <c r="G1104" s="12" t="s">
        <v>3171</v>
      </c>
      <c r="H1104" s="12" t="s">
        <v>4465</v>
      </c>
      <c r="I1104" s="12" t="s">
        <v>3059</v>
      </c>
      <c r="J1104" s="12" t="s">
        <v>3084</v>
      </c>
      <c r="K1104" s="12" t="s">
        <v>4265</v>
      </c>
      <c r="L1104" s="13">
        <v>5</v>
      </c>
    </row>
    <row r="1105" spans="1:12" hidden="1" x14ac:dyDescent="0.55000000000000004">
      <c r="A1105" s="12" t="s">
        <v>2823</v>
      </c>
      <c r="B1105" s="12" t="s">
        <v>4298</v>
      </c>
      <c r="C1105" s="12" t="s">
        <v>5251</v>
      </c>
      <c r="D1105" s="12" t="s">
        <v>4752</v>
      </c>
      <c r="E1105" s="12" t="s">
        <v>6067</v>
      </c>
      <c r="F1105" s="12" t="s">
        <v>6068</v>
      </c>
      <c r="G1105" s="12" t="s">
        <v>6069</v>
      </c>
      <c r="H1105" s="12" t="s">
        <v>4318</v>
      </c>
      <c r="I1105" s="12" t="s">
        <v>3059</v>
      </c>
      <c r="J1105" s="12" t="s">
        <v>1603</v>
      </c>
      <c r="K1105" s="12" t="s">
        <v>6070</v>
      </c>
      <c r="L1105" s="13">
        <v>5</v>
      </c>
    </row>
    <row r="1106" spans="1:12" hidden="1" x14ac:dyDescent="0.55000000000000004">
      <c r="A1106" s="12" t="s">
        <v>2823</v>
      </c>
      <c r="B1106" s="12" t="s">
        <v>4298</v>
      </c>
      <c r="C1106" s="12" t="s">
        <v>5251</v>
      </c>
      <c r="D1106" s="12" t="s">
        <v>4752</v>
      </c>
      <c r="E1106" s="12" t="s">
        <v>6071</v>
      </c>
      <c r="F1106" s="12" t="s">
        <v>6072</v>
      </c>
      <c r="G1106" s="12" t="s">
        <v>6073</v>
      </c>
      <c r="H1106" s="12" t="s">
        <v>4318</v>
      </c>
      <c r="I1106" s="12" t="s">
        <v>3059</v>
      </c>
      <c r="J1106" s="12" t="s">
        <v>1603</v>
      </c>
      <c r="K1106" s="12" t="s">
        <v>6074</v>
      </c>
      <c r="L1106" s="13">
        <v>7</v>
      </c>
    </row>
    <row r="1107" spans="1:12" hidden="1" x14ac:dyDescent="0.55000000000000004">
      <c r="A1107" s="12" t="s">
        <v>3042</v>
      </c>
      <c r="B1107" s="12" t="s">
        <v>4486</v>
      </c>
      <c r="C1107" s="12" t="s">
        <v>2000</v>
      </c>
      <c r="D1107" s="12" t="s">
        <v>4752</v>
      </c>
      <c r="E1107" s="12" t="s">
        <v>2027</v>
      </c>
      <c r="F1107" s="12" t="s">
        <v>2028</v>
      </c>
      <c r="G1107" s="12" t="s">
        <v>2029</v>
      </c>
      <c r="H1107" s="12" t="s">
        <v>5270</v>
      </c>
      <c r="I1107" s="12" t="s">
        <v>3075</v>
      </c>
      <c r="J1107" s="12" t="s">
        <v>3090</v>
      </c>
      <c r="K1107" s="12" t="s">
        <v>3962</v>
      </c>
      <c r="L1107" s="13" t="s">
        <v>3075</v>
      </c>
    </row>
    <row r="1108" spans="1:12" hidden="1" x14ac:dyDescent="0.55000000000000004">
      <c r="A1108" s="12" t="s">
        <v>3042</v>
      </c>
      <c r="B1108" s="12" t="s">
        <v>4486</v>
      </c>
      <c r="C1108" s="12" t="s">
        <v>2000</v>
      </c>
      <c r="D1108" s="12" t="s">
        <v>4752</v>
      </c>
      <c r="E1108" s="12" t="s">
        <v>2036</v>
      </c>
      <c r="F1108" s="12" t="s">
        <v>428</v>
      </c>
      <c r="G1108" s="12" t="s">
        <v>2037</v>
      </c>
      <c r="H1108" s="12" t="s">
        <v>5270</v>
      </c>
      <c r="I1108" s="12" t="s">
        <v>3075</v>
      </c>
      <c r="J1108" s="12" t="s">
        <v>3090</v>
      </c>
      <c r="K1108" s="12" t="s">
        <v>3965</v>
      </c>
      <c r="L1108" s="13" t="s">
        <v>3075</v>
      </c>
    </row>
    <row r="1109" spans="1:12" hidden="1" x14ac:dyDescent="0.55000000000000004">
      <c r="A1109" s="12" t="s">
        <v>3042</v>
      </c>
      <c r="B1109" s="12" t="s">
        <v>4486</v>
      </c>
      <c r="C1109" s="12" t="s">
        <v>2000</v>
      </c>
      <c r="D1109" s="12" t="s">
        <v>4752</v>
      </c>
      <c r="E1109" s="12" t="s">
        <v>2038</v>
      </c>
      <c r="F1109" s="12" t="s">
        <v>864</v>
      </c>
      <c r="G1109" s="12" t="s">
        <v>2039</v>
      </c>
      <c r="H1109" s="12" t="s">
        <v>5270</v>
      </c>
      <c r="I1109" s="12" t="s">
        <v>3060</v>
      </c>
      <c r="J1109" s="12" t="s">
        <v>3090</v>
      </c>
      <c r="K1109" s="12" t="s">
        <v>3966</v>
      </c>
      <c r="L1109" s="13">
        <v>6</v>
      </c>
    </row>
    <row r="1110" spans="1:12" hidden="1" x14ac:dyDescent="0.55000000000000004">
      <c r="A1110" s="12" t="s">
        <v>3042</v>
      </c>
      <c r="B1110" s="12" t="s">
        <v>4486</v>
      </c>
      <c r="C1110" s="12" t="s">
        <v>2000</v>
      </c>
      <c r="D1110" s="12" t="s">
        <v>4752</v>
      </c>
      <c r="E1110" s="12" t="s">
        <v>2040</v>
      </c>
      <c r="F1110" s="12" t="s">
        <v>2041</v>
      </c>
      <c r="G1110" s="12" t="s">
        <v>2042</v>
      </c>
      <c r="H1110" s="12" t="s">
        <v>5270</v>
      </c>
      <c r="I1110" s="12" t="s">
        <v>3060</v>
      </c>
      <c r="J1110" s="12" t="s">
        <v>3090</v>
      </c>
      <c r="K1110" s="12" t="s">
        <v>3967</v>
      </c>
      <c r="L1110" s="13">
        <v>6</v>
      </c>
    </row>
    <row r="1111" spans="1:12" hidden="1" x14ac:dyDescent="0.55000000000000004">
      <c r="A1111" s="12" t="s">
        <v>2862</v>
      </c>
      <c r="B1111" s="12" t="s">
        <v>4298</v>
      </c>
      <c r="C1111" s="12" t="s">
        <v>2346</v>
      </c>
      <c r="D1111" s="12" t="s">
        <v>4752</v>
      </c>
      <c r="E1111" s="12" t="s">
        <v>2344</v>
      </c>
      <c r="F1111" s="12" t="s">
        <v>1942</v>
      </c>
      <c r="G1111" s="12" t="s">
        <v>2345</v>
      </c>
      <c r="H1111" s="12" t="s">
        <v>4362</v>
      </c>
      <c r="I1111" s="12" t="s">
        <v>3075</v>
      </c>
      <c r="J1111" s="12" t="s">
        <v>3087</v>
      </c>
      <c r="K1111" s="12" t="s">
        <v>4153</v>
      </c>
      <c r="L1111" s="13" t="s">
        <v>3075</v>
      </c>
    </row>
    <row r="1112" spans="1:12" hidden="1" x14ac:dyDescent="0.55000000000000004">
      <c r="A1112" s="12" t="s">
        <v>2862</v>
      </c>
      <c r="B1112" s="12" t="s">
        <v>4298</v>
      </c>
      <c r="C1112" s="12" t="s">
        <v>2346</v>
      </c>
      <c r="D1112" s="12" t="s">
        <v>4752</v>
      </c>
      <c r="E1112" s="12" t="s">
        <v>2347</v>
      </c>
      <c r="F1112" s="12" t="s">
        <v>2348</v>
      </c>
      <c r="G1112" s="12" t="s">
        <v>2349</v>
      </c>
      <c r="H1112" s="12" t="s">
        <v>4362</v>
      </c>
      <c r="I1112" s="12" t="s">
        <v>3075</v>
      </c>
      <c r="J1112" s="12" t="s">
        <v>3087</v>
      </c>
      <c r="K1112" s="12" t="s">
        <v>4154</v>
      </c>
      <c r="L1112" s="13" t="s">
        <v>3075</v>
      </c>
    </row>
    <row r="1113" spans="1:12" hidden="1" x14ac:dyDescent="0.55000000000000004">
      <c r="A1113" s="12" t="s">
        <v>2862</v>
      </c>
      <c r="B1113" s="12" t="s">
        <v>4298</v>
      </c>
      <c r="C1113" s="12" t="s">
        <v>2346</v>
      </c>
      <c r="D1113" s="12" t="s">
        <v>4752</v>
      </c>
      <c r="E1113" s="12" t="s">
        <v>2350</v>
      </c>
      <c r="F1113" s="12" t="s">
        <v>405</v>
      </c>
      <c r="G1113" s="12" t="s">
        <v>2351</v>
      </c>
      <c r="H1113" s="12" t="s">
        <v>4362</v>
      </c>
      <c r="I1113" s="12" t="s">
        <v>3075</v>
      </c>
      <c r="J1113" s="12" t="s">
        <v>3087</v>
      </c>
      <c r="K1113" s="12" t="s">
        <v>4155</v>
      </c>
      <c r="L1113" s="13" t="s">
        <v>3075</v>
      </c>
    </row>
    <row r="1114" spans="1:12" hidden="1" x14ac:dyDescent="0.55000000000000004">
      <c r="A1114" s="12" t="s">
        <v>2959</v>
      </c>
      <c r="B1114" s="12" t="s">
        <v>4442</v>
      </c>
      <c r="C1114" s="12" t="s">
        <v>115</v>
      </c>
      <c r="D1114" s="12" t="s">
        <v>4752</v>
      </c>
      <c r="E1114" s="12" t="s">
        <v>3229</v>
      </c>
      <c r="F1114" s="12" t="s">
        <v>3230</v>
      </c>
      <c r="G1114" s="12" t="s">
        <v>1472</v>
      </c>
      <c r="H1114" s="12" t="s">
        <v>4481</v>
      </c>
      <c r="I1114" s="12" t="s">
        <v>3075</v>
      </c>
      <c r="J1114" s="12" t="s">
        <v>1991</v>
      </c>
      <c r="K1114" s="12" t="s">
        <v>4289</v>
      </c>
      <c r="L1114" s="13" t="s">
        <v>3075</v>
      </c>
    </row>
    <row r="1115" spans="1:12" hidden="1" x14ac:dyDescent="0.55000000000000004">
      <c r="A1115" s="12" t="s">
        <v>2959</v>
      </c>
      <c r="B1115" s="12" t="s">
        <v>4442</v>
      </c>
      <c r="C1115" s="12" t="s">
        <v>115</v>
      </c>
      <c r="D1115" s="12" t="s">
        <v>4752</v>
      </c>
      <c r="E1115" s="12" t="s">
        <v>1473</v>
      </c>
      <c r="F1115" s="12" t="s">
        <v>1474</v>
      </c>
      <c r="G1115" s="12" t="s">
        <v>1475</v>
      </c>
      <c r="H1115" s="12" t="s">
        <v>4481</v>
      </c>
      <c r="I1115" s="12" t="s">
        <v>3075</v>
      </c>
      <c r="J1115" s="12" t="s">
        <v>1991</v>
      </c>
      <c r="K1115" s="12" t="s">
        <v>3758</v>
      </c>
      <c r="L1115" s="13" t="s">
        <v>3075</v>
      </c>
    </row>
    <row r="1116" spans="1:12" hidden="1" x14ac:dyDescent="0.55000000000000004">
      <c r="A1116" s="12" t="s">
        <v>2959</v>
      </c>
      <c r="B1116" s="12" t="s">
        <v>4442</v>
      </c>
      <c r="C1116" s="12" t="s">
        <v>115</v>
      </c>
      <c r="D1116" s="12" t="s">
        <v>4752</v>
      </c>
      <c r="E1116" s="12" t="s">
        <v>1476</v>
      </c>
      <c r="F1116" s="12" t="s">
        <v>1477</v>
      </c>
      <c r="G1116" s="12" t="s">
        <v>1478</v>
      </c>
      <c r="H1116" s="12" t="s">
        <v>4481</v>
      </c>
      <c r="I1116" s="12" t="s">
        <v>3059</v>
      </c>
      <c r="J1116" s="12" t="s">
        <v>1991</v>
      </c>
      <c r="K1116" s="12" t="s">
        <v>3759</v>
      </c>
      <c r="L1116" s="13">
        <v>7</v>
      </c>
    </row>
    <row r="1117" spans="1:12" hidden="1" x14ac:dyDescent="0.55000000000000004">
      <c r="A1117" s="12" t="s">
        <v>2959</v>
      </c>
      <c r="B1117" s="12" t="s">
        <v>4442</v>
      </c>
      <c r="C1117" s="12" t="s">
        <v>115</v>
      </c>
      <c r="D1117" s="12" t="s">
        <v>4752</v>
      </c>
      <c r="E1117" s="12" t="s">
        <v>1479</v>
      </c>
      <c r="F1117" s="12" t="s">
        <v>1480</v>
      </c>
      <c r="G1117" s="12" t="s">
        <v>1481</v>
      </c>
      <c r="H1117" s="12" t="s">
        <v>4481</v>
      </c>
      <c r="I1117" s="12" t="s">
        <v>3075</v>
      </c>
      <c r="J1117" s="12" t="s">
        <v>1991</v>
      </c>
      <c r="K1117" s="12" t="s">
        <v>3760</v>
      </c>
      <c r="L1117" s="13" t="s">
        <v>3075</v>
      </c>
    </row>
    <row r="1118" spans="1:12" hidden="1" x14ac:dyDescent="0.55000000000000004">
      <c r="A1118" s="12" t="s">
        <v>2959</v>
      </c>
      <c r="B1118" s="12" t="s">
        <v>4442</v>
      </c>
      <c r="C1118" s="12" t="s">
        <v>115</v>
      </c>
      <c r="D1118" s="12" t="s">
        <v>4752</v>
      </c>
      <c r="E1118" s="12" t="s">
        <v>1482</v>
      </c>
      <c r="F1118" s="12" t="s">
        <v>1483</v>
      </c>
      <c r="G1118" s="12" t="s">
        <v>1484</v>
      </c>
      <c r="H1118" s="12" t="s">
        <v>4481</v>
      </c>
      <c r="I1118" s="12" t="s">
        <v>3059</v>
      </c>
      <c r="J1118" s="12" t="s">
        <v>1991</v>
      </c>
      <c r="K1118" s="12" t="s">
        <v>3761</v>
      </c>
      <c r="L1118" s="13">
        <v>7</v>
      </c>
    </row>
    <row r="1119" spans="1:12" hidden="1" x14ac:dyDescent="0.55000000000000004">
      <c r="A1119" s="12" t="s">
        <v>2959</v>
      </c>
      <c r="B1119" s="12" t="s">
        <v>4442</v>
      </c>
      <c r="C1119" s="12" t="s">
        <v>115</v>
      </c>
      <c r="D1119" s="12" t="s">
        <v>4752</v>
      </c>
      <c r="E1119" s="12" t="s">
        <v>6075</v>
      </c>
      <c r="F1119" s="12" t="s">
        <v>6076</v>
      </c>
      <c r="G1119" s="12" t="s">
        <v>6077</v>
      </c>
      <c r="H1119" s="12" t="s">
        <v>4481</v>
      </c>
      <c r="I1119" s="12" t="s">
        <v>3075</v>
      </c>
      <c r="J1119" s="12" t="s">
        <v>1991</v>
      </c>
      <c r="K1119" s="12" t="s">
        <v>6078</v>
      </c>
      <c r="L1119" s="13" t="s">
        <v>3075</v>
      </c>
    </row>
    <row r="1120" spans="1:12" hidden="1" x14ac:dyDescent="0.55000000000000004">
      <c r="A1120" s="12" t="s">
        <v>2959</v>
      </c>
      <c r="B1120" s="12" t="s">
        <v>4442</v>
      </c>
      <c r="C1120" s="12" t="s">
        <v>115</v>
      </c>
      <c r="D1120" s="12" t="s">
        <v>4752</v>
      </c>
      <c r="E1120" s="12" t="s">
        <v>6079</v>
      </c>
      <c r="F1120" s="12" t="s">
        <v>6076</v>
      </c>
      <c r="G1120" s="12" t="s">
        <v>6077</v>
      </c>
      <c r="H1120" s="12" t="s">
        <v>4481</v>
      </c>
      <c r="I1120" s="12" t="s">
        <v>3075</v>
      </c>
      <c r="J1120" s="12" t="s">
        <v>1991</v>
      </c>
      <c r="K1120" s="12" t="s">
        <v>6078</v>
      </c>
      <c r="L1120" s="13" t="s">
        <v>3075</v>
      </c>
    </row>
    <row r="1121" spans="1:12" hidden="1" x14ac:dyDescent="0.55000000000000004">
      <c r="A1121" s="12" t="s">
        <v>2959</v>
      </c>
      <c r="B1121" s="12" t="s">
        <v>4442</v>
      </c>
      <c r="C1121" s="12" t="s">
        <v>115</v>
      </c>
      <c r="D1121" s="12" t="s">
        <v>4752</v>
      </c>
      <c r="E1121" s="12" t="s">
        <v>6080</v>
      </c>
      <c r="F1121" s="12" t="s">
        <v>6081</v>
      </c>
      <c r="G1121" s="12" t="s">
        <v>6082</v>
      </c>
      <c r="H1121" s="12" t="s">
        <v>4481</v>
      </c>
      <c r="I1121" s="12" t="s">
        <v>3075</v>
      </c>
      <c r="J1121" s="12" t="s">
        <v>1991</v>
      </c>
      <c r="K1121" s="12" t="s">
        <v>6083</v>
      </c>
      <c r="L1121" s="13" t="s">
        <v>3075</v>
      </c>
    </row>
    <row r="1122" spans="1:12" hidden="1" x14ac:dyDescent="0.55000000000000004">
      <c r="A1122" s="12" t="s">
        <v>2959</v>
      </c>
      <c r="B1122" s="12" t="s">
        <v>4442</v>
      </c>
      <c r="C1122" s="12" t="s">
        <v>115</v>
      </c>
      <c r="D1122" s="12" t="s">
        <v>4752</v>
      </c>
      <c r="E1122" s="12" t="s">
        <v>6084</v>
      </c>
      <c r="F1122" s="12" t="s">
        <v>6085</v>
      </c>
      <c r="G1122" s="12" t="s">
        <v>6086</v>
      </c>
      <c r="H1122" s="12" t="s">
        <v>4481</v>
      </c>
      <c r="I1122" s="12" t="s">
        <v>3075</v>
      </c>
      <c r="J1122" s="12" t="s">
        <v>1991</v>
      </c>
      <c r="K1122" s="12" t="s">
        <v>6087</v>
      </c>
      <c r="L1122" s="13" t="s">
        <v>3075</v>
      </c>
    </row>
    <row r="1123" spans="1:12" hidden="1" x14ac:dyDescent="0.55000000000000004">
      <c r="A1123" s="12" t="s">
        <v>2959</v>
      </c>
      <c r="B1123" s="12" t="s">
        <v>4442</v>
      </c>
      <c r="C1123" s="12" t="s">
        <v>115</v>
      </c>
      <c r="D1123" s="12" t="s">
        <v>4752</v>
      </c>
      <c r="E1123" s="12" t="s">
        <v>6088</v>
      </c>
      <c r="F1123" s="12" t="s">
        <v>6089</v>
      </c>
      <c r="G1123" s="12" t="s">
        <v>6090</v>
      </c>
      <c r="H1123" s="12" t="s">
        <v>4481</v>
      </c>
      <c r="I1123" s="12" t="s">
        <v>3075</v>
      </c>
      <c r="J1123" s="12" t="s">
        <v>1991</v>
      </c>
      <c r="K1123" s="12" t="s">
        <v>6091</v>
      </c>
      <c r="L1123" s="13" t="s">
        <v>3075</v>
      </c>
    </row>
    <row r="1124" spans="1:12" hidden="1" x14ac:dyDescent="0.55000000000000004">
      <c r="A1124" s="12" t="s">
        <v>2959</v>
      </c>
      <c r="B1124" s="12" t="s">
        <v>4442</v>
      </c>
      <c r="C1124" s="12" t="s">
        <v>115</v>
      </c>
      <c r="D1124" s="12" t="s">
        <v>4752</v>
      </c>
      <c r="E1124" s="12" t="s">
        <v>6092</v>
      </c>
      <c r="F1124" s="12" t="s">
        <v>1485</v>
      </c>
      <c r="G1124" s="12" t="s">
        <v>6093</v>
      </c>
      <c r="H1124" s="12" t="s">
        <v>4481</v>
      </c>
      <c r="I1124" s="12" t="s">
        <v>3075</v>
      </c>
      <c r="J1124" s="12" t="s">
        <v>1991</v>
      </c>
      <c r="K1124" s="12" t="s">
        <v>6094</v>
      </c>
      <c r="L1124" s="13" t="s">
        <v>3075</v>
      </c>
    </row>
    <row r="1125" spans="1:12" hidden="1" x14ac:dyDescent="0.55000000000000004">
      <c r="A1125" s="12" t="s">
        <v>2959</v>
      </c>
      <c r="B1125" s="12" t="s">
        <v>4442</v>
      </c>
      <c r="C1125" s="12" t="s">
        <v>115</v>
      </c>
      <c r="D1125" s="12" t="s">
        <v>4752</v>
      </c>
      <c r="E1125" s="12" t="s">
        <v>6095</v>
      </c>
      <c r="F1125" s="12" t="s">
        <v>6096</v>
      </c>
      <c r="G1125" s="12" t="s">
        <v>6097</v>
      </c>
      <c r="H1125" s="12" t="s">
        <v>4481</v>
      </c>
      <c r="I1125" s="12" t="s">
        <v>3059</v>
      </c>
      <c r="J1125" s="12" t="s">
        <v>1991</v>
      </c>
      <c r="K1125" s="12" t="s">
        <v>6098</v>
      </c>
      <c r="L1125" s="13">
        <v>7</v>
      </c>
    </row>
    <row r="1126" spans="1:12" hidden="1" x14ac:dyDescent="0.55000000000000004">
      <c r="A1126" s="12" t="s">
        <v>2959</v>
      </c>
      <c r="B1126" s="12" t="s">
        <v>4442</v>
      </c>
      <c r="C1126" s="12" t="s">
        <v>115</v>
      </c>
      <c r="D1126" s="12" t="s">
        <v>4752</v>
      </c>
      <c r="E1126" s="12" t="s">
        <v>6099</v>
      </c>
      <c r="F1126" s="12" t="s">
        <v>6100</v>
      </c>
      <c r="G1126" s="12" t="s">
        <v>6101</v>
      </c>
      <c r="H1126" s="12" t="s">
        <v>4481</v>
      </c>
      <c r="I1126" s="12" t="s">
        <v>3075</v>
      </c>
      <c r="J1126" s="12" t="s">
        <v>1991</v>
      </c>
      <c r="K1126" s="12" t="s">
        <v>6102</v>
      </c>
      <c r="L1126" s="13" t="s">
        <v>3075</v>
      </c>
    </row>
    <row r="1127" spans="1:12" hidden="1" x14ac:dyDescent="0.55000000000000004">
      <c r="A1127" s="12" t="s">
        <v>2957</v>
      </c>
      <c r="B1127" s="12" t="s">
        <v>4442</v>
      </c>
      <c r="C1127" s="12" t="s">
        <v>658</v>
      </c>
      <c r="D1127" s="12" t="s">
        <v>4752</v>
      </c>
      <c r="E1127" s="12" t="s">
        <v>656</v>
      </c>
      <c r="F1127" s="12" t="s">
        <v>411</v>
      </c>
      <c r="G1127" s="12" t="s">
        <v>657</v>
      </c>
      <c r="H1127" s="12" t="s">
        <v>4479</v>
      </c>
      <c r="I1127" s="12" t="s">
        <v>3059</v>
      </c>
      <c r="J1127" s="12" t="s">
        <v>3084</v>
      </c>
      <c r="K1127" s="12" t="s">
        <v>3471</v>
      </c>
      <c r="L1127" s="13">
        <v>6</v>
      </c>
    </row>
    <row r="1128" spans="1:12" hidden="1" x14ac:dyDescent="0.55000000000000004">
      <c r="A1128" s="12" t="s">
        <v>2957</v>
      </c>
      <c r="B1128" s="12" t="s">
        <v>4442</v>
      </c>
      <c r="C1128" s="12" t="s">
        <v>658</v>
      </c>
      <c r="D1128" s="12" t="s">
        <v>4752</v>
      </c>
      <c r="E1128" s="12" t="s">
        <v>659</v>
      </c>
      <c r="F1128" s="12" t="s">
        <v>660</v>
      </c>
      <c r="G1128" s="12" t="s">
        <v>661</v>
      </c>
      <c r="H1128" s="12" t="s">
        <v>4479</v>
      </c>
      <c r="I1128" s="12" t="s">
        <v>3059</v>
      </c>
      <c r="J1128" s="12" t="s">
        <v>3084</v>
      </c>
      <c r="K1128" s="12" t="s">
        <v>3472</v>
      </c>
      <c r="L1128" s="13">
        <v>6</v>
      </c>
    </row>
    <row r="1129" spans="1:12" hidden="1" x14ac:dyDescent="0.55000000000000004">
      <c r="A1129" s="12" t="s">
        <v>2957</v>
      </c>
      <c r="B1129" s="12" t="s">
        <v>4442</v>
      </c>
      <c r="C1129" s="12" t="s">
        <v>658</v>
      </c>
      <c r="D1129" s="12" t="s">
        <v>4752</v>
      </c>
      <c r="E1129" s="12" t="s">
        <v>665</v>
      </c>
      <c r="F1129" s="12" t="s">
        <v>666</v>
      </c>
      <c r="G1129" s="12" t="s">
        <v>667</v>
      </c>
      <c r="H1129" s="12" t="s">
        <v>4479</v>
      </c>
      <c r="I1129" s="12" t="s">
        <v>3075</v>
      </c>
      <c r="J1129" s="12" t="s">
        <v>3084</v>
      </c>
      <c r="K1129" s="12" t="s">
        <v>3474</v>
      </c>
      <c r="L1129" s="13" t="s">
        <v>3075</v>
      </c>
    </row>
    <row r="1130" spans="1:12" hidden="1" x14ac:dyDescent="0.55000000000000004">
      <c r="A1130" s="12" t="s">
        <v>2957</v>
      </c>
      <c r="B1130" s="12" t="s">
        <v>4442</v>
      </c>
      <c r="C1130" s="12" t="s">
        <v>658</v>
      </c>
      <c r="D1130" s="12" t="s">
        <v>4752</v>
      </c>
      <c r="E1130" s="12" t="s">
        <v>677</v>
      </c>
      <c r="F1130" s="12" t="s">
        <v>678</v>
      </c>
      <c r="G1130" s="12" t="s">
        <v>679</v>
      </c>
      <c r="H1130" s="12" t="s">
        <v>4479</v>
      </c>
      <c r="I1130" s="12" t="s">
        <v>3059</v>
      </c>
      <c r="J1130" s="12" t="s">
        <v>3084</v>
      </c>
      <c r="K1130" s="12" t="s">
        <v>3477</v>
      </c>
      <c r="L1130" s="13">
        <v>6</v>
      </c>
    </row>
    <row r="1131" spans="1:12" hidden="1" x14ac:dyDescent="0.55000000000000004">
      <c r="A1131" s="12" t="s">
        <v>2957</v>
      </c>
      <c r="B1131" s="12" t="s">
        <v>4442</v>
      </c>
      <c r="C1131" s="12" t="s">
        <v>658</v>
      </c>
      <c r="D1131" s="12" t="s">
        <v>4752</v>
      </c>
      <c r="E1131" s="12" t="s">
        <v>680</v>
      </c>
      <c r="F1131" s="12" t="s">
        <v>681</v>
      </c>
      <c r="G1131" s="12" t="s">
        <v>682</v>
      </c>
      <c r="H1131" s="12" t="s">
        <v>4479</v>
      </c>
      <c r="I1131" s="12" t="s">
        <v>3059</v>
      </c>
      <c r="J1131" s="12" t="s">
        <v>3084</v>
      </c>
      <c r="K1131" s="12" t="s">
        <v>3478</v>
      </c>
      <c r="L1131" s="13">
        <v>6</v>
      </c>
    </row>
    <row r="1132" spans="1:12" hidden="1" x14ac:dyDescent="0.55000000000000004">
      <c r="A1132" s="12" t="s">
        <v>2957</v>
      </c>
      <c r="B1132" s="12" t="s">
        <v>4442</v>
      </c>
      <c r="C1132" s="12" t="s">
        <v>658</v>
      </c>
      <c r="D1132" s="12" t="s">
        <v>4752</v>
      </c>
      <c r="E1132" s="12" t="s">
        <v>683</v>
      </c>
      <c r="F1132" s="12" t="s">
        <v>684</v>
      </c>
      <c r="G1132" s="12" t="s">
        <v>536</v>
      </c>
      <c r="H1132" s="12" t="s">
        <v>4479</v>
      </c>
      <c r="I1132" s="12" t="s">
        <v>3059</v>
      </c>
      <c r="J1132" s="12" t="s">
        <v>3084</v>
      </c>
      <c r="K1132" s="12" t="s">
        <v>3479</v>
      </c>
      <c r="L1132" s="13">
        <v>6</v>
      </c>
    </row>
    <row r="1133" spans="1:12" hidden="1" x14ac:dyDescent="0.55000000000000004">
      <c r="A1133" s="12" t="s">
        <v>2957</v>
      </c>
      <c r="B1133" s="12" t="s">
        <v>4442</v>
      </c>
      <c r="C1133" s="12" t="s">
        <v>658</v>
      </c>
      <c r="D1133" s="12" t="s">
        <v>4752</v>
      </c>
      <c r="E1133" s="12" t="s">
        <v>685</v>
      </c>
      <c r="F1133" s="12" t="s">
        <v>686</v>
      </c>
      <c r="G1133" s="12" t="s">
        <v>687</v>
      </c>
      <c r="H1133" s="12" t="s">
        <v>4479</v>
      </c>
      <c r="I1133" s="12" t="s">
        <v>3059</v>
      </c>
      <c r="J1133" s="12" t="s">
        <v>3084</v>
      </c>
      <c r="K1133" s="12" t="s">
        <v>3480</v>
      </c>
      <c r="L1133" s="13">
        <v>6</v>
      </c>
    </row>
    <row r="1134" spans="1:12" hidden="1" x14ac:dyDescent="0.55000000000000004">
      <c r="A1134" s="12" t="s">
        <v>2957</v>
      </c>
      <c r="B1134" s="12" t="s">
        <v>4442</v>
      </c>
      <c r="C1134" s="12" t="s">
        <v>658</v>
      </c>
      <c r="D1134" s="12" t="s">
        <v>4752</v>
      </c>
      <c r="E1134" s="12" t="s">
        <v>688</v>
      </c>
      <c r="F1134" s="12" t="s">
        <v>689</v>
      </c>
      <c r="G1134" s="12" t="s">
        <v>690</v>
      </c>
      <c r="H1134" s="12" t="s">
        <v>4479</v>
      </c>
      <c r="I1134" s="12" t="s">
        <v>3059</v>
      </c>
      <c r="J1134" s="12" t="s">
        <v>3084</v>
      </c>
      <c r="K1134" s="12" t="s">
        <v>3481</v>
      </c>
      <c r="L1134" s="13">
        <v>6</v>
      </c>
    </row>
    <row r="1135" spans="1:12" hidden="1" x14ac:dyDescent="0.55000000000000004">
      <c r="A1135" s="12" t="s">
        <v>2957</v>
      </c>
      <c r="B1135" s="12" t="s">
        <v>4442</v>
      </c>
      <c r="C1135" s="12" t="s">
        <v>658</v>
      </c>
      <c r="D1135" s="12" t="s">
        <v>4752</v>
      </c>
      <c r="E1135" s="12" t="s">
        <v>6103</v>
      </c>
      <c r="F1135" s="12" t="s">
        <v>102</v>
      </c>
      <c r="G1135" s="12" t="s">
        <v>6104</v>
      </c>
      <c r="H1135" s="12" t="s">
        <v>4479</v>
      </c>
      <c r="I1135" s="12" t="s">
        <v>3075</v>
      </c>
      <c r="J1135" s="12" t="s">
        <v>3084</v>
      </c>
      <c r="K1135" s="12" t="s">
        <v>6105</v>
      </c>
      <c r="L1135" s="13" t="s">
        <v>3075</v>
      </c>
    </row>
    <row r="1136" spans="1:12" hidden="1" x14ac:dyDescent="0.55000000000000004">
      <c r="A1136" s="12" t="s">
        <v>3023</v>
      </c>
      <c r="B1136" s="12" t="s">
        <v>4486</v>
      </c>
      <c r="C1136" s="12" t="s">
        <v>2572</v>
      </c>
      <c r="D1136" s="12" t="s">
        <v>4752</v>
      </c>
      <c r="E1136" s="12" t="s">
        <v>2569</v>
      </c>
      <c r="F1136" s="12" t="s">
        <v>2570</v>
      </c>
      <c r="G1136" s="12" t="s">
        <v>2571</v>
      </c>
      <c r="H1136" s="12" t="s">
        <v>5271</v>
      </c>
      <c r="I1136" s="12" t="s">
        <v>3075</v>
      </c>
      <c r="J1136" s="12" t="s">
        <v>118</v>
      </c>
      <c r="K1136" s="12" t="s">
        <v>4104</v>
      </c>
      <c r="L1136" s="13" t="s">
        <v>3075</v>
      </c>
    </row>
    <row r="1137" spans="1:12" hidden="1" x14ac:dyDescent="0.55000000000000004">
      <c r="A1137" s="12" t="s">
        <v>3023</v>
      </c>
      <c r="B1137" s="12" t="s">
        <v>4486</v>
      </c>
      <c r="C1137" s="12" t="s">
        <v>2572</v>
      </c>
      <c r="D1137" s="12" t="s">
        <v>4752</v>
      </c>
      <c r="E1137" s="12" t="s">
        <v>2573</v>
      </c>
      <c r="F1137" s="12" t="s">
        <v>1755</v>
      </c>
      <c r="G1137" s="12" t="s">
        <v>2574</v>
      </c>
      <c r="H1137" s="12" t="s">
        <v>5271</v>
      </c>
      <c r="I1137" s="12" t="s">
        <v>3075</v>
      </c>
      <c r="J1137" s="12" t="s">
        <v>118</v>
      </c>
      <c r="K1137" s="12" t="s">
        <v>4105</v>
      </c>
      <c r="L1137" s="13" t="s">
        <v>3075</v>
      </c>
    </row>
    <row r="1138" spans="1:12" hidden="1" x14ac:dyDescent="0.55000000000000004">
      <c r="A1138" s="12" t="s">
        <v>3023</v>
      </c>
      <c r="B1138" s="12" t="s">
        <v>4486</v>
      </c>
      <c r="C1138" s="12" t="s">
        <v>2572</v>
      </c>
      <c r="D1138" s="12" t="s">
        <v>4752</v>
      </c>
      <c r="E1138" s="12" t="s">
        <v>2586</v>
      </c>
      <c r="F1138" s="12" t="s">
        <v>2587</v>
      </c>
      <c r="G1138" s="12" t="s">
        <v>2588</v>
      </c>
      <c r="H1138" s="12" t="s">
        <v>5271</v>
      </c>
      <c r="I1138" s="12" t="s">
        <v>3075</v>
      </c>
      <c r="J1138" s="12" t="s">
        <v>118</v>
      </c>
      <c r="K1138" s="12" t="s">
        <v>4111</v>
      </c>
      <c r="L1138" s="13" t="s">
        <v>3075</v>
      </c>
    </row>
    <row r="1139" spans="1:12" hidden="1" x14ac:dyDescent="0.55000000000000004">
      <c r="A1139" s="12" t="s">
        <v>2965</v>
      </c>
      <c r="B1139" s="12" t="s">
        <v>4486</v>
      </c>
      <c r="C1139" s="12" t="s">
        <v>5272</v>
      </c>
      <c r="D1139" s="12" t="s">
        <v>4752</v>
      </c>
      <c r="E1139" s="12" t="s">
        <v>2352</v>
      </c>
      <c r="F1139" s="12" t="s">
        <v>2353</v>
      </c>
      <c r="G1139" s="12" t="s">
        <v>2354</v>
      </c>
      <c r="H1139" s="12" t="s">
        <v>5273</v>
      </c>
      <c r="I1139" s="12" t="s">
        <v>3059</v>
      </c>
      <c r="J1139" s="12" t="s">
        <v>1071</v>
      </c>
      <c r="K1139" s="12" t="s">
        <v>4156</v>
      </c>
      <c r="L1139" s="13">
        <v>4</v>
      </c>
    </row>
    <row r="1140" spans="1:12" hidden="1" x14ac:dyDescent="0.55000000000000004">
      <c r="A1140" s="12" t="s">
        <v>2965</v>
      </c>
      <c r="B1140" s="12" t="s">
        <v>4486</v>
      </c>
      <c r="C1140" s="12" t="s">
        <v>5272</v>
      </c>
      <c r="D1140" s="12" t="s">
        <v>4752</v>
      </c>
      <c r="E1140" s="12" t="s">
        <v>2355</v>
      </c>
      <c r="F1140" s="12" t="s">
        <v>2356</v>
      </c>
      <c r="G1140" s="12" t="s">
        <v>2357</v>
      </c>
      <c r="H1140" s="12" t="s">
        <v>5273</v>
      </c>
      <c r="I1140" s="12" t="s">
        <v>3059</v>
      </c>
      <c r="J1140" s="12" t="s">
        <v>1071</v>
      </c>
      <c r="K1140" s="12" t="s">
        <v>4157</v>
      </c>
      <c r="L1140" s="13">
        <v>4</v>
      </c>
    </row>
    <row r="1141" spans="1:12" hidden="1" x14ac:dyDescent="0.55000000000000004">
      <c r="A1141" s="12" t="s">
        <v>2965</v>
      </c>
      <c r="B1141" s="12" t="s">
        <v>4486</v>
      </c>
      <c r="C1141" s="12" t="s">
        <v>5272</v>
      </c>
      <c r="D1141" s="12" t="s">
        <v>4752</v>
      </c>
      <c r="E1141" s="12" t="s">
        <v>2358</v>
      </c>
      <c r="F1141" s="12" t="s">
        <v>2359</v>
      </c>
      <c r="G1141" s="12" t="s">
        <v>2360</v>
      </c>
      <c r="H1141" s="12" t="s">
        <v>5273</v>
      </c>
      <c r="I1141" s="12" t="s">
        <v>3059</v>
      </c>
      <c r="J1141" s="12" t="s">
        <v>1071</v>
      </c>
      <c r="K1141" s="12" t="s">
        <v>4158</v>
      </c>
      <c r="L1141" s="13">
        <v>4</v>
      </c>
    </row>
    <row r="1142" spans="1:12" hidden="1" x14ac:dyDescent="0.55000000000000004">
      <c r="A1142" s="12" t="s">
        <v>2965</v>
      </c>
      <c r="B1142" s="12" t="s">
        <v>4486</v>
      </c>
      <c r="C1142" s="12" t="s">
        <v>5272</v>
      </c>
      <c r="D1142" s="12" t="s">
        <v>4752</v>
      </c>
      <c r="E1142" s="12" t="s">
        <v>2361</v>
      </c>
      <c r="F1142" s="12" t="s">
        <v>2362</v>
      </c>
      <c r="G1142" s="12" t="s">
        <v>2363</v>
      </c>
      <c r="H1142" s="12" t="s">
        <v>5273</v>
      </c>
      <c r="I1142" s="12" t="s">
        <v>3059</v>
      </c>
      <c r="J1142" s="12" t="s">
        <v>1071</v>
      </c>
      <c r="K1142" s="12" t="s">
        <v>4159</v>
      </c>
      <c r="L1142" s="13">
        <v>4</v>
      </c>
    </row>
    <row r="1143" spans="1:12" hidden="1" x14ac:dyDescent="0.55000000000000004">
      <c r="A1143" s="12" t="s">
        <v>2965</v>
      </c>
      <c r="B1143" s="12" t="s">
        <v>4486</v>
      </c>
      <c r="C1143" s="12" t="s">
        <v>5272</v>
      </c>
      <c r="D1143" s="12" t="s">
        <v>4752</v>
      </c>
      <c r="E1143" s="12" t="s">
        <v>2364</v>
      </c>
      <c r="F1143" s="12" t="s">
        <v>2365</v>
      </c>
      <c r="G1143" s="12" t="s">
        <v>2366</v>
      </c>
      <c r="H1143" s="12" t="s">
        <v>5273</v>
      </c>
      <c r="I1143" s="12" t="s">
        <v>3059</v>
      </c>
      <c r="J1143" s="12" t="s">
        <v>1071</v>
      </c>
      <c r="K1143" s="12" t="s">
        <v>4160</v>
      </c>
      <c r="L1143" s="13">
        <v>5</v>
      </c>
    </row>
    <row r="1144" spans="1:12" hidden="1" x14ac:dyDescent="0.55000000000000004">
      <c r="A1144" s="12" t="s">
        <v>2965</v>
      </c>
      <c r="B1144" s="12" t="s">
        <v>4486</v>
      </c>
      <c r="C1144" s="12" t="s">
        <v>5272</v>
      </c>
      <c r="D1144" s="12" t="s">
        <v>4752</v>
      </c>
      <c r="E1144" s="12" t="s">
        <v>2367</v>
      </c>
      <c r="F1144" s="12" t="s">
        <v>2368</v>
      </c>
      <c r="G1144" s="12" t="s">
        <v>2369</v>
      </c>
      <c r="H1144" s="12" t="s">
        <v>5273</v>
      </c>
      <c r="I1144" s="12" t="s">
        <v>3059</v>
      </c>
      <c r="J1144" s="12" t="s">
        <v>1071</v>
      </c>
      <c r="K1144" s="12" t="s">
        <v>4161</v>
      </c>
      <c r="L1144" s="13">
        <v>4</v>
      </c>
    </row>
    <row r="1145" spans="1:12" hidden="1" x14ac:dyDescent="0.55000000000000004">
      <c r="A1145" s="12" t="s">
        <v>2965</v>
      </c>
      <c r="B1145" s="12" t="s">
        <v>4486</v>
      </c>
      <c r="C1145" s="12" t="s">
        <v>5272</v>
      </c>
      <c r="D1145" s="12" t="s">
        <v>4752</v>
      </c>
      <c r="E1145" s="12" t="s">
        <v>2370</v>
      </c>
      <c r="F1145" s="12" t="s">
        <v>2371</v>
      </c>
      <c r="G1145" s="12" t="s">
        <v>2372</v>
      </c>
      <c r="H1145" s="12" t="s">
        <v>5273</v>
      </c>
      <c r="I1145" s="12" t="s">
        <v>3059</v>
      </c>
      <c r="J1145" s="12" t="s">
        <v>1071</v>
      </c>
      <c r="K1145" s="12" t="s">
        <v>4162</v>
      </c>
      <c r="L1145" s="13">
        <v>4</v>
      </c>
    </row>
    <row r="1146" spans="1:12" hidden="1" x14ac:dyDescent="0.55000000000000004">
      <c r="A1146" s="12" t="s">
        <v>2965</v>
      </c>
      <c r="B1146" s="12" t="s">
        <v>4486</v>
      </c>
      <c r="C1146" s="12" t="s">
        <v>5272</v>
      </c>
      <c r="D1146" s="12" t="s">
        <v>4752</v>
      </c>
      <c r="E1146" s="12" t="s">
        <v>6106</v>
      </c>
      <c r="F1146" s="12" t="s">
        <v>5669</v>
      </c>
      <c r="G1146" s="12" t="s">
        <v>2357</v>
      </c>
      <c r="H1146" s="12" t="s">
        <v>5273</v>
      </c>
      <c r="I1146" s="12" t="s">
        <v>3059</v>
      </c>
      <c r="J1146" s="12" t="s">
        <v>1071</v>
      </c>
      <c r="K1146" s="12" t="s">
        <v>6107</v>
      </c>
      <c r="L1146" s="13">
        <v>4</v>
      </c>
    </row>
    <row r="1147" spans="1:12" hidden="1" x14ac:dyDescent="0.55000000000000004">
      <c r="A1147" s="12" t="s">
        <v>4559</v>
      </c>
      <c r="B1147" s="12" t="s">
        <v>4486</v>
      </c>
      <c r="C1147" s="12" t="s">
        <v>703</v>
      </c>
      <c r="D1147" s="12" t="s">
        <v>4752</v>
      </c>
      <c r="E1147" s="12" t="s">
        <v>4655</v>
      </c>
      <c r="F1147" s="12" t="s">
        <v>4656</v>
      </c>
      <c r="G1147" s="12" t="s">
        <v>4657</v>
      </c>
      <c r="H1147" s="12" t="s">
        <v>5274</v>
      </c>
      <c r="I1147" s="12" t="s">
        <v>3075</v>
      </c>
      <c r="J1147" s="12" t="s">
        <v>1071</v>
      </c>
      <c r="K1147" s="12" t="s">
        <v>4658</v>
      </c>
      <c r="L1147" s="13" t="s">
        <v>3075</v>
      </c>
    </row>
    <row r="1148" spans="1:12" hidden="1" x14ac:dyDescent="0.55000000000000004">
      <c r="A1148" s="12" t="s">
        <v>3054</v>
      </c>
      <c r="B1148" s="12" t="s">
        <v>4486</v>
      </c>
      <c r="C1148" s="12" t="s">
        <v>923</v>
      </c>
      <c r="D1148" s="12" t="s">
        <v>4752</v>
      </c>
      <c r="E1148" s="12" t="s">
        <v>1000</v>
      </c>
      <c r="F1148" s="12" t="s">
        <v>1001</v>
      </c>
      <c r="G1148" s="12" t="s">
        <v>1002</v>
      </c>
      <c r="H1148" s="12" t="s">
        <v>5275</v>
      </c>
      <c r="I1148" s="12" t="s">
        <v>3059</v>
      </c>
      <c r="J1148" s="12" t="s">
        <v>3089</v>
      </c>
      <c r="K1148" s="12" t="s">
        <v>3591</v>
      </c>
      <c r="L1148" s="13">
        <v>3</v>
      </c>
    </row>
    <row r="1149" spans="1:12" hidden="1" x14ac:dyDescent="0.55000000000000004">
      <c r="A1149" s="12" t="s">
        <v>3054</v>
      </c>
      <c r="B1149" s="12" t="s">
        <v>4486</v>
      </c>
      <c r="C1149" s="12" t="s">
        <v>923</v>
      </c>
      <c r="D1149" s="12" t="s">
        <v>4752</v>
      </c>
      <c r="E1149" s="12" t="s">
        <v>1012</v>
      </c>
      <c r="F1149" s="12" t="s">
        <v>1013</v>
      </c>
      <c r="G1149" s="12" t="s">
        <v>1014</v>
      </c>
      <c r="H1149" s="12" t="s">
        <v>5275</v>
      </c>
      <c r="I1149" s="12" t="s">
        <v>3060</v>
      </c>
      <c r="J1149" s="12" t="s">
        <v>3089</v>
      </c>
      <c r="K1149" s="12" t="s">
        <v>3595</v>
      </c>
      <c r="L1149" s="13">
        <v>6</v>
      </c>
    </row>
    <row r="1150" spans="1:12" hidden="1" x14ac:dyDescent="0.55000000000000004">
      <c r="A1150" s="12" t="s">
        <v>3054</v>
      </c>
      <c r="B1150" s="12" t="s">
        <v>4486</v>
      </c>
      <c r="C1150" s="12" t="s">
        <v>923</v>
      </c>
      <c r="D1150" s="12" t="s">
        <v>4752</v>
      </c>
      <c r="E1150" s="12" t="s">
        <v>3139</v>
      </c>
      <c r="F1150" s="12" t="s">
        <v>2648</v>
      </c>
      <c r="G1150" s="12" t="s">
        <v>990</v>
      </c>
      <c r="H1150" s="12" t="s">
        <v>5275</v>
      </c>
      <c r="I1150" s="12" t="s">
        <v>3059</v>
      </c>
      <c r="J1150" s="12" t="s">
        <v>3089</v>
      </c>
      <c r="K1150" s="12" t="s">
        <v>3610</v>
      </c>
      <c r="L1150" s="13">
        <v>6</v>
      </c>
    </row>
    <row r="1151" spans="1:12" hidden="1" x14ac:dyDescent="0.55000000000000004">
      <c r="A1151" s="12" t="s">
        <v>2999</v>
      </c>
      <c r="B1151" s="12" t="s">
        <v>4486</v>
      </c>
      <c r="C1151" s="12" t="s">
        <v>5276</v>
      </c>
      <c r="D1151" s="12" t="s">
        <v>4752</v>
      </c>
      <c r="E1151" s="12" t="s">
        <v>79</v>
      </c>
      <c r="F1151" s="12" t="s">
        <v>66</v>
      </c>
      <c r="G1151" s="12" t="s">
        <v>80</v>
      </c>
      <c r="H1151" s="12" t="s">
        <v>5277</v>
      </c>
      <c r="I1151" s="12" t="s">
        <v>3059</v>
      </c>
      <c r="J1151" s="12" t="s">
        <v>118</v>
      </c>
      <c r="K1151" s="12" t="s">
        <v>3272</v>
      </c>
      <c r="L1151" s="13">
        <v>5</v>
      </c>
    </row>
    <row r="1152" spans="1:12" hidden="1" x14ac:dyDescent="0.55000000000000004">
      <c r="A1152" s="12" t="s">
        <v>2999</v>
      </c>
      <c r="B1152" s="12" t="s">
        <v>4486</v>
      </c>
      <c r="C1152" s="12" t="s">
        <v>5276</v>
      </c>
      <c r="D1152" s="12" t="s">
        <v>4752</v>
      </c>
      <c r="E1152" s="12" t="s">
        <v>81</v>
      </c>
      <c r="F1152" s="12" t="s">
        <v>82</v>
      </c>
      <c r="G1152" s="12" t="s">
        <v>83</v>
      </c>
      <c r="H1152" s="12" t="s">
        <v>5277</v>
      </c>
      <c r="I1152" s="12" t="s">
        <v>3075</v>
      </c>
      <c r="J1152" s="12" t="s">
        <v>118</v>
      </c>
      <c r="K1152" s="12" t="s">
        <v>3273</v>
      </c>
      <c r="L1152" s="13" t="s">
        <v>3075</v>
      </c>
    </row>
    <row r="1153" spans="1:12" hidden="1" x14ac:dyDescent="0.55000000000000004">
      <c r="A1153" s="12" t="s">
        <v>2999</v>
      </c>
      <c r="B1153" s="12" t="s">
        <v>4486</v>
      </c>
      <c r="C1153" s="12" t="s">
        <v>5276</v>
      </c>
      <c r="D1153" s="12" t="s">
        <v>4752</v>
      </c>
      <c r="E1153" s="12" t="s">
        <v>84</v>
      </c>
      <c r="F1153" s="12" t="s">
        <v>85</v>
      </c>
      <c r="G1153" s="12" t="s">
        <v>86</v>
      </c>
      <c r="H1153" s="12" t="s">
        <v>5277</v>
      </c>
      <c r="I1153" s="12" t="s">
        <v>3075</v>
      </c>
      <c r="J1153" s="12" t="s">
        <v>118</v>
      </c>
      <c r="K1153" s="12" t="s">
        <v>3274</v>
      </c>
      <c r="L1153" s="13" t="s">
        <v>3075</v>
      </c>
    </row>
    <row r="1154" spans="1:12" hidden="1" x14ac:dyDescent="0.55000000000000004">
      <c r="A1154" s="12" t="s">
        <v>2999</v>
      </c>
      <c r="B1154" s="12" t="s">
        <v>4486</v>
      </c>
      <c r="C1154" s="12" t="s">
        <v>5276</v>
      </c>
      <c r="D1154" s="12" t="s">
        <v>4752</v>
      </c>
      <c r="E1154" s="12" t="s">
        <v>87</v>
      </c>
      <c r="F1154" s="12" t="s">
        <v>45</v>
      </c>
      <c r="G1154" s="12" t="s">
        <v>86</v>
      </c>
      <c r="H1154" s="12" t="s">
        <v>5277</v>
      </c>
      <c r="I1154" s="12" t="s">
        <v>3075</v>
      </c>
      <c r="J1154" s="12" t="s">
        <v>118</v>
      </c>
      <c r="K1154" s="12" t="s">
        <v>3275</v>
      </c>
      <c r="L1154" s="13" t="s">
        <v>3075</v>
      </c>
    </row>
    <row r="1155" spans="1:12" hidden="1" x14ac:dyDescent="0.55000000000000004">
      <c r="A1155" s="12" t="s">
        <v>2999</v>
      </c>
      <c r="B1155" s="12" t="s">
        <v>4486</v>
      </c>
      <c r="C1155" s="12" t="s">
        <v>5276</v>
      </c>
      <c r="D1155" s="12" t="s">
        <v>4752</v>
      </c>
      <c r="E1155" s="12" t="s">
        <v>6108</v>
      </c>
      <c r="F1155" s="12" t="s">
        <v>6109</v>
      </c>
      <c r="G1155" s="12" t="s">
        <v>6110</v>
      </c>
      <c r="H1155" s="12" t="s">
        <v>5277</v>
      </c>
      <c r="I1155" s="12" t="s">
        <v>3075</v>
      </c>
      <c r="J1155" s="12" t="s">
        <v>118</v>
      </c>
      <c r="K1155" s="12" t="s">
        <v>6111</v>
      </c>
      <c r="L1155" s="13" t="s">
        <v>3075</v>
      </c>
    </row>
    <row r="1156" spans="1:12" hidden="1" x14ac:dyDescent="0.55000000000000004">
      <c r="A1156" s="12" t="s">
        <v>2842</v>
      </c>
      <c r="B1156" s="12" t="s">
        <v>4298</v>
      </c>
      <c r="C1156" s="12" t="s">
        <v>587</v>
      </c>
      <c r="D1156" s="12" t="s">
        <v>4752</v>
      </c>
      <c r="E1156" s="12" t="s">
        <v>613</v>
      </c>
      <c r="F1156" s="12" t="s">
        <v>614</v>
      </c>
      <c r="G1156" s="12" t="s">
        <v>615</v>
      </c>
      <c r="H1156" s="12" t="s">
        <v>4338</v>
      </c>
      <c r="I1156" s="12" t="s">
        <v>3059</v>
      </c>
      <c r="J1156" s="12" t="s">
        <v>689</v>
      </c>
      <c r="K1156" s="12" t="s">
        <v>3455</v>
      </c>
      <c r="L1156" s="13">
        <v>2</v>
      </c>
    </row>
    <row r="1157" spans="1:12" hidden="1" x14ac:dyDescent="0.55000000000000004">
      <c r="A1157" s="12" t="s">
        <v>2951</v>
      </c>
      <c r="B1157" s="12" t="s">
        <v>4442</v>
      </c>
      <c r="C1157" s="12" t="s">
        <v>5278</v>
      </c>
      <c r="D1157" s="12" t="s">
        <v>4752</v>
      </c>
      <c r="E1157" s="12" t="s">
        <v>2389</v>
      </c>
      <c r="F1157" s="12" t="s">
        <v>2390</v>
      </c>
      <c r="G1157" s="12" t="s">
        <v>2391</v>
      </c>
      <c r="H1157" s="12" t="s">
        <v>4472</v>
      </c>
      <c r="I1157" s="12" t="s">
        <v>3059</v>
      </c>
      <c r="J1157" s="12" t="s">
        <v>1991</v>
      </c>
      <c r="K1157" s="12" t="s">
        <v>4168</v>
      </c>
      <c r="L1157" s="13">
        <v>2</v>
      </c>
    </row>
    <row r="1158" spans="1:12" hidden="1" x14ac:dyDescent="0.55000000000000004">
      <c r="A1158" s="12" t="s">
        <v>2951</v>
      </c>
      <c r="B1158" s="12" t="s">
        <v>4442</v>
      </c>
      <c r="C1158" s="12" t="s">
        <v>5278</v>
      </c>
      <c r="D1158" s="12" t="s">
        <v>4752</v>
      </c>
      <c r="E1158" s="12" t="s">
        <v>2392</v>
      </c>
      <c r="F1158" s="12" t="s">
        <v>2393</v>
      </c>
      <c r="G1158" s="12" t="s">
        <v>2394</v>
      </c>
      <c r="H1158" s="12" t="s">
        <v>4472</v>
      </c>
      <c r="I1158" s="12" t="s">
        <v>3059</v>
      </c>
      <c r="J1158" s="12" t="s">
        <v>1991</v>
      </c>
      <c r="K1158" s="12" t="s">
        <v>4169</v>
      </c>
      <c r="L1158" s="13">
        <v>2</v>
      </c>
    </row>
    <row r="1159" spans="1:12" hidden="1" x14ac:dyDescent="0.55000000000000004">
      <c r="A1159" s="12" t="s">
        <v>2951</v>
      </c>
      <c r="B1159" s="12" t="s">
        <v>4442</v>
      </c>
      <c r="C1159" s="12" t="s">
        <v>5278</v>
      </c>
      <c r="D1159" s="12" t="s">
        <v>4752</v>
      </c>
      <c r="E1159" s="12" t="s">
        <v>2396</v>
      </c>
      <c r="F1159" s="12" t="s">
        <v>2397</v>
      </c>
      <c r="G1159" s="12" t="s">
        <v>2398</v>
      </c>
      <c r="H1159" s="12" t="s">
        <v>4472</v>
      </c>
      <c r="I1159" s="12" t="s">
        <v>3075</v>
      </c>
      <c r="J1159" s="12" t="s">
        <v>1991</v>
      </c>
      <c r="K1159" s="12" t="s">
        <v>4170</v>
      </c>
      <c r="L1159" s="13" t="s">
        <v>3075</v>
      </c>
    </row>
    <row r="1160" spans="1:12" hidden="1" x14ac:dyDescent="0.55000000000000004">
      <c r="A1160" s="12" t="s">
        <v>2951</v>
      </c>
      <c r="B1160" s="12" t="s">
        <v>4442</v>
      </c>
      <c r="C1160" s="12" t="s">
        <v>5278</v>
      </c>
      <c r="D1160" s="12" t="s">
        <v>4752</v>
      </c>
      <c r="E1160" s="12" t="s">
        <v>2399</v>
      </c>
      <c r="F1160" s="12" t="s">
        <v>1071</v>
      </c>
      <c r="G1160" s="12" t="s">
        <v>2400</v>
      </c>
      <c r="H1160" s="12" t="s">
        <v>4472</v>
      </c>
      <c r="I1160" s="12" t="s">
        <v>3075</v>
      </c>
      <c r="J1160" s="12" t="s">
        <v>1991</v>
      </c>
      <c r="K1160" s="12" t="s">
        <v>4171</v>
      </c>
      <c r="L1160" s="13" t="s">
        <v>3075</v>
      </c>
    </row>
    <row r="1161" spans="1:12" hidden="1" x14ac:dyDescent="0.55000000000000004">
      <c r="A1161" s="12" t="s">
        <v>2951</v>
      </c>
      <c r="B1161" s="12" t="s">
        <v>4442</v>
      </c>
      <c r="C1161" s="12" t="s">
        <v>5278</v>
      </c>
      <c r="D1161" s="12" t="s">
        <v>4752</v>
      </c>
      <c r="E1161" s="12" t="s">
        <v>2401</v>
      </c>
      <c r="F1161" s="12" t="s">
        <v>2268</v>
      </c>
      <c r="G1161" s="12" t="s">
        <v>2402</v>
      </c>
      <c r="H1161" s="12" t="s">
        <v>4472</v>
      </c>
      <c r="I1161" s="12" t="s">
        <v>3059</v>
      </c>
      <c r="J1161" s="12" t="s">
        <v>1991</v>
      </c>
      <c r="K1161" s="12" t="s">
        <v>4172</v>
      </c>
      <c r="L1161" s="13">
        <v>2</v>
      </c>
    </row>
    <row r="1162" spans="1:12" hidden="1" x14ac:dyDescent="0.55000000000000004">
      <c r="A1162" s="12" t="s">
        <v>2980</v>
      </c>
      <c r="B1162" s="12" t="s">
        <v>4486</v>
      </c>
      <c r="C1162" s="12" t="s">
        <v>5279</v>
      </c>
      <c r="D1162" s="12" t="s">
        <v>4752</v>
      </c>
      <c r="E1162" s="12" t="s">
        <v>32</v>
      </c>
      <c r="F1162" s="12" t="s">
        <v>33</v>
      </c>
      <c r="G1162" s="12" t="s">
        <v>34</v>
      </c>
      <c r="H1162" s="12" t="s">
        <v>5280</v>
      </c>
      <c r="I1162" s="12" t="s">
        <v>3075</v>
      </c>
      <c r="J1162" s="12" t="s">
        <v>118</v>
      </c>
      <c r="K1162" s="12" t="s">
        <v>3257</v>
      </c>
      <c r="L1162" s="13" t="s">
        <v>3075</v>
      </c>
    </row>
    <row r="1163" spans="1:12" hidden="1" x14ac:dyDescent="0.55000000000000004">
      <c r="A1163" s="12" t="s">
        <v>2980</v>
      </c>
      <c r="B1163" s="12" t="s">
        <v>4486</v>
      </c>
      <c r="C1163" s="12" t="s">
        <v>5279</v>
      </c>
      <c r="D1163" s="12" t="s">
        <v>4752</v>
      </c>
      <c r="E1163" s="12" t="s">
        <v>35</v>
      </c>
      <c r="F1163" s="12" t="s">
        <v>36</v>
      </c>
      <c r="G1163" s="12" t="s">
        <v>37</v>
      </c>
      <c r="H1163" s="12" t="s">
        <v>5280</v>
      </c>
      <c r="I1163" s="12" t="s">
        <v>3075</v>
      </c>
      <c r="J1163" s="12" t="s">
        <v>118</v>
      </c>
      <c r="K1163" s="12" t="s">
        <v>3258</v>
      </c>
      <c r="L1163" s="13" t="s">
        <v>3075</v>
      </c>
    </row>
    <row r="1164" spans="1:12" hidden="1" x14ac:dyDescent="0.55000000000000004">
      <c r="A1164" s="12" t="s">
        <v>2980</v>
      </c>
      <c r="B1164" s="12" t="s">
        <v>4486</v>
      </c>
      <c r="C1164" s="12" t="s">
        <v>5279</v>
      </c>
      <c r="D1164" s="12" t="s">
        <v>4752</v>
      </c>
      <c r="E1164" s="12" t="s">
        <v>38</v>
      </c>
      <c r="F1164" s="12" t="s">
        <v>39</v>
      </c>
      <c r="G1164" s="12" t="s">
        <v>40</v>
      </c>
      <c r="H1164" s="12" t="s">
        <v>5280</v>
      </c>
      <c r="I1164" s="12" t="s">
        <v>3075</v>
      </c>
      <c r="J1164" s="12" t="s">
        <v>118</v>
      </c>
      <c r="K1164" s="12" t="s">
        <v>3259</v>
      </c>
      <c r="L1164" s="13" t="s">
        <v>3075</v>
      </c>
    </row>
    <row r="1165" spans="1:12" hidden="1" x14ac:dyDescent="0.55000000000000004">
      <c r="A1165" s="12" t="s">
        <v>2980</v>
      </c>
      <c r="B1165" s="12" t="s">
        <v>4486</v>
      </c>
      <c r="C1165" s="12" t="s">
        <v>5279</v>
      </c>
      <c r="D1165" s="12" t="s">
        <v>4752</v>
      </c>
      <c r="E1165" s="12" t="s">
        <v>41</v>
      </c>
      <c r="F1165" s="12" t="s">
        <v>42</v>
      </c>
      <c r="G1165" s="12" t="s">
        <v>43</v>
      </c>
      <c r="H1165" s="12" t="s">
        <v>5280</v>
      </c>
      <c r="I1165" s="12" t="s">
        <v>3075</v>
      </c>
      <c r="J1165" s="12" t="s">
        <v>118</v>
      </c>
      <c r="K1165" s="12" t="s">
        <v>3260</v>
      </c>
      <c r="L1165" s="13" t="s">
        <v>3075</v>
      </c>
    </row>
    <row r="1166" spans="1:12" hidden="1" x14ac:dyDescent="0.55000000000000004">
      <c r="A1166" s="12" t="s">
        <v>2980</v>
      </c>
      <c r="B1166" s="12" t="s">
        <v>4486</v>
      </c>
      <c r="C1166" s="12" t="s">
        <v>5279</v>
      </c>
      <c r="D1166" s="12" t="s">
        <v>4752</v>
      </c>
      <c r="E1166" s="12" t="s">
        <v>44</v>
      </c>
      <c r="F1166" s="12" t="s">
        <v>45</v>
      </c>
      <c r="G1166" s="12" t="s">
        <v>46</v>
      </c>
      <c r="H1166" s="12" t="s">
        <v>5280</v>
      </c>
      <c r="I1166" s="12" t="s">
        <v>3075</v>
      </c>
      <c r="J1166" s="12" t="s">
        <v>118</v>
      </c>
      <c r="K1166" s="12" t="s">
        <v>3261</v>
      </c>
      <c r="L1166" s="13" t="s">
        <v>3075</v>
      </c>
    </row>
    <row r="1167" spans="1:12" hidden="1" x14ac:dyDescent="0.55000000000000004">
      <c r="A1167" s="12" t="s">
        <v>2980</v>
      </c>
      <c r="B1167" s="12" t="s">
        <v>4486</v>
      </c>
      <c r="C1167" s="12" t="s">
        <v>5279</v>
      </c>
      <c r="D1167" s="12" t="s">
        <v>4752</v>
      </c>
      <c r="E1167" s="12" t="s">
        <v>47</v>
      </c>
      <c r="F1167" s="12" t="s">
        <v>48</v>
      </c>
      <c r="G1167" s="12" t="s">
        <v>49</v>
      </c>
      <c r="H1167" s="12" t="s">
        <v>5280</v>
      </c>
      <c r="I1167" s="12" t="s">
        <v>3075</v>
      </c>
      <c r="J1167" s="12" t="s">
        <v>118</v>
      </c>
      <c r="K1167" s="12" t="s">
        <v>3262</v>
      </c>
      <c r="L1167" s="13" t="s">
        <v>3075</v>
      </c>
    </row>
    <row r="1168" spans="1:12" hidden="1" x14ac:dyDescent="0.55000000000000004">
      <c r="A1168" s="12" t="s">
        <v>2980</v>
      </c>
      <c r="B1168" s="12" t="s">
        <v>4486</v>
      </c>
      <c r="C1168" s="12" t="s">
        <v>5279</v>
      </c>
      <c r="D1168" s="12" t="s">
        <v>4752</v>
      </c>
      <c r="E1168" s="12" t="s">
        <v>50</v>
      </c>
      <c r="F1168" s="12" t="s">
        <v>51</v>
      </c>
      <c r="G1168" s="12" t="s">
        <v>52</v>
      </c>
      <c r="H1168" s="12" t="s">
        <v>5280</v>
      </c>
      <c r="I1168" s="12" t="s">
        <v>3075</v>
      </c>
      <c r="J1168" s="12" t="s">
        <v>118</v>
      </c>
      <c r="K1168" s="12" t="s">
        <v>3263</v>
      </c>
      <c r="L1168" s="13" t="s">
        <v>3075</v>
      </c>
    </row>
    <row r="1169" spans="1:12" hidden="1" x14ac:dyDescent="0.55000000000000004">
      <c r="A1169" s="12" t="s">
        <v>2980</v>
      </c>
      <c r="B1169" s="12" t="s">
        <v>4486</v>
      </c>
      <c r="C1169" s="12" t="s">
        <v>5279</v>
      </c>
      <c r="D1169" s="12" t="s">
        <v>4752</v>
      </c>
      <c r="E1169" s="12" t="s">
        <v>53</v>
      </c>
      <c r="F1169" s="12" t="s">
        <v>54</v>
      </c>
      <c r="G1169" s="12" t="s">
        <v>55</v>
      </c>
      <c r="H1169" s="12" t="s">
        <v>5280</v>
      </c>
      <c r="I1169" s="12" t="s">
        <v>3075</v>
      </c>
      <c r="J1169" s="12" t="s">
        <v>118</v>
      </c>
      <c r="K1169" s="12" t="s">
        <v>3264</v>
      </c>
      <c r="L1169" s="13" t="s">
        <v>3075</v>
      </c>
    </row>
    <row r="1170" spans="1:12" hidden="1" x14ac:dyDescent="0.55000000000000004">
      <c r="A1170" s="12" t="s">
        <v>3001</v>
      </c>
      <c r="B1170" s="12" t="s">
        <v>4486</v>
      </c>
      <c r="C1170" s="12" t="s">
        <v>5281</v>
      </c>
      <c r="D1170" s="12" t="s">
        <v>4752</v>
      </c>
      <c r="E1170" s="12" t="s">
        <v>5</v>
      </c>
      <c r="F1170" s="12" t="s">
        <v>3108</v>
      </c>
      <c r="G1170" s="12" t="s">
        <v>3109</v>
      </c>
      <c r="H1170" s="12" t="s">
        <v>5282</v>
      </c>
      <c r="I1170" s="12" t="s">
        <v>3075</v>
      </c>
      <c r="J1170" s="12" t="s">
        <v>3090</v>
      </c>
      <c r="K1170" s="12" t="s">
        <v>3248</v>
      </c>
      <c r="L1170" s="13" t="s">
        <v>3075</v>
      </c>
    </row>
    <row r="1171" spans="1:12" hidden="1" x14ac:dyDescent="0.55000000000000004">
      <c r="A1171" s="12" t="s">
        <v>3001</v>
      </c>
      <c r="B1171" s="12" t="s">
        <v>4486</v>
      </c>
      <c r="C1171" s="12" t="s">
        <v>5281</v>
      </c>
      <c r="D1171" s="12" t="s">
        <v>4752</v>
      </c>
      <c r="E1171" s="12" t="s">
        <v>8</v>
      </c>
      <c r="F1171" s="12" t="s">
        <v>9</v>
      </c>
      <c r="G1171" s="12" t="s">
        <v>10</v>
      </c>
      <c r="H1171" s="12" t="s">
        <v>5282</v>
      </c>
      <c r="I1171" s="12" t="s">
        <v>3075</v>
      </c>
      <c r="J1171" s="12" t="s">
        <v>3090</v>
      </c>
      <c r="K1171" s="12" t="s">
        <v>3249</v>
      </c>
      <c r="L1171" s="13" t="s">
        <v>3075</v>
      </c>
    </row>
    <row r="1172" spans="1:12" hidden="1" x14ac:dyDescent="0.55000000000000004">
      <c r="A1172" s="12" t="s">
        <v>3001</v>
      </c>
      <c r="B1172" s="12" t="s">
        <v>4486</v>
      </c>
      <c r="C1172" s="12" t="s">
        <v>5281</v>
      </c>
      <c r="D1172" s="12" t="s">
        <v>4752</v>
      </c>
      <c r="E1172" s="12" t="s">
        <v>11</v>
      </c>
      <c r="F1172" s="12" t="s">
        <v>12</v>
      </c>
      <c r="G1172" s="12" t="s">
        <v>13</v>
      </c>
      <c r="H1172" s="12" t="s">
        <v>5282</v>
      </c>
      <c r="I1172" s="12" t="s">
        <v>3075</v>
      </c>
      <c r="J1172" s="12" t="s">
        <v>3090</v>
      </c>
      <c r="K1172" s="12" t="s">
        <v>3250</v>
      </c>
      <c r="L1172" s="13" t="s">
        <v>3075</v>
      </c>
    </row>
    <row r="1173" spans="1:12" hidden="1" x14ac:dyDescent="0.55000000000000004">
      <c r="A1173" s="12" t="s">
        <v>3001</v>
      </c>
      <c r="B1173" s="12" t="s">
        <v>4486</v>
      </c>
      <c r="C1173" s="12" t="s">
        <v>5281</v>
      </c>
      <c r="D1173" s="12" t="s">
        <v>4752</v>
      </c>
      <c r="E1173" s="12" t="s">
        <v>14</v>
      </c>
      <c r="F1173" s="12" t="s">
        <v>15</v>
      </c>
      <c r="G1173" s="12" t="s">
        <v>16</v>
      </c>
      <c r="H1173" s="12" t="s">
        <v>5282</v>
      </c>
      <c r="I1173" s="12" t="s">
        <v>3075</v>
      </c>
      <c r="J1173" s="12" t="s">
        <v>3090</v>
      </c>
      <c r="K1173" s="12" t="s">
        <v>3251</v>
      </c>
      <c r="L1173" s="13" t="s">
        <v>3075</v>
      </c>
    </row>
    <row r="1174" spans="1:12" hidden="1" x14ac:dyDescent="0.55000000000000004">
      <c r="A1174" s="12" t="s">
        <v>3001</v>
      </c>
      <c r="B1174" s="12" t="s">
        <v>4486</v>
      </c>
      <c r="C1174" s="12" t="s">
        <v>5281</v>
      </c>
      <c r="D1174" s="12" t="s">
        <v>4752</v>
      </c>
      <c r="E1174" s="12" t="s">
        <v>17</v>
      </c>
      <c r="F1174" s="12" t="s">
        <v>5597</v>
      </c>
      <c r="G1174" s="12" t="s">
        <v>5598</v>
      </c>
      <c r="H1174" s="12" t="s">
        <v>5282</v>
      </c>
      <c r="I1174" s="12" t="s">
        <v>3075</v>
      </c>
      <c r="J1174" s="12" t="s">
        <v>3090</v>
      </c>
      <c r="K1174" s="12" t="s">
        <v>5599</v>
      </c>
      <c r="L1174" s="13" t="s">
        <v>3075</v>
      </c>
    </row>
    <row r="1175" spans="1:12" hidden="1" x14ac:dyDescent="0.55000000000000004">
      <c r="A1175" s="12" t="s">
        <v>3001</v>
      </c>
      <c r="B1175" s="12" t="s">
        <v>4486</v>
      </c>
      <c r="C1175" s="12" t="s">
        <v>5281</v>
      </c>
      <c r="D1175" s="12" t="s">
        <v>4752</v>
      </c>
      <c r="E1175" s="12" t="s">
        <v>4620</v>
      </c>
      <c r="F1175" s="12" t="s">
        <v>1086</v>
      </c>
      <c r="G1175" s="12" t="s">
        <v>4621</v>
      </c>
      <c r="H1175" s="12" t="s">
        <v>5282</v>
      </c>
      <c r="I1175" s="12" t="s">
        <v>3059</v>
      </c>
      <c r="J1175" s="12" t="s">
        <v>3090</v>
      </c>
      <c r="K1175" s="12" t="s">
        <v>4622</v>
      </c>
      <c r="L1175" s="13">
        <v>8</v>
      </c>
    </row>
    <row r="1176" spans="1:12" hidden="1" x14ac:dyDescent="0.55000000000000004">
      <c r="A1176" s="12" t="s">
        <v>2989</v>
      </c>
      <c r="B1176" s="12" t="s">
        <v>4486</v>
      </c>
      <c r="C1176" s="12" t="s">
        <v>5283</v>
      </c>
      <c r="D1176" s="12" t="s">
        <v>4752</v>
      </c>
      <c r="E1176" s="12" t="s">
        <v>56</v>
      </c>
      <c r="F1176" s="12" t="s">
        <v>57</v>
      </c>
      <c r="G1176" s="12" t="s">
        <v>58</v>
      </c>
      <c r="H1176" s="12" t="s">
        <v>5284</v>
      </c>
      <c r="I1176" s="12" t="s">
        <v>3075</v>
      </c>
      <c r="J1176" s="12" t="s">
        <v>545</v>
      </c>
      <c r="K1176" s="12" t="s">
        <v>3265</v>
      </c>
      <c r="L1176" s="13" t="s">
        <v>3075</v>
      </c>
    </row>
    <row r="1177" spans="1:12" hidden="1" x14ac:dyDescent="0.55000000000000004">
      <c r="A1177" s="12" t="s">
        <v>2989</v>
      </c>
      <c r="B1177" s="12" t="s">
        <v>4486</v>
      </c>
      <c r="C1177" s="12" t="s">
        <v>5283</v>
      </c>
      <c r="D1177" s="12" t="s">
        <v>4752</v>
      </c>
      <c r="E1177" s="12" t="s">
        <v>60</v>
      </c>
      <c r="F1177" s="12" t="s">
        <v>61</v>
      </c>
      <c r="G1177" s="12" t="s">
        <v>62</v>
      </c>
      <c r="H1177" s="12" t="s">
        <v>5284</v>
      </c>
      <c r="I1177" s="12" t="s">
        <v>3075</v>
      </c>
      <c r="J1177" s="12" t="s">
        <v>545</v>
      </c>
      <c r="K1177" s="12" t="s">
        <v>4623</v>
      </c>
      <c r="L1177" s="13" t="s">
        <v>3075</v>
      </c>
    </row>
    <row r="1178" spans="1:12" hidden="1" x14ac:dyDescent="0.55000000000000004">
      <c r="A1178" s="12" t="s">
        <v>2989</v>
      </c>
      <c r="B1178" s="12" t="s">
        <v>4486</v>
      </c>
      <c r="C1178" s="12" t="s">
        <v>5283</v>
      </c>
      <c r="D1178" s="12" t="s">
        <v>4752</v>
      </c>
      <c r="E1178" s="12" t="s">
        <v>63</v>
      </c>
      <c r="F1178" s="12" t="s">
        <v>64</v>
      </c>
      <c r="G1178" s="12" t="s">
        <v>65</v>
      </c>
      <c r="H1178" s="12" t="s">
        <v>5284</v>
      </c>
      <c r="I1178" s="12" t="s">
        <v>3075</v>
      </c>
      <c r="J1178" s="12" t="s">
        <v>545</v>
      </c>
      <c r="K1178" s="12" t="s">
        <v>3266</v>
      </c>
      <c r="L1178" s="13" t="s">
        <v>3075</v>
      </c>
    </row>
    <row r="1179" spans="1:12" hidden="1" x14ac:dyDescent="0.55000000000000004">
      <c r="A1179" s="12" t="s">
        <v>2989</v>
      </c>
      <c r="B1179" s="12" t="s">
        <v>4486</v>
      </c>
      <c r="C1179" s="12" t="s">
        <v>5283</v>
      </c>
      <c r="D1179" s="12" t="s">
        <v>4752</v>
      </c>
      <c r="E1179" s="12" t="s">
        <v>6112</v>
      </c>
      <c r="F1179" s="12" t="s">
        <v>6113</v>
      </c>
      <c r="G1179" s="12" t="s">
        <v>6114</v>
      </c>
      <c r="H1179" s="12" t="s">
        <v>5284</v>
      </c>
      <c r="I1179" s="12" t="s">
        <v>3075</v>
      </c>
      <c r="J1179" s="12" t="s">
        <v>545</v>
      </c>
      <c r="K1179" s="12" t="s">
        <v>6115</v>
      </c>
      <c r="L1179" s="13" t="s">
        <v>3075</v>
      </c>
    </row>
    <row r="1180" spans="1:12" hidden="1" x14ac:dyDescent="0.55000000000000004">
      <c r="A1180" s="12" t="s">
        <v>2989</v>
      </c>
      <c r="B1180" s="12" t="s">
        <v>4486</v>
      </c>
      <c r="C1180" s="12" t="s">
        <v>5283</v>
      </c>
      <c r="D1180" s="12" t="s">
        <v>4752</v>
      </c>
      <c r="E1180" s="12" t="s">
        <v>6116</v>
      </c>
      <c r="F1180" s="12" t="s">
        <v>67</v>
      </c>
      <c r="G1180" s="12" t="s">
        <v>6117</v>
      </c>
      <c r="H1180" s="12" t="s">
        <v>5284</v>
      </c>
      <c r="I1180" s="12" t="s">
        <v>3075</v>
      </c>
      <c r="J1180" s="12" t="s">
        <v>545</v>
      </c>
      <c r="K1180" s="12" t="s">
        <v>6118</v>
      </c>
      <c r="L1180" s="13" t="s">
        <v>3075</v>
      </c>
    </row>
    <row r="1181" spans="1:12" hidden="1" x14ac:dyDescent="0.55000000000000004">
      <c r="A1181" s="12" t="s">
        <v>2989</v>
      </c>
      <c r="B1181" s="12" t="s">
        <v>4486</v>
      </c>
      <c r="C1181" s="12" t="s">
        <v>5283</v>
      </c>
      <c r="D1181" s="12" t="s">
        <v>4752</v>
      </c>
      <c r="E1181" s="12" t="s">
        <v>6119</v>
      </c>
      <c r="F1181" s="12" t="s">
        <v>6120</v>
      </c>
      <c r="G1181" s="12" t="s">
        <v>6121</v>
      </c>
      <c r="H1181" s="12" t="s">
        <v>5284</v>
      </c>
      <c r="I1181" s="12" t="s">
        <v>3075</v>
      </c>
      <c r="J1181" s="12" t="s">
        <v>545</v>
      </c>
      <c r="K1181" s="12" t="s">
        <v>6122</v>
      </c>
      <c r="L1181" s="13" t="s">
        <v>3075</v>
      </c>
    </row>
    <row r="1182" spans="1:12" hidden="1" x14ac:dyDescent="0.55000000000000004">
      <c r="A1182" s="12" t="s">
        <v>2989</v>
      </c>
      <c r="B1182" s="12" t="s">
        <v>4486</v>
      </c>
      <c r="C1182" s="12" t="s">
        <v>5283</v>
      </c>
      <c r="D1182" s="12" t="s">
        <v>4752</v>
      </c>
      <c r="E1182" s="12" t="s">
        <v>6123</v>
      </c>
      <c r="F1182" s="12" t="s">
        <v>6124</v>
      </c>
      <c r="G1182" s="12" t="s">
        <v>6125</v>
      </c>
      <c r="H1182" s="12" t="s">
        <v>5284</v>
      </c>
      <c r="I1182" s="12" t="s">
        <v>3075</v>
      </c>
      <c r="J1182" s="12" t="s">
        <v>545</v>
      </c>
      <c r="K1182" s="12" t="s">
        <v>6126</v>
      </c>
      <c r="L1182" s="13" t="s">
        <v>3075</v>
      </c>
    </row>
    <row r="1183" spans="1:12" hidden="1" x14ac:dyDescent="0.55000000000000004">
      <c r="A1183" s="12" t="s">
        <v>2989</v>
      </c>
      <c r="B1183" s="12" t="s">
        <v>4486</v>
      </c>
      <c r="C1183" s="12" t="s">
        <v>5283</v>
      </c>
      <c r="D1183" s="12" t="s">
        <v>4752</v>
      </c>
      <c r="E1183" s="12" t="s">
        <v>6127</v>
      </c>
      <c r="F1183" s="12" t="s">
        <v>6128</v>
      </c>
      <c r="G1183" s="12" t="s">
        <v>6129</v>
      </c>
      <c r="H1183" s="12" t="s">
        <v>5284</v>
      </c>
      <c r="I1183" s="12" t="s">
        <v>3075</v>
      </c>
      <c r="J1183" s="12" t="s">
        <v>545</v>
      </c>
      <c r="K1183" s="12" t="s">
        <v>6130</v>
      </c>
      <c r="L1183" s="13" t="s">
        <v>3075</v>
      </c>
    </row>
    <row r="1184" spans="1:12" hidden="1" x14ac:dyDescent="0.55000000000000004">
      <c r="A1184" s="12" t="s">
        <v>2989</v>
      </c>
      <c r="B1184" s="12" t="s">
        <v>4486</v>
      </c>
      <c r="C1184" s="12" t="s">
        <v>5283</v>
      </c>
      <c r="D1184" s="12" t="s">
        <v>4752</v>
      </c>
      <c r="E1184" s="12" t="s">
        <v>6131</v>
      </c>
      <c r="F1184" s="12" t="s">
        <v>6132</v>
      </c>
      <c r="G1184" s="12" t="s">
        <v>6133</v>
      </c>
      <c r="H1184" s="12" t="s">
        <v>5284</v>
      </c>
      <c r="I1184" s="12" t="s">
        <v>3075</v>
      </c>
      <c r="J1184" s="12" t="s">
        <v>545</v>
      </c>
      <c r="K1184" s="12" t="s">
        <v>6134</v>
      </c>
      <c r="L1184" s="13" t="s">
        <v>3075</v>
      </c>
    </row>
    <row r="1185" spans="1:12" hidden="1" x14ac:dyDescent="0.55000000000000004">
      <c r="A1185" s="12" t="s">
        <v>2989</v>
      </c>
      <c r="B1185" s="12" t="s">
        <v>4486</v>
      </c>
      <c r="C1185" s="12" t="s">
        <v>5283</v>
      </c>
      <c r="D1185" s="12" t="s">
        <v>4752</v>
      </c>
      <c r="E1185" s="12" t="s">
        <v>6135</v>
      </c>
      <c r="F1185" s="12" t="s">
        <v>66</v>
      </c>
      <c r="G1185" s="12" t="s">
        <v>6136</v>
      </c>
      <c r="H1185" s="12" t="s">
        <v>5284</v>
      </c>
      <c r="I1185" s="12" t="s">
        <v>3075</v>
      </c>
      <c r="J1185" s="12" t="s">
        <v>545</v>
      </c>
      <c r="K1185" s="12" t="s">
        <v>6137</v>
      </c>
      <c r="L1185" s="13" t="s">
        <v>3075</v>
      </c>
    </row>
    <row r="1186" spans="1:12" hidden="1" x14ac:dyDescent="0.55000000000000004">
      <c r="A1186" s="12" t="s">
        <v>2979</v>
      </c>
      <c r="B1186" s="12" t="s">
        <v>4486</v>
      </c>
      <c r="C1186" s="12" t="s">
        <v>5285</v>
      </c>
      <c r="D1186" s="12" t="s">
        <v>4752</v>
      </c>
      <c r="E1186" s="12" t="s">
        <v>2374</v>
      </c>
      <c r="F1186" s="12" t="s">
        <v>2375</v>
      </c>
      <c r="G1186" s="12" t="s">
        <v>2376</v>
      </c>
      <c r="H1186" s="12" t="s">
        <v>5286</v>
      </c>
      <c r="I1186" s="12" t="s">
        <v>3075</v>
      </c>
      <c r="J1186" s="12" t="s">
        <v>118</v>
      </c>
      <c r="K1186" s="12" t="s">
        <v>4744</v>
      </c>
      <c r="L1186" s="13" t="s">
        <v>3075</v>
      </c>
    </row>
    <row r="1187" spans="1:12" hidden="1" x14ac:dyDescent="0.55000000000000004">
      <c r="A1187" s="12" t="s">
        <v>2979</v>
      </c>
      <c r="B1187" s="12" t="s">
        <v>4486</v>
      </c>
      <c r="C1187" s="12" t="s">
        <v>5285</v>
      </c>
      <c r="D1187" s="12" t="s">
        <v>4752</v>
      </c>
      <c r="E1187" s="12" t="s">
        <v>2377</v>
      </c>
      <c r="F1187" s="12" t="s">
        <v>2378</v>
      </c>
      <c r="G1187" s="12" t="s">
        <v>2379</v>
      </c>
      <c r="H1187" s="12" t="s">
        <v>5286</v>
      </c>
      <c r="I1187" s="12" t="s">
        <v>3075</v>
      </c>
      <c r="J1187" s="12" t="s">
        <v>118</v>
      </c>
      <c r="K1187" s="12" t="s">
        <v>4163</v>
      </c>
      <c r="L1187" s="13" t="s">
        <v>3075</v>
      </c>
    </row>
    <row r="1188" spans="1:12" hidden="1" x14ac:dyDescent="0.55000000000000004">
      <c r="A1188" s="12" t="s">
        <v>2979</v>
      </c>
      <c r="B1188" s="12" t="s">
        <v>4486</v>
      </c>
      <c r="C1188" s="12" t="s">
        <v>5285</v>
      </c>
      <c r="D1188" s="12" t="s">
        <v>4752</v>
      </c>
      <c r="E1188" s="12" t="s">
        <v>2380</v>
      </c>
      <c r="F1188" s="12" t="s">
        <v>150</v>
      </c>
      <c r="G1188" s="12" t="s">
        <v>2381</v>
      </c>
      <c r="H1188" s="12" t="s">
        <v>5286</v>
      </c>
      <c r="I1188" s="12" t="s">
        <v>3075</v>
      </c>
      <c r="J1188" s="12" t="s">
        <v>118</v>
      </c>
      <c r="K1188" s="12" t="s">
        <v>4164</v>
      </c>
      <c r="L1188" s="13" t="s">
        <v>3075</v>
      </c>
    </row>
    <row r="1189" spans="1:12" hidden="1" x14ac:dyDescent="0.55000000000000004">
      <c r="A1189" s="12" t="s">
        <v>2979</v>
      </c>
      <c r="B1189" s="12" t="s">
        <v>4486</v>
      </c>
      <c r="C1189" s="12" t="s">
        <v>5285</v>
      </c>
      <c r="D1189" s="12" t="s">
        <v>4752</v>
      </c>
      <c r="E1189" s="12" t="s">
        <v>2382</v>
      </c>
      <c r="F1189" s="12" t="s">
        <v>2383</v>
      </c>
      <c r="G1189" s="12" t="s">
        <v>521</v>
      </c>
      <c r="H1189" s="12" t="s">
        <v>5286</v>
      </c>
      <c r="I1189" s="12" t="s">
        <v>3075</v>
      </c>
      <c r="J1189" s="12" t="s">
        <v>118</v>
      </c>
      <c r="K1189" s="12" t="s">
        <v>4165</v>
      </c>
      <c r="L1189" s="13" t="s">
        <v>3075</v>
      </c>
    </row>
    <row r="1190" spans="1:12" hidden="1" x14ac:dyDescent="0.55000000000000004">
      <c r="A1190" s="12" t="s">
        <v>2979</v>
      </c>
      <c r="B1190" s="12" t="s">
        <v>4486</v>
      </c>
      <c r="C1190" s="12" t="s">
        <v>5285</v>
      </c>
      <c r="D1190" s="12" t="s">
        <v>4752</v>
      </c>
      <c r="E1190" s="12" t="s">
        <v>2384</v>
      </c>
      <c r="F1190" s="12" t="s">
        <v>443</v>
      </c>
      <c r="G1190" s="12" t="s">
        <v>2385</v>
      </c>
      <c r="H1190" s="12" t="s">
        <v>5286</v>
      </c>
      <c r="I1190" s="12" t="s">
        <v>3075</v>
      </c>
      <c r="J1190" s="12" t="s">
        <v>118</v>
      </c>
      <c r="K1190" s="12" t="s">
        <v>4166</v>
      </c>
      <c r="L1190" s="13" t="s">
        <v>3075</v>
      </c>
    </row>
    <row r="1191" spans="1:12" hidden="1" x14ac:dyDescent="0.55000000000000004">
      <c r="A1191" s="12" t="s">
        <v>2979</v>
      </c>
      <c r="B1191" s="12" t="s">
        <v>4486</v>
      </c>
      <c r="C1191" s="12" t="s">
        <v>5285</v>
      </c>
      <c r="D1191" s="12" t="s">
        <v>4752</v>
      </c>
      <c r="E1191" s="12" t="s">
        <v>2386</v>
      </c>
      <c r="F1191" s="12" t="s">
        <v>2387</v>
      </c>
      <c r="G1191" s="12" t="s">
        <v>2388</v>
      </c>
      <c r="H1191" s="12" t="s">
        <v>5286</v>
      </c>
      <c r="I1191" s="12" t="s">
        <v>3075</v>
      </c>
      <c r="J1191" s="12" t="s">
        <v>118</v>
      </c>
      <c r="K1191" s="12" t="s">
        <v>4167</v>
      </c>
      <c r="L1191" s="13" t="s">
        <v>3075</v>
      </c>
    </row>
    <row r="1192" spans="1:12" hidden="1" x14ac:dyDescent="0.55000000000000004">
      <c r="A1192" s="12" t="s">
        <v>3038</v>
      </c>
      <c r="B1192" s="12" t="s">
        <v>4486</v>
      </c>
      <c r="C1192" s="12" t="s">
        <v>1974</v>
      </c>
      <c r="D1192" s="12" t="s">
        <v>4752</v>
      </c>
      <c r="E1192" s="12" t="s">
        <v>1984</v>
      </c>
      <c r="F1192" s="12" t="s">
        <v>1985</v>
      </c>
      <c r="G1192" s="12" t="s">
        <v>3157</v>
      </c>
      <c r="H1192" s="12" t="s">
        <v>5287</v>
      </c>
      <c r="I1192" s="12" t="s">
        <v>3059</v>
      </c>
      <c r="J1192" s="12" t="s">
        <v>1071</v>
      </c>
      <c r="K1192" s="12" t="s">
        <v>3946</v>
      </c>
      <c r="L1192" s="13">
        <v>3</v>
      </c>
    </row>
    <row r="1193" spans="1:12" hidden="1" x14ac:dyDescent="0.55000000000000004">
      <c r="A1193" s="12" t="s">
        <v>3038</v>
      </c>
      <c r="B1193" s="12" t="s">
        <v>4486</v>
      </c>
      <c r="C1193" s="12" t="s">
        <v>1974</v>
      </c>
      <c r="D1193" s="12" t="s">
        <v>4752</v>
      </c>
      <c r="E1193" s="12" t="s">
        <v>1987</v>
      </c>
      <c r="F1193" s="12" t="s">
        <v>470</v>
      </c>
      <c r="G1193" s="12" t="s">
        <v>1986</v>
      </c>
      <c r="H1193" s="12" t="s">
        <v>5287</v>
      </c>
      <c r="I1193" s="12" t="s">
        <v>3059</v>
      </c>
      <c r="J1193" s="12" t="s">
        <v>1071</v>
      </c>
      <c r="K1193" s="12" t="s">
        <v>3947</v>
      </c>
      <c r="L1193" s="13">
        <v>5</v>
      </c>
    </row>
    <row r="1194" spans="1:12" hidden="1" x14ac:dyDescent="0.55000000000000004">
      <c r="A1194" s="12" t="s">
        <v>3043</v>
      </c>
      <c r="B1194" s="12" t="s">
        <v>4486</v>
      </c>
      <c r="C1194" s="12" t="s">
        <v>2000</v>
      </c>
      <c r="D1194" s="12" t="s">
        <v>4752</v>
      </c>
      <c r="E1194" s="12" t="s">
        <v>2001</v>
      </c>
      <c r="F1194" s="12" t="s">
        <v>2002</v>
      </c>
      <c r="G1194" s="12" t="s">
        <v>2003</v>
      </c>
      <c r="H1194" s="12" t="s">
        <v>5288</v>
      </c>
      <c r="I1194" s="12" t="s">
        <v>3059</v>
      </c>
      <c r="J1194" s="12" t="s">
        <v>3090</v>
      </c>
      <c r="K1194" s="12" t="s">
        <v>3952</v>
      </c>
      <c r="L1194" s="13">
        <v>4</v>
      </c>
    </row>
    <row r="1195" spans="1:12" hidden="1" x14ac:dyDescent="0.55000000000000004">
      <c r="A1195" s="12" t="s">
        <v>3043</v>
      </c>
      <c r="B1195" s="12" t="s">
        <v>4486</v>
      </c>
      <c r="C1195" s="12" t="s">
        <v>2000</v>
      </c>
      <c r="D1195" s="12" t="s">
        <v>4752</v>
      </c>
      <c r="E1195" s="12" t="s">
        <v>2007</v>
      </c>
      <c r="F1195" s="12" t="s">
        <v>1139</v>
      </c>
      <c r="G1195" s="12" t="s">
        <v>2008</v>
      </c>
      <c r="H1195" s="12" t="s">
        <v>5288</v>
      </c>
      <c r="I1195" s="12" t="s">
        <v>3075</v>
      </c>
      <c r="J1195" s="12" t="s">
        <v>3090</v>
      </c>
      <c r="K1195" s="12" t="s">
        <v>3954</v>
      </c>
      <c r="L1195" s="13" t="s">
        <v>3075</v>
      </c>
    </row>
    <row r="1196" spans="1:12" hidden="1" x14ac:dyDescent="0.55000000000000004">
      <c r="A1196" s="12" t="s">
        <v>3043</v>
      </c>
      <c r="B1196" s="12" t="s">
        <v>4486</v>
      </c>
      <c r="C1196" s="12" t="s">
        <v>2000</v>
      </c>
      <c r="D1196" s="12" t="s">
        <v>4752</v>
      </c>
      <c r="E1196" s="12" t="s">
        <v>2013</v>
      </c>
      <c r="F1196" s="12" t="s">
        <v>2014</v>
      </c>
      <c r="G1196" s="12" t="s">
        <v>2015</v>
      </c>
      <c r="H1196" s="12" t="s">
        <v>5288</v>
      </c>
      <c r="I1196" s="12" t="s">
        <v>3075</v>
      </c>
      <c r="J1196" s="12" t="s">
        <v>3090</v>
      </c>
      <c r="K1196" s="12" t="s">
        <v>3957</v>
      </c>
      <c r="L1196" s="13" t="s">
        <v>3075</v>
      </c>
    </row>
    <row r="1197" spans="1:12" hidden="1" x14ac:dyDescent="0.55000000000000004">
      <c r="A1197" s="12" t="s">
        <v>3043</v>
      </c>
      <c r="B1197" s="12" t="s">
        <v>4486</v>
      </c>
      <c r="C1197" s="12" t="s">
        <v>2000</v>
      </c>
      <c r="D1197" s="12" t="s">
        <v>4752</v>
      </c>
      <c r="E1197" s="12" t="s">
        <v>2019</v>
      </c>
      <c r="F1197" s="12" t="s">
        <v>2020</v>
      </c>
      <c r="G1197" s="12" t="s">
        <v>2021</v>
      </c>
      <c r="H1197" s="12" t="s">
        <v>5288</v>
      </c>
      <c r="I1197" s="12" t="s">
        <v>3059</v>
      </c>
      <c r="J1197" s="12" t="s">
        <v>3090</v>
      </c>
      <c r="K1197" s="12" t="s">
        <v>3959</v>
      </c>
      <c r="L1197" s="13">
        <v>4</v>
      </c>
    </row>
    <row r="1198" spans="1:12" hidden="1" x14ac:dyDescent="0.55000000000000004">
      <c r="A1198" s="12" t="s">
        <v>3043</v>
      </c>
      <c r="B1198" s="12" t="s">
        <v>4486</v>
      </c>
      <c r="C1198" s="12" t="s">
        <v>2000</v>
      </c>
      <c r="D1198" s="12" t="s">
        <v>4752</v>
      </c>
      <c r="E1198" s="12" t="s">
        <v>2030</v>
      </c>
      <c r="F1198" s="12" t="s">
        <v>2031</v>
      </c>
      <c r="G1198" s="12" t="s">
        <v>2032</v>
      </c>
      <c r="H1198" s="12" t="s">
        <v>5288</v>
      </c>
      <c r="I1198" s="12" t="s">
        <v>3075</v>
      </c>
      <c r="J1198" s="12" t="s">
        <v>3090</v>
      </c>
      <c r="K1198" s="12" t="s">
        <v>3963</v>
      </c>
      <c r="L1198" s="13" t="s">
        <v>3075</v>
      </c>
    </row>
    <row r="1199" spans="1:12" hidden="1" x14ac:dyDescent="0.55000000000000004">
      <c r="A1199" s="12" t="s">
        <v>3043</v>
      </c>
      <c r="B1199" s="12" t="s">
        <v>4486</v>
      </c>
      <c r="C1199" s="12" t="s">
        <v>2000</v>
      </c>
      <c r="D1199" s="12" t="s">
        <v>4752</v>
      </c>
      <c r="E1199" s="12" t="s">
        <v>6138</v>
      </c>
      <c r="F1199" s="12" t="s">
        <v>6139</v>
      </c>
      <c r="G1199" s="12" t="s">
        <v>6140</v>
      </c>
      <c r="H1199" s="12" t="s">
        <v>5288</v>
      </c>
      <c r="I1199" s="12" t="s">
        <v>3075</v>
      </c>
      <c r="J1199" s="12" t="s">
        <v>3090</v>
      </c>
      <c r="K1199" s="12" t="s">
        <v>6141</v>
      </c>
      <c r="L1199" s="13" t="s">
        <v>3075</v>
      </c>
    </row>
    <row r="1200" spans="1:12" hidden="1" x14ac:dyDescent="0.55000000000000004">
      <c r="A1200" s="12" t="s">
        <v>3043</v>
      </c>
      <c r="B1200" s="12" t="s">
        <v>4486</v>
      </c>
      <c r="C1200" s="12" t="s">
        <v>2000</v>
      </c>
      <c r="D1200" s="12" t="s">
        <v>4752</v>
      </c>
      <c r="E1200" s="12" t="s">
        <v>6142</v>
      </c>
      <c r="F1200" s="12" t="s">
        <v>6143</v>
      </c>
      <c r="G1200" s="12" t="s">
        <v>6144</v>
      </c>
      <c r="H1200" s="12" t="s">
        <v>5288</v>
      </c>
      <c r="I1200" s="12" t="s">
        <v>3075</v>
      </c>
      <c r="J1200" s="12" t="s">
        <v>3090</v>
      </c>
      <c r="K1200" s="12" t="s">
        <v>6145</v>
      </c>
      <c r="L1200" s="13" t="s">
        <v>3075</v>
      </c>
    </row>
    <row r="1201" spans="1:12" hidden="1" x14ac:dyDescent="0.55000000000000004">
      <c r="A1201" s="12" t="s">
        <v>2947</v>
      </c>
      <c r="B1201" s="12" t="s">
        <v>4442</v>
      </c>
      <c r="C1201" s="12" t="s">
        <v>5154</v>
      </c>
      <c r="D1201" s="12" t="s">
        <v>4752</v>
      </c>
      <c r="E1201" s="12" t="s">
        <v>504</v>
      </c>
      <c r="F1201" s="12" t="s">
        <v>169</v>
      </c>
      <c r="G1201" s="12" t="s">
        <v>505</v>
      </c>
      <c r="H1201" s="12" t="s">
        <v>4466</v>
      </c>
      <c r="I1201" s="12" t="s">
        <v>3075</v>
      </c>
      <c r="J1201" s="12" t="s">
        <v>3084</v>
      </c>
      <c r="K1201" s="12" t="s">
        <v>4650</v>
      </c>
      <c r="L1201" s="13" t="s">
        <v>3075</v>
      </c>
    </row>
    <row r="1202" spans="1:12" hidden="1" x14ac:dyDescent="0.55000000000000004">
      <c r="A1202" s="12" t="s">
        <v>2947</v>
      </c>
      <c r="B1202" s="12" t="s">
        <v>4442</v>
      </c>
      <c r="C1202" s="12" t="s">
        <v>5154</v>
      </c>
      <c r="D1202" s="12" t="s">
        <v>4752</v>
      </c>
      <c r="E1202" s="12" t="s">
        <v>510</v>
      </c>
      <c r="F1202" s="12" t="s">
        <v>511</v>
      </c>
      <c r="G1202" s="12" t="s">
        <v>512</v>
      </c>
      <c r="H1202" s="12" t="s">
        <v>4466</v>
      </c>
      <c r="I1202" s="12" t="s">
        <v>3059</v>
      </c>
      <c r="J1202" s="12" t="s">
        <v>3084</v>
      </c>
      <c r="K1202" s="12" t="s">
        <v>3418</v>
      </c>
      <c r="L1202" s="13">
        <v>5</v>
      </c>
    </row>
    <row r="1203" spans="1:12" hidden="1" x14ac:dyDescent="0.55000000000000004">
      <c r="A1203" s="12" t="s">
        <v>2824</v>
      </c>
      <c r="B1203" s="12" t="s">
        <v>4298</v>
      </c>
      <c r="C1203" s="12" t="s">
        <v>5251</v>
      </c>
      <c r="D1203" s="12" t="s">
        <v>4752</v>
      </c>
      <c r="E1203" s="12" t="s">
        <v>1893</v>
      </c>
      <c r="F1203" s="12" t="s">
        <v>1894</v>
      </c>
      <c r="G1203" s="12" t="s">
        <v>1895</v>
      </c>
      <c r="H1203" s="12" t="s">
        <v>4319</v>
      </c>
      <c r="I1203" s="12" t="s">
        <v>3059</v>
      </c>
      <c r="J1203" s="12" t="s">
        <v>1603</v>
      </c>
      <c r="K1203" s="12" t="s">
        <v>3914</v>
      </c>
      <c r="L1203" s="13">
        <v>5</v>
      </c>
    </row>
    <row r="1204" spans="1:12" hidden="1" x14ac:dyDescent="0.55000000000000004">
      <c r="A1204" s="12" t="s">
        <v>2824</v>
      </c>
      <c r="B1204" s="12" t="s">
        <v>4298</v>
      </c>
      <c r="C1204" s="12" t="s">
        <v>5251</v>
      </c>
      <c r="D1204" s="12" t="s">
        <v>4752</v>
      </c>
      <c r="E1204" s="12" t="s">
        <v>1896</v>
      </c>
      <c r="F1204" s="12" t="s">
        <v>1897</v>
      </c>
      <c r="G1204" s="12" t="s">
        <v>539</v>
      </c>
      <c r="H1204" s="12" t="s">
        <v>4319</v>
      </c>
      <c r="I1204" s="12" t="s">
        <v>3059</v>
      </c>
      <c r="J1204" s="12" t="s">
        <v>1603</v>
      </c>
      <c r="K1204" s="12" t="s">
        <v>3915</v>
      </c>
      <c r="L1204" s="13">
        <v>5</v>
      </c>
    </row>
    <row r="1205" spans="1:12" hidden="1" x14ac:dyDescent="0.55000000000000004">
      <c r="A1205" s="12" t="s">
        <v>2824</v>
      </c>
      <c r="B1205" s="12" t="s">
        <v>4298</v>
      </c>
      <c r="C1205" s="12" t="s">
        <v>5251</v>
      </c>
      <c r="D1205" s="12" t="s">
        <v>4752</v>
      </c>
      <c r="E1205" s="12" t="s">
        <v>1905</v>
      </c>
      <c r="F1205" s="12" t="s">
        <v>1906</v>
      </c>
      <c r="G1205" s="12" t="s">
        <v>1907</v>
      </c>
      <c r="H1205" s="12" t="s">
        <v>4319</v>
      </c>
      <c r="I1205" s="12" t="s">
        <v>3059</v>
      </c>
      <c r="J1205" s="12" t="s">
        <v>1603</v>
      </c>
      <c r="K1205" s="12" t="s">
        <v>3918</v>
      </c>
      <c r="L1205" s="13">
        <v>5</v>
      </c>
    </row>
    <row r="1206" spans="1:12" hidden="1" x14ac:dyDescent="0.55000000000000004">
      <c r="A1206" s="12" t="s">
        <v>2824</v>
      </c>
      <c r="B1206" s="12" t="s">
        <v>4298</v>
      </c>
      <c r="C1206" s="12" t="s">
        <v>5251</v>
      </c>
      <c r="D1206" s="12" t="s">
        <v>4752</v>
      </c>
      <c r="E1206" s="12" t="s">
        <v>1908</v>
      </c>
      <c r="F1206" s="12" t="s">
        <v>1909</v>
      </c>
      <c r="G1206" s="12" t="s">
        <v>1910</v>
      </c>
      <c r="H1206" s="12" t="s">
        <v>4319</v>
      </c>
      <c r="I1206" s="12" t="s">
        <v>3059</v>
      </c>
      <c r="J1206" s="12" t="s">
        <v>1603</v>
      </c>
      <c r="K1206" s="12" t="s">
        <v>3919</v>
      </c>
      <c r="L1206" s="13">
        <v>5</v>
      </c>
    </row>
    <row r="1207" spans="1:12" hidden="1" x14ac:dyDescent="0.55000000000000004">
      <c r="A1207" s="12" t="s">
        <v>2824</v>
      </c>
      <c r="B1207" s="12" t="s">
        <v>4298</v>
      </c>
      <c r="C1207" s="12" t="s">
        <v>5251</v>
      </c>
      <c r="D1207" s="12" t="s">
        <v>4752</v>
      </c>
      <c r="E1207" s="12" t="s">
        <v>1913</v>
      </c>
      <c r="F1207" s="12" t="s">
        <v>1914</v>
      </c>
      <c r="G1207" s="12" t="s">
        <v>1915</v>
      </c>
      <c r="H1207" s="12" t="s">
        <v>4319</v>
      </c>
      <c r="I1207" s="12" t="s">
        <v>3060</v>
      </c>
      <c r="J1207" s="12" t="s">
        <v>1603</v>
      </c>
      <c r="K1207" s="12" t="s">
        <v>3921</v>
      </c>
      <c r="L1207" s="13">
        <v>6</v>
      </c>
    </row>
    <row r="1208" spans="1:12" hidden="1" x14ac:dyDescent="0.55000000000000004">
      <c r="A1208" s="12" t="s">
        <v>3016</v>
      </c>
      <c r="B1208" s="12" t="s">
        <v>4486</v>
      </c>
      <c r="C1208" s="12" t="s">
        <v>2405</v>
      </c>
      <c r="D1208" s="12" t="s">
        <v>4752</v>
      </c>
      <c r="E1208" s="12" t="s">
        <v>2403</v>
      </c>
      <c r="F1208" s="12" t="s">
        <v>1694</v>
      </c>
      <c r="G1208" s="12" t="s">
        <v>2404</v>
      </c>
      <c r="H1208" s="12" t="s">
        <v>5289</v>
      </c>
      <c r="I1208" s="12" t="s">
        <v>3059</v>
      </c>
      <c r="J1208" s="12" t="s">
        <v>1071</v>
      </c>
      <c r="K1208" s="12" t="s">
        <v>4173</v>
      </c>
      <c r="L1208" s="13">
        <v>9</v>
      </c>
    </row>
    <row r="1209" spans="1:12" hidden="1" x14ac:dyDescent="0.55000000000000004">
      <c r="A1209" s="12" t="s">
        <v>3016</v>
      </c>
      <c r="B1209" s="12" t="s">
        <v>4486</v>
      </c>
      <c r="C1209" s="12" t="s">
        <v>2405</v>
      </c>
      <c r="D1209" s="12" t="s">
        <v>4752</v>
      </c>
      <c r="E1209" s="12" t="s">
        <v>2406</v>
      </c>
      <c r="F1209" s="12" t="s">
        <v>5290</v>
      </c>
      <c r="G1209" s="12" t="s">
        <v>2409</v>
      </c>
      <c r="H1209" s="12" t="s">
        <v>5289</v>
      </c>
      <c r="I1209" s="12" t="s">
        <v>3059</v>
      </c>
      <c r="J1209" s="12" t="s">
        <v>1071</v>
      </c>
      <c r="K1209" s="12" t="s">
        <v>5291</v>
      </c>
      <c r="L1209" s="13">
        <v>9</v>
      </c>
    </row>
    <row r="1210" spans="1:12" hidden="1" x14ac:dyDescent="0.55000000000000004">
      <c r="A1210" s="12" t="s">
        <v>3016</v>
      </c>
      <c r="B1210" s="12" t="s">
        <v>4486</v>
      </c>
      <c r="C1210" s="12" t="s">
        <v>2405</v>
      </c>
      <c r="D1210" s="12" t="s">
        <v>4752</v>
      </c>
      <c r="E1210" s="12" t="s">
        <v>2407</v>
      </c>
      <c r="F1210" s="12" t="s">
        <v>2408</v>
      </c>
      <c r="G1210" s="12" t="s">
        <v>2409</v>
      </c>
      <c r="H1210" s="12" t="s">
        <v>5289</v>
      </c>
      <c r="I1210" s="12" t="s">
        <v>3059</v>
      </c>
      <c r="J1210" s="12" t="s">
        <v>1071</v>
      </c>
      <c r="K1210" s="12" t="s">
        <v>4174</v>
      </c>
      <c r="L1210" s="13">
        <v>9</v>
      </c>
    </row>
    <row r="1211" spans="1:12" hidden="1" x14ac:dyDescent="0.55000000000000004">
      <c r="A1211" s="12" t="s">
        <v>3016</v>
      </c>
      <c r="B1211" s="12" t="s">
        <v>4486</v>
      </c>
      <c r="C1211" s="12" t="s">
        <v>2405</v>
      </c>
      <c r="D1211" s="12" t="s">
        <v>4752</v>
      </c>
      <c r="E1211" s="12" t="s">
        <v>2410</v>
      </c>
      <c r="F1211" s="12" t="s">
        <v>100</v>
      </c>
      <c r="G1211" s="12" t="s">
        <v>2411</v>
      </c>
      <c r="H1211" s="12" t="s">
        <v>5289</v>
      </c>
      <c r="I1211" s="12" t="s">
        <v>3075</v>
      </c>
      <c r="J1211" s="12" t="s">
        <v>1071</v>
      </c>
      <c r="K1211" s="12" t="s">
        <v>4175</v>
      </c>
      <c r="L1211" s="13" t="s">
        <v>3075</v>
      </c>
    </row>
    <row r="1212" spans="1:12" hidden="1" x14ac:dyDescent="0.55000000000000004">
      <c r="A1212" s="12" t="s">
        <v>3024</v>
      </c>
      <c r="B1212" s="12" t="s">
        <v>4486</v>
      </c>
      <c r="C1212" s="12" t="s">
        <v>3072</v>
      </c>
      <c r="D1212" s="12" t="s">
        <v>4752</v>
      </c>
      <c r="E1212" s="12" t="s">
        <v>2419</v>
      </c>
      <c r="F1212" s="12" t="s">
        <v>917</v>
      </c>
      <c r="G1212" s="12" t="s">
        <v>2420</v>
      </c>
      <c r="H1212" s="12" t="s">
        <v>5292</v>
      </c>
      <c r="I1212" s="12" t="s">
        <v>3075</v>
      </c>
      <c r="J1212" s="12" t="s">
        <v>3091</v>
      </c>
      <c r="K1212" s="12" t="s">
        <v>4178</v>
      </c>
      <c r="L1212" s="13" t="s">
        <v>3075</v>
      </c>
    </row>
    <row r="1213" spans="1:12" hidden="1" x14ac:dyDescent="0.55000000000000004">
      <c r="A1213" s="12" t="s">
        <v>3024</v>
      </c>
      <c r="B1213" s="12" t="s">
        <v>4486</v>
      </c>
      <c r="C1213" s="12" t="s">
        <v>3072</v>
      </c>
      <c r="D1213" s="12" t="s">
        <v>4752</v>
      </c>
      <c r="E1213" s="12" t="s">
        <v>2421</v>
      </c>
      <c r="F1213" s="12" t="s">
        <v>2422</v>
      </c>
      <c r="G1213" s="12" t="s">
        <v>2423</v>
      </c>
      <c r="H1213" s="12" t="s">
        <v>5292</v>
      </c>
      <c r="I1213" s="12" t="s">
        <v>3075</v>
      </c>
      <c r="J1213" s="12" t="s">
        <v>3091</v>
      </c>
      <c r="K1213" s="12" t="s">
        <v>4179</v>
      </c>
      <c r="L1213" s="13" t="s">
        <v>3075</v>
      </c>
    </row>
    <row r="1214" spans="1:12" hidden="1" x14ac:dyDescent="0.55000000000000004">
      <c r="A1214" s="12" t="s">
        <v>3045</v>
      </c>
      <c r="B1214" s="12" t="s">
        <v>4486</v>
      </c>
      <c r="C1214" s="12" t="s">
        <v>3070</v>
      </c>
      <c r="D1214" s="12" t="s">
        <v>4752</v>
      </c>
      <c r="E1214" s="12" t="s">
        <v>2413</v>
      </c>
      <c r="F1214" s="12" t="s">
        <v>2414</v>
      </c>
      <c r="G1214" s="12" t="s">
        <v>2415</v>
      </c>
      <c r="H1214" s="12" t="s">
        <v>5293</v>
      </c>
      <c r="I1214" s="12" t="s">
        <v>3075</v>
      </c>
      <c r="J1214" s="12" t="s">
        <v>545</v>
      </c>
      <c r="K1214" s="12" t="s">
        <v>4176</v>
      </c>
      <c r="L1214" s="13" t="s">
        <v>3075</v>
      </c>
    </row>
    <row r="1215" spans="1:12" hidden="1" x14ac:dyDescent="0.55000000000000004">
      <c r="A1215" s="12" t="s">
        <v>3045</v>
      </c>
      <c r="B1215" s="12" t="s">
        <v>4486</v>
      </c>
      <c r="C1215" s="12" t="s">
        <v>3070</v>
      </c>
      <c r="D1215" s="12" t="s">
        <v>4752</v>
      </c>
      <c r="E1215" s="12" t="s">
        <v>2416</v>
      </c>
      <c r="F1215" s="12" t="s">
        <v>2417</v>
      </c>
      <c r="G1215" s="12" t="s">
        <v>2418</v>
      </c>
      <c r="H1215" s="12" t="s">
        <v>5293</v>
      </c>
      <c r="I1215" s="12" t="s">
        <v>3075</v>
      </c>
      <c r="J1215" s="12" t="s">
        <v>545</v>
      </c>
      <c r="K1215" s="12" t="s">
        <v>4177</v>
      </c>
      <c r="L1215" s="13" t="s">
        <v>3075</v>
      </c>
    </row>
    <row r="1216" spans="1:12" hidden="1" x14ac:dyDescent="0.55000000000000004">
      <c r="A1216" s="12" t="s">
        <v>2983</v>
      </c>
      <c r="B1216" s="12" t="s">
        <v>4486</v>
      </c>
      <c r="C1216" s="12" t="s">
        <v>5245</v>
      </c>
      <c r="D1216" s="12" t="s">
        <v>4752</v>
      </c>
      <c r="E1216" s="12" t="s">
        <v>2048</v>
      </c>
      <c r="F1216" s="12" t="s">
        <v>2049</v>
      </c>
      <c r="G1216" s="12" t="s">
        <v>2050</v>
      </c>
      <c r="H1216" s="12" t="s">
        <v>5294</v>
      </c>
      <c r="I1216" s="12" t="s">
        <v>3075</v>
      </c>
      <c r="J1216" s="12" t="s">
        <v>545</v>
      </c>
      <c r="K1216" s="12" t="s">
        <v>3970</v>
      </c>
      <c r="L1216" s="13" t="s">
        <v>3075</v>
      </c>
    </row>
    <row r="1217" spans="1:12" hidden="1" x14ac:dyDescent="0.55000000000000004">
      <c r="A1217" s="12" t="s">
        <v>3035</v>
      </c>
      <c r="B1217" s="12" t="s">
        <v>4486</v>
      </c>
      <c r="C1217" s="12" t="s">
        <v>5295</v>
      </c>
      <c r="D1217" s="12" t="s">
        <v>4752</v>
      </c>
      <c r="E1217" s="12" t="s">
        <v>2644</v>
      </c>
      <c r="F1217" s="12" t="s">
        <v>2142</v>
      </c>
      <c r="G1217" s="12" t="s">
        <v>2645</v>
      </c>
      <c r="H1217" s="12" t="s">
        <v>5296</v>
      </c>
      <c r="I1217" s="12" t="s">
        <v>3059</v>
      </c>
      <c r="J1217" s="12" t="s">
        <v>1071</v>
      </c>
      <c r="K1217" s="12" t="s">
        <v>4201</v>
      </c>
      <c r="L1217" s="13">
        <v>5</v>
      </c>
    </row>
    <row r="1218" spans="1:12" hidden="1" x14ac:dyDescent="0.55000000000000004">
      <c r="A1218" s="12" t="s">
        <v>3035</v>
      </c>
      <c r="B1218" s="12" t="s">
        <v>4486</v>
      </c>
      <c r="C1218" s="12" t="s">
        <v>5295</v>
      </c>
      <c r="D1218" s="12" t="s">
        <v>4752</v>
      </c>
      <c r="E1218" s="12" t="s">
        <v>2646</v>
      </c>
      <c r="F1218" s="12" t="s">
        <v>1524</v>
      </c>
      <c r="G1218" s="12" t="s">
        <v>2647</v>
      </c>
      <c r="H1218" s="12" t="s">
        <v>5296</v>
      </c>
      <c r="I1218" s="12" t="s">
        <v>3059</v>
      </c>
      <c r="J1218" s="12" t="s">
        <v>1071</v>
      </c>
      <c r="K1218" s="12" t="s">
        <v>4202</v>
      </c>
      <c r="L1218" s="13">
        <v>5</v>
      </c>
    </row>
    <row r="1219" spans="1:12" hidden="1" x14ac:dyDescent="0.55000000000000004">
      <c r="A1219" s="12" t="s">
        <v>3035</v>
      </c>
      <c r="B1219" s="12" t="s">
        <v>4486</v>
      </c>
      <c r="C1219" s="12" t="s">
        <v>5295</v>
      </c>
      <c r="D1219" s="12" t="s">
        <v>4752</v>
      </c>
      <c r="E1219" s="12" t="s">
        <v>2649</v>
      </c>
      <c r="F1219" s="12" t="s">
        <v>681</v>
      </c>
      <c r="G1219" s="12" t="s">
        <v>2650</v>
      </c>
      <c r="H1219" s="12" t="s">
        <v>5296</v>
      </c>
      <c r="I1219" s="12" t="s">
        <v>3059</v>
      </c>
      <c r="J1219" s="12" t="s">
        <v>1071</v>
      </c>
      <c r="K1219" s="12" t="s">
        <v>4203</v>
      </c>
      <c r="L1219" s="13">
        <v>5</v>
      </c>
    </row>
    <row r="1220" spans="1:12" hidden="1" x14ac:dyDescent="0.55000000000000004">
      <c r="A1220" s="12" t="s">
        <v>3035</v>
      </c>
      <c r="B1220" s="12" t="s">
        <v>4486</v>
      </c>
      <c r="C1220" s="12" t="s">
        <v>5295</v>
      </c>
      <c r="D1220" s="12" t="s">
        <v>4752</v>
      </c>
      <c r="E1220" s="12" t="s">
        <v>3164</v>
      </c>
      <c r="F1220" s="12" t="s">
        <v>1106</v>
      </c>
      <c r="G1220" s="12" t="s">
        <v>2037</v>
      </c>
      <c r="H1220" s="12" t="s">
        <v>5296</v>
      </c>
      <c r="I1220" s="12" t="s">
        <v>3059</v>
      </c>
      <c r="J1220" s="12" t="s">
        <v>1071</v>
      </c>
      <c r="K1220" s="12" t="s">
        <v>4250</v>
      </c>
      <c r="L1220" s="13">
        <v>5</v>
      </c>
    </row>
    <row r="1221" spans="1:12" hidden="1" x14ac:dyDescent="0.55000000000000004">
      <c r="A1221" s="12" t="s">
        <v>3035</v>
      </c>
      <c r="B1221" s="12" t="s">
        <v>4486</v>
      </c>
      <c r="C1221" s="12" t="s">
        <v>5295</v>
      </c>
      <c r="D1221" s="12" t="s">
        <v>4752</v>
      </c>
      <c r="E1221" s="12" t="s">
        <v>3107</v>
      </c>
      <c r="F1221" s="12" t="s">
        <v>1094</v>
      </c>
      <c r="G1221" s="12" t="s">
        <v>3106</v>
      </c>
      <c r="H1221" s="12" t="s">
        <v>5296</v>
      </c>
      <c r="I1221" s="12" t="s">
        <v>3059</v>
      </c>
      <c r="J1221" s="12" t="s">
        <v>1071</v>
      </c>
      <c r="K1221" s="12" t="s">
        <v>4251</v>
      </c>
      <c r="L1221" s="13">
        <v>5</v>
      </c>
    </row>
    <row r="1222" spans="1:12" hidden="1" x14ac:dyDescent="0.55000000000000004">
      <c r="A1222" s="12" t="s">
        <v>3055</v>
      </c>
      <c r="B1222" s="12" t="s">
        <v>4486</v>
      </c>
      <c r="C1222" s="12" t="s">
        <v>923</v>
      </c>
      <c r="D1222" s="12" t="s">
        <v>4752</v>
      </c>
      <c r="E1222" s="12" t="s">
        <v>953</v>
      </c>
      <c r="F1222" s="12" t="s">
        <v>954</v>
      </c>
      <c r="G1222" s="12" t="s">
        <v>955</v>
      </c>
      <c r="H1222" s="12" t="s">
        <v>5297</v>
      </c>
      <c r="I1222" s="12" t="s">
        <v>3059</v>
      </c>
      <c r="J1222" s="12" t="s">
        <v>3089</v>
      </c>
      <c r="K1222" s="12" t="s">
        <v>3574</v>
      </c>
      <c r="L1222" s="13">
        <v>5</v>
      </c>
    </row>
    <row r="1223" spans="1:12" hidden="1" x14ac:dyDescent="0.55000000000000004">
      <c r="A1223" s="12" t="s">
        <v>3055</v>
      </c>
      <c r="B1223" s="12" t="s">
        <v>4486</v>
      </c>
      <c r="C1223" s="12" t="s">
        <v>923</v>
      </c>
      <c r="D1223" s="12" t="s">
        <v>4752</v>
      </c>
      <c r="E1223" s="12" t="s">
        <v>965</v>
      </c>
      <c r="F1223" s="12" t="s">
        <v>3136</v>
      </c>
      <c r="G1223" s="12" t="s">
        <v>966</v>
      </c>
      <c r="H1223" s="12" t="s">
        <v>5297</v>
      </c>
      <c r="I1223" s="12" t="s">
        <v>3059</v>
      </c>
      <c r="J1223" s="12" t="s">
        <v>3089</v>
      </c>
      <c r="K1223" s="12" t="s">
        <v>3578</v>
      </c>
      <c r="L1223" s="13">
        <v>6</v>
      </c>
    </row>
    <row r="1224" spans="1:12" hidden="1" x14ac:dyDescent="0.55000000000000004">
      <c r="A1224" s="12" t="s">
        <v>3055</v>
      </c>
      <c r="B1224" s="12" t="s">
        <v>4486</v>
      </c>
      <c r="C1224" s="12" t="s">
        <v>923</v>
      </c>
      <c r="D1224" s="12" t="s">
        <v>4752</v>
      </c>
      <c r="E1224" s="12" t="s">
        <v>979</v>
      </c>
      <c r="F1224" s="12" t="s">
        <v>980</v>
      </c>
      <c r="G1224" s="12" t="s">
        <v>981</v>
      </c>
      <c r="H1224" s="12" t="s">
        <v>5297</v>
      </c>
      <c r="I1224" s="12" t="s">
        <v>3059</v>
      </c>
      <c r="J1224" s="12" t="s">
        <v>3089</v>
      </c>
      <c r="K1224" s="12" t="s">
        <v>3583</v>
      </c>
      <c r="L1224" s="13">
        <v>3</v>
      </c>
    </row>
    <row r="1225" spans="1:12" hidden="1" x14ac:dyDescent="0.55000000000000004">
      <c r="A1225" s="12" t="s">
        <v>3055</v>
      </c>
      <c r="B1225" s="12" t="s">
        <v>4486</v>
      </c>
      <c r="C1225" s="12" t="s">
        <v>923</v>
      </c>
      <c r="D1225" s="12" t="s">
        <v>4752</v>
      </c>
      <c r="E1225" s="12" t="s">
        <v>991</v>
      </c>
      <c r="F1225" s="12" t="s">
        <v>257</v>
      </c>
      <c r="G1225" s="12" t="s">
        <v>992</v>
      </c>
      <c r="H1225" s="12" t="s">
        <v>5297</v>
      </c>
      <c r="I1225" s="12" t="s">
        <v>3059</v>
      </c>
      <c r="J1225" s="12" t="s">
        <v>3089</v>
      </c>
      <c r="K1225" s="12" t="s">
        <v>3587</v>
      </c>
      <c r="L1225" s="13">
        <v>6</v>
      </c>
    </row>
    <row r="1226" spans="1:12" hidden="1" x14ac:dyDescent="0.55000000000000004">
      <c r="A1226" s="12" t="s">
        <v>3055</v>
      </c>
      <c r="B1226" s="12" t="s">
        <v>4486</v>
      </c>
      <c r="C1226" s="12" t="s">
        <v>923</v>
      </c>
      <c r="D1226" s="12" t="s">
        <v>4752</v>
      </c>
      <c r="E1226" s="12" t="s">
        <v>3137</v>
      </c>
      <c r="F1226" s="12" t="s">
        <v>1547</v>
      </c>
      <c r="G1226" s="12" t="s">
        <v>3138</v>
      </c>
      <c r="H1226" s="12" t="s">
        <v>5297</v>
      </c>
      <c r="I1226" s="12" t="s">
        <v>3059</v>
      </c>
      <c r="J1226" s="12" t="s">
        <v>3089</v>
      </c>
      <c r="K1226" s="12" t="s">
        <v>3609</v>
      </c>
      <c r="L1226" s="13">
        <v>6</v>
      </c>
    </row>
    <row r="1227" spans="1:12" hidden="1" x14ac:dyDescent="0.55000000000000004">
      <c r="A1227" s="12" t="s">
        <v>3055</v>
      </c>
      <c r="B1227" s="12" t="s">
        <v>4486</v>
      </c>
      <c r="C1227" s="12" t="s">
        <v>923</v>
      </c>
      <c r="D1227" s="12" t="s">
        <v>4752</v>
      </c>
      <c r="E1227" s="12" t="s">
        <v>4675</v>
      </c>
      <c r="F1227" s="12" t="s">
        <v>701</v>
      </c>
      <c r="G1227" s="12" t="s">
        <v>4676</v>
      </c>
      <c r="H1227" s="12" t="s">
        <v>5297</v>
      </c>
      <c r="I1227" s="12" t="s">
        <v>3059</v>
      </c>
      <c r="J1227" s="12" t="s">
        <v>3089</v>
      </c>
      <c r="K1227" s="12" t="s">
        <v>4677</v>
      </c>
      <c r="L1227" s="13">
        <v>8</v>
      </c>
    </row>
    <row r="1228" spans="1:12" hidden="1" x14ac:dyDescent="0.55000000000000004">
      <c r="A1228" s="12" t="s">
        <v>3014</v>
      </c>
      <c r="B1228" s="12" t="s">
        <v>4486</v>
      </c>
      <c r="C1228" s="12" t="s">
        <v>5264</v>
      </c>
      <c r="D1228" s="12" t="s">
        <v>4752</v>
      </c>
      <c r="E1228" s="12" t="s">
        <v>2630</v>
      </c>
      <c r="F1228" s="12" t="s">
        <v>2631</v>
      </c>
      <c r="G1228" s="12" t="s">
        <v>2632</v>
      </c>
      <c r="H1228" s="12" t="s">
        <v>5298</v>
      </c>
      <c r="I1228" s="12" t="s">
        <v>3059</v>
      </c>
      <c r="J1228" s="12" t="s">
        <v>3091</v>
      </c>
      <c r="K1228" s="12" t="s">
        <v>4129</v>
      </c>
      <c r="L1228" s="13">
        <v>9</v>
      </c>
    </row>
    <row r="1229" spans="1:12" hidden="1" x14ac:dyDescent="0.55000000000000004">
      <c r="A1229" s="12" t="s">
        <v>2852</v>
      </c>
      <c r="B1229" s="12" t="s">
        <v>4298</v>
      </c>
      <c r="C1229" s="12" t="s">
        <v>5299</v>
      </c>
      <c r="D1229" s="12" t="s">
        <v>4752</v>
      </c>
      <c r="E1229" s="12" t="s">
        <v>2424</v>
      </c>
      <c r="F1229" s="12" t="s">
        <v>2425</v>
      </c>
      <c r="G1229" s="12" t="s">
        <v>2426</v>
      </c>
      <c r="H1229" s="12" t="s">
        <v>5300</v>
      </c>
      <c r="I1229" s="12" t="s">
        <v>3059</v>
      </c>
      <c r="J1229" s="12" t="s">
        <v>3088</v>
      </c>
      <c r="K1229" s="12" t="s">
        <v>4180</v>
      </c>
      <c r="L1229" s="13">
        <v>9</v>
      </c>
    </row>
    <row r="1230" spans="1:12" hidden="1" x14ac:dyDescent="0.55000000000000004">
      <c r="A1230" s="12" t="s">
        <v>2852</v>
      </c>
      <c r="B1230" s="12" t="s">
        <v>4298</v>
      </c>
      <c r="C1230" s="12" t="s">
        <v>5299</v>
      </c>
      <c r="D1230" s="12" t="s">
        <v>4752</v>
      </c>
      <c r="E1230" s="12" t="s">
        <v>2427</v>
      </c>
      <c r="F1230" s="12" t="s">
        <v>2428</v>
      </c>
      <c r="G1230" s="12" t="s">
        <v>2429</v>
      </c>
      <c r="H1230" s="12" t="s">
        <v>5300</v>
      </c>
      <c r="I1230" s="12" t="s">
        <v>3059</v>
      </c>
      <c r="J1230" s="12" t="s">
        <v>3088</v>
      </c>
      <c r="K1230" s="12" t="s">
        <v>4181</v>
      </c>
      <c r="L1230" s="13">
        <v>9</v>
      </c>
    </row>
    <row r="1231" spans="1:12" hidden="1" x14ac:dyDescent="0.55000000000000004">
      <c r="A1231" s="12" t="s">
        <v>2857</v>
      </c>
      <c r="B1231" s="12" t="s">
        <v>4298</v>
      </c>
      <c r="C1231" s="12" t="s">
        <v>5301</v>
      </c>
      <c r="D1231" s="12" t="s">
        <v>4752</v>
      </c>
      <c r="E1231" s="12" t="s">
        <v>2435</v>
      </c>
      <c r="F1231" s="12" t="s">
        <v>2436</v>
      </c>
      <c r="G1231" s="12" t="s">
        <v>2437</v>
      </c>
      <c r="H1231" s="12" t="s">
        <v>4357</v>
      </c>
      <c r="I1231" s="12" t="s">
        <v>3059</v>
      </c>
      <c r="J1231" s="12" t="s">
        <v>689</v>
      </c>
      <c r="K1231" s="12" t="s">
        <v>4184</v>
      </c>
      <c r="L1231" s="13">
        <v>3</v>
      </c>
    </row>
    <row r="1232" spans="1:12" hidden="1" x14ac:dyDescent="0.55000000000000004">
      <c r="A1232" s="12" t="s">
        <v>2857</v>
      </c>
      <c r="B1232" s="12" t="s">
        <v>4298</v>
      </c>
      <c r="C1232" s="12" t="s">
        <v>5301</v>
      </c>
      <c r="D1232" s="12" t="s">
        <v>4752</v>
      </c>
      <c r="E1232" s="12" t="s">
        <v>2438</v>
      </c>
      <c r="F1232" s="12" t="s">
        <v>2439</v>
      </c>
      <c r="G1232" s="12" t="s">
        <v>2440</v>
      </c>
      <c r="H1232" s="12" t="s">
        <v>4357</v>
      </c>
      <c r="I1232" s="12" t="s">
        <v>3059</v>
      </c>
      <c r="J1232" s="12" t="s">
        <v>689</v>
      </c>
      <c r="K1232" s="12" t="s">
        <v>4185</v>
      </c>
      <c r="L1232" s="13">
        <v>3</v>
      </c>
    </row>
    <row r="1233" spans="1:12" hidden="1" x14ac:dyDescent="0.55000000000000004">
      <c r="A1233" s="12" t="s">
        <v>2857</v>
      </c>
      <c r="B1233" s="12" t="s">
        <v>4298</v>
      </c>
      <c r="C1233" s="12" t="s">
        <v>5301</v>
      </c>
      <c r="D1233" s="12" t="s">
        <v>4752</v>
      </c>
      <c r="E1233" s="12" t="s">
        <v>2441</v>
      </c>
      <c r="F1233" s="12" t="s">
        <v>2442</v>
      </c>
      <c r="G1233" s="12" t="s">
        <v>2443</v>
      </c>
      <c r="H1233" s="12" t="s">
        <v>4357</v>
      </c>
      <c r="I1233" s="12" t="s">
        <v>3059</v>
      </c>
      <c r="J1233" s="12" t="s">
        <v>689</v>
      </c>
      <c r="K1233" s="12" t="s">
        <v>4186</v>
      </c>
      <c r="L1233" s="13">
        <v>5</v>
      </c>
    </row>
    <row r="1234" spans="1:12" hidden="1" x14ac:dyDescent="0.55000000000000004">
      <c r="A1234" s="12" t="s">
        <v>2857</v>
      </c>
      <c r="B1234" s="12" t="s">
        <v>4298</v>
      </c>
      <c r="C1234" s="12" t="s">
        <v>5301</v>
      </c>
      <c r="D1234" s="12" t="s">
        <v>4752</v>
      </c>
      <c r="E1234" s="12" t="s">
        <v>2444</v>
      </c>
      <c r="F1234" s="12" t="s">
        <v>2445</v>
      </c>
      <c r="G1234" s="12" t="s">
        <v>2446</v>
      </c>
      <c r="H1234" s="12" t="s">
        <v>4357</v>
      </c>
      <c r="I1234" s="12" t="s">
        <v>3059</v>
      </c>
      <c r="J1234" s="12" t="s">
        <v>689</v>
      </c>
      <c r="K1234" s="12" t="s">
        <v>4187</v>
      </c>
      <c r="L1234" s="13">
        <v>5</v>
      </c>
    </row>
    <row r="1235" spans="1:12" hidden="1" x14ac:dyDescent="0.55000000000000004">
      <c r="A1235" s="12" t="s">
        <v>2857</v>
      </c>
      <c r="B1235" s="12" t="s">
        <v>4298</v>
      </c>
      <c r="C1235" s="12" t="s">
        <v>5301</v>
      </c>
      <c r="D1235" s="12" t="s">
        <v>4752</v>
      </c>
      <c r="E1235" s="12" t="s">
        <v>2447</v>
      </c>
      <c r="F1235" s="12" t="s">
        <v>2448</v>
      </c>
      <c r="G1235" s="12" t="s">
        <v>2449</v>
      </c>
      <c r="H1235" s="12" t="s">
        <v>4357</v>
      </c>
      <c r="I1235" s="12" t="s">
        <v>3059</v>
      </c>
      <c r="J1235" s="12" t="s">
        <v>689</v>
      </c>
      <c r="K1235" s="12" t="s">
        <v>4188</v>
      </c>
      <c r="L1235" s="13">
        <v>6</v>
      </c>
    </row>
    <row r="1236" spans="1:12" hidden="1" x14ac:dyDescent="0.55000000000000004">
      <c r="A1236" s="12" t="s">
        <v>2857</v>
      </c>
      <c r="B1236" s="12" t="s">
        <v>4298</v>
      </c>
      <c r="C1236" s="12" t="s">
        <v>5301</v>
      </c>
      <c r="D1236" s="12" t="s">
        <v>4752</v>
      </c>
      <c r="E1236" s="12" t="s">
        <v>2450</v>
      </c>
      <c r="F1236" s="12" t="s">
        <v>2451</v>
      </c>
      <c r="G1236" s="12" t="s">
        <v>2452</v>
      </c>
      <c r="H1236" s="12" t="s">
        <v>4357</v>
      </c>
      <c r="I1236" s="12" t="s">
        <v>3059</v>
      </c>
      <c r="J1236" s="12" t="s">
        <v>689</v>
      </c>
      <c r="K1236" s="12" t="s">
        <v>4189</v>
      </c>
      <c r="L1236" s="13">
        <v>3</v>
      </c>
    </row>
    <row r="1237" spans="1:12" hidden="1" x14ac:dyDescent="0.55000000000000004">
      <c r="A1237" s="12" t="s">
        <v>2857</v>
      </c>
      <c r="B1237" s="12" t="s">
        <v>4298</v>
      </c>
      <c r="C1237" s="12" t="s">
        <v>5301</v>
      </c>
      <c r="D1237" s="12" t="s">
        <v>4752</v>
      </c>
      <c r="E1237" s="12" t="s">
        <v>2453</v>
      </c>
      <c r="F1237" s="12" t="s">
        <v>2454</v>
      </c>
      <c r="G1237" s="12" t="s">
        <v>2440</v>
      </c>
      <c r="H1237" s="12" t="s">
        <v>4357</v>
      </c>
      <c r="I1237" s="12" t="s">
        <v>3059</v>
      </c>
      <c r="J1237" s="12" t="s">
        <v>689</v>
      </c>
      <c r="K1237" s="12" t="s">
        <v>4190</v>
      </c>
      <c r="L1237" s="13">
        <v>5</v>
      </c>
    </row>
    <row r="1238" spans="1:12" hidden="1" x14ac:dyDescent="0.55000000000000004">
      <c r="A1238" s="12" t="s">
        <v>2857</v>
      </c>
      <c r="B1238" s="12" t="s">
        <v>4298</v>
      </c>
      <c r="C1238" s="12" t="s">
        <v>5301</v>
      </c>
      <c r="D1238" s="12" t="s">
        <v>4752</v>
      </c>
      <c r="E1238" s="12" t="s">
        <v>2455</v>
      </c>
      <c r="F1238" s="12" t="s">
        <v>1332</v>
      </c>
      <c r="G1238" s="12" t="s">
        <v>2456</v>
      </c>
      <c r="H1238" s="12" t="s">
        <v>4357</v>
      </c>
      <c r="I1238" s="12" t="s">
        <v>3059</v>
      </c>
      <c r="J1238" s="12" t="s">
        <v>689</v>
      </c>
      <c r="K1238" s="12" t="s">
        <v>4191</v>
      </c>
      <c r="L1238" s="13">
        <v>6</v>
      </c>
    </row>
    <row r="1239" spans="1:12" hidden="1" x14ac:dyDescent="0.55000000000000004">
      <c r="A1239" s="12" t="s">
        <v>2857</v>
      </c>
      <c r="B1239" s="12" t="s">
        <v>4298</v>
      </c>
      <c r="C1239" s="12" t="s">
        <v>5301</v>
      </c>
      <c r="D1239" s="12" t="s">
        <v>4752</v>
      </c>
      <c r="E1239" s="12" t="s">
        <v>2457</v>
      </c>
      <c r="F1239" s="12" t="s">
        <v>2458</v>
      </c>
      <c r="G1239" s="12" t="s">
        <v>2459</v>
      </c>
      <c r="H1239" s="12" t="s">
        <v>4357</v>
      </c>
      <c r="I1239" s="12" t="s">
        <v>3059</v>
      </c>
      <c r="J1239" s="12" t="s">
        <v>689</v>
      </c>
      <c r="K1239" s="12" t="s">
        <v>4192</v>
      </c>
      <c r="L1239" s="13">
        <v>5</v>
      </c>
    </row>
    <row r="1240" spans="1:12" hidden="1" x14ac:dyDescent="0.55000000000000004">
      <c r="A1240" s="12" t="s">
        <v>2857</v>
      </c>
      <c r="B1240" s="12" t="s">
        <v>4298</v>
      </c>
      <c r="C1240" s="12" t="s">
        <v>5301</v>
      </c>
      <c r="D1240" s="12" t="s">
        <v>4752</v>
      </c>
      <c r="E1240" s="12" t="s">
        <v>2460</v>
      </c>
      <c r="F1240" s="12" t="s">
        <v>2461</v>
      </c>
      <c r="G1240" s="12" t="s">
        <v>899</v>
      </c>
      <c r="H1240" s="12" t="s">
        <v>4357</v>
      </c>
      <c r="I1240" s="12" t="s">
        <v>3059</v>
      </c>
      <c r="J1240" s="12" t="s">
        <v>689</v>
      </c>
      <c r="K1240" s="12" t="s">
        <v>4193</v>
      </c>
      <c r="L1240" s="13">
        <v>3</v>
      </c>
    </row>
    <row r="1241" spans="1:12" hidden="1" x14ac:dyDescent="0.55000000000000004">
      <c r="A1241" s="12" t="s">
        <v>2857</v>
      </c>
      <c r="B1241" s="12" t="s">
        <v>4298</v>
      </c>
      <c r="C1241" s="12" t="s">
        <v>5301</v>
      </c>
      <c r="D1241" s="12" t="s">
        <v>4752</v>
      </c>
      <c r="E1241" s="12" t="s">
        <v>2462</v>
      </c>
      <c r="F1241" s="12" t="s">
        <v>2463</v>
      </c>
      <c r="G1241" s="12" t="s">
        <v>2464</v>
      </c>
      <c r="H1241" s="12" t="s">
        <v>4357</v>
      </c>
      <c r="I1241" s="12" t="s">
        <v>3059</v>
      </c>
      <c r="J1241" s="12" t="s">
        <v>689</v>
      </c>
      <c r="K1241" s="12" t="s">
        <v>4194</v>
      </c>
      <c r="L1241" s="13">
        <v>6</v>
      </c>
    </row>
    <row r="1242" spans="1:12" hidden="1" x14ac:dyDescent="0.55000000000000004">
      <c r="A1242" s="12" t="s">
        <v>2857</v>
      </c>
      <c r="B1242" s="12" t="s">
        <v>4298</v>
      </c>
      <c r="C1242" s="12" t="s">
        <v>5301</v>
      </c>
      <c r="D1242" s="12" t="s">
        <v>4752</v>
      </c>
      <c r="E1242" s="12" t="s">
        <v>2465</v>
      </c>
      <c r="F1242" s="12" t="s">
        <v>2466</v>
      </c>
      <c r="G1242" s="12" t="s">
        <v>2467</v>
      </c>
      <c r="H1242" s="12" t="s">
        <v>4357</v>
      </c>
      <c r="I1242" s="12" t="s">
        <v>3059</v>
      </c>
      <c r="J1242" s="12" t="s">
        <v>689</v>
      </c>
      <c r="K1242" s="12" t="s">
        <v>4195</v>
      </c>
      <c r="L1242" s="13">
        <v>3</v>
      </c>
    </row>
    <row r="1243" spans="1:12" hidden="1" x14ac:dyDescent="0.55000000000000004">
      <c r="A1243" s="12" t="s">
        <v>2969</v>
      </c>
      <c r="B1243" s="12" t="s">
        <v>4486</v>
      </c>
      <c r="C1243" s="12" t="s">
        <v>5306</v>
      </c>
      <c r="D1243" s="12" t="s">
        <v>4752</v>
      </c>
      <c r="E1243" s="12" t="s">
        <v>284</v>
      </c>
      <c r="F1243" s="12" t="s">
        <v>3125</v>
      </c>
      <c r="G1243" s="12" t="s">
        <v>3126</v>
      </c>
      <c r="H1243" s="12" t="s">
        <v>5307</v>
      </c>
      <c r="I1243" s="12" t="s">
        <v>3075</v>
      </c>
      <c r="J1243" s="12" t="s">
        <v>118</v>
      </c>
      <c r="K1243" s="12" t="s">
        <v>3340</v>
      </c>
      <c r="L1243" s="13" t="s">
        <v>3075</v>
      </c>
    </row>
    <row r="1244" spans="1:12" hidden="1" x14ac:dyDescent="0.55000000000000004">
      <c r="A1244" s="12" t="s">
        <v>2969</v>
      </c>
      <c r="B1244" s="12" t="s">
        <v>4486</v>
      </c>
      <c r="C1244" s="12" t="s">
        <v>5306</v>
      </c>
      <c r="D1244" s="12" t="s">
        <v>4752</v>
      </c>
      <c r="E1244" s="12" t="s">
        <v>285</v>
      </c>
      <c r="F1244" s="12" t="s">
        <v>286</v>
      </c>
      <c r="G1244" s="12" t="s">
        <v>287</v>
      </c>
      <c r="H1244" s="12" t="s">
        <v>5307</v>
      </c>
      <c r="I1244" s="12" t="s">
        <v>3075</v>
      </c>
      <c r="J1244" s="12" t="s">
        <v>118</v>
      </c>
      <c r="K1244" s="12" t="s">
        <v>3341</v>
      </c>
      <c r="L1244" s="13" t="s">
        <v>3075</v>
      </c>
    </row>
    <row r="1245" spans="1:12" hidden="1" x14ac:dyDescent="0.55000000000000004">
      <c r="A1245" s="12" t="s">
        <v>2969</v>
      </c>
      <c r="B1245" s="12" t="s">
        <v>4486</v>
      </c>
      <c r="C1245" s="12" t="s">
        <v>5306</v>
      </c>
      <c r="D1245" s="12" t="s">
        <v>4752</v>
      </c>
      <c r="E1245" s="12" t="s">
        <v>2633</v>
      </c>
      <c r="F1245" s="12" t="s">
        <v>511</v>
      </c>
      <c r="G1245" s="12" t="s">
        <v>2634</v>
      </c>
      <c r="H1245" s="12" t="s">
        <v>5307</v>
      </c>
      <c r="I1245" s="12" t="s">
        <v>3075</v>
      </c>
      <c r="J1245" s="12" t="s">
        <v>118</v>
      </c>
      <c r="K1245" s="12" t="s">
        <v>4196</v>
      </c>
      <c r="L1245" s="13" t="s">
        <v>3075</v>
      </c>
    </row>
    <row r="1246" spans="1:12" hidden="1" x14ac:dyDescent="0.55000000000000004">
      <c r="A1246" s="12" t="s">
        <v>2968</v>
      </c>
      <c r="B1246" s="12" t="s">
        <v>4486</v>
      </c>
      <c r="C1246" s="12" t="s">
        <v>5306</v>
      </c>
      <c r="D1246" s="12" t="s">
        <v>4752</v>
      </c>
      <c r="E1246" s="12" t="s">
        <v>4636</v>
      </c>
      <c r="F1246" s="12" t="s">
        <v>1797</v>
      </c>
      <c r="G1246" s="12" t="s">
        <v>4637</v>
      </c>
      <c r="H1246" s="12" t="s">
        <v>5308</v>
      </c>
      <c r="I1246" s="12" t="s">
        <v>3075</v>
      </c>
      <c r="J1246" s="12" t="s">
        <v>118</v>
      </c>
      <c r="K1246" s="12" t="s">
        <v>4638</v>
      </c>
      <c r="L1246" s="13" t="s">
        <v>3075</v>
      </c>
    </row>
    <row r="1247" spans="1:12" hidden="1" x14ac:dyDescent="0.55000000000000004">
      <c r="A1247" s="12" t="s">
        <v>2968</v>
      </c>
      <c r="B1247" s="12" t="s">
        <v>4486</v>
      </c>
      <c r="C1247" s="12" t="s">
        <v>5306</v>
      </c>
      <c r="D1247" s="12" t="s">
        <v>4752</v>
      </c>
      <c r="E1247" s="12" t="s">
        <v>6146</v>
      </c>
      <c r="F1247" s="12" t="s">
        <v>291</v>
      </c>
      <c r="G1247" s="12" t="s">
        <v>6147</v>
      </c>
      <c r="H1247" s="12" t="s">
        <v>5308</v>
      </c>
      <c r="I1247" s="12" t="s">
        <v>3075</v>
      </c>
      <c r="J1247" s="12" t="s">
        <v>118</v>
      </c>
      <c r="K1247" s="12" t="s">
        <v>6148</v>
      </c>
      <c r="L1247" s="13" t="s">
        <v>3075</v>
      </c>
    </row>
    <row r="1248" spans="1:12" hidden="1" x14ac:dyDescent="0.55000000000000004">
      <c r="A1248" s="12" t="s">
        <v>3046</v>
      </c>
      <c r="B1248" s="12" t="s">
        <v>4486</v>
      </c>
      <c r="C1248" s="12" t="s">
        <v>23</v>
      </c>
      <c r="D1248" s="12" t="s">
        <v>4752</v>
      </c>
      <c r="E1248" s="12" t="s">
        <v>20</v>
      </c>
      <c r="F1248" s="12" t="s">
        <v>21</v>
      </c>
      <c r="G1248" s="12" t="s">
        <v>22</v>
      </c>
      <c r="H1248" s="12" t="s">
        <v>5309</v>
      </c>
      <c r="I1248" s="12" t="s">
        <v>3059</v>
      </c>
      <c r="J1248" s="12" t="s">
        <v>3089</v>
      </c>
      <c r="K1248" s="12" t="s">
        <v>3252</v>
      </c>
      <c r="L1248" s="13">
        <v>9</v>
      </c>
    </row>
    <row r="1249" spans="1:12" hidden="1" x14ac:dyDescent="0.55000000000000004">
      <c r="A1249" s="12" t="s">
        <v>3046</v>
      </c>
      <c r="B1249" s="12" t="s">
        <v>4486</v>
      </c>
      <c r="C1249" s="12" t="s">
        <v>23</v>
      </c>
      <c r="D1249" s="12" t="s">
        <v>4752</v>
      </c>
      <c r="E1249" s="12" t="s">
        <v>24</v>
      </c>
      <c r="F1249" s="12" t="s">
        <v>25</v>
      </c>
      <c r="G1249" s="12" t="s">
        <v>26</v>
      </c>
      <c r="H1249" s="12" t="s">
        <v>5309</v>
      </c>
      <c r="I1249" s="12" t="s">
        <v>3059</v>
      </c>
      <c r="J1249" s="12" t="s">
        <v>3089</v>
      </c>
      <c r="K1249" s="12" t="s">
        <v>3253</v>
      </c>
      <c r="L1249" s="13">
        <v>9</v>
      </c>
    </row>
    <row r="1250" spans="1:12" hidden="1" x14ac:dyDescent="0.55000000000000004">
      <c r="A1250" s="12" t="s">
        <v>3046</v>
      </c>
      <c r="B1250" s="12" t="s">
        <v>4486</v>
      </c>
      <c r="C1250" s="12" t="s">
        <v>23</v>
      </c>
      <c r="D1250" s="12" t="s">
        <v>4752</v>
      </c>
      <c r="E1250" s="12" t="s">
        <v>27</v>
      </c>
      <c r="F1250" s="12" t="s">
        <v>28</v>
      </c>
      <c r="G1250" s="12" t="s">
        <v>29</v>
      </c>
      <c r="H1250" s="12" t="s">
        <v>5309</v>
      </c>
      <c r="I1250" s="12" t="s">
        <v>3059</v>
      </c>
      <c r="J1250" s="12" t="s">
        <v>3089</v>
      </c>
      <c r="K1250" s="12" t="s">
        <v>3254</v>
      </c>
      <c r="L1250" s="13">
        <v>9</v>
      </c>
    </row>
    <row r="1251" spans="1:12" hidden="1" x14ac:dyDescent="0.55000000000000004">
      <c r="A1251" s="12" t="s">
        <v>3046</v>
      </c>
      <c r="B1251" s="12" t="s">
        <v>4486</v>
      </c>
      <c r="C1251" s="12" t="s">
        <v>23</v>
      </c>
      <c r="D1251" s="12" t="s">
        <v>4752</v>
      </c>
      <c r="E1251" s="12" t="s">
        <v>3110</v>
      </c>
      <c r="F1251" s="12" t="s">
        <v>823</v>
      </c>
      <c r="G1251" s="12" t="s">
        <v>3111</v>
      </c>
      <c r="H1251" s="12" t="s">
        <v>5309</v>
      </c>
      <c r="I1251" s="12" t="s">
        <v>3059</v>
      </c>
      <c r="J1251" s="12" t="s">
        <v>3089</v>
      </c>
      <c r="K1251" s="12" t="s">
        <v>3255</v>
      </c>
      <c r="L1251" s="13">
        <v>9</v>
      </c>
    </row>
    <row r="1252" spans="1:12" hidden="1" x14ac:dyDescent="0.55000000000000004">
      <c r="A1252" s="12" t="s">
        <v>2860</v>
      </c>
      <c r="B1252" s="12" t="s">
        <v>4298</v>
      </c>
      <c r="C1252" s="12" t="s">
        <v>2661</v>
      </c>
      <c r="D1252" s="12" t="s">
        <v>4752</v>
      </c>
      <c r="E1252" s="12" t="s">
        <v>2662</v>
      </c>
      <c r="F1252" s="12" t="s">
        <v>2663</v>
      </c>
      <c r="G1252" s="12" t="s">
        <v>2448</v>
      </c>
      <c r="H1252" s="12" t="s">
        <v>4360</v>
      </c>
      <c r="I1252" s="12" t="s">
        <v>3059</v>
      </c>
      <c r="J1252" s="12" t="s">
        <v>3087</v>
      </c>
      <c r="K1252" s="12" t="s">
        <v>4207</v>
      </c>
      <c r="L1252" s="13">
        <v>9</v>
      </c>
    </row>
    <row r="1253" spans="1:12" hidden="1" x14ac:dyDescent="0.55000000000000004">
      <c r="A1253" s="12" t="s">
        <v>2860</v>
      </c>
      <c r="B1253" s="12" t="s">
        <v>4298</v>
      </c>
      <c r="C1253" s="12" t="s">
        <v>2661</v>
      </c>
      <c r="D1253" s="12" t="s">
        <v>4752</v>
      </c>
      <c r="E1253" s="12" t="s">
        <v>2664</v>
      </c>
      <c r="F1253" s="12" t="s">
        <v>2665</v>
      </c>
      <c r="G1253" s="12" t="s">
        <v>2666</v>
      </c>
      <c r="H1253" s="12" t="s">
        <v>4360</v>
      </c>
      <c r="I1253" s="12" t="s">
        <v>3059</v>
      </c>
      <c r="J1253" s="12" t="s">
        <v>3087</v>
      </c>
      <c r="K1253" s="12" t="s">
        <v>4208</v>
      </c>
      <c r="L1253" s="13">
        <v>9</v>
      </c>
    </row>
    <row r="1254" spans="1:12" hidden="1" x14ac:dyDescent="0.55000000000000004">
      <c r="A1254" s="12" t="s">
        <v>2860</v>
      </c>
      <c r="B1254" s="12" t="s">
        <v>4298</v>
      </c>
      <c r="C1254" s="12" t="s">
        <v>2661</v>
      </c>
      <c r="D1254" s="12" t="s">
        <v>4752</v>
      </c>
      <c r="E1254" s="12" t="s">
        <v>2667</v>
      </c>
      <c r="F1254" s="12" t="s">
        <v>5310</v>
      </c>
      <c r="G1254" s="12" t="s">
        <v>2668</v>
      </c>
      <c r="H1254" s="12" t="s">
        <v>4360</v>
      </c>
      <c r="I1254" s="12" t="s">
        <v>3059</v>
      </c>
      <c r="J1254" s="12" t="s">
        <v>3087</v>
      </c>
      <c r="K1254" s="12" t="s">
        <v>5311</v>
      </c>
      <c r="L1254" s="13">
        <v>9</v>
      </c>
    </row>
    <row r="1255" spans="1:12" hidden="1" x14ac:dyDescent="0.55000000000000004">
      <c r="A1255" s="12" t="s">
        <v>2860</v>
      </c>
      <c r="B1255" s="12" t="s">
        <v>4298</v>
      </c>
      <c r="C1255" s="12" t="s">
        <v>2661</v>
      </c>
      <c r="D1255" s="12" t="s">
        <v>4752</v>
      </c>
      <c r="E1255" s="12" t="s">
        <v>4747</v>
      </c>
      <c r="F1255" s="12" t="s">
        <v>4748</v>
      </c>
      <c r="G1255" s="12" t="s">
        <v>4749</v>
      </c>
      <c r="H1255" s="12" t="s">
        <v>4360</v>
      </c>
      <c r="I1255" s="12" t="s">
        <v>3059</v>
      </c>
      <c r="J1255" s="12" t="s">
        <v>3087</v>
      </c>
      <c r="K1255" s="12" t="s">
        <v>4750</v>
      </c>
      <c r="L1255" s="13">
        <v>9</v>
      </c>
    </row>
    <row r="1256" spans="1:12" hidden="1" x14ac:dyDescent="0.55000000000000004">
      <c r="A1256" s="12" t="s">
        <v>3048</v>
      </c>
      <c r="B1256" s="12" t="s">
        <v>4486</v>
      </c>
      <c r="C1256" s="12" t="s">
        <v>2671</v>
      </c>
      <c r="D1256" s="12" t="s">
        <v>4752</v>
      </c>
      <c r="E1256" s="12" t="s">
        <v>2669</v>
      </c>
      <c r="F1256" s="12" t="s">
        <v>826</v>
      </c>
      <c r="G1256" s="12" t="s">
        <v>2670</v>
      </c>
      <c r="H1256" s="12" t="s">
        <v>5312</v>
      </c>
      <c r="I1256" s="12" t="s">
        <v>3075</v>
      </c>
      <c r="J1256" s="12" t="s">
        <v>3090</v>
      </c>
      <c r="K1256" s="12" t="s">
        <v>4209</v>
      </c>
      <c r="L1256" s="13" t="s">
        <v>3075</v>
      </c>
    </row>
    <row r="1257" spans="1:12" hidden="1" x14ac:dyDescent="0.55000000000000004">
      <c r="A1257" s="12" t="s">
        <v>3048</v>
      </c>
      <c r="B1257" s="12" t="s">
        <v>4486</v>
      </c>
      <c r="C1257" s="12" t="s">
        <v>2671</v>
      </c>
      <c r="D1257" s="12" t="s">
        <v>4752</v>
      </c>
      <c r="E1257" s="12" t="s">
        <v>2672</v>
      </c>
      <c r="F1257" s="12" t="s">
        <v>2673</v>
      </c>
      <c r="G1257" s="12" t="s">
        <v>2674</v>
      </c>
      <c r="H1257" s="12" t="s">
        <v>5312</v>
      </c>
      <c r="I1257" s="12" t="s">
        <v>3075</v>
      </c>
      <c r="J1257" s="12" t="s">
        <v>3090</v>
      </c>
      <c r="K1257" s="12" t="s">
        <v>4210</v>
      </c>
      <c r="L1257" s="13" t="s">
        <v>3075</v>
      </c>
    </row>
    <row r="1258" spans="1:12" hidden="1" x14ac:dyDescent="0.55000000000000004">
      <c r="A1258" s="12" t="s">
        <v>3048</v>
      </c>
      <c r="B1258" s="12" t="s">
        <v>4486</v>
      </c>
      <c r="C1258" s="12" t="s">
        <v>2671</v>
      </c>
      <c r="D1258" s="12" t="s">
        <v>4752</v>
      </c>
      <c r="E1258" s="12" t="s">
        <v>2675</v>
      </c>
      <c r="F1258" s="12" t="s">
        <v>1920</v>
      </c>
      <c r="G1258" s="12" t="s">
        <v>2676</v>
      </c>
      <c r="H1258" s="12" t="s">
        <v>5312</v>
      </c>
      <c r="I1258" s="12" t="s">
        <v>3075</v>
      </c>
      <c r="J1258" s="12" t="s">
        <v>3090</v>
      </c>
      <c r="K1258" s="12" t="s">
        <v>4211</v>
      </c>
      <c r="L1258" s="13" t="s">
        <v>3075</v>
      </c>
    </row>
    <row r="1259" spans="1:12" hidden="1" x14ac:dyDescent="0.55000000000000004">
      <c r="A1259" s="12" t="s">
        <v>3048</v>
      </c>
      <c r="B1259" s="12" t="s">
        <v>4486</v>
      </c>
      <c r="C1259" s="12" t="s">
        <v>2671</v>
      </c>
      <c r="D1259" s="12" t="s">
        <v>4752</v>
      </c>
      <c r="E1259" s="12" t="s">
        <v>2677</v>
      </c>
      <c r="F1259" s="12" t="s">
        <v>2678</v>
      </c>
      <c r="G1259" s="12" t="s">
        <v>2679</v>
      </c>
      <c r="H1259" s="12" t="s">
        <v>5312</v>
      </c>
      <c r="I1259" s="12" t="s">
        <v>3075</v>
      </c>
      <c r="J1259" s="12" t="s">
        <v>3090</v>
      </c>
      <c r="K1259" s="12" t="s">
        <v>4212</v>
      </c>
      <c r="L1259" s="13" t="s">
        <v>3075</v>
      </c>
    </row>
    <row r="1260" spans="1:12" hidden="1" x14ac:dyDescent="0.55000000000000004">
      <c r="A1260" s="12" t="s">
        <v>3048</v>
      </c>
      <c r="B1260" s="12" t="s">
        <v>4486</v>
      </c>
      <c r="C1260" s="12" t="s">
        <v>2671</v>
      </c>
      <c r="D1260" s="12" t="s">
        <v>4752</v>
      </c>
      <c r="E1260" s="12" t="s">
        <v>2680</v>
      </c>
      <c r="F1260" s="12" t="s">
        <v>2681</v>
      </c>
      <c r="G1260" s="12" t="s">
        <v>2682</v>
      </c>
      <c r="H1260" s="12" t="s">
        <v>5312</v>
      </c>
      <c r="I1260" s="12" t="s">
        <v>3075</v>
      </c>
      <c r="J1260" s="12" t="s">
        <v>3090</v>
      </c>
      <c r="K1260" s="12" t="s">
        <v>4213</v>
      </c>
      <c r="L1260" s="13" t="s">
        <v>3075</v>
      </c>
    </row>
    <row r="1261" spans="1:12" hidden="1" x14ac:dyDescent="0.55000000000000004">
      <c r="A1261" s="12" t="s">
        <v>3048</v>
      </c>
      <c r="B1261" s="12" t="s">
        <v>4486</v>
      </c>
      <c r="C1261" s="12" t="s">
        <v>2671</v>
      </c>
      <c r="D1261" s="12" t="s">
        <v>4752</v>
      </c>
      <c r="E1261" s="12" t="s">
        <v>2683</v>
      </c>
      <c r="F1261" s="12" t="s">
        <v>2222</v>
      </c>
      <c r="G1261" s="12" t="s">
        <v>2135</v>
      </c>
      <c r="H1261" s="12" t="s">
        <v>5312</v>
      </c>
      <c r="I1261" s="12" t="s">
        <v>3075</v>
      </c>
      <c r="J1261" s="12" t="s">
        <v>3090</v>
      </c>
      <c r="K1261" s="12" t="s">
        <v>4214</v>
      </c>
      <c r="L1261" s="13" t="s">
        <v>3075</v>
      </c>
    </row>
    <row r="1262" spans="1:12" hidden="1" x14ac:dyDescent="0.55000000000000004">
      <c r="A1262" s="12" t="s">
        <v>3048</v>
      </c>
      <c r="B1262" s="12" t="s">
        <v>4486</v>
      </c>
      <c r="C1262" s="12" t="s">
        <v>2671</v>
      </c>
      <c r="D1262" s="12" t="s">
        <v>4752</v>
      </c>
      <c r="E1262" s="12" t="s">
        <v>2684</v>
      </c>
      <c r="F1262" s="12" t="s">
        <v>2685</v>
      </c>
      <c r="G1262" s="12" t="s">
        <v>2686</v>
      </c>
      <c r="H1262" s="12" t="s">
        <v>5312</v>
      </c>
      <c r="I1262" s="12" t="s">
        <v>3075</v>
      </c>
      <c r="J1262" s="12" t="s">
        <v>3090</v>
      </c>
      <c r="K1262" s="12" t="s">
        <v>4215</v>
      </c>
      <c r="L1262" s="13" t="s">
        <v>3075</v>
      </c>
    </row>
    <row r="1263" spans="1:12" hidden="1" x14ac:dyDescent="0.55000000000000004">
      <c r="A1263" s="12" t="s">
        <v>3048</v>
      </c>
      <c r="B1263" s="12" t="s">
        <v>4486</v>
      </c>
      <c r="C1263" s="12" t="s">
        <v>2671</v>
      </c>
      <c r="D1263" s="12" t="s">
        <v>4752</v>
      </c>
      <c r="E1263" s="12" t="s">
        <v>2687</v>
      </c>
      <c r="F1263" s="12" t="s">
        <v>686</v>
      </c>
      <c r="G1263" s="12" t="s">
        <v>2688</v>
      </c>
      <c r="H1263" s="12" t="s">
        <v>5312</v>
      </c>
      <c r="I1263" s="12" t="s">
        <v>3075</v>
      </c>
      <c r="J1263" s="12" t="s">
        <v>3090</v>
      </c>
      <c r="K1263" s="12" t="s">
        <v>4216</v>
      </c>
      <c r="L1263" s="13" t="s">
        <v>3075</v>
      </c>
    </row>
    <row r="1264" spans="1:12" hidden="1" x14ac:dyDescent="0.55000000000000004">
      <c r="A1264" s="12" t="s">
        <v>3048</v>
      </c>
      <c r="B1264" s="12" t="s">
        <v>4486</v>
      </c>
      <c r="C1264" s="12" t="s">
        <v>2671</v>
      </c>
      <c r="D1264" s="12" t="s">
        <v>4752</v>
      </c>
      <c r="E1264" s="12" t="s">
        <v>2689</v>
      </c>
      <c r="F1264" s="12" t="s">
        <v>2690</v>
      </c>
      <c r="G1264" s="12" t="s">
        <v>2691</v>
      </c>
      <c r="H1264" s="12" t="s">
        <v>5312</v>
      </c>
      <c r="I1264" s="12" t="s">
        <v>3075</v>
      </c>
      <c r="J1264" s="12" t="s">
        <v>3090</v>
      </c>
      <c r="K1264" s="12" t="s">
        <v>4217</v>
      </c>
      <c r="L1264" s="13" t="s">
        <v>3075</v>
      </c>
    </row>
    <row r="1265" spans="1:12" hidden="1" x14ac:dyDescent="0.55000000000000004">
      <c r="A1265" s="12" t="s">
        <v>3048</v>
      </c>
      <c r="B1265" s="12" t="s">
        <v>4486</v>
      </c>
      <c r="C1265" s="12" t="s">
        <v>2671</v>
      </c>
      <c r="D1265" s="12" t="s">
        <v>4752</v>
      </c>
      <c r="E1265" s="12" t="s">
        <v>6149</v>
      </c>
      <c r="F1265" s="12" t="s">
        <v>254</v>
      </c>
      <c r="G1265" s="12" t="s">
        <v>6150</v>
      </c>
      <c r="H1265" s="12" t="s">
        <v>5312</v>
      </c>
      <c r="I1265" s="12" t="s">
        <v>3075</v>
      </c>
      <c r="J1265" s="12" t="s">
        <v>3090</v>
      </c>
      <c r="K1265" s="12" t="s">
        <v>6151</v>
      </c>
      <c r="L1265" s="13" t="s">
        <v>3075</v>
      </c>
    </row>
    <row r="1266" spans="1:12" hidden="1" x14ac:dyDescent="0.55000000000000004">
      <c r="A1266" s="12" t="s">
        <v>3048</v>
      </c>
      <c r="B1266" s="12" t="s">
        <v>4486</v>
      </c>
      <c r="C1266" s="12" t="s">
        <v>2671</v>
      </c>
      <c r="D1266" s="12" t="s">
        <v>4752</v>
      </c>
      <c r="E1266" s="12" t="s">
        <v>6152</v>
      </c>
      <c r="F1266" s="12" t="s">
        <v>6153</v>
      </c>
      <c r="G1266" s="12" t="s">
        <v>6154</v>
      </c>
      <c r="H1266" s="12" t="s">
        <v>5312</v>
      </c>
      <c r="I1266" s="12" t="s">
        <v>3075</v>
      </c>
      <c r="J1266" s="12" t="s">
        <v>3090</v>
      </c>
      <c r="K1266" s="12" t="s">
        <v>6155</v>
      </c>
      <c r="L1266" s="13" t="s">
        <v>3075</v>
      </c>
    </row>
    <row r="1267" spans="1:12" hidden="1" x14ac:dyDescent="0.55000000000000004">
      <c r="A1267" s="12" t="s">
        <v>3048</v>
      </c>
      <c r="B1267" s="12" t="s">
        <v>4486</v>
      </c>
      <c r="C1267" s="12" t="s">
        <v>2671</v>
      </c>
      <c r="D1267" s="12" t="s">
        <v>4752</v>
      </c>
      <c r="E1267" s="12" t="s">
        <v>6156</v>
      </c>
      <c r="F1267" s="12" t="s">
        <v>6157</v>
      </c>
      <c r="G1267" s="12" t="s">
        <v>6158</v>
      </c>
      <c r="H1267" s="12" t="s">
        <v>5312</v>
      </c>
      <c r="I1267" s="12" t="s">
        <v>3075</v>
      </c>
      <c r="J1267" s="12" t="s">
        <v>3090</v>
      </c>
      <c r="K1267" s="12" t="s">
        <v>6159</v>
      </c>
      <c r="L1267" s="13" t="s">
        <v>3075</v>
      </c>
    </row>
    <row r="1268" spans="1:12" hidden="1" x14ac:dyDescent="0.55000000000000004">
      <c r="A1268" s="12" t="s">
        <v>3048</v>
      </c>
      <c r="B1268" s="12" t="s">
        <v>4486</v>
      </c>
      <c r="C1268" s="12" t="s">
        <v>2671</v>
      </c>
      <c r="D1268" s="12" t="s">
        <v>4752</v>
      </c>
      <c r="E1268" s="12" t="s">
        <v>6160</v>
      </c>
      <c r="F1268" s="12" t="s">
        <v>6161</v>
      </c>
      <c r="G1268" s="12" t="s">
        <v>6162</v>
      </c>
      <c r="H1268" s="12" t="s">
        <v>5312</v>
      </c>
      <c r="I1268" s="12" t="s">
        <v>3075</v>
      </c>
      <c r="J1268" s="12" t="s">
        <v>3090</v>
      </c>
      <c r="K1268" s="12" t="s">
        <v>6163</v>
      </c>
      <c r="L1268" s="13" t="s">
        <v>3075</v>
      </c>
    </row>
    <row r="1269" spans="1:12" hidden="1" x14ac:dyDescent="0.55000000000000004">
      <c r="A1269" s="12" t="s">
        <v>3048</v>
      </c>
      <c r="B1269" s="12" t="s">
        <v>4486</v>
      </c>
      <c r="C1269" s="12" t="s">
        <v>2671</v>
      </c>
      <c r="D1269" s="12" t="s">
        <v>4752</v>
      </c>
      <c r="E1269" s="12" t="s">
        <v>6164</v>
      </c>
      <c r="F1269" s="12" t="s">
        <v>6165</v>
      </c>
      <c r="G1269" s="12" t="s">
        <v>6166</v>
      </c>
      <c r="H1269" s="12" t="s">
        <v>5312</v>
      </c>
      <c r="I1269" s="12" t="s">
        <v>3075</v>
      </c>
      <c r="J1269" s="12" t="s">
        <v>3090</v>
      </c>
      <c r="K1269" s="12" t="s">
        <v>6167</v>
      </c>
      <c r="L1269" s="13" t="s">
        <v>3075</v>
      </c>
    </row>
    <row r="1270" spans="1:12" hidden="1" x14ac:dyDescent="0.55000000000000004">
      <c r="A1270" s="12" t="s">
        <v>3048</v>
      </c>
      <c r="B1270" s="12" t="s">
        <v>4486</v>
      </c>
      <c r="C1270" s="12" t="s">
        <v>2671</v>
      </c>
      <c r="D1270" s="12" t="s">
        <v>4752</v>
      </c>
      <c r="E1270" s="12" t="s">
        <v>6168</v>
      </c>
      <c r="F1270" s="12" t="s">
        <v>826</v>
      </c>
      <c r="G1270" s="12" t="s">
        <v>6169</v>
      </c>
      <c r="H1270" s="12" t="s">
        <v>5312</v>
      </c>
      <c r="I1270" s="12" t="s">
        <v>3075</v>
      </c>
      <c r="J1270" s="12" t="s">
        <v>3090</v>
      </c>
      <c r="K1270" s="12" t="s">
        <v>6170</v>
      </c>
      <c r="L1270" s="13" t="s">
        <v>3075</v>
      </c>
    </row>
    <row r="1271" spans="1:12" hidden="1" x14ac:dyDescent="0.55000000000000004">
      <c r="A1271" s="12" t="s">
        <v>3048</v>
      </c>
      <c r="B1271" s="12" t="s">
        <v>4486</v>
      </c>
      <c r="C1271" s="12" t="s">
        <v>2671</v>
      </c>
      <c r="D1271" s="12" t="s">
        <v>4752</v>
      </c>
      <c r="E1271" s="12" t="s">
        <v>6171</v>
      </c>
      <c r="F1271" s="12" t="s">
        <v>6172</v>
      </c>
      <c r="G1271" s="12" t="s">
        <v>6173</v>
      </c>
      <c r="H1271" s="12" t="s">
        <v>5312</v>
      </c>
      <c r="I1271" s="12" t="s">
        <v>3075</v>
      </c>
      <c r="J1271" s="12" t="s">
        <v>3090</v>
      </c>
      <c r="K1271" s="12" t="s">
        <v>6174</v>
      </c>
      <c r="L1271" s="13" t="s">
        <v>3075</v>
      </c>
    </row>
    <row r="1272" spans="1:12" hidden="1" x14ac:dyDescent="0.55000000000000004">
      <c r="A1272" s="12" t="s">
        <v>3048</v>
      </c>
      <c r="B1272" s="12" t="s">
        <v>4486</v>
      </c>
      <c r="C1272" s="12" t="s">
        <v>2671</v>
      </c>
      <c r="D1272" s="12" t="s">
        <v>4752</v>
      </c>
      <c r="E1272" s="12" t="s">
        <v>6175</v>
      </c>
      <c r="F1272" s="12" t="s">
        <v>6176</v>
      </c>
      <c r="G1272" s="12" t="s">
        <v>6177</v>
      </c>
      <c r="H1272" s="12" t="s">
        <v>5312</v>
      </c>
      <c r="I1272" s="12" t="s">
        <v>3075</v>
      </c>
      <c r="J1272" s="12" t="s">
        <v>3090</v>
      </c>
      <c r="K1272" s="12" t="s">
        <v>6178</v>
      </c>
      <c r="L1272" s="13" t="s">
        <v>3075</v>
      </c>
    </row>
    <row r="1273" spans="1:12" hidden="1" x14ac:dyDescent="0.55000000000000004">
      <c r="A1273" s="12" t="s">
        <v>3048</v>
      </c>
      <c r="B1273" s="12" t="s">
        <v>4486</v>
      </c>
      <c r="C1273" s="12" t="s">
        <v>2671</v>
      </c>
      <c r="D1273" s="12" t="s">
        <v>4752</v>
      </c>
      <c r="E1273" s="12" t="s">
        <v>6179</v>
      </c>
      <c r="F1273" s="12" t="s">
        <v>1336</v>
      </c>
      <c r="G1273" s="12" t="s">
        <v>6180</v>
      </c>
      <c r="H1273" s="12" t="s">
        <v>5312</v>
      </c>
      <c r="I1273" s="12" t="s">
        <v>3075</v>
      </c>
      <c r="J1273" s="12" t="s">
        <v>3090</v>
      </c>
      <c r="K1273" s="12" t="s">
        <v>6181</v>
      </c>
      <c r="L1273" s="13" t="s">
        <v>3075</v>
      </c>
    </row>
    <row r="1274" spans="1:12" hidden="1" x14ac:dyDescent="0.55000000000000004">
      <c r="A1274" s="12" t="s">
        <v>3048</v>
      </c>
      <c r="B1274" s="12" t="s">
        <v>4486</v>
      </c>
      <c r="C1274" s="12" t="s">
        <v>2671</v>
      </c>
      <c r="D1274" s="12" t="s">
        <v>4752</v>
      </c>
      <c r="E1274" s="12" t="s">
        <v>6182</v>
      </c>
      <c r="F1274" s="12" t="s">
        <v>225</v>
      </c>
      <c r="G1274" s="12" t="s">
        <v>6183</v>
      </c>
      <c r="H1274" s="12" t="s">
        <v>5312</v>
      </c>
      <c r="I1274" s="12" t="s">
        <v>3075</v>
      </c>
      <c r="J1274" s="12" t="s">
        <v>3090</v>
      </c>
      <c r="K1274" s="12" t="s">
        <v>6184</v>
      </c>
      <c r="L1274" s="13" t="s">
        <v>3075</v>
      </c>
    </row>
    <row r="1275" spans="1:12" hidden="1" x14ac:dyDescent="0.55000000000000004">
      <c r="A1275" s="12" t="s">
        <v>3048</v>
      </c>
      <c r="B1275" s="12" t="s">
        <v>4486</v>
      </c>
      <c r="C1275" s="12" t="s">
        <v>2671</v>
      </c>
      <c r="D1275" s="12" t="s">
        <v>4752</v>
      </c>
      <c r="E1275" s="12" t="s">
        <v>6185</v>
      </c>
      <c r="F1275" s="12" t="s">
        <v>6186</v>
      </c>
      <c r="G1275" s="12" t="s">
        <v>6187</v>
      </c>
      <c r="H1275" s="12" t="s">
        <v>5312</v>
      </c>
      <c r="I1275" s="12" t="s">
        <v>3075</v>
      </c>
      <c r="J1275" s="12" t="s">
        <v>3090</v>
      </c>
      <c r="K1275" s="12" t="s">
        <v>6188</v>
      </c>
      <c r="L1275" s="13" t="s">
        <v>3075</v>
      </c>
    </row>
    <row r="1276" spans="1:12" hidden="1" x14ac:dyDescent="0.55000000000000004">
      <c r="A1276" s="12" t="s">
        <v>2997</v>
      </c>
      <c r="B1276" s="12" t="s">
        <v>4486</v>
      </c>
      <c r="C1276" s="12" t="s">
        <v>5313</v>
      </c>
      <c r="D1276" s="12" t="s">
        <v>4752</v>
      </c>
      <c r="E1276" s="12" t="s">
        <v>2703</v>
      </c>
      <c r="F1276" s="12" t="s">
        <v>2704</v>
      </c>
      <c r="G1276" s="12" t="s">
        <v>2705</v>
      </c>
      <c r="H1276" s="12" t="s">
        <v>5314</v>
      </c>
      <c r="I1276" s="12" t="s">
        <v>3059</v>
      </c>
      <c r="J1276" s="12" t="s">
        <v>3089</v>
      </c>
      <c r="K1276" s="12" t="s">
        <v>4221</v>
      </c>
      <c r="L1276" s="13">
        <v>8</v>
      </c>
    </row>
    <row r="1277" spans="1:12" hidden="1" x14ac:dyDescent="0.55000000000000004">
      <c r="A1277" s="12" t="s">
        <v>2997</v>
      </c>
      <c r="B1277" s="12" t="s">
        <v>4486</v>
      </c>
      <c r="C1277" s="12" t="s">
        <v>5313</v>
      </c>
      <c r="D1277" s="12" t="s">
        <v>4752</v>
      </c>
      <c r="E1277" s="12" t="s">
        <v>2706</v>
      </c>
      <c r="F1277" s="12" t="s">
        <v>1393</v>
      </c>
      <c r="G1277" s="12" t="s">
        <v>2707</v>
      </c>
      <c r="H1277" s="12" t="s">
        <v>5314</v>
      </c>
      <c r="I1277" s="12" t="s">
        <v>3059</v>
      </c>
      <c r="J1277" s="12" t="s">
        <v>3089</v>
      </c>
      <c r="K1277" s="12" t="s">
        <v>4222</v>
      </c>
      <c r="L1277" s="13">
        <v>8</v>
      </c>
    </row>
    <row r="1278" spans="1:12" hidden="1" x14ac:dyDescent="0.55000000000000004">
      <c r="A1278" s="12" t="s">
        <v>2997</v>
      </c>
      <c r="B1278" s="12" t="s">
        <v>4486</v>
      </c>
      <c r="C1278" s="12" t="s">
        <v>5313</v>
      </c>
      <c r="D1278" s="12" t="s">
        <v>4752</v>
      </c>
      <c r="E1278" s="12" t="s">
        <v>6189</v>
      </c>
      <c r="F1278" s="12" t="s">
        <v>6190</v>
      </c>
      <c r="G1278" s="12" t="s">
        <v>6191</v>
      </c>
      <c r="H1278" s="12" t="s">
        <v>5314</v>
      </c>
      <c r="I1278" s="12" t="s">
        <v>3075</v>
      </c>
      <c r="J1278" s="12" t="s">
        <v>3089</v>
      </c>
      <c r="K1278" s="12" t="s">
        <v>6192</v>
      </c>
      <c r="L1278" s="13" t="s">
        <v>3075</v>
      </c>
    </row>
    <row r="1279" spans="1:12" hidden="1" x14ac:dyDescent="0.55000000000000004">
      <c r="A1279" s="12" t="s">
        <v>2997</v>
      </c>
      <c r="B1279" s="12" t="s">
        <v>4486</v>
      </c>
      <c r="C1279" s="12" t="s">
        <v>5313</v>
      </c>
      <c r="D1279" s="12" t="s">
        <v>4752</v>
      </c>
      <c r="E1279" s="12" t="s">
        <v>6193</v>
      </c>
      <c r="F1279" s="12" t="s">
        <v>6194</v>
      </c>
      <c r="G1279" s="12" t="s">
        <v>6195</v>
      </c>
      <c r="H1279" s="12" t="s">
        <v>5314</v>
      </c>
      <c r="I1279" s="12" t="s">
        <v>3059</v>
      </c>
      <c r="J1279" s="12" t="s">
        <v>3089</v>
      </c>
      <c r="K1279" s="12" t="s">
        <v>6196</v>
      </c>
      <c r="L1279" s="13">
        <v>8</v>
      </c>
    </row>
    <row r="1280" spans="1:12" hidden="1" x14ac:dyDescent="0.55000000000000004">
      <c r="A1280" s="12" t="s">
        <v>2837</v>
      </c>
      <c r="B1280" s="12" t="s">
        <v>4298</v>
      </c>
      <c r="C1280" s="12" t="s">
        <v>2695</v>
      </c>
      <c r="D1280" s="12" t="s">
        <v>4752</v>
      </c>
      <c r="E1280" s="12" t="s">
        <v>2692</v>
      </c>
      <c r="F1280" s="12" t="s">
        <v>2693</v>
      </c>
      <c r="G1280" s="12" t="s">
        <v>2694</v>
      </c>
      <c r="H1280" s="12" t="s">
        <v>4331</v>
      </c>
      <c r="I1280" s="12" t="s">
        <v>3059</v>
      </c>
      <c r="J1280" s="12" t="s">
        <v>3087</v>
      </c>
      <c r="K1280" s="12" t="s">
        <v>4218</v>
      </c>
      <c r="L1280" s="13">
        <v>5</v>
      </c>
    </row>
    <row r="1281" spans="1:12" hidden="1" x14ac:dyDescent="0.55000000000000004">
      <c r="A1281" s="12" t="s">
        <v>2837</v>
      </c>
      <c r="B1281" s="12" t="s">
        <v>4298</v>
      </c>
      <c r="C1281" s="12" t="s">
        <v>2695</v>
      </c>
      <c r="D1281" s="12" t="s">
        <v>4752</v>
      </c>
      <c r="E1281" s="12" t="s">
        <v>2696</v>
      </c>
      <c r="F1281" s="12" t="s">
        <v>2697</v>
      </c>
      <c r="G1281" s="12" t="s">
        <v>2698</v>
      </c>
      <c r="H1281" s="12" t="s">
        <v>4331</v>
      </c>
      <c r="I1281" s="12" t="s">
        <v>3059</v>
      </c>
      <c r="J1281" s="12" t="s">
        <v>3087</v>
      </c>
      <c r="K1281" s="12" t="s">
        <v>4219</v>
      </c>
      <c r="L1281" s="13">
        <v>5</v>
      </c>
    </row>
    <row r="1282" spans="1:12" hidden="1" x14ac:dyDescent="0.55000000000000004">
      <c r="A1282" s="12" t="s">
        <v>2966</v>
      </c>
      <c r="B1282" s="12" t="s">
        <v>4486</v>
      </c>
      <c r="C1282" s="12" t="s">
        <v>5315</v>
      </c>
      <c r="D1282" s="12" t="s">
        <v>4752</v>
      </c>
      <c r="E1282" s="12" t="s">
        <v>2715</v>
      </c>
      <c r="F1282" s="12" t="s">
        <v>2716</v>
      </c>
      <c r="G1282" s="12" t="s">
        <v>2717</v>
      </c>
      <c r="H1282" s="12" t="s">
        <v>5316</v>
      </c>
      <c r="I1282" s="12" t="s">
        <v>3059</v>
      </c>
      <c r="J1282" s="12" t="s">
        <v>1071</v>
      </c>
      <c r="K1282" s="12" t="s">
        <v>4226</v>
      </c>
      <c r="L1282" s="13">
        <v>4</v>
      </c>
    </row>
    <row r="1283" spans="1:12" hidden="1" x14ac:dyDescent="0.55000000000000004">
      <c r="A1283" s="12" t="s">
        <v>2966</v>
      </c>
      <c r="B1283" s="12" t="s">
        <v>4486</v>
      </c>
      <c r="C1283" s="12" t="s">
        <v>5315</v>
      </c>
      <c r="D1283" s="12" t="s">
        <v>4752</v>
      </c>
      <c r="E1283" s="12" t="s">
        <v>2718</v>
      </c>
      <c r="F1283" s="12" t="s">
        <v>2719</v>
      </c>
      <c r="G1283" s="12" t="s">
        <v>2720</v>
      </c>
      <c r="H1283" s="12" t="s">
        <v>5316</v>
      </c>
      <c r="I1283" s="12" t="s">
        <v>3059</v>
      </c>
      <c r="J1283" s="12" t="s">
        <v>1071</v>
      </c>
      <c r="K1283" s="12" t="s">
        <v>4227</v>
      </c>
      <c r="L1283" s="13">
        <v>4</v>
      </c>
    </row>
    <row r="1284" spans="1:12" hidden="1" x14ac:dyDescent="0.55000000000000004">
      <c r="A1284" s="12" t="s">
        <v>2851</v>
      </c>
      <c r="B1284" s="12" t="s">
        <v>4298</v>
      </c>
      <c r="C1284" s="12" t="s">
        <v>5317</v>
      </c>
      <c r="D1284" s="12" t="s">
        <v>4752</v>
      </c>
      <c r="E1284" s="12" t="s">
        <v>2708</v>
      </c>
      <c r="F1284" s="12" t="s">
        <v>2709</v>
      </c>
      <c r="G1284" s="12" t="s">
        <v>2710</v>
      </c>
      <c r="H1284" s="12" t="s">
        <v>5318</v>
      </c>
      <c r="I1284" s="12" t="s">
        <v>3059</v>
      </c>
      <c r="J1284" s="12" t="s">
        <v>3087</v>
      </c>
      <c r="K1284" s="12" t="s">
        <v>4223</v>
      </c>
      <c r="L1284" s="13">
        <v>6</v>
      </c>
    </row>
    <row r="1285" spans="1:12" hidden="1" x14ac:dyDescent="0.55000000000000004">
      <c r="A1285" s="12" t="s">
        <v>2851</v>
      </c>
      <c r="B1285" s="12" t="s">
        <v>4298</v>
      </c>
      <c r="C1285" s="12" t="s">
        <v>5317</v>
      </c>
      <c r="D1285" s="12" t="s">
        <v>4752</v>
      </c>
      <c r="E1285" s="12" t="s">
        <v>2711</v>
      </c>
      <c r="F1285" s="12" t="s">
        <v>33</v>
      </c>
      <c r="G1285" s="12" t="s">
        <v>2712</v>
      </c>
      <c r="H1285" s="12" t="s">
        <v>5318</v>
      </c>
      <c r="I1285" s="12" t="s">
        <v>3059</v>
      </c>
      <c r="J1285" s="12" t="s">
        <v>3087</v>
      </c>
      <c r="K1285" s="12" t="s">
        <v>4224</v>
      </c>
      <c r="L1285" s="13">
        <v>6</v>
      </c>
    </row>
    <row r="1286" spans="1:12" hidden="1" x14ac:dyDescent="0.55000000000000004">
      <c r="A1286" s="12" t="s">
        <v>2851</v>
      </c>
      <c r="B1286" s="12" t="s">
        <v>4298</v>
      </c>
      <c r="C1286" s="12" t="s">
        <v>5317</v>
      </c>
      <c r="D1286" s="12" t="s">
        <v>4752</v>
      </c>
      <c r="E1286" s="12" t="s">
        <v>2713</v>
      </c>
      <c r="F1286" s="12" t="s">
        <v>3163</v>
      </c>
      <c r="G1286" s="12" t="s">
        <v>2714</v>
      </c>
      <c r="H1286" s="12" t="s">
        <v>5318</v>
      </c>
      <c r="I1286" s="12" t="s">
        <v>3059</v>
      </c>
      <c r="J1286" s="12" t="s">
        <v>3087</v>
      </c>
      <c r="K1286" s="12" t="s">
        <v>4225</v>
      </c>
      <c r="L1286" s="13">
        <v>6</v>
      </c>
    </row>
    <row r="1287" spans="1:12" hidden="1" x14ac:dyDescent="0.55000000000000004">
      <c r="A1287" s="12" t="s">
        <v>3007</v>
      </c>
      <c r="B1287" s="12" t="s">
        <v>4486</v>
      </c>
      <c r="C1287" s="12" t="s">
        <v>2723</v>
      </c>
      <c r="D1287" s="12" t="s">
        <v>4752</v>
      </c>
      <c r="E1287" s="12" t="s">
        <v>2721</v>
      </c>
      <c r="F1287" s="12" t="s">
        <v>541</v>
      </c>
      <c r="G1287" s="12" t="s">
        <v>2722</v>
      </c>
      <c r="H1287" s="12" t="s">
        <v>5319</v>
      </c>
      <c r="I1287" s="12" t="s">
        <v>3059</v>
      </c>
      <c r="J1287" s="12" t="s">
        <v>545</v>
      </c>
      <c r="K1287" s="12" t="s">
        <v>4228</v>
      </c>
      <c r="L1287" s="13">
        <v>2</v>
      </c>
    </row>
    <row r="1288" spans="1:12" hidden="1" x14ac:dyDescent="0.55000000000000004">
      <c r="A1288" s="12" t="s">
        <v>3007</v>
      </c>
      <c r="B1288" s="12" t="s">
        <v>4486</v>
      </c>
      <c r="C1288" s="12" t="s">
        <v>2723</v>
      </c>
      <c r="D1288" s="12" t="s">
        <v>4752</v>
      </c>
      <c r="E1288" s="12" t="s">
        <v>2724</v>
      </c>
      <c r="F1288" s="12" t="s">
        <v>1972</v>
      </c>
      <c r="G1288" s="12" t="s">
        <v>2725</v>
      </c>
      <c r="H1288" s="12" t="s">
        <v>5319</v>
      </c>
      <c r="I1288" s="12" t="s">
        <v>3059</v>
      </c>
      <c r="J1288" s="12" t="s">
        <v>545</v>
      </c>
      <c r="K1288" s="12" t="s">
        <v>4229</v>
      </c>
      <c r="L1288" s="13">
        <v>6</v>
      </c>
    </row>
    <row r="1289" spans="1:12" hidden="1" x14ac:dyDescent="0.55000000000000004">
      <c r="A1289" s="12" t="s">
        <v>3007</v>
      </c>
      <c r="B1289" s="12" t="s">
        <v>4486</v>
      </c>
      <c r="C1289" s="12" t="s">
        <v>2723</v>
      </c>
      <c r="D1289" s="12" t="s">
        <v>4752</v>
      </c>
      <c r="E1289" s="12" t="s">
        <v>2726</v>
      </c>
      <c r="F1289" s="12" t="s">
        <v>2727</v>
      </c>
      <c r="G1289" s="12" t="s">
        <v>2728</v>
      </c>
      <c r="H1289" s="12" t="s">
        <v>5319</v>
      </c>
      <c r="I1289" s="12" t="s">
        <v>3059</v>
      </c>
      <c r="J1289" s="12" t="s">
        <v>545</v>
      </c>
      <c r="K1289" s="12" t="s">
        <v>4230</v>
      </c>
      <c r="L1289" s="13">
        <v>6</v>
      </c>
    </row>
    <row r="1290" spans="1:12" hidden="1" x14ac:dyDescent="0.55000000000000004">
      <c r="A1290" s="12" t="s">
        <v>3007</v>
      </c>
      <c r="B1290" s="12" t="s">
        <v>4486</v>
      </c>
      <c r="C1290" s="12" t="s">
        <v>2723</v>
      </c>
      <c r="D1290" s="12" t="s">
        <v>4752</v>
      </c>
      <c r="E1290" s="12" t="s">
        <v>2729</v>
      </c>
      <c r="F1290" s="12" t="s">
        <v>400</v>
      </c>
      <c r="G1290" s="12" t="s">
        <v>2730</v>
      </c>
      <c r="H1290" s="12" t="s">
        <v>5319</v>
      </c>
      <c r="I1290" s="12" t="s">
        <v>3059</v>
      </c>
      <c r="J1290" s="12" t="s">
        <v>545</v>
      </c>
      <c r="K1290" s="12" t="s">
        <v>4231</v>
      </c>
      <c r="L1290" s="13">
        <v>6</v>
      </c>
    </row>
    <row r="1291" spans="1:12" hidden="1" x14ac:dyDescent="0.55000000000000004">
      <c r="A1291" s="12" t="s">
        <v>3007</v>
      </c>
      <c r="B1291" s="12" t="s">
        <v>4486</v>
      </c>
      <c r="C1291" s="12" t="s">
        <v>2723</v>
      </c>
      <c r="D1291" s="12" t="s">
        <v>4752</v>
      </c>
      <c r="E1291" s="12" t="s">
        <v>2731</v>
      </c>
      <c r="F1291" s="12" t="s">
        <v>2732</v>
      </c>
      <c r="G1291" s="12" t="s">
        <v>2733</v>
      </c>
      <c r="H1291" s="12" t="s">
        <v>5319</v>
      </c>
      <c r="I1291" s="12" t="s">
        <v>3059</v>
      </c>
      <c r="J1291" s="12" t="s">
        <v>545</v>
      </c>
      <c r="K1291" s="12" t="s">
        <v>4232</v>
      </c>
      <c r="L1291" s="13">
        <v>6</v>
      </c>
    </row>
    <row r="1292" spans="1:12" hidden="1" x14ac:dyDescent="0.55000000000000004">
      <c r="A1292" s="12" t="s">
        <v>3007</v>
      </c>
      <c r="B1292" s="12" t="s">
        <v>4486</v>
      </c>
      <c r="C1292" s="12" t="s">
        <v>2723</v>
      </c>
      <c r="D1292" s="12" t="s">
        <v>4752</v>
      </c>
      <c r="E1292" s="12" t="s">
        <v>2734</v>
      </c>
      <c r="F1292" s="12" t="s">
        <v>2735</v>
      </c>
      <c r="G1292" s="12" t="s">
        <v>2736</v>
      </c>
      <c r="H1292" s="12" t="s">
        <v>5319</v>
      </c>
      <c r="I1292" s="12" t="s">
        <v>3059</v>
      </c>
      <c r="J1292" s="12" t="s">
        <v>545</v>
      </c>
      <c r="K1292" s="12" t="s">
        <v>4233</v>
      </c>
      <c r="L1292" s="13">
        <v>6</v>
      </c>
    </row>
    <row r="1293" spans="1:12" hidden="1" x14ac:dyDescent="0.55000000000000004">
      <c r="A1293" s="12" t="s">
        <v>3007</v>
      </c>
      <c r="B1293" s="12" t="s">
        <v>4486</v>
      </c>
      <c r="C1293" s="12" t="s">
        <v>2723</v>
      </c>
      <c r="D1293" s="12" t="s">
        <v>4752</v>
      </c>
      <c r="E1293" s="12" t="s">
        <v>2737</v>
      </c>
      <c r="F1293" s="12" t="s">
        <v>1970</v>
      </c>
      <c r="G1293" s="12" t="s">
        <v>2738</v>
      </c>
      <c r="H1293" s="12" t="s">
        <v>5319</v>
      </c>
      <c r="I1293" s="12" t="s">
        <v>3059</v>
      </c>
      <c r="J1293" s="12" t="s">
        <v>545</v>
      </c>
      <c r="K1293" s="12" t="s">
        <v>4234</v>
      </c>
      <c r="L1293" s="13">
        <v>6</v>
      </c>
    </row>
    <row r="1294" spans="1:12" hidden="1" x14ac:dyDescent="0.55000000000000004">
      <c r="A1294" s="12" t="s">
        <v>3007</v>
      </c>
      <c r="B1294" s="12" t="s">
        <v>4486</v>
      </c>
      <c r="C1294" s="12" t="s">
        <v>2723</v>
      </c>
      <c r="D1294" s="12" t="s">
        <v>4752</v>
      </c>
      <c r="E1294" s="12" t="s">
        <v>2739</v>
      </c>
      <c r="F1294" s="12" t="s">
        <v>1972</v>
      </c>
      <c r="G1294" s="12" t="s">
        <v>2740</v>
      </c>
      <c r="H1294" s="12" t="s">
        <v>5319</v>
      </c>
      <c r="I1294" s="12" t="s">
        <v>3075</v>
      </c>
      <c r="J1294" s="12" t="s">
        <v>545</v>
      </c>
      <c r="K1294" s="12" t="s">
        <v>4235</v>
      </c>
      <c r="L1294" s="13" t="s">
        <v>3075</v>
      </c>
    </row>
    <row r="1295" spans="1:12" hidden="1" x14ac:dyDescent="0.55000000000000004">
      <c r="A1295" s="12" t="s">
        <v>2861</v>
      </c>
      <c r="B1295" s="12" t="s">
        <v>4298</v>
      </c>
      <c r="C1295" s="12" t="s">
        <v>5320</v>
      </c>
      <c r="D1295" s="12" t="s">
        <v>4752</v>
      </c>
      <c r="E1295" s="12" t="s">
        <v>5321</v>
      </c>
      <c r="F1295" s="12" t="s">
        <v>30</v>
      </c>
      <c r="G1295" s="12" t="s">
        <v>31</v>
      </c>
      <c r="H1295" s="12" t="s">
        <v>4361</v>
      </c>
      <c r="I1295" s="12" t="s">
        <v>3059</v>
      </c>
      <c r="J1295" s="12" t="s">
        <v>689</v>
      </c>
      <c r="K1295" s="12" t="s">
        <v>3256</v>
      </c>
      <c r="L1295" s="13">
        <v>3</v>
      </c>
    </row>
    <row r="1296" spans="1:12" hidden="1" x14ac:dyDescent="0.55000000000000004">
      <c r="A1296" s="12" t="s">
        <v>2861</v>
      </c>
      <c r="B1296" s="12" t="s">
        <v>4298</v>
      </c>
      <c r="C1296" s="12" t="s">
        <v>5320</v>
      </c>
      <c r="D1296" s="12" t="s">
        <v>4752</v>
      </c>
      <c r="E1296" s="12" t="s">
        <v>6197</v>
      </c>
      <c r="F1296" s="12" t="s">
        <v>260</v>
      </c>
      <c r="G1296" s="12" t="s">
        <v>6198</v>
      </c>
      <c r="H1296" s="12" t="s">
        <v>4361</v>
      </c>
      <c r="I1296" s="12" t="s">
        <v>3059</v>
      </c>
      <c r="J1296" s="12" t="s">
        <v>689</v>
      </c>
      <c r="K1296" s="12" t="s">
        <v>6199</v>
      </c>
      <c r="L1296" s="13">
        <v>8</v>
      </c>
    </row>
    <row r="1297" spans="1:12" hidden="1" x14ac:dyDescent="0.55000000000000004">
      <c r="A1297" s="12" t="s">
        <v>2877</v>
      </c>
      <c r="B1297" s="12" t="s">
        <v>4374</v>
      </c>
      <c r="C1297" s="12" t="s">
        <v>5243</v>
      </c>
      <c r="D1297" s="12" t="s">
        <v>4752</v>
      </c>
      <c r="E1297" s="12" t="s">
        <v>1791</v>
      </c>
      <c r="F1297" s="12" t="s">
        <v>1205</v>
      </c>
      <c r="G1297" s="12" t="s">
        <v>1792</v>
      </c>
      <c r="H1297" s="12" t="s">
        <v>4381</v>
      </c>
      <c r="I1297" s="12" t="s">
        <v>3075</v>
      </c>
      <c r="J1297" s="12" t="s">
        <v>3093</v>
      </c>
      <c r="K1297" s="12" t="s">
        <v>3877</v>
      </c>
      <c r="L1297" s="13" t="s">
        <v>3075</v>
      </c>
    </row>
    <row r="1298" spans="1:12" hidden="1" x14ac:dyDescent="0.55000000000000004">
      <c r="A1298" s="12" t="s">
        <v>2877</v>
      </c>
      <c r="B1298" s="12" t="s">
        <v>4374</v>
      </c>
      <c r="C1298" s="12" t="s">
        <v>5243</v>
      </c>
      <c r="D1298" s="12" t="s">
        <v>4752</v>
      </c>
      <c r="E1298" s="12" t="s">
        <v>1793</v>
      </c>
      <c r="F1298" s="12" t="s">
        <v>901</v>
      </c>
      <c r="G1298" s="12" t="s">
        <v>1794</v>
      </c>
      <c r="H1298" s="12" t="s">
        <v>4381</v>
      </c>
      <c r="I1298" s="12" t="s">
        <v>3075</v>
      </c>
      <c r="J1298" s="12" t="s">
        <v>3093</v>
      </c>
      <c r="K1298" s="12" t="s">
        <v>3878</v>
      </c>
      <c r="L1298" s="13" t="s">
        <v>3075</v>
      </c>
    </row>
    <row r="1299" spans="1:12" hidden="1" x14ac:dyDescent="0.55000000000000004">
      <c r="A1299" s="12" t="s">
        <v>2877</v>
      </c>
      <c r="B1299" s="12" t="s">
        <v>4374</v>
      </c>
      <c r="C1299" s="12" t="s">
        <v>5243</v>
      </c>
      <c r="D1299" s="12" t="s">
        <v>4752</v>
      </c>
      <c r="E1299" s="12" t="s">
        <v>1795</v>
      </c>
      <c r="F1299" s="12" t="s">
        <v>909</v>
      </c>
      <c r="G1299" s="12" t="s">
        <v>1796</v>
      </c>
      <c r="H1299" s="12" t="s">
        <v>4381</v>
      </c>
      <c r="I1299" s="12" t="s">
        <v>3075</v>
      </c>
      <c r="J1299" s="12" t="s">
        <v>3093</v>
      </c>
      <c r="K1299" s="12" t="s">
        <v>3879</v>
      </c>
      <c r="L1299" s="13" t="s">
        <v>3075</v>
      </c>
    </row>
    <row r="1300" spans="1:12" hidden="1" x14ac:dyDescent="0.55000000000000004">
      <c r="A1300" s="12" t="s">
        <v>2838</v>
      </c>
      <c r="B1300" s="12" t="s">
        <v>4298</v>
      </c>
      <c r="C1300" s="12" t="s">
        <v>2744</v>
      </c>
      <c r="D1300" s="12" t="s">
        <v>4752</v>
      </c>
      <c r="E1300" s="12" t="s">
        <v>2741</v>
      </c>
      <c r="F1300" s="12" t="s">
        <v>2742</v>
      </c>
      <c r="G1300" s="12" t="s">
        <v>2743</v>
      </c>
      <c r="H1300" s="12" t="s">
        <v>4332</v>
      </c>
      <c r="I1300" s="12" t="s">
        <v>3059</v>
      </c>
      <c r="J1300" s="12" t="s">
        <v>689</v>
      </c>
      <c r="K1300" s="12" t="s">
        <v>4236</v>
      </c>
      <c r="L1300" s="13">
        <v>6</v>
      </c>
    </row>
    <row r="1301" spans="1:12" hidden="1" x14ac:dyDescent="0.55000000000000004">
      <c r="A1301" s="12" t="s">
        <v>2838</v>
      </c>
      <c r="B1301" s="12" t="s">
        <v>4298</v>
      </c>
      <c r="C1301" s="12" t="s">
        <v>2744</v>
      </c>
      <c r="D1301" s="12" t="s">
        <v>4752</v>
      </c>
      <c r="E1301" s="12" t="s">
        <v>2745</v>
      </c>
      <c r="F1301" s="12" t="s">
        <v>2746</v>
      </c>
      <c r="G1301" s="12" t="s">
        <v>2747</v>
      </c>
      <c r="H1301" s="12" t="s">
        <v>4332</v>
      </c>
      <c r="I1301" s="12" t="s">
        <v>3059</v>
      </c>
      <c r="J1301" s="12" t="s">
        <v>689</v>
      </c>
      <c r="K1301" s="12" t="s">
        <v>4237</v>
      </c>
      <c r="L1301" s="13">
        <v>6</v>
      </c>
    </row>
    <row r="1302" spans="1:12" hidden="1" x14ac:dyDescent="0.55000000000000004">
      <c r="A1302" s="12" t="s">
        <v>2909</v>
      </c>
      <c r="B1302" s="12" t="s">
        <v>4422</v>
      </c>
      <c r="C1302" s="12" t="s">
        <v>5138</v>
      </c>
      <c r="D1302" s="12" t="s">
        <v>4752</v>
      </c>
      <c r="E1302" s="12" t="s">
        <v>1593</v>
      </c>
      <c r="F1302" s="12" t="s">
        <v>1594</v>
      </c>
      <c r="G1302" s="12" t="s">
        <v>1595</v>
      </c>
      <c r="H1302" s="12" t="s">
        <v>4426</v>
      </c>
      <c r="I1302" s="12" t="s">
        <v>3060</v>
      </c>
      <c r="J1302" s="12" t="s">
        <v>338</v>
      </c>
      <c r="K1302" s="12" t="s">
        <v>3799</v>
      </c>
      <c r="L1302" s="13">
        <v>5</v>
      </c>
    </row>
    <row r="1303" spans="1:12" hidden="1" x14ac:dyDescent="0.55000000000000004">
      <c r="A1303" s="12" t="s">
        <v>2909</v>
      </c>
      <c r="B1303" s="12" t="s">
        <v>4422</v>
      </c>
      <c r="C1303" s="12" t="s">
        <v>5138</v>
      </c>
      <c r="D1303" s="12" t="s">
        <v>4752</v>
      </c>
      <c r="E1303" s="12" t="s">
        <v>1622</v>
      </c>
      <c r="F1303" s="12" t="s">
        <v>1623</v>
      </c>
      <c r="G1303" s="12" t="s">
        <v>1624</v>
      </c>
      <c r="H1303" s="12" t="s">
        <v>4426</v>
      </c>
      <c r="I1303" s="12" t="s">
        <v>3059</v>
      </c>
      <c r="J1303" s="12" t="s">
        <v>338</v>
      </c>
      <c r="K1303" s="12" t="s">
        <v>3813</v>
      </c>
      <c r="L1303" s="13">
        <v>5</v>
      </c>
    </row>
    <row r="1304" spans="1:12" hidden="1" x14ac:dyDescent="0.55000000000000004">
      <c r="A1304" s="12" t="s">
        <v>2994</v>
      </c>
      <c r="B1304" s="12" t="s">
        <v>4486</v>
      </c>
      <c r="C1304" s="12" t="s">
        <v>5181</v>
      </c>
      <c r="D1304" s="12" t="s">
        <v>4752</v>
      </c>
      <c r="E1304" s="12" t="s">
        <v>1156</v>
      </c>
      <c r="F1304" s="12" t="s">
        <v>1157</v>
      </c>
      <c r="G1304" s="12" t="s">
        <v>1158</v>
      </c>
      <c r="H1304" s="12" t="s">
        <v>5322</v>
      </c>
      <c r="I1304" s="12" t="s">
        <v>3059</v>
      </c>
      <c r="J1304" s="12" t="s">
        <v>1222</v>
      </c>
      <c r="K1304" s="12" t="s">
        <v>3648</v>
      </c>
      <c r="L1304" s="13">
        <v>5</v>
      </c>
    </row>
    <row r="1305" spans="1:12" hidden="1" x14ac:dyDescent="0.55000000000000004">
      <c r="A1305" s="12" t="s">
        <v>2854</v>
      </c>
      <c r="B1305" s="12" t="s">
        <v>4298</v>
      </c>
      <c r="C1305" s="12" t="s">
        <v>92</v>
      </c>
      <c r="D1305" s="12" t="s">
        <v>4752</v>
      </c>
      <c r="E1305" s="12" t="s">
        <v>89</v>
      </c>
      <c r="F1305" s="12" t="s">
        <v>90</v>
      </c>
      <c r="G1305" s="12" t="s">
        <v>91</v>
      </c>
      <c r="H1305" s="12" t="s">
        <v>4352</v>
      </c>
      <c r="I1305" s="12" t="s">
        <v>3059</v>
      </c>
      <c r="J1305" s="12" t="s">
        <v>3087</v>
      </c>
      <c r="K1305" s="12" t="s">
        <v>3276</v>
      </c>
      <c r="L1305" s="13">
        <v>6</v>
      </c>
    </row>
    <row r="1306" spans="1:12" hidden="1" x14ac:dyDescent="0.55000000000000004">
      <c r="A1306" s="12" t="s">
        <v>2854</v>
      </c>
      <c r="B1306" s="12" t="s">
        <v>4298</v>
      </c>
      <c r="C1306" s="12" t="s">
        <v>92</v>
      </c>
      <c r="D1306" s="12" t="s">
        <v>4752</v>
      </c>
      <c r="E1306" s="12" t="s">
        <v>93</v>
      </c>
      <c r="F1306" s="12" t="s">
        <v>94</v>
      </c>
      <c r="G1306" s="12" t="s">
        <v>95</v>
      </c>
      <c r="H1306" s="12" t="s">
        <v>4352</v>
      </c>
      <c r="I1306" s="12" t="s">
        <v>3059</v>
      </c>
      <c r="J1306" s="12" t="s">
        <v>3087</v>
      </c>
      <c r="K1306" s="12" t="s">
        <v>3277</v>
      </c>
      <c r="L1306" s="13">
        <v>6</v>
      </c>
    </row>
    <row r="1307" spans="1:12" hidden="1" x14ac:dyDescent="0.55000000000000004">
      <c r="A1307" s="12" t="s">
        <v>2854</v>
      </c>
      <c r="B1307" s="12" t="s">
        <v>4298</v>
      </c>
      <c r="C1307" s="12" t="s">
        <v>92</v>
      </c>
      <c r="D1307" s="12" t="s">
        <v>4752</v>
      </c>
      <c r="E1307" s="12" t="s">
        <v>96</v>
      </c>
      <c r="F1307" s="12" t="s">
        <v>97</v>
      </c>
      <c r="G1307" s="12" t="s">
        <v>98</v>
      </c>
      <c r="H1307" s="12" t="s">
        <v>4352</v>
      </c>
      <c r="I1307" s="12" t="s">
        <v>3059</v>
      </c>
      <c r="J1307" s="12" t="s">
        <v>3087</v>
      </c>
      <c r="K1307" s="12" t="s">
        <v>3278</v>
      </c>
      <c r="L1307" s="13">
        <v>6</v>
      </c>
    </row>
    <row r="1308" spans="1:12" hidden="1" x14ac:dyDescent="0.55000000000000004">
      <c r="A1308" s="12" t="s">
        <v>2854</v>
      </c>
      <c r="B1308" s="12" t="s">
        <v>4298</v>
      </c>
      <c r="C1308" s="12" t="s">
        <v>92</v>
      </c>
      <c r="D1308" s="12" t="s">
        <v>4752</v>
      </c>
      <c r="E1308" s="12" t="s">
        <v>99</v>
      </c>
      <c r="F1308" s="12" t="s">
        <v>100</v>
      </c>
      <c r="G1308" s="12" t="s">
        <v>101</v>
      </c>
      <c r="H1308" s="12" t="s">
        <v>4352</v>
      </c>
      <c r="I1308" s="12" t="s">
        <v>3059</v>
      </c>
      <c r="J1308" s="12" t="s">
        <v>3087</v>
      </c>
      <c r="K1308" s="12" t="s">
        <v>3279</v>
      </c>
      <c r="L1308" s="13">
        <v>6</v>
      </c>
    </row>
    <row r="1309" spans="1:12" hidden="1" x14ac:dyDescent="0.55000000000000004">
      <c r="A1309" s="12" t="s">
        <v>2854</v>
      </c>
      <c r="B1309" s="12" t="s">
        <v>4298</v>
      </c>
      <c r="C1309" s="12" t="s">
        <v>92</v>
      </c>
      <c r="D1309" s="12" t="s">
        <v>4752</v>
      </c>
      <c r="E1309" s="12" t="s">
        <v>103</v>
      </c>
      <c r="F1309" s="12" t="s">
        <v>104</v>
      </c>
      <c r="G1309" s="12" t="s">
        <v>105</v>
      </c>
      <c r="H1309" s="12" t="s">
        <v>4352</v>
      </c>
      <c r="I1309" s="12" t="s">
        <v>3059</v>
      </c>
      <c r="J1309" s="12" t="s">
        <v>3087</v>
      </c>
      <c r="K1309" s="12" t="s">
        <v>3280</v>
      </c>
      <c r="L1309" s="13">
        <v>6</v>
      </c>
    </row>
    <row r="1310" spans="1:12" hidden="1" x14ac:dyDescent="0.55000000000000004">
      <c r="A1310" s="12" t="s">
        <v>2854</v>
      </c>
      <c r="B1310" s="12" t="s">
        <v>4298</v>
      </c>
      <c r="C1310" s="12" t="s">
        <v>92</v>
      </c>
      <c r="D1310" s="12" t="s">
        <v>4752</v>
      </c>
      <c r="E1310" s="12" t="s">
        <v>2782</v>
      </c>
      <c r="F1310" s="12" t="s">
        <v>2783</v>
      </c>
      <c r="G1310" s="12" t="s">
        <v>2784</v>
      </c>
      <c r="H1310" s="12" t="s">
        <v>4352</v>
      </c>
      <c r="I1310" s="12" t="s">
        <v>3059</v>
      </c>
      <c r="J1310" s="12" t="s">
        <v>3087</v>
      </c>
      <c r="K1310" s="12" t="s">
        <v>4253</v>
      </c>
      <c r="L1310" s="13">
        <v>6</v>
      </c>
    </row>
    <row r="1311" spans="1:12" hidden="1" x14ac:dyDescent="0.55000000000000004">
      <c r="A1311" s="12" t="s">
        <v>2854</v>
      </c>
      <c r="B1311" s="12" t="s">
        <v>4298</v>
      </c>
      <c r="C1311" s="12" t="s">
        <v>92</v>
      </c>
      <c r="D1311" s="12" t="s">
        <v>4752</v>
      </c>
      <c r="E1311" s="12" t="s">
        <v>2785</v>
      </c>
      <c r="F1311" s="12" t="s">
        <v>241</v>
      </c>
      <c r="G1311" s="12" t="s">
        <v>2786</v>
      </c>
      <c r="H1311" s="12" t="s">
        <v>4352</v>
      </c>
      <c r="I1311" s="12" t="s">
        <v>3059</v>
      </c>
      <c r="J1311" s="12" t="s">
        <v>3087</v>
      </c>
      <c r="K1311" s="12" t="s">
        <v>4254</v>
      </c>
      <c r="L1311" s="13">
        <v>6</v>
      </c>
    </row>
    <row r="1312" spans="1:12" hidden="1" x14ac:dyDescent="0.55000000000000004">
      <c r="A1312" s="12" t="s">
        <v>2854</v>
      </c>
      <c r="B1312" s="12" t="s">
        <v>4298</v>
      </c>
      <c r="C1312" s="12" t="s">
        <v>92</v>
      </c>
      <c r="D1312" s="12" t="s">
        <v>4752</v>
      </c>
      <c r="E1312" s="12" t="s">
        <v>6200</v>
      </c>
      <c r="F1312" s="12" t="s">
        <v>102</v>
      </c>
      <c r="G1312" s="12" t="s">
        <v>6201</v>
      </c>
      <c r="H1312" s="12" t="s">
        <v>4352</v>
      </c>
      <c r="I1312" s="12" t="s">
        <v>3075</v>
      </c>
      <c r="J1312" s="12" t="s">
        <v>3087</v>
      </c>
      <c r="K1312" s="12" t="s">
        <v>6202</v>
      </c>
      <c r="L1312" s="13" t="s">
        <v>3075</v>
      </c>
    </row>
    <row r="1313" spans="1:12" hidden="1" x14ac:dyDescent="0.55000000000000004">
      <c r="A1313" s="12" t="s">
        <v>2810</v>
      </c>
      <c r="B1313" s="12" t="s">
        <v>4298</v>
      </c>
      <c r="C1313" s="12" t="s">
        <v>5323</v>
      </c>
      <c r="D1313" s="12" t="s">
        <v>4752</v>
      </c>
      <c r="E1313" s="12" t="s">
        <v>2651</v>
      </c>
      <c r="F1313" s="12" t="s">
        <v>1139</v>
      </c>
      <c r="G1313" s="12" t="s">
        <v>4745</v>
      </c>
      <c r="H1313" s="12" t="s">
        <v>4303</v>
      </c>
      <c r="I1313" s="12" t="s">
        <v>3075</v>
      </c>
      <c r="J1313" s="12" t="s">
        <v>3086</v>
      </c>
      <c r="K1313" s="12" t="s">
        <v>4746</v>
      </c>
      <c r="L1313" s="13" t="s">
        <v>3075</v>
      </c>
    </row>
    <row r="1314" spans="1:12" hidden="1" x14ac:dyDescent="0.55000000000000004">
      <c r="A1314" s="12" t="s">
        <v>2810</v>
      </c>
      <c r="B1314" s="12" t="s">
        <v>4298</v>
      </c>
      <c r="C1314" s="12" t="s">
        <v>5323</v>
      </c>
      <c r="D1314" s="12" t="s">
        <v>4752</v>
      </c>
      <c r="E1314" s="12" t="s">
        <v>2652</v>
      </c>
      <c r="F1314" s="12" t="s">
        <v>638</v>
      </c>
      <c r="G1314" s="12" t="s">
        <v>2653</v>
      </c>
      <c r="H1314" s="12" t="s">
        <v>4303</v>
      </c>
      <c r="I1314" s="12" t="s">
        <v>3075</v>
      </c>
      <c r="J1314" s="12" t="s">
        <v>3086</v>
      </c>
      <c r="K1314" s="12" t="s">
        <v>4204</v>
      </c>
      <c r="L1314" s="13" t="s">
        <v>3075</v>
      </c>
    </row>
    <row r="1315" spans="1:12" hidden="1" x14ac:dyDescent="0.55000000000000004">
      <c r="A1315" s="12" t="s">
        <v>2810</v>
      </c>
      <c r="B1315" s="12" t="s">
        <v>4298</v>
      </c>
      <c r="C1315" s="12" t="s">
        <v>5323</v>
      </c>
      <c r="D1315" s="12" t="s">
        <v>4752</v>
      </c>
      <c r="E1315" s="12" t="s">
        <v>2654</v>
      </c>
      <c r="F1315" s="12" t="s">
        <v>2655</v>
      </c>
      <c r="G1315" s="12" t="s">
        <v>2656</v>
      </c>
      <c r="H1315" s="12" t="s">
        <v>4303</v>
      </c>
      <c r="I1315" s="12" t="s">
        <v>3075</v>
      </c>
      <c r="J1315" s="12" t="s">
        <v>3086</v>
      </c>
      <c r="K1315" s="12" t="s">
        <v>4205</v>
      </c>
      <c r="L1315" s="13" t="s">
        <v>3075</v>
      </c>
    </row>
    <row r="1316" spans="1:12" hidden="1" x14ac:dyDescent="0.55000000000000004">
      <c r="A1316" s="12" t="s">
        <v>2810</v>
      </c>
      <c r="B1316" s="12" t="s">
        <v>4298</v>
      </c>
      <c r="C1316" s="12" t="s">
        <v>5323</v>
      </c>
      <c r="D1316" s="12" t="s">
        <v>4752</v>
      </c>
      <c r="E1316" s="12" t="s">
        <v>2658</v>
      </c>
      <c r="F1316" s="12" t="s">
        <v>2659</v>
      </c>
      <c r="G1316" s="12" t="s">
        <v>2660</v>
      </c>
      <c r="H1316" s="12" t="s">
        <v>4303</v>
      </c>
      <c r="I1316" s="12" t="s">
        <v>3059</v>
      </c>
      <c r="J1316" s="12" t="s">
        <v>3086</v>
      </c>
      <c r="K1316" s="12" t="s">
        <v>4206</v>
      </c>
      <c r="L1316" s="13">
        <v>3</v>
      </c>
    </row>
    <row r="1317" spans="1:12" hidden="1" x14ac:dyDescent="0.55000000000000004">
      <c r="A1317" s="12" t="s">
        <v>2810</v>
      </c>
      <c r="B1317" s="12" t="s">
        <v>4298</v>
      </c>
      <c r="C1317" s="12" t="s">
        <v>5323</v>
      </c>
      <c r="D1317" s="12" t="s">
        <v>4752</v>
      </c>
      <c r="E1317" s="12" t="s">
        <v>6203</v>
      </c>
      <c r="F1317" s="12" t="s">
        <v>2657</v>
      </c>
      <c r="G1317" s="12" t="s">
        <v>6204</v>
      </c>
      <c r="H1317" s="12" t="s">
        <v>4303</v>
      </c>
      <c r="I1317" s="12" t="s">
        <v>3075</v>
      </c>
      <c r="J1317" s="12" t="s">
        <v>3086</v>
      </c>
      <c r="K1317" s="12" t="s">
        <v>6205</v>
      </c>
      <c r="L1317" s="13" t="s">
        <v>3075</v>
      </c>
    </row>
    <row r="1318" spans="1:12" hidden="1" x14ac:dyDescent="0.55000000000000004">
      <c r="A1318" s="12" t="s">
        <v>2845</v>
      </c>
      <c r="B1318" s="12" t="s">
        <v>4298</v>
      </c>
      <c r="C1318" s="12" t="s">
        <v>5324</v>
      </c>
      <c r="D1318" s="12" t="s">
        <v>4752</v>
      </c>
      <c r="E1318" s="12" t="s">
        <v>106</v>
      </c>
      <c r="F1318" s="12" t="s">
        <v>107</v>
      </c>
      <c r="G1318" s="12" t="s">
        <v>108</v>
      </c>
      <c r="H1318" s="12" t="s">
        <v>4343</v>
      </c>
      <c r="I1318" s="12" t="s">
        <v>3075</v>
      </c>
      <c r="J1318" s="12" t="s">
        <v>3088</v>
      </c>
      <c r="K1318" s="12" t="s">
        <v>3281</v>
      </c>
      <c r="L1318" s="13" t="s">
        <v>3075</v>
      </c>
    </row>
    <row r="1319" spans="1:12" hidden="1" x14ac:dyDescent="0.55000000000000004">
      <c r="A1319" s="12" t="s">
        <v>2845</v>
      </c>
      <c r="B1319" s="12" t="s">
        <v>4298</v>
      </c>
      <c r="C1319" s="12" t="s">
        <v>5324</v>
      </c>
      <c r="D1319" s="12" t="s">
        <v>4752</v>
      </c>
      <c r="E1319" s="12" t="s">
        <v>2635</v>
      </c>
      <c r="F1319" s="12" t="s">
        <v>1898</v>
      </c>
      <c r="G1319" s="12" t="s">
        <v>2636</v>
      </c>
      <c r="H1319" s="12" t="s">
        <v>4343</v>
      </c>
      <c r="I1319" s="12" t="s">
        <v>3075</v>
      </c>
      <c r="J1319" s="12" t="s">
        <v>3088</v>
      </c>
      <c r="K1319" s="12" t="s">
        <v>4197</v>
      </c>
      <c r="L1319" s="13" t="s">
        <v>3075</v>
      </c>
    </row>
    <row r="1320" spans="1:12" hidden="1" x14ac:dyDescent="0.55000000000000004">
      <c r="A1320" s="12" t="s">
        <v>2845</v>
      </c>
      <c r="B1320" s="12" t="s">
        <v>4298</v>
      </c>
      <c r="C1320" s="12" t="s">
        <v>5324</v>
      </c>
      <c r="D1320" s="12" t="s">
        <v>4752</v>
      </c>
      <c r="E1320" s="12" t="s">
        <v>2637</v>
      </c>
      <c r="F1320" s="12" t="s">
        <v>18</v>
      </c>
      <c r="G1320" s="12" t="s">
        <v>2638</v>
      </c>
      <c r="H1320" s="12" t="s">
        <v>4343</v>
      </c>
      <c r="I1320" s="12" t="s">
        <v>3075</v>
      </c>
      <c r="J1320" s="12" t="s">
        <v>3088</v>
      </c>
      <c r="K1320" s="12" t="s">
        <v>4198</v>
      </c>
      <c r="L1320" s="13" t="s">
        <v>3075</v>
      </c>
    </row>
    <row r="1321" spans="1:12" hidden="1" x14ac:dyDescent="0.55000000000000004">
      <c r="A1321" s="12" t="s">
        <v>2845</v>
      </c>
      <c r="B1321" s="12" t="s">
        <v>4298</v>
      </c>
      <c r="C1321" s="12" t="s">
        <v>5324</v>
      </c>
      <c r="D1321" s="12" t="s">
        <v>4752</v>
      </c>
      <c r="E1321" s="12" t="s">
        <v>2639</v>
      </c>
      <c r="F1321" s="12" t="s">
        <v>2640</v>
      </c>
      <c r="G1321" s="12" t="s">
        <v>2641</v>
      </c>
      <c r="H1321" s="12" t="s">
        <v>4343</v>
      </c>
      <c r="I1321" s="12" t="s">
        <v>3075</v>
      </c>
      <c r="J1321" s="12" t="s">
        <v>3088</v>
      </c>
      <c r="K1321" s="12" t="s">
        <v>4199</v>
      </c>
      <c r="L1321" s="13" t="s">
        <v>3075</v>
      </c>
    </row>
    <row r="1322" spans="1:12" hidden="1" x14ac:dyDescent="0.55000000000000004">
      <c r="A1322" s="12" t="s">
        <v>2845</v>
      </c>
      <c r="B1322" s="12" t="s">
        <v>4298</v>
      </c>
      <c r="C1322" s="12" t="s">
        <v>5324</v>
      </c>
      <c r="D1322" s="12" t="s">
        <v>4752</v>
      </c>
      <c r="E1322" s="12" t="s">
        <v>2642</v>
      </c>
      <c r="F1322" s="12" t="s">
        <v>1709</v>
      </c>
      <c r="G1322" s="12" t="s">
        <v>2643</v>
      </c>
      <c r="H1322" s="12" t="s">
        <v>4343</v>
      </c>
      <c r="I1322" s="12" t="s">
        <v>3075</v>
      </c>
      <c r="J1322" s="12" t="s">
        <v>3088</v>
      </c>
      <c r="K1322" s="12" t="s">
        <v>4200</v>
      </c>
      <c r="L1322" s="13" t="s">
        <v>3075</v>
      </c>
    </row>
    <row r="1323" spans="1:12" hidden="1" x14ac:dyDescent="0.55000000000000004">
      <c r="A1323" s="12" t="s">
        <v>2845</v>
      </c>
      <c r="B1323" s="12" t="s">
        <v>4298</v>
      </c>
      <c r="C1323" s="12" t="s">
        <v>5324</v>
      </c>
      <c r="D1323" s="12" t="s">
        <v>4752</v>
      </c>
      <c r="E1323" s="12" t="s">
        <v>6206</v>
      </c>
      <c r="F1323" s="12" t="s">
        <v>6207</v>
      </c>
      <c r="G1323" s="12" t="s">
        <v>6208</v>
      </c>
      <c r="H1323" s="12" t="s">
        <v>4343</v>
      </c>
      <c r="I1323" s="12" t="s">
        <v>3059</v>
      </c>
      <c r="J1323" s="12" t="s">
        <v>3088</v>
      </c>
      <c r="K1323" s="12" t="s">
        <v>6209</v>
      </c>
      <c r="L1323" s="13">
        <v>8</v>
      </c>
    </row>
    <row r="1324" spans="1:12" hidden="1" x14ac:dyDescent="0.55000000000000004">
      <c r="A1324" s="12" t="s">
        <v>3044</v>
      </c>
      <c r="B1324" s="12" t="s">
        <v>4486</v>
      </c>
      <c r="C1324" s="12" t="s">
        <v>2000</v>
      </c>
      <c r="D1324" s="12" t="s">
        <v>4752</v>
      </c>
      <c r="E1324" s="12" t="s">
        <v>2009</v>
      </c>
      <c r="F1324" s="12" t="s">
        <v>389</v>
      </c>
      <c r="G1324" s="12" t="s">
        <v>2010</v>
      </c>
      <c r="H1324" s="12" t="s">
        <v>4598</v>
      </c>
      <c r="I1324" s="12" t="s">
        <v>3075</v>
      </c>
      <c r="J1324" s="12" t="s">
        <v>3090</v>
      </c>
      <c r="K1324" s="12" t="s">
        <v>3955</v>
      </c>
      <c r="L1324" s="13" t="s">
        <v>3075</v>
      </c>
    </row>
    <row r="1325" spans="1:12" hidden="1" x14ac:dyDescent="0.55000000000000004">
      <c r="A1325" s="12" t="s">
        <v>3044</v>
      </c>
      <c r="B1325" s="12" t="s">
        <v>4486</v>
      </c>
      <c r="C1325" s="12" t="s">
        <v>2000</v>
      </c>
      <c r="D1325" s="12" t="s">
        <v>4752</v>
      </c>
      <c r="E1325" s="12" t="s">
        <v>2011</v>
      </c>
      <c r="F1325" s="12" t="s">
        <v>691</v>
      </c>
      <c r="G1325" s="12" t="s">
        <v>2012</v>
      </c>
      <c r="H1325" s="12" t="s">
        <v>4598</v>
      </c>
      <c r="I1325" s="12" t="s">
        <v>3075</v>
      </c>
      <c r="J1325" s="12" t="s">
        <v>3090</v>
      </c>
      <c r="K1325" s="12" t="s">
        <v>3956</v>
      </c>
      <c r="L1325" s="13" t="s">
        <v>3075</v>
      </c>
    </row>
    <row r="1326" spans="1:12" hidden="1" x14ac:dyDescent="0.55000000000000004">
      <c r="A1326" s="12" t="s">
        <v>3044</v>
      </c>
      <c r="B1326" s="12" t="s">
        <v>4486</v>
      </c>
      <c r="C1326" s="12" t="s">
        <v>2000</v>
      </c>
      <c r="D1326" s="12" t="s">
        <v>4752</v>
      </c>
      <c r="E1326" s="12" t="s">
        <v>2033</v>
      </c>
      <c r="F1326" s="12" t="s">
        <v>2034</v>
      </c>
      <c r="G1326" s="12" t="s">
        <v>2035</v>
      </c>
      <c r="H1326" s="12" t="s">
        <v>4598</v>
      </c>
      <c r="I1326" s="12" t="s">
        <v>3075</v>
      </c>
      <c r="J1326" s="12" t="s">
        <v>3090</v>
      </c>
      <c r="K1326" s="12" t="s">
        <v>3964</v>
      </c>
      <c r="L1326" s="13" t="s">
        <v>3075</v>
      </c>
    </row>
    <row r="1327" spans="1:12" hidden="1" x14ac:dyDescent="0.55000000000000004">
      <c r="A1327" s="12" t="s">
        <v>3047</v>
      </c>
      <c r="B1327" s="12" t="s">
        <v>4486</v>
      </c>
      <c r="C1327" s="12" t="s">
        <v>5325</v>
      </c>
      <c r="D1327" s="12" t="s">
        <v>4752</v>
      </c>
      <c r="E1327" s="12" t="s">
        <v>5326</v>
      </c>
      <c r="F1327" s="12" t="s">
        <v>4983</v>
      </c>
      <c r="G1327" s="12" t="s">
        <v>5327</v>
      </c>
      <c r="H1327" s="12" t="s">
        <v>5328</v>
      </c>
      <c r="I1327" s="12" t="s">
        <v>3059</v>
      </c>
      <c r="J1327" s="12" t="s">
        <v>118</v>
      </c>
      <c r="K1327" s="12" t="s">
        <v>5329</v>
      </c>
      <c r="L1327" s="13">
        <v>9</v>
      </c>
    </row>
    <row r="1328" spans="1:12" hidden="1" x14ac:dyDescent="0.55000000000000004">
      <c r="A1328" s="12" t="s">
        <v>2964</v>
      </c>
      <c r="B1328" s="12" t="s">
        <v>4486</v>
      </c>
      <c r="C1328" s="12" t="s">
        <v>5600</v>
      </c>
      <c r="D1328" s="12" t="s">
        <v>4752</v>
      </c>
      <c r="E1328" s="12" t="s">
        <v>2750</v>
      </c>
      <c r="F1328" s="12" t="s">
        <v>2751</v>
      </c>
      <c r="G1328" s="12" t="s">
        <v>2752</v>
      </c>
      <c r="H1328" s="12" t="s">
        <v>5330</v>
      </c>
      <c r="I1328" s="12" t="s">
        <v>3075</v>
      </c>
      <c r="J1328" s="12" t="s">
        <v>3090</v>
      </c>
      <c r="K1328" s="12" t="s">
        <v>4239</v>
      </c>
      <c r="L1328" s="13" t="s">
        <v>3075</v>
      </c>
    </row>
    <row r="1329" spans="1:12" hidden="1" x14ac:dyDescent="0.55000000000000004">
      <c r="A1329" s="12" t="s">
        <v>2964</v>
      </c>
      <c r="B1329" s="12" t="s">
        <v>4486</v>
      </c>
      <c r="C1329" s="12" t="s">
        <v>5600</v>
      </c>
      <c r="D1329" s="12" t="s">
        <v>4752</v>
      </c>
      <c r="E1329" s="12" t="s">
        <v>2753</v>
      </c>
      <c r="F1329" s="12" t="s">
        <v>1106</v>
      </c>
      <c r="G1329" s="12" t="s">
        <v>2754</v>
      </c>
      <c r="H1329" s="12" t="s">
        <v>5330</v>
      </c>
      <c r="I1329" s="12" t="s">
        <v>3075</v>
      </c>
      <c r="J1329" s="12" t="s">
        <v>3090</v>
      </c>
      <c r="K1329" s="12" t="s">
        <v>4240</v>
      </c>
      <c r="L1329" s="13" t="s">
        <v>3075</v>
      </c>
    </row>
    <row r="1330" spans="1:12" hidden="1" x14ac:dyDescent="0.55000000000000004">
      <c r="A1330" s="12" t="s">
        <v>2995</v>
      </c>
      <c r="B1330" s="12" t="s">
        <v>4486</v>
      </c>
      <c r="C1330" s="12" t="s">
        <v>5181</v>
      </c>
      <c r="D1330" s="12" t="s">
        <v>4752</v>
      </c>
      <c r="E1330" s="12" t="s">
        <v>1110</v>
      </c>
      <c r="F1330" s="12" t="s">
        <v>1111</v>
      </c>
      <c r="G1330" s="12" t="s">
        <v>1112</v>
      </c>
      <c r="H1330" s="12" t="s">
        <v>5331</v>
      </c>
      <c r="I1330" s="12" t="s">
        <v>3059</v>
      </c>
      <c r="J1330" s="12" t="s">
        <v>1222</v>
      </c>
      <c r="K1330" s="12" t="s">
        <v>3632</v>
      </c>
      <c r="L1330" s="13">
        <v>5</v>
      </c>
    </row>
    <row r="1331" spans="1:12" hidden="1" x14ac:dyDescent="0.55000000000000004">
      <c r="A1331" s="12" t="s">
        <v>2990</v>
      </c>
      <c r="B1331" s="12" t="s">
        <v>4486</v>
      </c>
      <c r="C1331" s="12" t="s">
        <v>5283</v>
      </c>
      <c r="D1331" s="12" t="s">
        <v>4752</v>
      </c>
      <c r="E1331" s="12" t="s">
        <v>59</v>
      </c>
      <c r="F1331" s="12" t="s">
        <v>6210</v>
      </c>
      <c r="G1331" s="12" t="s">
        <v>6211</v>
      </c>
      <c r="H1331" s="12" t="s">
        <v>5332</v>
      </c>
      <c r="I1331" s="12" t="s">
        <v>3075</v>
      </c>
      <c r="J1331" s="12" t="s">
        <v>545</v>
      </c>
      <c r="K1331" s="12" t="s">
        <v>6212</v>
      </c>
      <c r="L1331" s="13" t="s">
        <v>3075</v>
      </c>
    </row>
    <row r="1332" spans="1:12" hidden="1" x14ac:dyDescent="0.55000000000000004">
      <c r="A1332" s="12" t="s">
        <v>2990</v>
      </c>
      <c r="B1332" s="12" t="s">
        <v>4486</v>
      </c>
      <c r="C1332" s="12" t="s">
        <v>5283</v>
      </c>
      <c r="D1332" s="12" t="s">
        <v>4752</v>
      </c>
      <c r="E1332" s="12" t="s">
        <v>68</v>
      </c>
      <c r="F1332" s="12" t="s">
        <v>3112</v>
      </c>
      <c r="G1332" s="12" t="s">
        <v>69</v>
      </c>
      <c r="H1332" s="12" t="s">
        <v>5332</v>
      </c>
      <c r="I1332" s="12" t="s">
        <v>3075</v>
      </c>
      <c r="J1332" s="12" t="s">
        <v>545</v>
      </c>
      <c r="K1332" s="12" t="s">
        <v>3267</v>
      </c>
      <c r="L1332" s="13" t="s">
        <v>3075</v>
      </c>
    </row>
    <row r="1333" spans="1:12" hidden="1" x14ac:dyDescent="0.55000000000000004">
      <c r="A1333" s="12" t="s">
        <v>2990</v>
      </c>
      <c r="B1333" s="12" t="s">
        <v>4486</v>
      </c>
      <c r="C1333" s="12" t="s">
        <v>5283</v>
      </c>
      <c r="D1333" s="12" t="s">
        <v>4752</v>
      </c>
      <c r="E1333" s="12" t="s">
        <v>70</v>
      </c>
      <c r="F1333" s="12" t="s">
        <v>7</v>
      </c>
      <c r="G1333" s="12" t="s">
        <v>71</v>
      </c>
      <c r="H1333" s="12" t="s">
        <v>5332</v>
      </c>
      <c r="I1333" s="12" t="s">
        <v>3075</v>
      </c>
      <c r="J1333" s="12" t="s">
        <v>545</v>
      </c>
      <c r="K1333" s="12" t="s">
        <v>3268</v>
      </c>
      <c r="L1333" s="13" t="s">
        <v>3075</v>
      </c>
    </row>
    <row r="1334" spans="1:12" hidden="1" x14ac:dyDescent="0.55000000000000004">
      <c r="A1334" s="12" t="s">
        <v>2990</v>
      </c>
      <c r="B1334" s="12" t="s">
        <v>4486</v>
      </c>
      <c r="C1334" s="12" t="s">
        <v>5283</v>
      </c>
      <c r="D1334" s="12" t="s">
        <v>4752</v>
      </c>
      <c r="E1334" s="12" t="s">
        <v>72</v>
      </c>
      <c r="F1334" s="12" t="s">
        <v>73</v>
      </c>
      <c r="G1334" s="12" t="s">
        <v>74</v>
      </c>
      <c r="H1334" s="12" t="s">
        <v>5332</v>
      </c>
      <c r="I1334" s="12" t="s">
        <v>3075</v>
      </c>
      <c r="J1334" s="12" t="s">
        <v>545</v>
      </c>
      <c r="K1334" s="12" t="s">
        <v>3269</v>
      </c>
      <c r="L1334" s="13" t="s">
        <v>3075</v>
      </c>
    </row>
    <row r="1335" spans="1:12" hidden="1" x14ac:dyDescent="0.55000000000000004">
      <c r="A1335" s="12" t="s">
        <v>2990</v>
      </c>
      <c r="B1335" s="12" t="s">
        <v>4486</v>
      </c>
      <c r="C1335" s="12" t="s">
        <v>5283</v>
      </c>
      <c r="D1335" s="12" t="s">
        <v>4752</v>
      </c>
      <c r="E1335" s="12" t="s">
        <v>75</v>
      </c>
      <c r="F1335" s="12" t="s">
        <v>3113</v>
      </c>
      <c r="G1335" s="12" t="s">
        <v>3114</v>
      </c>
      <c r="H1335" s="12" t="s">
        <v>5332</v>
      </c>
      <c r="I1335" s="12" t="s">
        <v>3075</v>
      </c>
      <c r="J1335" s="12" t="s">
        <v>545</v>
      </c>
      <c r="K1335" s="12" t="s">
        <v>3270</v>
      </c>
      <c r="L1335" s="13" t="s">
        <v>3075</v>
      </c>
    </row>
    <row r="1336" spans="1:12" hidden="1" x14ac:dyDescent="0.55000000000000004">
      <c r="A1336" s="12" t="s">
        <v>2990</v>
      </c>
      <c r="B1336" s="12" t="s">
        <v>4486</v>
      </c>
      <c r="C1336" s="12" t="s">
        <v>5283</v>
      </c>
      <c r="D1336" s="12" t="s">
        <v>4752</v>
      </c>
      <c r="E1336" s="12" t="s">
        <v>76</v>
      </c>
      <c r="F1336" s="12" t="s">
        <v>77</v>
      </c>
      <c r="G1336" s="12" t="s">
        <v>78</v>
      </c>
      <c r="H1336" s="12" t="s">
        <v>5332</v>
      </c>
      <c r="I1336" s="12" t="s">
        <v>3075</v>
      </c>
      <c r="J1336" s="12" t="s">
        <v>545</v>
      </c>
      <c r="K1336" s="12" t="s">
        <v>3271</v>
      </c>
      <c r="L1336" s="13" t="s">
        <v>3075</v>
      </c>
    </row>
    <row r="1337" spans="1:12" hidden="1" x14ac:dyDescent="0.55000000000000004">
      <c r="A1337" s="12" t="s">
        <v>2990</v>
      </c>
      <c r="B1337" s="12" t="s">
        <v>4486</v>
      </c>
      <c r="C1337" s="12" t="s">
        <v>5283</v>
      </c>
      <c r="D1337" s="12" t="s">
        <v>4752</v>
      </c>
      <c r="E1337" s="12" t="s">
        <v>6213</v>
      </c>
      <c r="F1337" s="12" t="s">
        <v>6214</v>
      </c>
      <c r="G1337" s="12" t="s">
        <v>6214</v>
      </c>
      <c r="H1337" s="12" t="s">
        <v>5332</v>
      </c>
      <c r="I1337" s="12" t="s">
        <v>3075</v>
      </c>
      <c r="J1337" s="12" t="s">
        <v>545</v>
      </c>
      <c r="K1337" s="12" t="s">
        <v>6215</v>
      </c>
      <c r="L1337" s="13" t="s">
        <v>3075</v>
      </c>
    </row>
    <row r="1338" spans="1:12" hidden="1" x14ac:dyDescent="0.55000000000000004">
      <c r="A1338" s="12" t="s">
        <v>3028</v>
      </c>
      <c r="B1338" s="12" t="s">
        <v>4486</v>
      </c>
      <c r="C1338" s="12" t="s">
        <v>5333</v>
      </c>
      <c r="D1338" s="12" t="s">
        <v>4752</v>
      </c>
      <c r="E1338" s="12" t="s">
        <v>2755</v>
      </c>
      <c r="F1338" s="12" t="s">
        <v>2756</v>
      </c>
      <c r="G1338" s="12" t="s">
        <v>2757</v>
      </c>
      <c r="H1338" s="12" t="s">
        <v>5334</v>
      </c>
      <c r="I1338" s="12" t="s">
        <v>3059</v>
      </c>
      <c r="J1338" s="12" t="s">
        <v>3090</v>
      </c>
      <c r="K1338" s="12" t="s">
        <v>4241</v>
      </c>
      <c r="L1338" s="13">
        <v>2</v>
      </c>
    </row>
    <row r="1339" spans="1:12" hidden="1" x14ac:dyDescent="0.55000000000000004">
      <c r="A1339" s="12" t="s">
        <v>3028</v>
      </c>
      <c r="B1339" s="12" t="s">
        <v>4486</v>
      </c>
      <c r="C1339" s="12" t="s">
        <v>5333</v>
      </c>
      <c r="D1339" s="12" t="s">
        <v>4752</v>
      </c>
      <c r="E1339" s="12" t="s">
        <v>2758</v>
      </c>
      <c r="F1339" s="12" t="s">
        <v>2762</v>
      </c>
      <c r="G1339" s="12" t="s">
        <v>2763</v>
      </c>
      <c r="H1339" s="12" t="s">
        <v>5334</v>
      </c>
      <c r="I1339" s="12" t="s">
        <v>3059</v>
      </c>
      <c r="J1339" s="12" t="s">
        <v>3090</v>
      </c>
      <c r="K1339" s="12" t="s">
        <v>4242</v>
      </c>
      <c r="L1339" s="13">
        <v>2</v>
      </c>
    </row>
    <row r="1340" spans="1:12" hidden="1" x14ac:dyDescent="0.55000000000000004">
      <c r="A1340" s="12" t="s">
        <v>3028</v>
      </c>
      <c r="B1340" s="12" t="s">
        <v>4486</v>
      </c>
      <c r="C1340" s="12" t="s">
        <v>5333</v>
      </c>
      <c r="D1340" s="12" t="s">
        <v>4752</v>
      </c>
      <c r="E1340" s="12" t="s">
        <v>2761</v>
      </c>
      <c r="F1340" s="12" t="s">
        <v>2759</v>
      </c>
      <c r="G1340" s="12" t="s">
        <v>2760</v>
      </c>
      <c r="H1340" s="12" t="s">
        <v>5334</v>
      </c>
      <c r="I1340" s="12" t="s">
        <v>3059</v>
      </c>
      <c r="J1340" s="12" t="s">
        <v>3090</v>
      </c>
      <c r="K1340" s="12" t="s">
        <v>4243</v>
      </c>
      <c r="L1340" s="13">
        <v>2</v>
      </c>
    </row>
    <row r="1341" spans="1:12" hidden="1" x14ac:dyDescent="0.55000000000000004">
      <c r="A1341" s="12" t="s">
        <v>3028</v>
      </c>
      <c r="B1341" s="12" t="s">
        <v>4486</v>
      </c>
      <c r="C1341" s="12" t="s">
        <v>5333</v>
      </c>
      <c r="D1341" s="12" t="s">
        <v>4752</v>
      </c>
      <c r="E1341" s="12" t="s">
        <v>2764</v>
      </c>
      <c r="F1341" s="12" t="s">
        <v>147</v>
      </c>
      <c r="G1341" s="12" t="s">
        <v>2765</v>
      </c>
      <c r="H1341" s="12" t="s">
        <v>5334</v>
      </c>
      <c r="I1341" s="12" t="s">
        <v>3075</v>
      </c>
      <c r="J1341" s="12" t="s">
        <v>3090</v>
      </c>
      <c r="K1341" s="12" t="s">
        <v>4244</v>
      </c>
      <c r="L1341" s="13" t="s">
        <v>3075</v>
      </c>
    </row>
    <row r="1342" spans="1:12" hidden="1" x14ac:dyDescent="0.55000000000000004">
      <c r="A1342" s="12" t="s">
        <v>3028</v>
      </c>
      <c r="B1342" s="12" t="s">
        <v>4486</v>
      </c>
      <c r="C1342" s="12" t="s">
        <v>5333</v>
      </c>
      <c r="D1342" s="12" t="s">
        <v>4752</v>
      </c>
      <c r="E1342" s="12" t="s">
        <v>2767</v>
      </c>
      <c r="F1342" s="12" t="s">
        <v>719</v>
      </c>
      <c r="G1342" s="12" t="s">
        <v>2768</v>
      </c>
      <c r="H1342" s="12" t="s">
        <v>5334</v>
      </c>
      <c r="I1342" s="12" t="s">
        <v>3075</v>
      </c>
      <c r="J1342" s="12" t="s">
        <v>3090</v>
      </c>
      <c r="K1342" s="12" t="s">
        <v>4245</v>
      </c>
      <c r="L1342" s="13" t="s">
        <v>3075</v>
      </c>
    </row>
    <row r="1343" spans="1:12" hidden="1" x14ac:dyDescent="0.55000000000000004">
      <c r="A1343" s="12" t="s">
        <v>3028</v>
      </c>
      <c r="B1343" s="12" t="s">
        <v>4486</v>
      </c>
      <c r="C1343" s="12" t="s">
        <v>5333</v>
      </c>
      <c r="D1343" s="12" t="s">
        <v>4752</v>
      </c>
      <c r="E1343" s="12" t="s">
        <v>2769</v>
      </c>
      <c r="F1343" s="12" t="s">
        <v>2770</v>
      </c>
      <c r="G1343" s="12" t="s">
        <v>2771</v>
      </c>
      <c r="H1343" s="12" t="s">
        <v>5334</v>
      </c>
      <c r="I1343" s="12" t="s">
        <v>3059</v>
      </c>
      <c r="J1343" s="12" t="s">
        <v>3090</v>
      </c>
      <c r="K1343" s="12" t="s">
        <v>4246</v>
      </c>
      <c r="L1343" s="13">
        <v>2</v>
      </c>
    </row>
    <row r="1344" spans="1:12" hidden="1" x14ac:dyDescent="0.55000000000000004">
      <c r="A1344" s="12" t="s">
        <v>3028</v>
      </c>
      <c r="B1344" s="12" t="s">
        <v>4486</v>
      </c>
      <c r="C1344" s="12" t="s">
        <v>5333</v>
      </c>
      <c r="D1344" s="12" t="s">
        <v>4752</v>
      </c>
      <c r="E1344" s="12" t="s">
        <v>3239</v>
      </c>
      <c r="F1344" s="12" t="s">
        <v>231</v>
      </c>
      <c r="G1344" s="12" t="s">
        <v>3240</v>
      </c>
      <c r="H1344" s="12" t="s">
        <v>5334</v>
      </c>
      <c r="I1344" s="12" t="s">
        <v>3059</v>
      </c>
      <c r="J1344" s="12" t="s">
        <v>3090</v>
      </c>
      <c r="K1344" s="12" t="s">
        <v>4278</v>
      </c>
      <c r="L1344" s="13">
        <v>8</v>
      </c>
    </row>
    <row r="1345" spans="1:12" hidden="1" x14ac:dyDescent="0.55000000000000004">
      <c r="A1345" s="12" t="s">
        <v>2977</v>
      </c>
      <c r="B1345" s="12" t="s">
        <v>4486</v>
      </c>
      <c r="C1345" s="12" t="s">
        <v>5171</v>
      </c>
      <c r="D1345" s="12" t="s">
        <v>4752</v>
      </c>
      <c r="E1345" s="12" t="s">
        <v>244</v>
      </c>
      <c r="F1345" s="12" t="s">
        <v>245</v>
      </c>
      <c r="G1345" s="12" t="s">
        <v>246</v>
      </c>
      <c r="H1345" s="12" t="s">
        <v>4515</v>
      </c>
      <c r="I1345" s="12" t="s">
        <v>3059</v>
      </c>
      <c r="J1345" s="12" t="s">
        <v>3092</v>
      </c>
      <c r="K1345" s="12" t="s">
        <v>3329</v>
      </c>
      <c r="L1345" s="13">
        <v>4</v>
      </c>
    </row>
    <row r="1346" spans="1:12" hidden="1" x14ac:dyDescent="0.55000000000000004">
      <c r="A1346" s="12" t="s">
        <v>2977</v>
      </c>
      <c r="B1346" s="12" t="s">
        <v>4486</v>
      </c>
      <c r="C1346" s="12" t="s">
        <v>5171</v>
      </c>
      <c r="D1346" s="12" t="s">
        <v>4752</v>
      </c>
      <c r="E1346" s="12" t="s">
        <v>247</v>
      </c>
      <c r="F1346" s="12" t="s">
        <v>248</v>
      </c>
      <c r="G1346" s="12" t="s">
        <v>249</v>
      </c>
      <c r="H1346" s="12" t="s">
        <v>4515</v>
      </c>
      <c r="I1346" s="12" t="s">
        <v>3059</v>
      </c>
      <c r="J1346" s="12" t="s">
        <v>3092</v>
      </c>
      <c r="K1346" s="12" t="s">
        <v>3330</v>
      </c>
      <c r="L1346" s="13">
        <v>4</v>
      </c>
    </row>
    <row r="1347" spans="1:12" hidden="1" x14ac:dyDescent="0.55000000000000004">
      <c r="A1347" s="12" t="s">
        <v>2977</v>
      </c>
      <c r="B1347" s="12" t="s">
        <v>4486</v>
      </c>
      <c r="C1347" s="12" t="s">
        <v>5171</v>
      </c>
      <c r="D1347" s="12" t="s">
        <v>4752</v>
      </c>
      <c r="E1347" s="12" t="s">
        <v>261</v>
      </c>
      <c r="F1347" s="12" t="s">
        <v>262</v>
      </c>
      <c r="G1347" s="12" t="s">
        <v>263</v>
      </c>
      <c r="H1347" s="12" t="s">
        <v>4515</v>
      </c>
      <c r="I1347" s="12" t="s">
        <v>3059</v>
      </c>
      <c r="J1347" s="12" t="s">
        <v>3092</v>
      </c>
      <c r="K1347" s="12" t="s">
        <v>3333</v>
      </c>
      <c r="L1347" s="13">
        <v>4</v>
      </c>
    </row>
    <row r="1348" spans="1:12" hidden="1" x14ac:dyDescent="0.55000000000000004">
      <c r="A1348" s="12" t="s">
        <v>3039</v>
      </c>
      <c r="B1348" s="12" t="s">
        <v>4486</v>
      </c>
      <c r="C1348" s="12" t="s">
        <v>1974</v>
      </c>
      <c r="D1348" s="12" t="s">
        <v>4752</v>
      </c>
      <c r="E1348" s="12" t="s">
        <v>1992</v>
      </c>
      <c r="F1348" s="12" t="s">
        <v>1993</v>
      </c>
      <c r="G1348" s="12" t="s">
        <v>1994</v>
      </c>
      <c r="H1348" s="12" t="s">
        <v>4593</v>
      </c>
      <c r="I1348" s="12" t="s">
        <v>3059</v>
      </c>
      <c r="J1348" s="12" t="s">
        <v>1071</v>
      </c>
      <c r="K1348" s="12" t="s">
        <v>3949</v>
      </c>
      <c r="L1348" s="13">
        <v>2</v>
      </c>
    </row>
    <row r="1349" spans="1:12" hidden="1" x14ac:dyDescent="0.55000000000000004">
      <c r="A1349" s="12" t="s">
        <v>3039</v>
      </c>
      <c r="B1349" s="12" t="s">
        <v>4486</v>
      </c>
      <c r="C1349" s="12" t="s">
        <v>1974</v>
      </c>
      <c r="D1349" s="12" t="s">
        <v>4752</v>
      </c>
      <c r="E1349" s="12" t="s">
        <v>1995</v>
      </c>
      <c r="F1349" s="12" t="s">
        <v>1272</v>
      </c>
      <c r="G1349" s="12" t="s">
        <v>1996</v>
      </c>
      <c r="H1349" s="12" t="s">
        <v>4593</v>
      </c>
      <c r="I1349" s="12" t="s">
        <v>3059</v>
      </c>
      <c r="J1349" s="12" t="s">
        <v>1071</v>
      </c>
      <c r="K1349" s="12" t="s">
        <v>3950</v>
      </c>
      <c r="L1349" s="13">
        <v>3</v>
      </c>
    </row>
    <row r="1350" spans="1:12" hidden="1" x14ac:dyDescent="0.55000000000000004">
      <c r="A1350" s="12" t="s">
        <v>2970</v>
      </c>
      <c r="B1350" s="12" t="s">
        <v>4486</v>
      </c>
      <c r="C1350" s="12" t="s">
        <v>5306</v>
      </c>
      <c r="D1350" s="12" t="s">
        <v>4752</v>
      </c>
      <c r="E1350" s="12" t="s">
        <v>288</v>
      </c>
      <c r="F1350" s="12" t="s">
        <v>289</v>
      </c>
      <c r="G1350" s="12" t="s">
        <v>290</v>
      </c>
      <c r="H1350" s="12" t="s">
        <v>4507</v>
      </c>
      <c r="I1350" s="12" t="s">
        <v>3075</v>
      </c>
      <c r="J1350" s="12" t="s">
        <v>118</v>
      </c>
      <c r="K1350" s="12" t="s">
        <v>3342</v>
      </c>
      <c r="L1350" s="13" t="s">
        <v>3075</v>
      </c>
    </row>
    <row r="1351" spans="1:12" hidden="1" x14ac:dyDescent="0.55000000000000004">
      <c r="A1351" s="12" t="s">
        <v>2970</v>
      </c>
      <c r="B1351" s="12" t="s">
        <v>4486</v>
      </c>
      <c r="C1351" s="12" t="s">
        <v>5306</v>
      </c>
      <c r="D1351" s="12" t="s">
        <v>4752</v>
      </c>
      <c r="E1351" s="12" t="s">
        <v>293</v>
      </c>
      <c r="F1351" s="12" t="s">
        <v>294</v>
      </c>
      <c r="G1351" s="12" t="s">
        <v>295</v>
      </c>
      <c r="H1351" s="12" t="s">
        <v>4507</v>
      </c>
      <c r="I1351" s="12" t="s">
        <v>3075</v>
      </c>
      <c r="J1351" s="12" t="s">
        <v>118</v>
      </c>
      <c r="K1351" s="12" t="s">
        <v>3343</v>
      </c>
      <c r="L1351" s="13" t="s">
        <v>3075</v>
      </c>
    </row>
    <row r="1352" spans="1:12" hidden="1" x14ac:dyDescent="0.55000000000000004">
      <c r="A1352" s="12" t="s">
        <v>2970</v>
      </c>
      <c r="B1352" s="12" t="s">
        <v>4486</v>
      </c>
      <c r="C1352" s="12" t="s">
        <v>5306</v>
      </c>
      <c r="D1352" s="12" t="s">
        <v>4752</v>
      </c>
      <c r="E1352" s="12" t="s">
        <v>4632</v>
      </c>
      <c r="F1352" s="12" t="s">
        <v>4633</v>
      </c>
      <c r="G1352" s="12" t="s">
        <v>4634</v>
      </c>
      <c r="H1352" s="12" t="s">
        <v>4507</v>
      </c>
      <c r="I1352" s="12" t="s">
        <v>3075</v>
      </c>
      <c r="J1352" s="12" t="s">
        <v>118</v>
      </c>
      <c r="K1352" s="12" t="s">
        <v>4635</v>
      </c>
      <c r="L1352" s="13" t="s">
        <v>3075</v>
      </c>
    </row>
    <row r="1353" spans="1:12" hidden="1" x14ac:dyDescent="0.55000000000000004">
      <c r="A1353" s="12" t="s">
        <v>2937</v>
      </c>
      <c r="B1353" s="12" t="s">
        <v>4442</v>
      </c>
      <c r="C1353" s="12" t="s">
        <v>5231</v>
      </c>
      <c r="D1353" s="12" t="s">
        <v>4752</v>
      </c>
      <c r="E1353" s="12" t="s">
        <v>2518</v>
      </c>
      <c r="F1353" s="12" t="s">
        <v>1160</v>
      </c>
      <c r="G1353" s="12" t="s">
        <v>2519</v>
      </c>
      <c r="H1353" s="12" t="s">
        <v>4456</v>
      </c>
      <c r="I1353" s="12" t="s">
        <v>3059</v>
      </c>
      <c r="J1353" s="12" t="s">
        <v>3084</v>
      </c>
      <c r="K1353" s="12" t="s">
        <v>4083</v>
      </c>
      <c r="L1353" s="13">
        <v>3</v>
      </c>
    </row>
    <row r="1354" spans="1:12" hidden="1" x14ac:dyDescent="0.55000000000000004">
      <c r="A1354" s="12" t="s">
        <v>2937</v>
      </c>
      <c r="B1354" s="12" t="s">
        <v>4442</v>
      </c>
      <c r="C1354" s="12" t="s">
        <v>5231</v>
      </c>
      <c r="D1354" s="12" t="s">
        <v>4752</v>
      </c>
      <c r="E1354" s="12" t="s">
        <v>2527</v>
      </c>
      <c r="F1354" s="12" t="s">
        <v>255</v>
      </c>
      <c r="G1354" s="12" t="s">
        <v>2451</v>
      </c>
      <c r="H1354" s="12" t="s">
        <v>4456</v>
      </c>
      <c r="I1354" s="12" t="s">
        <v>3060</v>
      </c>
      <c r="J1354" s="12" t="s">
        <v>3084</v>
      </c>
      <c r="K1354" s="12" t="s">
        <v>4087</v>
      </c>
      <c r="L1354" s="13">
        <v>7</v>
      </c>
    </row>
    <row r="1355" spans="1:12" hidden="1" x14ac:dyDescent="0.55000000000000004">
      <c r="A1355" s="12" t="s">
        <v>2937</v>
      </c>
      <c r="B1355" s="12" t="s">
        <v>4442</v>
      </c>
      <c r="C1355" s="12" t="s">
        <v>5231</v>
      </c>
      <c r="D1355" s="12" t="s">
        <v>4752</v>
      </c>
      <c r="E1355" s="12" t="s">
        <v>2547</v>
      </c>
      <c r="F1355" s="12" t="s">
        <v>2548</v>
      </c>
      <c r="G1355" s="12" t="s">
        <v>693</v>
      </c>
      <c r="H1355" s="12" t="s">
        <v>4456</v>
      </c>
      <c r="I1355" s="12" t="s">
        <v>3059</v>
      </c>
      <c r="J1355" s="12" t="s">
        <v>3084</v>
      </c>
      <c r="K1355" s="12" t="s">
        <v>4096</v>
      </c>
      <c r="L1355" s="13">
        <v>7</v>
      </c>
    </row>
    <row r="1356" spans="1:12" hidden="1" x14ac:dyDescent="0.55000000000000004">
      <c r="A1356" s="12" t="s">
        <v>2937</v>
      </c>
      <c r="B1356" s="12" t="s">
        <v>4442</v>
      </c>
      <c r="C1356" s="12" t="s">
        <v>5231</v>
      </c>
      <c r="D1356" s="12" t="s">
        <v>4752</v>
      </c>
      <c r="E1356" s="12" t="s">
        <v>5601</v>
      </c>
      <c r="F1356" s="12" t="s">
        <v>2512</v>
      </c>
      <c r="G1356" s="12" t="s">
        <v>5602</v>
      </c>
      <c r="H1356" s="12" t="s">
        <v>4456</v>
      </c>
      <c r="I1356" s="12" t="s">
        <v>3075</v>
      </c>
      <c r="J1356" s="12" t="s">
        <v>3084</v>
      </c>
      <c r="K1356" s="12" t="s">
        <v>5603</v>
      </c>
      <c r="L1356" s="13" t="s">
        <v>3075</v>
      </c>
    </row>
    <row r="1357" spans="1:12" hidden="1" x14ac:dyDescent="0.55000000000000004">
      <c r="A1357" s="12" t="s">
        <v>2937</v>
      </c>
      <c r="B1357" s="12" t="s">
        <v>4442</v>
      </c>
      <c r="C1357" s="12" t="s">
        <v>5231</v>
      </c>
      <c r="D1357" s="12" t="s">
        <v>4752</v>
      </c>
      <c r="E1357" s="12" t="s">
        <v>6216</v>
      </c>
      <c r="F1357" s="12" t="s">
        <v>6</v>
      </c>
      <c r="G1357" s="12" t="s">
        <v>6217</v>
      </c>
      <c r="H1357" s="12" t="s">
        <v>4456</v>
      </c>
      <c r="I1357" s="12" t="s">
        <v>3075</v>
      </c>
      <c r="J1357" s="12" t="s">
        <v>3084</v>
      </c>
      <c r="K1357" s="12" t="s">
        <v>6218</v>
      </c>
      <c r="L1357" s="13" t="s">
        <v>3075</v>
      </c>
    </row>
    <row r="1358" spans="1:12" hidden="1" x14ac:dyDescent="0.55000000000000004">
      <c r="A1358" s="12" t="s">
        <v>2937</v>
      </c>
      <c r="B1358" s="12" t="s">
        <v>4442</v>
      </c>
      <c r="C1358" s="12" t="s">
        <v>5231</v>
      </c>
      <c r="D1358" s="12" t="s">
        <v>4752</v>
      </c>
      <c r="E1358" s="12" t="s">
        <v>6219</v>
      </c>
      <c r="F1358" s="12" t="s">
        <v>1985</v>
      </c>
      <c r="G1358" s="12" t="s">
        <v>6220</v>
      </c>
      <c r="H1358" s="12" t="s">
        <v>4456</v>
      </c>
      <c r="I1358" s="12" t="s">
        <v>3059</v>
      </c>
      <c r="J1358" s="12" t="s">
        <v>3084</v>
      </c>
      <c r="K1358" s="12" t="s">
        <v>6221</v>
      </c>
      <c r="L1358" s="13">
        <v>7</v>
      </c>
    </row>
    <row r="1359" spans="1:12" hidden="1" x14ac:dyDescent="0.55000000000000004">
      <c r="A1359" s="12" t="s">
        <v>4476</v>
      </c>
      <c r="B1359" s="12" t="s">
        <v>4442</v>
      </c>
      <c r="C1359" s="12" t="s">
        <v>5214</v>
      </c>
      <c r="D1359" s="12" t="s">
        <v>4752</v>
      </c>
      <c r="E1359" s="12" t="s">
        <v>715</v>
      </c>
      <c r="F1359" s="12" t="s">
        <v>716</v>
      </c>
      <c r="G1359" s="12" t="s">
        <v>717</v>
      </c>
      <c r="H1359" s="12" t="s">
        <v>4477</v>
      </c>
      <c r="I1359" s="12" t="s">
        <v>3059</v>
      </c>
      <c r="J1359" s="12" t="s">
        <v>1991</v>
      </c>
      <c r="K1359" s="12" t="s">
        <v>3489</v>
      </c>
      <c r="L1359" s="13">
        <v>6</v>
      </c>
    </row>
    <row r="1360" spans="1:12" hidden="1" x14ac:dyDescent="0.55000000000000004">
      <c r="A1360" s="12" t="s">
        <v>4476</v>
      </c>
      <c r="B1360" s="12" t="s">
        <v>4442</v>
      </c>
      <c r="C1360" s="12" t="s">
        <v>5214</v>
      </c>
      <c r="D1360" s="12" t="s">
        <v>4752</v>
      </c>
      <c r="E1360" s="12" t="s">
        <v>726</v>
      </c>
      <c r="F1360" s="12" t="s">
        <v>727</v>
      </c>
      <c r="G1360" s="12" t="s">
        <v>728</v>
      </c>
      <c r="H1360" s="12" t="s">
        <v>4477</v>
      </c>
      <c r="I1360" s="12" t="s">
        <v>3059</v>
      </c>
      <c r="J1360" s="12" t="s">
        <v>1991</v>
      </c>
      <c r="K1360" s="12" t="s">
        <v>3492</v>
      </c>
      <c r="L1360" s="13">
        <v>6</v>
      </c>
    </row>
    <row r="1361" spans="1:12" hidden="1" x14ac:dyDescent="0.55000000000000004">
      <c r="A1361" s="12" t="s">
        <v>4476</v>
      </c>
      <c r="B1361" s="12" t="s">
        <v>4442</v>
      </c>
      <c r="C1361" s="12" t="s">
        <v>5214</v>
      </c>
      <c r="D1361" s="12" t="s">
        <v>4752</v>
      </c>
      <c r="E1361" s="12" t="s">
        <v>731</v>
      </c>
      <c r="F1361" s="12" t="s">
        <v>100</v>
      </c>
      <c r="G1361" s="12" t="s">
        <v>732</v>
      </c>
      <c r="H1361" s="12" t="s">
        <v>4477</v>
      </c>
      <c r="I1361" s="12" t="s">
        <v>3059</v>
      </c>
      <c r="J1361" s="12" t="s">
        <v>1991</v>
      </c>
      <c r="K1361" s="12" t="s">
        <v>3494</v>
      </c>
      <c r="L1361" s="13">
        <v>6</v>
      </c>
    </row>
    <row r="1362" spans="1:12" hidden="1" x14ac:dyDescent="0.55000000000000004">
      <c r="A1362" s="12" t="s">
        <v>3036</v>
      </c>
      <c r="B1362" s="12" t="s">
        <v>4486</v>
      </c>
      <c r="C1362" s="12" t="s">
        <v>5335</v>
      </c>
      <c r="D1362" s="12" t="s">
        <v>4752</v>
      </c>
      <c r="E1362" s="12" t="s">
        <v>2772</v>
      </c>
      <c r="F1362" s="12" t="s">
        <v>308</v>
      </c>
      <c r="G1362" s="12" t="s">
        <v>2773</v>
      </c>
      <c r="H1362" s="12" t="s">
        <v>4588</v>
      </c>
      <c r="I1362" s="12" t="s">
        <v>3060</v>
      </c>
      <c r="J1362" s="12" t="s">
        <v>1071</v>
      </c>
      <c r="K1362" s="12" t="s">
        <v>4247</v>
      </c>
      <c r="L1362" s="13">
        <v>5</v>
      </c>
    </row>
    <row r="1363" spans="1:12" hidden="1" x14ac:dyDescent="0.55000000000000004">
      <c r="A1363" s="12" t="s">
        <v>3036</v>
      </c>
      <c r="B1363" s="12" t="s">
        <v>4486</v>
      </c>
      <c r="C1363" s="12" t="s">
        <v>5335</v>
      </c>
      <c r="D1363" s="12" t="s">
        <v>4752</v>
      </c>
      <c r="E1363" s="12" t="s">
        <v>2774</v>
      </c>
      <c r="F1363" s="12" t="s">
        <v>2775</v>
      </c>
      <c r="G1363" s="12" t="s">
        <v>2776</v>
      </c>
      <c r="H1363" s="12" t="s">
        <v>4588</v>
      </c>
      <c r="I1363" s="12" t="s">
        <v>3059</v>
      </c>
      <c r="J1363" s="12" t="s">
        <v>1071</v>
      </c>
      <c r="K1363" s="12" t="s">
        <v>4248</v>
      </c>
      <c r="L1363" s="13">
        <v>6</v>
      </c>
    </row>
    <row r="1364" spans="1:12" hidden="1" x14ac:dyDescent="0.55000000000000004">
      <c r="A1364" s="12" t="s">
        <v>3036</v>
      </c>
      <c r="B1364" s="12" t="s">
        <v>4486</v>
      </c>
      <c r="C1364" s="12" t="s">
        <v>5335</v>
      </c>
      <c r="D1364" s="12" t="s">
        <v>4752</v>
      </c>
      <c r="E1364" s="12" t="s">
        <v>2777</v>
      </c>
      <c r="F1364" s="12" t="s">
        <v>2778</v>
      </c>
      <c r="G1364" s="12" t="s">
        <v>2779</v>
      </c>
      <c r="H1364" s="12" t="s">
        <v>4588</v>
      </c>
      <c r="I1364" s="12" t="s">
        <v>3059</v>
      </c>
      <c r="J1364" s="12" t="s">
        <v>1071</v>
      </c>
      <c r="K1364" s="12" t="s">
        <v>4249</v>
      </c>
      <c r="L1364" s="13">
        <v>4</v>
      </c>
    </row>
    <row r="1365" spans="1:12" hidden="1" x14ac:dyDescent="0.55000000000000004">
      <c r="A1365" s="12" t="s">
        <v>2869</v>
      </c>
      <c r="B1365" s="12" t="s">
        <v>4298</v>
      </c>
      <c r="C1365" s="12" t="s">
        <v>5336</v>
      </c>
      <c r="D1365" s="12" t="s">
        <v>4752</v>
      </c>
      <c r="E1365" s="12" t="s">
        <v>2780</v>
      </c>
      <c r="F1365" s="12" t="s">
        <v>870</v>
      </c>
      <c r="G1365" s="12" t="s">
        <v>2781</v>
      </c>
      <c r="H1365" s="12" t="s">
        <v>4372</v>
      </c>
      <c r="I1365" s="12" t="s">
        <v>3059</v>
      </c>
      <c r="J1365" s="12" t="s">
        <v>689</v>
      </c>
      <c r="K1365" s="12" t="s">
        <v>4252</v>
      </c>
      <c r="L1365" s="13">
        <v>6</v>
      </c>
    </row>
    <row r="1366" spans="1:12" hidden="1" x14ac:dyDescent="0.55000000000000004">
      <c r="A1366" s="12" t="s">
        <v>3056</v>
      </c>
      <c r="B1366" s="12" t="s">
        <v>4486</v>
      </c>
      <c r="C1366" s="12" t="s">
        <v>923</v>
      </c>
      <c r="D1366" s="12" t="s">
        <v>4752</v>
      </c>
      <c r="E1366" s="12" t="s">
        <v>1003</v>
      </c>
      <c r="F1366" s="12" t="s">
        <v>1004</v>
      </c>
      <c r="G1366" s="12" t="s">
        <v>1005</v>
      </c>
      <c r="H1366" s="12" t="s">
        <v>5337</v>
      </c>
      <c r="I1366" s="12" t="s">
        <v>3075</v>
      </c>
      <c r="J1366" s="12" t="s">
        <v>3089</v>
      </c>
      <c r="K1366" s="12" t="s">
        <v>3592</v>
      </c>
      <c r="L1366" s="13" t="s">
        <v>3075</v>
      </c>
    </row>
    <row r="1367" spans="1:12" hidden="1" x14ac:dyDescent="0.55000000000000004">
      <c r="A1367" s="12" t="s">
        <v>3056</v>
      </c>
      <c r="B1367" s="12" t="s">
        <v>4486</v>
      </c>
      <c r="C1367" s="12" t="s">
        <v>923</v>
      </c>
      <c r="D1367" s="12" t="s">
        <v>4752</v>
      </c>
      <c r="E1367" s="12" t="s">
        <v>1015</v>
      </c>
      <c r="F1367" s="12" t="s">
        <v>826</v>
      </c>
      <c r="G1367" s="12" t="s">
        <v>1016</v>
      </c>
      <c r="H1367" s="12" t="s">
        <v>5337</v>
      </c>
      <c r="I1367" s="12" t="s">
        <v>3059</v>
      </c>
      <c r="J1367" s="12" t="s">
        <v>3089</v>
      </c>
      <c r="K1367" s="12" t="s">
        <v>3596</v>
      </c>
      <c r="L1367" s="13">
        <v>2</v>
      </c>
    </row>
    <row r="1368" spans="1:12" hidden="1" x14ac:dyDescent="0.55000000000000004">
      <c r="A1368" s="12" t="s">
        <v>3056</v>
      </c>
      <c r="B1368" s="12" t="s">
        <v>4486</v>
      </c>
      <c r="C1368" s="12" t="s">
        <v>923</v>
      </c>
      <c r="D1368" s="12" t="s">
        <v>4752</v>
      </c>
      <c r="E1368" s="12" t="s">
        <v>1019</v>
      </c>
      <c r="F1368" s="12" t="s">
        <v>1020</v>
      </c>
      <c r="G1368" s="12" t="s">
        <v>1021</v>
      </c>
      <c r="H1368" s="12" t="s">
        <v>5337</v>
      </c>
      <c r="I1368" s="12" t="s">
        <v>3059</v>
      </c>
      <c r="J1368" s="12" t="s">
        <v>3089</v>
      </c>
      <c r="K1368" s="12" t="s">
        <v>3598</v>
      </c>
      <c r="L1368" s="13">
        <v>8</v>
      </c>
    </row>
    <row r="1369" spans="1:12" hidden="1" x14ac:dyDescent="0.55000000000000004">
      <c r="A1369" s="12" t="s">
        <v>3056</v>
      </c>
      <c r="B1369" s="12" t="s">
        <v>4486</v>
      </c>
      <c r="C1369" s="12" t="s">
        <v>923</v>
      </c>
      <c r="D1369" s="12" t="s">
        <v>4752</v>
      </c>
      <c r="E1369" s="12" t="s">
        <v>1025</v>
      </c>
      <c r="F1369" s="12" t="s">
        <v>411</v>
      </c>
      <c r="G1369" s="12" t="s">
        <v>1026</v>
      </c>
      <c r="H1369" s="12" t="s">
        <v>5337</v>
      </c>
      <c r="I1369" s="12" t="s">
        <v>3075</v>
      </c>
      <c r="J1369" s="12" t="s">
        <v>3089</v>
      </c>
      <c r="K1369" s="12" t="s">
        <v>3600</v>
      </c>
      <c r="L1369" s="13" t="s">
        <v>3075</v>
      </c>
    </row>
    <row r="1370" spans="1:12" hidden="1" x14ac:dyDescent="0.55000000000000004">
      <c r="A1370" s="12" t="s">
        <v>3056</v>
      </c>
      <c r="B1370" s="12" t="s">
        <v>4486</v>
      </c>
      <c r="C1370" s="12" t="s">
        <v>923</v>
      </c>
      <c r="D1370" s="12" t="s">
        <v>4752</v>
      </c>
      <c r="E1370" s="12" t="s">
        <v>1027</v>
      </c>
      <c r="F1370" s="12" t="s">
        <v>1028</v>
      </c>
      <c r="G1370" s="12" t="s">
        <v>1029</v>
      </c>
      <c r="H1370" s="12" t="s">
        <v>5337</v>
      </c>
      <c r="I1370" s="12" t="s">
        <v>3059</v>
      </c>
      <c r="J1370" s="12" t="s">
        <v>3089</v>
      </c>
      <c r="K1370" s="12" t="s">
        <v>3601</v>
      </c>
      <c r="L1370" s="13">
        <v>2</v>
      </c>
    </row>
    <row r="1371" spans="1:12" hidden="1" x14ac:dyDescent="0.55000000000000004">
      <c r="A1371" s="12" t="s">
        <v>3056</v>
      </c>
      <c r="B1371" s="12" t="s">
        <v>4486</v>
      </c>
      <c r="C1371" s="12" t="s">
        <v>923</v>
      </c>
      <c r="D1371" s="12" t="s">
        <v>4752</v>
      </c>
      <c r="E1371" s="12" t="s">
        <v>4672</v>
      </c>
      <c r="F1371" s="12" t="s">
        <v>255</v>
      </c>
      <c r="G1371" s="12" t="s">
        <v>4673</v>
      </c>
      <c r="H1371" s="12" t="s">
        <v>5337</v>
      </c>
      <c r="I1371" s="12" t="s">
        <v>3059</v>
      </c>
      <c r="J1371" s="12" t="s">
        <v>3089</v>
      </c>
      <c r="K1371" s="12" t="s">
        <v>4674</v>
      </c>
      <c r="L1371" s="13">
        <v>8</v>
      </c>
    </row>
    <row r="1372" spans="1:12" hidden="1" x14ac:dyDescent="0.55000000000000004">
      <c r="A1372" s="12" t="s">
        <v>2984</v>
      </c>
      <c r="B1372" s="12" t="s">
        <v>4486</v>
      </c>
      <c r="C1372" s="12" t="s">
        <v>4883</v>
      </c>
      <c r="D1372" s="12" t="s">
        <v>4752</v>
      </c>
      <c r="E1372" s="12" t="s">
        <v>296</v>
      </c>
      <c r="F1372" s="12" t="s">
        <v>297</v>
      </c>
      <c r="G1372" s="12" t="s">
        <v>298</v>
      </c>
      <c r="H1372" s="12" t="s">
        <v>4524</v>
      </c>
      <c r="I1372" s="12" t="s">
        <v>3075</v>
      </c>
      <c r="J1372" s="12" t="s">
        <v>3090</v>
      </c>
      <c r="K1372" s="12" t="s">
        <v>3344</v>
      </c>
      <c r="L1372" s="13" t="s">
        <v>3075</v>
      </c>
    </row>
    <row r="1373" spans="1:12" hidden="1" x14ac:dyDescent="0.55000000000000004">
      <c r="A1373" s="12" t="s">
        <v>2984</v>
      </c>
      <c r="B1373" s="12" t="s">
        <v>4486</v>
      </c>
      <c r="C1373" s="12" t="s">
        <v>4883</v>
      </c>
      <c r="D1373" s="12" t="s">
        <v>4752</v>
      </c>
      <c r="E1373" s="12" t="s">
        <v>301</v>
      </c>
      <c r="F1373" s="12" t="s">
        <v>302</v>
      </c>
      <c r="G1373" s="12" t="s">
        <v>303</v>
      </c>
      <c r="H1373" s="12" t="s">
        <v>4524</v>
      </c>
      <c r="I1373" s="12" t="s">
        <v>3075</v>
      </c>
      <c r="J1373" s="12" t="s">
        <v>3090</v>
      </c>
      <c r="K1373" s="12" t="s">
        <v>3346</v>
      </c>
      <c r="L1373" s="13" t="s">
        <v>3075</v>
      </c>
    </row>
    <row r="1374" spans="1:12" hidden="1" x14ac:dyDescent="0.55000000000000004">
      <c r="A1374" s="12" t="s">
        <v>2984</v>
      </c>
      <c r="B1374" s="12" t="s">
        <v>4486</v>
      </c>
      <c r="C1374" s="12" t="s">
        <v>4883</v>
      </c>
      <c r="D1374" s="12" t="s">
        <v>4752</v>
      </c>
      <c r="E1374" s="12" t="s">
        <v>6222</v>
      </c>
      <c r="F1374" s="12" t="s">
        <v>6223</v>
      </c>
      <c r="G1374" s="12" t="s">
        <v>6224</v>
      </c>
      <c r="H1374" s="12" t="s">
        <v>4524</v>
      </c>
      <c r="I1374" s="12" t="s">
        <v>3075</v>
      </c>
      <c r="J1374" s="12" t="s">
        <v>3090</v>
      </c>
      <c r="K1374" s="12" t="s">
        <v>6225</v>
      </c>
      <c r="L1374" s="13" t="s">
        <v>3075</v>
      </c>
    </row>
    <row r="1375" spans="1:12" hidden="1" x14ac:dyDescent="0.55000000000000004">
      <c r="A1375" s="12" t="s">
        <v>2984</v>
      </c>
      <c r="B1375" s="12" t="s">
        <v>4486</v>
      </c>
      <c r="C1375" s="12" t="s">
        <v>4883</v>
      </c>
      <c r="D1375" s="12" t="s">
        <v>4752</v>
      </c>
      <c r="E1375" s="12" t="s">
        <v>6226</v>
      </c>
      <c r="F1375" s="12" t="s">
        <v>6227</v>
      </c>
      <c r="G1375" s="12" t="s">
        <v>6228</v>
      </c>
      <c r="H1375" s="12" t="s">
        <v>4524</v>
      </c>
      <c r="I1375" s="12" t="s">
        <v>3075</v>
      </c>
      <c r="J1375" s="12" t="s">
        <v>3090</v>
      </c>
      <c r="K1375" s="12" t="s">
        <v>6229</v>
      </c>
      <c r="L1375" s="13" t="s">
        <v>3075</v>
      </c>
    </row>
    <row r="1376" spans="1:12" hidden="1" x14ac:dyDescent="0.55000000000000004">
      <c r="A1376" s="12" t="s">
        <v>2886</v>
      </c>
      <c r="B1376" s="12" t="s">
        <v>4374</v>
      </c>
      <c r="C1376" s="12" t="s">
        <v>5338</v>
      </c>
      <c r="D1376" s="12" t="s">
        <v>4752</v>
      </c>
      <c r="E1376" s="12" t="s">
        <v>272</v>
      </c>
      <c r="F1376" s="12" t="s">
        <v>273</v>
      </c>
      <c r="G1376" s="12" t="s">
        <v>274</v>
      </c>
      <c r="H1376" s="12" t="s">
        <v>4392</v>
      </c>
      <c r="I1376" s="12" t="s">
        <v>3059</v>
      </c>
      <c r="J1376" s="12" t="s">
        <v>3096</v>
      </c>
      <c r="K1376" s="12" t="s">
        <v>3336</v>
      </c>
      <c r="L1376" s="13">
        <v>5</v>
      </c>
    </row>
    <row r="1377" spans="1:12" hidden="1" x14ac:dyDescent="0.55000000000000004">
      <c r="A1377" s="12" t="s">
        <v>2886</v>
      </c>
      <c r="B1377" s="12" t="s">
        <v>4374</v>
      </c>
      <c r="C1377" s="12" t="s">
        <v>5338</v>
      </c>
      <c r="D1377" s="12" t="s">
        <v>4752</v>
      </c>
      <c r="E1377" s="12" t="s">
        <v>275</v>
      </c>
      <c r="F1377" s="12" t="s">
        <v>276</v>
      </c>
      <c r="G1377" s="12" t="s">
        <v>277</v>
      </c>
      <c r="H1377" s="12" t="s">
        <v>4392</v>
      </c>
      <c r="I1377" s="12" t="s">
        <v>3059</v>
      </c>
      <c r="J1377" s="12" t="s">
        <v>3096</v>
      </c>
      <c r="K1377" s="12" t="s">
        <v>3337</v>
      </c>
      <c r="L1377" s="13">
        <v>5</v>
      </c>
    </row>
    <row r="1378" spans="1:12" hidden="1" x14ac:dyDescent="0.55000000000000004">
      <c r="A1378" s="12" t="s">
        <v>2886</v>
      </c>
      <c r="B1378" s="12" t="s">
        <v>4374</v>
      </c>
      <c r="C1378" s="12" t="s">
        <v>5338</v>
      </c>
      <c r="D1378" s="12" t="s">
        <v>4752</v>
      </c>
      <c r="E1378" s="12" t="s">
        <v>278</v>
      </c>
      <c r="F1378" s="12" t="s">
        <v>279</v>
      </c>
      <c r="G1378" s="12" t="s">
        <v>280</v>
      </c>
      <c r="H1378" s="12" t="s">
        <v>4392</v>
      </c>
      <c r="I1378" s="12" t="s">
        <v>3059</v>
      </c>
      <c r="J1378" s="12" t="s">
        <v>3096</v>
      </c>
      <c r="K1378" s="12" t="s">
        <v>3338</v>
      </c>
      <c r="L1378" s="13">
        <v>5</v>
      </c>
    </row>
    <row r="1379" spans="1:12" hidden="1" x14ac:dyDescent="0.55000000000000004">
      <c r="A1379" s="12" t="s">
        <v>2886</v>
      </c>
      <c r="B1379" s="12" t="s">
        <v>4374</v>
      </c>
      <c r="C1379" s="12" t="s">
        <v>5338</v>
      </c>
      <c r="D1379" s="12" t="s">
        <v>4752</v>
      </c>
      <c r="E1379" s="12" t="s">
        <v>281</v>
      </c>
      <c r="F1379" s="12" t="s">
        <v>282</v>
      </c>
      <c r="G1379" s="12" t="s">
        <v>283</v>
      </c>
      <c r="H1379" s="12" t="s">
        <v>4392</v>
      </c>
      <c r="I1379" s="12" t="s">
        <v>3059</v>
      </c>
      <c r="J1379" s="12" t="s">
        <v>3096</v>
      </c>
      <c r="K1379" s="12" t="s">
        <v>3339</v>
      </c>
      <c r="L1379" s="13">
        <v>5</v>
      </c>
    </row>
    <row r="1380" spans="1:12" hidden="1" x14ac:dyDescent="0.55000000000000004">
      <c r="A1380" s="12" t="s">
        <v>2886</v>
      </c>
      <c r="B1380" s="12" t="s">
        <v>4374</v>
      </c>
      <c r="C1380" s="12" t="s">
        <v>5338</v>
      </c>
      <c r="D1380" s="12" t="s">
        <v>4752</v>
      </c>
      <c r="E1380" s="12" t="s">
        <v>4628</v>
      </c>
      <c r="F1380" s="12" t="s">
        <v>4629</v>
      </c>
      <c r="G1380" s="12" t="s">
        <v>4630</v>
      </c>
      <c r="H1380" s="12" t="s">
        <v>4392</v>
      </c>
      <c r="I1380" s="12" t="s">
        <v>3075</v>
      </c>
      <c r="J1380" s="12" t="s">
        <v>3096</v>
      </c>
      <c r="K1380" s="12" t="s">
        <v>4631</v>
      </c>
      <c r="L1380" s="13" t="s">
        <v>3075</v>
      </c>
    </row>
    <row r="1381" spans="1:12" hidden="1" x14ac:dyDescent="0.55000000000000004">
      <c r="A1381" s="12" t="s">
        <v>4427</v>
      </c>
      <c r="B1381" s="12" t="s">
        <v>4422</v>
      </c>
      <c r="C1381" s="12" t="s">
        <v>5138</v>
      </c>
      <c r="D1381" s="12" t="s">
        <v>4752</v>
      </c>
      <c r="E1381" s="12" t="s">
        <v>1589</v>
      </c>
      <c r="F1381" s="12" t="s">
        <v>4693</v>
      </c>
      <c r="G1381" s="12" t="s">
        <v>4694</v>
      </c>
      <c r="H1381" s="12" t="s">
        <v>5339</v>
      </c>
      <c r="I1381" s="12" t="s">
        <v>3075</v>
      </c>
      <c r="J1381" s="12" t="s">
        <v>338</v>
      </c>
      <c r="K1381" s="12" t="s">
        <v>4695</v>
      </c>
      <c r="L1381" s="13" t="s">
        <v>3075</v>
      </c>
    </row>
    <row r="1382" spans="1:12" hidden="1" x14ac:dyDescent="0.55000000000000004">
      <c r="A1382" s="12" t="s">
        <v>2927</v>
      </c>
      <c r="B1382" s="12" t="s">
        <v>4442</v>
      </c>
      <c r="C1382" s="12" t="s">
        <v>5340</v>
      </c>
      <c r="D1382" s="12" t="s">
        <v>4752</v>
      </c>
      <c r="E1382" s="12" t="s">
        <v>2787</v>
      </c>
      <c r="F1382" s="12" t="s">
        <v>2788</v>
      </c>
      <c r="G1382" s="12" t="s">
        <v>2789</v>
      </c>
      <c r="H1382" s="12" t="s">
        <v>4446</v>
      </c>
      <c r="I1382" s="12" t="s">
        <v>3059</v>
      </c>
      <c r="J1382" s="12" t="s">
        <v>3085</v>
      </c>
      <c r="K1382" s="12" t="s">
        <v>4255</v>
      </c>
      <c r="L1382" s="13">
        <v>9</v>
      </c>
    </row>
    <row r="1383" spans="1:12" hidden="1" x14ac:dyDescent="0.55000000000000004">
      <c r="A1383" s="12" t="s">
        <v>2927</v>
      </c>
      <c r="B1383" s="12" t="s">
        <v>4442</v>
      </c>
      <c r="C1383" s="12" t="s">
        <v>5340</v>
      </c>
      <c r="D1383" s="12" t="s">
        <v>4752</v>
      </c>
      <c r="E1383" s="12" t="s">
        <v>2790</v>
      </c>
      <c r="F1383" s="12" t="s">
        <v>2791</v>
      </c>
      <c r="G1383" s="12" t="s">
        <v>2792</v>
      </c>
      <c r="H1383" s="12" t="s">
        <v>4446</v>
      </c>
      <c r="I1383" s="12" t="s">
        <v>3059</v>
      </c>
      <c r="J1383" s="12" t="s">
        <v>3085</v>
      </c>
      <c r="K1383" s="12" t="s">
        <v>4256</v>
      </c>
      <c r="L1383" s="13">
        <v>9</v>
      </c>
    </row>
    <row r="1384" spans="1:12" hidden="1" x14ac:dyDescent="0.55000000000000004">
      <c r="A1384" s="12" t="s">
        <v>2996</v>
      </c>
      <c r="B1384" s="12" t="s">
        <v>4486</v>
      </c>
      <c r="C1384" s="12" t="s">
        <v>5181</v>
      </c>
      <c r="D1384" s="12" t="s">
        <v>4752</v>
      </c>
      <c r="E1384" s="12" t="s">
        <v>1147</v>
      </c>
      <c r="F1384" s="12" t="s">
        <v>1148</v>
      </c>
      <c r="G1384" s="12" t="s">
        <v>1149</v>
      </c>
      <c r="H1384" s="12" t="s">
        <v>4538</v>
      </c>
      <c r="I1384" s="12" t="s">
        <v>3059</v>
      </c>
      <c r="J1384" s="12" t="s">
        <v>1222</v>
      </c>
      <c r="K1384" s="12" t="s">
        <v>3645</v>
      </c>
      <c r="L1384" s="13">
        <v>5</v>
      </c>
    </row>
    <row r="1385" spans="1:12" hidden="1" x14ac:dyDescent="0.55000000000000004">
      <c r="A1385" s="12" t="s">
        <v>2996</v>
      </c>
      <c r="B1385" s="12" t="s">
        <v>4486</v>
      </c>
      <c r="C1385" s="12" t="s">
        <v>5181</v>
      </c>
      <c r="D1385" s="12" t="s">
        <v>4752</v>
      </c>
      <c r="E1385" s="12" t="s">
        <v>1150</v>
      </c>
      <c r="F1385" s="12" t="s">
        <v>1151</v>
      </c>
      <c r="G1385" s="12" t="s">
        <v>1152</v>
      </c>
      <c r="H1385" s="12" t="s">
        <v>4538</v>
      </c>
      <c r="I1385" s="12" t="s">
        <v>3059</v>
      </c>
      <c r="J1385" s="12" t="s">
        <v>1222</v>
      </c>
      <c r="K1385" s="12" t="s">
        <v>3646</v>
      </c>
      <c r="L1385" s="13">
        <v>5</v>
      </c>
    </row>
    <row r="1386" spans="1:12" hidden="1" x14ac:dyDescent="0.55000000000000004">
      <c r="A1386" s="12" t="s">
        <v>2949</v>
      </c>
      <c r="B1386" s="12" t="s">
        <v>4442</v>
      </c>
      <c r="C1386" s="12" t="s">
        <v>5154</v>
      </c>
      <c r="D1386" s="12" t="s">
        <v>4752</v>
      </c>
      <c r="E1386" s="12" t="s">
        <v>546</v>
      </c>
      <c r="F1386" s="12" t="s">
        <v>547</v>
      </c>
      <c r="G1386" s="12" t="s">
        <v>548</v>
      </c>
      <c r="H1386" s="12" t="s">
        <v>4467</v>
      </c>
      <c r="I1386" s="12" t="s">
        <v>3059</v>
      </c>
      <c r="J1386" s="12" t="s">
        <v>3084</v>
      </c>
      <c r="K1386" s="12" t="s">
        <v>3430</v>
      </c>
      <c r="L1386" s="13">
        <v>5</v>
      </c>
    </row>
    <row r="1387" spans="1:12" hidden="1" x14ac:dyDescent="0.55000000000000004">
      <c r="A1387" s="12" t="s">
        <v>2949</v>
      </c>
      <c r="B1387" s="12" t="s">
        <v>4442</v>
      </c>
      <c r="C1387" s="12" t="s">
        <v>5154</v>
      </c>
      <c r="D1387" s="12" t="s">
        <v>4752</v>
      </c>
      <c r="E1387" s="12" t="s">
        <v>561</v>
      </c>
      <c r="F1387" s="12" t="s">
        <v>562</v>
      </c>
      <c r="G1387" s="12" t="s">
        <v>458</v>
      </c>
      <c r="H1387" s="12" t="s">
        <v>4467</v>
      </c>
      <c r="I1387" s="12" t="s">
        <v>3059</v>
      </c>
      <c r="J1387" s="12" t="s">
        <v>3084</v>
      </c>
      <c r="K1387" s="12" t="s">
        <v>3435</v>
      </c>
      <c r="L1387" s="13">
        <v>5</v>
      </c>
    </row>
    <row r="1388" spans="1:12" hidden="1" x14ac:dyDescent="0.55000000000000004">
      <c r="A1388" s="12" t="s">
        <v>2949</v>
      </c>
      <c r="B1388" s="12" t="s">
        <v>4442</v>
      </c>
      <c r="C1388" s="12" t="s">
        <v>5154</v>
      </c>
      <c r="D1388" s="12" t="s">
        <v>4752</v>
      </c>
      <c r="E1388" s="12" t="s">
        <v>3133</v>
      </c>
      <c r="F1388" s="12" t="s">
        <v>1416</v>
      </c>
      <c r="G1388" s="12" t="s">
        <v>3134</v>
      </c>
      <c r="H1388" s="12" t="s">
        <v>4467</v>
      </c>
      <c r="I1388" s="12" t="s">
        <v>3075</v>
      </c>
      <c r="J1388" s="12" t="s">
        <v>3084</v>
      </c>
      <c r="K1388" s="12" t="s">
        <v>3444</v>
      </c>
      <c r="L1388" s="13" t="s">
        <v>3075</v>
      </c>
    </row>
    <row r="1389" spans="1:12" hidden="1" x14ac:dyDescent="0.55000000000000004">
      <c r="A1389" s="12" t="s">
        <v>2948</v>
      </c>
      <c r="B1389" s="12" t="s">
        <v>4442</v>
      </c>
      <c r="C1389" s="12" t="s">
        <v>5154</v>
      </c>
      <c r="D1389" s="12" t="s">
        <v>4752</v>
      </c>
      <c r="E1389" s="12" t="s">
        <v>486</v>
      </c>
      <c r="F1389" s="12" t="s">
        <v>487</v>
      </c>
      <c r="G1389" s="12" t="s">
        <v>174</v>
      </c>
      <c r="H1389" s="12" t="s">
        <v>4468</v>
      </c>
      <c r="I1389" s="12" t="s">
        <v>3059</v>
      </c>
      <c r="J1389" s="12" t="s">
        <v>3084</v>
      </c>
      <c r="K1389" s="12" t="s">
        <v>3409</v>
      </c>
      <c r="L1389" s="13">
        <v>5</v>
      </c>
    </row>
    <row r="1390" spans="1:12" hidden="1" x14ac:dyDescent="0.55000000000000004">
      <c r="A1390" s="12" t="s">
        <v>2948</v>
      </c>
      <c r="B1390" s="12" t="s">
        <v>4442</v>
      </c>
      <c r="C1390" s="12" t="s">
        <v>5154</v>
      </c>
      <c r="D1390" s="12" t="s">
        <v>4752</v>
      </c>
      <c r="E1390" s="12" t="s">
        <v>552</v>
      </c>
      <c r="F1390" s="12" t="s">
        <v>553</v>
      </c>
      <c r="G1390" s="12" t="s">
        <v>554</v>
      </c>
      <c r="H1390" s="12" t="s">
        <v>4468</v>
      </c>
      <c r="I1390" s="12" t="s">
        <v>3059</v>
      </c>
      <c r="J1390" s="12" t="s">
        <v>3084</v>
      </c>
      <c r="K1390" s="12" t="s">
        <v>3432</v>
      </c>
      <c r="L1390" s="13">
        <v>5</v>
      </c>
    </row>
    <row r="1391" spans="1:12" hidden="1" x14ac:dyDescent="0.55000000000000004">
      <c r="A1391" s="12" t="s">
        <v>2948</v>
      </c>
      <c r="B1391" s="12" t="s">
        <v>4442</v>
      </c>
      <c r="C1391" s="12" t="s">
        <v>5154</v>
      </c>
      <c r="D1391" s="12" t="s">
        <v>4752</v>
      </c>
      <c r="E1391" s="12" t="s">
        <v>3170</v>
      </c>
      <c r="F1391" s="12" t="s">
        <v>514</v>
      </c>
      <c r="G1391" s="12" t="s">
        <v>515</v>
      </c>
      <c r="H1391" s="12" t="s">
        <v>4468</v>
      </c>
      <c r="I1391" s="12" t="s">
        <v>3059</v>
      </c>
      <c r="J1391" s="12" t="s">
        <v>3084</v>
      </c>
      <c r="K1391" s="12" t="s">
        <v>3419</v>
      </c>
      <c r="L1391" s="13">
        <v>5</v>
      </c>
    </row>
    <row r="1392" spans="1:12" hidden="1" x14ac:dyDescent="0.55000000000000004">
      <c r="A1392" s="12" t="s">
        <v>2948</v>
      </c>
      <c r="B1392" s="12" t="s">
        <v>4442</v>
      </c>
      <c r="C1392" s="12" t="s">
        <v>5154</v>
      </c>
      <c r="D1392" s="12" t="s">
        <v>4752</v>
      </c>
      <c r="E1392" s="12" t="s">
        <v>566</v>
      </c>
      <c r="F1392" s="12" t="s">
        <v>130</v>
      </c>
      <c r="G1392" s="12" t="s">
        <v>567</v>
      </c>
      <c r="H1392" s="12" t="s">
        <v>4468</v>
      </c>
      <c r="I1392" s="12" t="s">
        <v>3059</v>
      </c>
      <c r="J1392" s="12" t="s">
        <v>3084</v>
      </c>
      <c r="K1392" s="12" t="s">
        <v>3437</v>
      </c>
      <c r="L1392" s="13">
        <v>5</v>
      </c>
    </row>
    <row r="1393" spans="1:12" hidden="1" x14ac:dyDescent="0.55000000000000004">
      <c r="A1393" s="12" t="s">
        <v>2948</v>
      </c>
      <c r="B1393" s="12" t="s">
        <v>4442</v>
      </c>
      <c r="C1393" s="12" t="s">
        <v>5154</v>
      </c>
      <c r="D1393" s="12" t="s">
        <v>4752</v>
      </c>
      <c r="E1393" s="12" t="s">
        <v>3199</v>
      </c>
      <c r="F1393" s="12" t="s">
        <v>3197</v>
      </c>
      <c r="G1393" s="12" t="s">
        <v>3198</v>
      </c>
      <c r="H1393" s="12" t="s">
        <v>4468</v>
      </c>
      <c r="I1393" s="12" t="s">
        <v>3059</v>
      </c>
      <c r="J1393" s="12" t="s">
        <v>3084</v>
      </c>
      <c r="K1393" s="12" t="s">
        <v>4281</v>
      </c>
      <c r="L1393" s="13">
        <v>6</v>
      </c>
    </row>
    <row r="1394" spans="1:12" hidden="1" x14ac:dyDescent="0.55000000000000004">
      <c r="A1394" s="12" t="s">
        <v>2948</v>
      </c>
      <c r="B1394" s="12" t="s">
        <v>4442</v>
      </c>
      <c r="C1394" s="12" t="s">
        <v>5154</v>
      </c>
      <c r="D1394" s="12" t="s">
        <v>4752</v>
      </c>
      <c r="E1394" s="12" t="s">
        <v>3201</v>
      </c>
      <c r="F1394" s="12" t="s">
        <v>719</v>
      </c>
      <c r="G1394" s="12" t="s">
        <v>3200</v>
      </c>
      <c r="H1394" s="12" t="s">
        <v>4468</v>
      </c>
      <c r="I1394" s="12" t="s">
        <v>3059</v>
      </c>
      <c r="J1394" s="12" t="s">
        <v>3084</v>
      </c>
      <c r="K1394" s="12" t="s">
        <v>4282</v>
      </c>
      <c r="L1394" s="13">
        <v>6</v>
      </c>
    </row>
    <row r="1395" spans="1:12" hidden="1" x14ac:dyDescent="0.55000000000000004">
      <c r="A1395" s="12" t="s">
        <v>2948</v>
      </c>
      <c r="B1395" s="12" t="s">
        <v>4442</v>
      </c>
      <c r="C1395" s="12" t="s">
        <v>5154</v>
      </c>
      <c r="D1395" s="12" t="s">
        <v>4752</v>
      </c>
      <c r="E1395" s="12" t="s">
        <v>3203</v>
      </c>
      <c r="F1395" s="12" t="s">
        <v>2222</v>
      </c>
      <c r="G1395" s="12" t="s">
        <v>3202</v>
      </c>
      <c r="H1395" s="12" t="s">
        <v>4468</v>
      </c>
      <c r="I1395" s="12" t="s">
        <v>3059</v>
      </c>
      <c r="J1395" s="12" t="s">
        <v>3084</v>
      </c>
      <c r="K1395" s="12" t="s">
        <v>4283</v>
      </c>
      <c r="L1395" s="13">
        <v>6</v>
      </c>
    </row>
    <row r="1396" spans="1:12" hidden="1" x14ac:dyDescent="0.55000000000000004">
      <c r="A1396" s="12" t="s">
        <v>2948</v>
      </c>
      <c r="B1396" s="12" t="s">
        <v>4442</v>
      </c>
      <c r="C1396" s="12" t="s">
        <v>5154</v>
      </c>
      <c r="D1396" s="12" t="s">
        <v>4752</v>
      </c>
      <c r="E1396" s="12" t="s">
        <v>3196</v>
      </c>
      <c r="F1396" s="12" t="s">
        <v>3194</v>
      </c>
      <c r="G1396" s="12" t="s">
        <v>3195</v>
      </c>
      <c r="H1396" s="12" t="s">
        <v>4468</v>
      </c>
      <c r="I1396" s="12" t="s">
        <v>3059</v>
      </c>
      <c r="J1396" s="12" t="s">
        <v>3084</v>
      </c>
      <c r="K1396" s="12" t="s">
        <v>4284</v>
      </c>
      <c r="L1396" s="13">
        <v>6</v>
      </c>
    </row>
    <row r="1397" spans="1:12" hidden="1" x14ac:dyDescent="0.55000000000000004">
      <c r="A1397" s="12" t="s">
        <v>2948</v>
      </c>
      <c r="B1397" s="12" t="s">
        <v>4442</v>
      </c>
      <c r="C1397" s="12" t="s">
        <v>5154</v>
      </c>
      <c r="D1397" s="12" t="s">
        <v>4752</v>
      </c>
      <c r="E1397" s="12" t="s">
        <v>3214</v>
      </c>
      <c r="F1397" s="12" t="s">
        <v>686</v>
      </c>
      <c r="G1397" s="12" t="s">
        <v>3215</v>
      </c>
      <c r="H1397" s="12" t="s">
        <v>4468</v>
      </c>
      <c r="I1397" s="12" t="s">
        <v>3059</v>
      </c>
      <c r="J1397" s="12" t="s">
        <v>3084</v>
      </c>
      <c r="K1397" s="12" t="s">
        <v>4276</v>
      </c>
      <c r="L1397" s="13">
        <v>6</v>
      </c>
    </row>
    <row r="1398" spans="1:12" hidden="1" x14ac:dyDescent="0.55000000000000004">
      <c r="A1398" s="12" t="s">
        <v>2948</v>
      </c>
      <c r="B1398" s="12" t="s">
        <v>4442</v>
      </c>
      <c r="C1398" s="12" t="s">
        <v>5154</v>
      </c>
      <c r="D1398" s="12" t="s">
        <v>4752</v>
      </c>
      <c r="E1398" s="12" t="s">
        <v>3216</v>
      </c>
      <c r="F1398" s="12" t="s">
        <v>1086</v>
      </c>
      <c r="G1398" s="12" t="s">
        <v>3217</v>
      </c>
      <c r="H1398" s="12" t="s">
        <v>4468</v>
      </c>
      <c r="I1398" s="12" t="s">
        <v>3059</v>
      </c>
      <c r="J1398" s="12" t="s">
        <v>3084</v>
      </c>
      <c r="K1398" s="12" t="s">
        <v>4277</v>
      </c>
      <c r="L1398" s="13">
        <v>6</v>
      </c>
    </row>
    <row r="1399" spans="1:12" hidden="1" x14ac:dyDescent="0.55000000000000004">
      <c r="A1399" s="12" t="s">
        <v>4340</v>
      </c>
      <c r="B1399" s="12" t="s">
        <v>4298</v>
      </c>
      <c r="C1399" s="12" t="s">
        <v>5341</v>
      </c>
      <c r="D1399" s="12" t="s">
        <v>4752</v>
      </c>
      <c r="E1399" s="12" t="s">
        <v>5342</v>
      </c>
      <c r="F1399" s="12" t="s">
        <v>5343</v>
      </c>
      <c r="G1399" s="12" t="s">
        <v>5344</v>
      </c>
      <c r="H1399" s="12" t="s">
        <v>5345</v>
      </c>
      <c r="I1399" s="12" t="s">
        <v>3059</v>
      </c>
      <c r="J1399" s="12" t="s">
        <v>3087</v>
      </c>
      <c r="K1399" s="12" t="s">
        <v>5346</v>
      </c>
      <c r="L1399" s="13">
        <v>5</v>
      </c>
    </row>
    <row r="1400" spans="1:12" hidden="1" x14ac:dyDescent="0.55000000000000004">
      <c r="A1400" s="12" t="s">
        <v>4340</v>
      </c>
      <c r="B1400" s="12" t="s">
        <v>4298</v>
      </c>
      <c r="C1400" s="12" t="s">
        <v>5341</v>
      </c>
      <c r="D1400" s="12" t="s">
        <v>4752</v>
      </c>
      <c r="E1400" s="12" t="s">
        <v>5347</v>
      </c>
      <c r="F1400" s="12" t="s">
        <v>5348</v>
      </c>
      <c r="G1400" s="12" t="s">
        <v>5349</v>
      </c>
      <c r="H1400" s="12" t="s">
        <v>5345</v>
      </c>
      <c r="I1400" s="12" t="s">
        <v>3059</v>
      </c>
      <c r="J1400" s="12" t="s">
        <v>3087</v>
      </c>
      <c r="K1400" s="12" t="s">
        <v>5350</v>
      </c>
      <c r="L1400" s="13">
        <v>5</v>
      </c>
    </row>
    <row r="1401" spans="1:12" hidden="1" x14ac:dyDescent="0.55000000000000004">
      <c r="A1401" s="12" t="s">
        <v>4340</v>
      </c>
      <c r="B1401" s="12" t="s">
        <v>4298</v>
      </c>
      <c r="C1401" s="12" t="s">
        <v>5341</v>
      </c>
      <c r="D1401" s="12" t="s">
        <v>4752</v>
      </c>
      <c r="E1401" s="12" t="s">
        <v>5351</v>
      </c>
      <c r="F1401" s="12" t="s">
        <v>5343</v>
      </c>
      <c r="G1401" s="12" t="s">
        <v>5344</v>
      </c>
      <c r="H1401" s="12" t="s">
        <v>5345</v>
      </c>
      <c r="I1401" s="12" t="s">
        <v>3059</v>
      </c>
      <c r="J1401" s="12" t="s">
        <v>3087</v>
      </c>
      <c r="K1401" s="12" t="s">
        <v>5346</v>
      </c>
      <c r="L1401" s="13">
        <v>5</v>
      </c>
    </row>
    <row r="1402" spans="1:12" hidden="1" x14ac:dyDescent="0.55000000000000004">
      <c r="A1402" s="12" t="s">
        <v>4340</v>
      </c>
      <c r="B1402" s="12" t="s">
        <v>4298</v>
      </c>
      <c r="C1402" s="12" t="s">
        <v>5341</v>
      </c>
      <c r="D1402" s="12" t="s">
        <v>4752</v>
      </c>
      <c r="E1402" s="12" t="s">
        <v>5352</v>
      </c>
      <c r="F1402" s="12" t="s">
        <v>5348</v>
      </c>
      <c r="G1402" s="12" t="s">
        <v>5349</v>
      </c>
      <c r="H1402" s="12" t="s">
        <v>5345</v>
      </c>
      <c r="I1402" s="12" t="s">
        <v>3059</v>
      </c>
      <c r="J1402" s="12" t="s">
        <v>3087</v>
      </c>
      <c r="K1402" s="12" t="s">
        <v>5350</v>
      </c>
      <c r="L1402" s="13">
        <v>5</v>
      </c>
    </row>
    <row r="1403" spans="1:12" hidden="1" x14ac:dyDescent="0.55000000000000004">
      <c r="A1403" s="12" t="s">
        <v>4340</v>
      </c>
      <c r="B1403" s="12" t="s">
        <v>4298</v>
      </c>
      <c r="C1403" s="12" t="s">
        <v>5341</v>
      </c>
      <c r="D1403" s="12" t="s">
        <v>4752</v>
      </c>
      <c r="E1403" s="12" t="s">
        <v>5353</v>
      </c>
      <c r="F1403" s="12" t="s">
        <v>681</v>
      </c>
      <c r="G1403" s="12" t="s">
        <v>5354</v>
      </c>
      <c r="H1403" s="12" t="s">
        <v>5345</v>
      </c>
      <c r="I1403" s="12" t="s">
        <v>3059</v>
      </c>
      <c r="J1403" s="12" t="s">
        <v>3087</v>
      </c>
      <c r="K1403" s="12" t="s">
        <v>5355</v>
      </c>
      <c r="L1403" s="13">
        <v>5</v>
      </c>
    </row>
    <row r="1404" spans="1:12" hidden="1" x14ac:dyDescent="0.55000000000000004">
      <c r="A1404" s="12" t="s">
        <v>4340</v>
      </c>
      <c r="B1404" s="12" t="s">
        <v>4298</v>
      </c>
      <c r="C1404" s="12" t="s">
        <v>5341</v>
      </c>
      <c r="D1404" s="12" t="s">
        <v>4752</v>
      </c>
      <c r="E1404" s="12" t="s">
        <v>5356</v>
      </c>
      <c r="F1404" s="12" t="s">
        <v>260</v>
      </c>
      <c r="G1404" s="12" t="s">
        <v>5357</v>
      </c>
      <c r="H1404" s="12" t="s">
        <v>5345</v>
      </c>
      <c r="I1404" s="12" t="s">
        <v>3059</v>
      </c>
      <c r="J1404" s="12" t="s">
        <v>3087</v>
      </c>
      <c r="K1404" s="12" t="s">
        <v>5358</v>
      </c>
      <c r="L1404" s="13">
        <v>5</v>
      </c>
    </row>
    <row r="1405" spans="1:12" hidden="1" x14ac:dyDescent="0.55000000000000004">
      <c r="A1405" s="12" t="s">
        <v>4340</v>
      </c>
      <c r="B1405" s="12" t="s">
        <v>4298</v>
      </c>
      <c r="C1405" s="12" t="s">
        <v>5341</v>
      </c>
      <c r="D1405" s="12" t="s">
        <v>4752</v>
      </c>
      <c r="E1405" s="12" t="s">
        <v>5359</v>
      </c>
      <c r="F1405" s="12" t="s">
        <v>5360</v>
      </c>
      <c r="G1405" s="12" t="s">
        <v>5361</v>
      </c>
      <c r="H1405" s="12" t="s">
        <v>5345</v>
      </c>
      <c r="I1405" s="12" t="s">
        <v>3059</v>
      </c>
      <c r="J1405" s="12" t="s">
        <v>3087</v>
      </c>
      <c r="K1405" s="12" t="s">
        <v>5362</v>
      </c>
      <c r="L1405" s="13">
        <v>5</v>
      </c>
    </row>
    <row r="1406" spans="1:12" hidden="1" x14ac:dyDescent="0.55000000000000004">
      <c r="A1406" s="12" t="s">
        <v>4313</v>
      </c>
      <c r="B1406" s="12" t="s">
        <v>4298</v>
      </c>
      <c r="C1406" s="12" t="s">
        <v>5212</v>
      </c>
      <c r="D1406" s="12" t="s">
        <v>4752</v>
      </c>
      <c r="E1406" s="12" t="s">
        <v>401</v>
      </c>
      <c r="F1406" s="12" t="s">
        <v>402</v>
      </c>
      <c r="G1406" s="12" t="s">
        <v>403</v>
      </c>
      <c r="H1406" s="12" t="s">
        <v>4314</v>
      </c>
      <c r="I1406" s="12" t="s">
        <v>3059</v>
      </c>
      <c r="J1406" s="12" t="s">
        <v>3086</v>
      </c>
      <c r="K1406" s="12" t="s">
        <v>3380</v>
      </c>
      <c r="L1406" s="13">
        <v>5</v>
      </c>
    </row>
    <row r="1407" spans="1:12" hidden="1" x14ac:dyDescent="0.55000000000000004">
      <c r="A1407" s="12" t="s">
        <v>3009</v>
      </c>
      <c r="B1407" s="12" t="s">
        <v>4486</v>
      </c>
      <c r="C1407" s="12" t="s">
        <v>3244</v>
      </c>
      <c r="D1407" s="12" t="s">
        <v>4752</v>
      </c>
      <c r="E1407" s="12" t="s">
        <v>3241</v>
      </c>
      <c r="F1407" s="12" t="s">
        <v>3242</v>
      </c>
      <c r="G1407" s="12" t="s">
        <v>3243</v>
      </c>
      <c r="H1407" s="12" t="s">
        <v>4613</v>
      </c>
      <c r="I1407" s="12" t="s">
        <v>3059</v>
      </c>
      <c r="J1407" s="12" t="s">
        <v>1071</v>
      </c>
      <c r="K1407" s="12" t="s">
        <v>4279</v>
      </c>
      <c r="L1407" s="13">
        <v>8</v>
      </c>
    </row>
    <row r="1408" spans="1:12" hidden="1" x14ac:dyDescent="0.55000000000000004">
      <c r="A1408" s="12" t="s">
        <v>3009</v>
      </c>
      <c r="B1408" s="12" t="s">
        <v>4486</v>
      </c>
      <c r="C1408" s="12" t="s">
        <v>3244</v>
      </c>
      <c r="D1408" s="12" t="s">
        <v>4752</v>
      </c>
      <c r="E1408" s="12" t="s">
        <v>3245</v>
      </c>
      <c r="F1408" s="12" t="s">
        <v>127</v>
      </c>
      <c r="G1408" s="12" t="s">
        <v>3246</v>
      </c>
      <c r="H1408" s="12" t="s">
        <v>4613</v>
      </c>
      <c r="I1408" s="12" t="s">
        <v>3059</v>
      </c>
      <c r="J1408" s="12" t="s">
        <v>1071</v>
      </c>
      <c r="K1408" s="12" t="s">
        <v>4280</v>
      </c>
      <c r="L1408" s="13">
        <v>8</v>
      </c>
    </row>
    <row r="1409" spans="1:12" hidden="1" x14ac:dyDescent="0.55000000000000004">
      <c r="A1409" s="12" t="s">
        <v>2950</v>
      </c>
      <c r="B1409" s="12" t="s">
        <v>4442</v>
      </c>
      <c r="C1409" s="12" t="s">
        <v>5154</v>
      </c>
      <c r="D1409" s="12" t="s">
        <v>4752</v>
      </c>
      <c r="E1409" s="12" t="s">
        <v>569</v>
      </c>
      <c r="F1409" s="12" t="s">
        <v>570</v>
      </c>
      <c r="G1409" s="12" t="s">
        <v>571</v>
      </c>
      <c r="H1409" s="12" t="s">
        <v>4469</v>
      </c>
      <c r="I1409" s="12" t="s">
        <v>3059</v>
      </c>
      <c r="J1409" s="12" t="s">
        <v>3084</v>
      </c>
      <c r="K1409" s="12" t="s">
        <v>3438</v>
      </c>
      <c r="L1409" s="13">
        <v>5</v>
      </c>
    </row>
    <row r="1410" spans="1:12" hidden="1" x14ac:dyDescent="0.55000000000000004">
      <c r="A1410" s="12" t="s">
        <v>2950</v>
      </c>
      <c r="B1410" s="12" t="s">
        <v>4442</v>
      </c>
      <c r="C1410" s="12" t="s">
        <v>5154</v>
      </c>
      <c r="D1410" s="12" t="s">
        <v>4752</v>
      </c>
      <c r="E1410" s="12" t="s">
        <v>572</v>
      </c>
      <c r="F1410" s="12" t="s">
        <v>573</v>
      </c>
      <c r="G1410" s="12" t="s">
        <v>574</v>
      </c>
      <c r="H1410" s="12" t="s">
        <v>4469</v>
      </c>
      <c r="I1410" s="12" t="s">
        <v>3059</v>
      </c>
      <c r="J1410" s="12" t="s">
        <v>3084</v>
      </c>
      <c r="K1410" s="12" t="s">
        <v>3439</v>
      </c>
      <c r="L1410" s="13">
        <v>5</v>
      </c>
    </row>
    <row r="1411" spans="1:12" hidden="1" x14ac:dyDescent="0.55000000000000004">
      <c r="A1411" s="12" t="s">
        <v>2950</v>
      </c>
      <c r="B1411" s="12" t="s">
        <v>4442</v>
      </c>
      <c r="C1411" s="12" t="s">
        <v>5154</v>
      </c>
      <c r="D1411" s="12" t="s">
        <v>4752</v>
      </c>
      <c r="E1411" s="12" t="s">
        <v>575</v>
      </c>
      <c r="F1411" s="12" t="s">
        <v>576</v>
      </c>
      <c r="G1411" s="12" t="s">
        <v>577</v>
      </c>
      <c r="H1411" s="12" t="s">
        <v>4469</v>
      </c>
      <c r="I1411" s="12" t="s">
        <v>3059</v>
      </c>
      <c r="J1411" s="12" t="s">
        <v>3084</v>
      </c>
      <c r="K1411" s="12" t="s">
        <v>3440</v>
      </c>
      <c r="L1411" s="13">
        <v>5</v>
      </c>
    </row>
    <row r="1412" spans="1:12" hidden="1" x14ac:dyDescent="0.55000000000000004">
      <c r="A1412" s="12" t="s">
        <v>2950</v>
      </c>
      <c r="B1412" s="12" t="s">
        <v>4442</v>
      </c>
      <c r="C1412" s="12" t="s">
        <v>5154</v>
      </c>
      <c r="D1412" s="12" t="s">
        <v>4752</v>
      </c>
      <c r="E1412" s="12" t="s">
        <v>3191</v>
      </c>
      <c r="F1412" s="12" t="s">
        <v>3078</v>
      </c>
      <c r="G1412" s="12" t="s">
        <v>3190</v>
      </c>
      <c r="H1412" s="12" t="s">
        <v>4469</v>
      </c>
      <c r="I1412" s="12" t="s">
        <v>3059</v>
      </c>
      <c r="J1412" s="12" t="s">
        <v>3084</v>
      </c>
      <c r="K1412" s="12" t="s">
        <v>4270</v>
      </c>
      <c r="L1412" s="13">
        <v>6</v>
      </c>
    </row>
    <row r="1413" spans="1:12" hidden="1" x14ac:dyDescent="0.55000000000000004">
      <c r="A1413" s="12" t="s">
        <v>2950</v>
      </c>
      <c r="B1413" s="12" t="s">
        <v>4442</v>
      </c>
      <c r="C1413" s="12" t="s">
        <v>5154</v>
      </c>
      <c r="D1413" s="12" t="s">
        <v>4752</v>
      </c>
      <c r="E1413" s="12" t="s">
        <v>3187</v>
      </c>
      <c r="F1413" s="12" t="s">
        <v>3185</v>
      </c>
      <c r="G1413" s="12" t="s">
        <v>3186</v>
      </c>
      <c r="H1413" s="12" t="s">
        <v>4469</v>
      </c>
      <c r="I1413" s="12" t="s">
        <v>3059</v>
      </c>
      <c r="J1413" s="12" t="s">
        <v>3084</v>
      </c>
      <c r="K1413" s="12" t="s">
        <v>4271</v>
      </c>
      <c r="L1413" s="13">
        <v>6</v>
      </c>
    </row>
    <row r="1414" spans="1:12" hidden="1" x14ac:dyDescent="0.55000000000000004">
      <c r="A1414" s="12" t="s">
        <v>2950</v>
      </c>
      <c r="B1414" s="12" t="s">
        <v>4442</v>
      </c>
      <c r="C1414" s="12" t="s">
        <v>5154</v>
      </c>
      <c r="D1414" s="12" t="s">
        <v>4752</v>
      </c>
      <c r="E1414" s="12" t="s">
        <v>3193</v>
      </c>
      <c r="F1414" s="12" t="s">
        <v>3192</v>
      </c>
      <c r="G1414" s="12" t="s">
        <v>3183</v>
      </c>
      <c r="H1414" s="12" t="s">
        <v>4469</v>
      </c>
      <c r="I1414" s="12" t="s">
        <v>3059</v>
      </c>
      <c r="J1414" s="12" t="s">
        <v>3084</v>
      </c>
      <c r="K1414" s="12" t="s">
        <v>4272</v>
      </c>
      <c r="L1414" s="13">
        <v>6</v>
      </c>
    </row>
    <row r="1415" spans="1:12" hidden="1" x14ac:dyDescent="0.55000000000000004">
      <c r="A1415" s="12" t="s">
        <v>2950</v>
      </c>
      <c r="B1415" s="12" t="s">
        <v>4442</v>
      </c>
      <c r="C1415" s="12" t="s">
        <v>5154</v>
      </c>
      <c r="D1415" s="12" t="s">
        <v>4752</v>
      </c>
      <c r="E1415" s="12" t="s">
        <v>3184</v>
      </c>
      <c r="F1415" s="12" t="s">
        <v>102</v>
      </c>
      <c r="G1415" s="12" t="s">
        <v>3183</v>
      </c>
      <c r="H1415" s="12" t="s">
        <v>4469</v>
      </c>
      <c r="I1415" s="12" t="s">
        <v>3059</v>
      </c>
      <c r="J1415" s="12" t="s">
        <v>3084</v>
      </c>
      <c r="K1415" s="12" t="s">
        <v>4273</v>
      </c>
      <c r="L1415" s="13">
        <v>6</v>
      </c>
    </row>
    <row r="1416" spans="1:12" hidden="1" x14ac:dyDescent="0.55000000000000004">
      <c r="A1416" s="12" t="s">
        <v>2950</v>
      </c>
      <c r="B1416" s="12" t="s">
        <v>4442</v>
      </c>
      <c r="C1416" s="12" t="s">
        <v>5154</v>
      </c>
      <c r="D1416" s="12" t="s">
        <v>4752</v>
      </c>
      <c r="E1416" s="12" t="s">
        <v>3189</v>
      </c>
      <c r="F1416" s="12" t="s">
        <v>1486</v>
      </c>
      <c r="G1416" s="12" t="s">
        <v>3188</v>
      </c>
      <c r="H1416" s="12" t="s">
        <v>4469</v>
      </c>
      <c r="I1416" s="12" t="s">
        <v>3059</v>
      </c>
      <c r="J1416" s="12" t="s">
        <v>3084</v>
      </c>
      <c r="K1416" s="12" t="s">
        <v>4274</v>
      </c>
      <c r="L1416" s="13">
        <v>6</v>
      </c>
    </row>
    <row r="1417" spans="1:12" hidden="1" x14ac:dyDescent="0.55000000000000004">
      <c r="A1417" s="12" t="s">
        <v>2950</v>
      </c>
      <c r="B1417" s="12" t="s">
        <v>4442</v>
      </c>
      <c r="C1417" s="12" t="s">
        <v>5154</v>
      </c>
      <c r="D1417" s="12" t="s">
        <v>4752</v>
      </c>
      <c r="E1417" s="12" t="s">
        <v>3182</v>
      </c>
      <c r="F1417" s="12" t="s">
        <v>3076</v>
      </c>
      <c r="G1417" s="12" t="s">
        <v>3181</v>
      </c>
      <c r="H1417" s="12" t="s">
        <v>4469</v>
      </c>
      <c r="I1417" s="12" t="s">
        <v>3059</v>
      </c>
      <c r="J1417" s="12" t="s">
        <v>3084</v>
      </c>
      <c r="K1417" s="12" t="s">
        <v>4275</v>
      </c>
      <c r="L1417" s="13">
        <v>6</v>
      </c>
    </row>
    <row r="1418" spans="1:12" hidden="1" x14ac:dyDescent="0.55000000000000004">
      <c r="A1418" s="12" t="s">
        <v>3027</v>
      </c>
      <c r="B1418" s="12" t="s">
        <v>4486</v>
      </c>
      <c r="C1418" s="12" t="s">
        <v>267</v>
      </c>
      <c r="D1418" s="12" t="s">
        <v>4752</v>
      </c>
      <c r="E1418" s="12" t="s">
        <v>264</v>
      </c>
      <c r="F1418" s="12" t="s">
        <v>265</v>
      </c>
      <c r="G1418" s="12" t="s">
        <v>266</v>
      </c>
      <c r="H1418" s="12" t="s">
        <v>5363</v>
      </c>
      <c r="I1418" s="12" t="s">
        <v>3059</v>
      </c>
      <c r="J1418" s="12" t="s">
        <v>1222</v>
      </c>
      <c r="K1418" s="12" t="s">
        <v>3334</v>
      </c>
      <c r="L1418" s="13">
        <v>3</v>
      </c>
    </row>
    <row r="1419" spans="1:12" hidden="1" x14ac:dyDescent="0.55000000000000004">
      <c r="A1419" s="12" t="s">
        <v>3027</v>
      </c>
      <c r="B1419" s="12" t="s">
        <v>4486</v>
      </c>
      <c r="C1419" s="12" t="s">
        <v>267</v>
      </c>
      <c r="D1419" s="12" t="s">
        <v>4752</v>
      </c>
      <c r="E1419" s="12" t="s">
        <v>1715</v>
      </c>
      <c r="F1419" s="12" t="s">
        <v>36</v>
      </c>
      <c r="G1419" s="12" t="s">
        <v>1716</v>
      </c>
      <c r="H1419" s="12" t="s">
        <v>5363</v>
      </c>
      <c r="I1419" s="12" t="s">
        <v>3059</v>
      </c>
      <c r="J1419" s="12" t="s">
        <v>1222</v>
      </c>
      <c r="K1419" s="12" t="s">
        <v>3848</v>
      </c>
      <c r="L1419" s="13">
        <v>6</v>
      </c>
    </row>
    <row r="1420" spans="1:12" hidden="1" x14ac:dyDescent="0.55000000000000004">
      <c r="A1420" s="12" t="s">
        <v>3027</v>
      </c>
      <c r="B1420" s="12" t="s">
        <v>4486</v>
      </c>
      <c r="C1420" s="12" t="s">
        <v>267</v>
      </c>
      <c r="D1420" s="12" t="s">
        <v>4752</v>
      </c>
      <c r="E1420" s="12" t="s">
        <v>2793</v>
      </c>
      <c r="F1420" s="12" t="s">
        <v>2794</v>
      </c>
      <c r="G1420" s="12" t="s">
        <v>2795</v>
      </c>
      <c r="H1420" s="12" t="s">
        <v>5363</v>
      </c>
      <c r="I1420" s="12" t="s">
        <v>3059</v>
      </c>
      <c r="J1420" s="12" t="s">
        <v>1222</v>
      </c>
      <c r="K1420" s="12" t="s">
        <v>4257</v>
      </c>
      <c r="L1420" s="13">
        <v>6</v>
      </c>
    </row>
    <row r="1421" spans="1:12" hidden="1" x14ac:dyDescent="0.55000000000000004">
      <c r="A1421" s="12" t="s">
        <v>3027</v>
      </c>
      <c r="B1421" s="12" t="s">
        <v>4486</v>
      </c>
      <c r="C1421" s="12" t="s">
        <v>267</v>
      </c>
      <c r="D1421" s="12" t="s">
        <v>4752</v>
      </c>
      <c r="E1421" s="12" t="s">
        <v>2796</v>
      </c>
      <c r="F1421" s="12" t="s">
        <v>2797</v>
      </c>
      <c r="G1421" s="12" t="s">
        <v>2798</v>
      </c>
      <c r="H1421" s="12" t="s">
        <v>5363</v>
      </c>
      <c r="I1421" s="12" t="s">
        <v>3059</v>
      </c>
      <c r="J1421" s="12" t="s">
        <v>1222</v>
      </c>
      <c r="K1421" s="12" t="s">
        <v>4258</v>
      </c>
      <c r="L1421" s="13">
        <v>6</v>
      </c>
    </row>
    <row r="1422" spans="1:12" hidden="1" x14ac:dyDescent="0.55000000000000004">
      <c r="A1422" s="12" t="s">
        <v>3027</v>
      </c>
      <c r="B1422" s="12" t="s">
        <v>4486</v>
      </c>
      <c r="C1422" s="12" t="s">
        <v>267</v>
      </c>
      <c r="D1422" s="12" t="s">
        <v>4752</v>
      </c>
      <c r="E1422" s="12" t="s">
        <v>2799</v>
      </c>
      <c r="F1422" s="12" t="s">
        <v>826</v>
      </c>
      <c r="G1422" s="12" t="s">
        <v>2800</v>
      </c>
      <c r="H1422" s="12" t="s">
        <v>5363</v>
      </c>
      <c r="I1422" s="12" t="s">
        <v>3059</v>
      </c>
      <c r="J1422" s="12" t="s">
        <v>1222</v>
      </c>
      <c r="K1422" s="12" t="s">
        <v>4259</v>
      </c>
      <c r="L1422" s="13">
        <v>6</v>
      </c>
    </row>
    <row r="1423" spans="1:12" hidden="1" x14ac:dyDescent="0.55000000000000004">
      <c r="A1423" s="12" t="s">
        <v>2839</v>
      </c>
      <c r="B1423" s="12" t="s">
        <v>4298</v>
      </c>
      <c r="C1423" s="12" t="s">
        <v>2744</v>
      </c>
      <c r="D1423" s="12" t="s">
        <v>4752</v>
      </c>
      <c r="E1423" s="12" t="s">
        <v>2748</v>
      </c>
      <c r="F1423" s="12" t="s">
        <v>1086</v>
      </c>
      <c r="G1423" s="12" t="s">
        <v>2749</v>
      </c>
      <c r="H1423" s="12" t="s">
        <v>5364</v>
      </c>
      <c r="I1423" s="12" t="s">
        <v>3059</v>
      </c>
      <c r="J1423" s="12" t="s">
        <v>689</v>
      </c>
      <c r="K1423" s="12" t="s">
        <v>4238</v>
      </c>
      <c r="L1423" s="13">
        <v>2</v>
      </c>
    </row>
    <row r="1424" spans="1:12" hidden="1" x14ac:dyDescent="0.55000000000000004">
      <c r="A1424" s="12" t="s">
        <v>4611</v>
      </c>
      <c r="B1424" s="12" t="s">
        <v>4486</v>
      </c>
      <c r="C1424" s="12" t="s">
        <v>923</v>
      </c>
      <c r="D1424" s="12" t="s">
        <v>4752</v>
      </c>
      <c r="E1424" s="12" t="s">
        <v>4678</v>
      </c>
      <c r="F1424" s="12" t="s">
        <v>174</v>
      </c>
      <c r="G1424" s="12" t="s">
        <v>4679</v>
      </c>
      <c r="H1424" s="12" t="s">
        <v>5365</v>
      </c>
      <c r="I1424" s="12" t="s">
        <v>3059</v>
      </c>
      <c r="J1424" s="12" t="s">
        <v>3089</v>
      </c>
      <c r="K1424" s="12" t="s">
        <v>4680</v>
      </c>
      <c r="L1424" s="13">
        <v>8</v>
      </c>
    </row>
    <row r="1425" spans="1:12" hidden="1" x14ac:dyDescent="0.55000000000000004">
      <c r="A1425" s="12" t="s">
        <v>3057</v>
      </c>
      <c r="B1425" s="12" t="s">
        <v>4486</v>
      </c>
      <c r="C1425" s="12" t="s">
        <v>4883</v>
      </c>
      <c r="D1425" s="12" t="s">
        <v>4752</v>
      </c>
      <c r="E1425" s="12" t="s">
        <v>307</v>
      </c>
      <c r="F1425" s="12" t="s">
        <v>308</v>
      </c>
      <c r="G1425" s="12" t="s">
        <v>309</v>
      </c>
      <c r="H1425" s="12" t="s">
        <v>4525</v>
      </c>
      <c r="I1425" s="12" t="s">
        <v>3075</v>
      </c>
      <c r="J1425" s="12" t="s">
        <v>3090</v>
      </c>
      <c r="K1425" s="12" t="s">
        <v>3348</v>
      </c>
      <c r="L1425" s="13" t="s">
        <v>3075</v>
      </c>
    </row>
    <row r="1426" spans="1:12" hidden="1" x14ac:dyDescent="0.55000000000000004">
      <c r="A1426" s="12" t="s">
        <v>3057</v>
      </c>
      <c r="B1426" s="12" t="s">
        <v>4486</v>
      </c>
      <c r="C1426" s="12" t="s">
        <v>4883</v>
      </c>
      <c r="D1426" s="12" t="s">
        <v>4752</v>
      </c>
      <c r="E1426" s="12" t="s">
        <v>310</v>
      </c>
      <c r="F1426" s="12" t="s">
        <v>311</v>
      </c>
      <c r="G1426" s="12" t="s">
        <v>312</v>
      </c>
      <c r="H1426" s="12" t="s">
        <v>4525</v>
      </c>
      <c r="I1426" s="12" t="s">
        <v>3075</v>
      </c>
      <c r="J1426" s="12" t="s">
        <v>3090</v>
      </c>
      <c r="K1426" s="12" t="s">
        <v>3349</v>
      </c>
      <c r="L1426" s="13" t="s">
        <v>3075</v>
      </c>
    </row>
    <row r="1427" spans="1:12" hidden="1" x14ac:dyDescent="0.55000000000000004">
      <c r="A1427" s="12" t="s">
        <v>3057</v>
      </c>
      <c r="B1427" s="12" t="s">
        <v>4486</v>
      </c>
      <c r="C1427" s="12" t="s">
        <v>4883</v>
      </c>
      <c r="D1427" s="12" t="s">
        <v>4752</v>
      </c>
      <c r="E1427" s="12" t="s">
        <v>313</v>
      </c>
      <c r="F1427" s="12" t="s">
        <v>314</v>
      </c>
      <c r="G1427" s="12" t="s">
        <v>315</v>
      </c>
      <c r="H1427" s="12" t="s">
        <v>4525</v>
      </c>
      <c r="I1427" s="12" t="s">
        <v>3075</v>
      </c>
      <c r="J1427" s="12" t="s">
        <v>3090</v>
      </c>
      <c r="K1427" s="12" t="s">
        <v>3350</v>
      </c>
      <c r="L1427" s="13" t="s">
        <v>3075</v>
      </c>
    </row>
    <row r="1428" spans="1:12" hidden="1" x14ac:dyDescent="0.55000000000000004">
      <c r="A1428" s="12" t="s">
        <v>3057</v>
      </c>
      <c r="B1428" s="12" t="s">
        <v>4486</v>
      </c>
      <c r="C1428" s="12" t="s">
        <v>4883</v>
      </c>
      <c r="D1428" s="12" t="s">
        <v>4752</v>
      </c>
      <c r="E1428" s="12" t="s">
        <v>4639</v>
      </c>
      <c r="F1428" s="12" t="s">
        <v>709</v>
      </c>
      <c r="G1428" s="12" t="s">
        <v>4640</v>
      </c>
      <c r="H1428" s="12" t="s">
        <v>4525</v>
      </c>
      <c r="I1428" s="12" t="s">
        <v>3075</v>
      </c>
      <c r="J1428" s="12" t="s">
        <v>3090</v>
      </c>
      <c r="K1428" s="12" t="s">
        <v>4641</v>
      </c>
      <c r="L1428" s="13" t="s">
        <v>3075</v>
      </c>
    </row>
    <row r="1429" spans="1:12" hidden="1" x14ac:dyDescent="0.55000000000000004">
      <c r="A1429" s="12" t="s">
        <v>3057</v>
      </c>
      <c r="B1429" s="12" t="s">
        <v>4486</v>
      </c>
      <c r="C1429" s="12" t="s">
        <v>4883</v>
      </c>
      <c r="D1429" s="12" t="s">
        <v>4752</v>
      </c>
      <c r="E1429" s="12" t="s">
        <v>4642</v>
      </c>
      <c r="F1429" s="12" t="s">
        <v>4643</v>
      </c>
      <c r="G1429" s="12" t="s">
        <v>4644</v>
      </c>
      <c r="H1429" s="12" t="s">
        <v>4525</v>
      </c>
      <c r="I1429" s="12" t="s">
        <v>3075</v>
      </c>
      <c r="J1429" s="12" t="s">
        <v>3090</v>
      </c>
      <c r="K1429" s="12" t="s">
        <v>4645</v>
      </c>
      <c r="L1429" s="13" t="s">
        <v>3075</v>
      </c>
    </row>
    <row r="1430" spans="1:12" hidden="1" x14ac:dyDescent="0.55000000000000004">
      <c r="A1430" s="12" t="s">
        <v>3058</v>
      </c>
      <c r="B1430" s="12" t="s">
        <v>4486</v>
      </c>
      <c r="C1430" s="12" t="s">
        <v>5255</v>
      </c>
      <c r="D1430" s="12" t="s">
        <v>4752</v>
      </c>
      <c r="E1430" s="12" t="s">
        <v>2624</v>
      </c>
      <c r="F1430" s="12" t="s">
        <v>2625</v>
      </c>
      <c r="G1430" s="12" t="s">
        <v>2626</v>
      </c>
      <c r="H1430" s="12" t="s">
        <v>5366</v>
      </c>
      <c r="I1430" s="12" t="s">
        <v>3059</v>
      </c>
      <c r="J1430" s="12" t="s">
        <v>1222</v>
      </c>
      <c r="K1430" s="12" t="s">
        <v>4127</v>
      </c>
      <c r="L1430" s="13">
        <v>6</v>
      </c>
    </row>
    <row r="1431" spans="1:12" hidden="1" x14ac:dyDescent="0.55000000000000004">
      <c r="A1431" s="12" t="s">
        <v>3058</v>
      </c>
      <c r="B1431" s="12" t="s">
        <v>4486</v>
      </c>
      <c r="C1431" s="12" t="s">
        <v>5255</v>
      </c>
      <c r="D1431" s="12" t="s">
        <v>4752</v>
      </c>
      <c r="E1431" s="12" t="s">
        <v>3236</v>
      </c>
      <c r="F1431" s="12" t="s">
        <v>936</v>
      </c>
      <c r="G1431" s="12" t="s">
        <v>3237</v>
      </c>
      <c r="H1431" s="12" t="s">
        <v>5366</v>
      </c>
      <c r="I1431" s="12" t="s">
        <v>3059</v>
      </c>
      <c r="J1431" s="12" t="s">
        <v>1222</v>
      </c>
      <c r="K1431" s="12" t="s">
        <v>4286</v>
      </c>
      <c r="L1431" s="13">
        <v>6</v>
      </c>
    </row>
    <row r="1432" spans="1:12" hidden="1" x14ac:dyDescent="0.55000000000000004">
      <c r="A1432" s="12" t="s">
        <v>3058</v>
      </c>
      <c r="B1432" s="12" t="s">
        <v>4486</v>
      </c>
      <c r="C1432" s="12" t="s">
        <v>5255</v>
      </c>
      <c r="D1432" s="12" t="s">
        <v>4752</v>
      </c>
      <c r="E1432" s="12" t="s">
        <v>3213</v>
      </c>
      <c r="F1432" s="12" t="s">
        <v>3211</v>
      </c>
      <c r="G1432" s="12" t="s">
        <v>3212</v>
      </c>
      <c r="H1432" s="12" t="s">
        <v>5366</v>
      </c>
      <c r="I1432" s="12" t="s">
        <v>3059</v>
      </c>
      <c r="J1432" s="12" t="s">
        <v>1222</v>
      </c>
      <c r="K1432" s="12" t="s">
        <v>4287</v>
      </c>
      <c r="L1432" s="13">
        <v>6</v>
      </c>
    </row>
    <row r="1433" spans="1:12" hidden="1" x14ac:dyDescent="0.55000000000000004">
      <c r="A1433" s="12" t="s">
        <v>3058</v>
      </c>
      <c r="B1433" s="12" t="s">
        <v>4486</v>
      </c>
      <c r="C1433" s="12" t="s">
        <v>5255</v>
      </c>
      <c r="D1433" s="12" t="s">
        <v>4752</v>
      </c>
      <c r="E1433" s="12" t="s">
        <v>3205</v>
      </c>
      <c r="F1433" s="12" t="s">
        <v>1761</v>
      </c>
      <c r="G1433" s="12" t="s">
        <v>3204</v>
      </c>
      <c r="H1433" s="12" t="s">
        <v>5366</v>
      </c>
      <c r="I1433" s="12" t="s">
        <v>3059</v>
      </c>
      <c r="J1433" s="12" t="s">
        <v>1222</v>
      </c>
      <c r="K1433" s="12" t="s">
        <v>4288</v>
      </c>
      <c r="L1433" s="13">
        <v>6</v>
      </c>
    </row>
    <row r="1434" spans="1:12" hidden="1" x14ac:dyDescent="0.55000000000000004">
      <c r="A1434" s="12" t="s">
        <v>3058</v>
      </c>
      <c r="B1434" s="12" t="s">
        <v>4486</v>
      </c>
      <c r="C1434" s="12" t="s">
        <v>5255</v>
      </c>
      <c r="D1434" s="12" t="s">
        <v>4752</v>
      </c>
      <c r="E1434" s="12" t="s">
        <v>3238</v>
      </c>
      <c r="F1434" s="12" t="s">
        <v>3064</v>
      </c>
      <c r="G1434" s="12" t="s">
        <v>4729</v>
      </c>
      <c r="H1434" s="12" t="s">
        <v>5366</v>
      </c>
      <c r="I1434" s="12" t="s">
        <v>3075</v>
      </c>
      <c r="J1434" s="12" t="s">
        <v>1222</v>
      </c>
      <c r="K1434" s="12" t="s">
        <v>4730</v>
      </c>
      <c r="L1434" s="13" t="s">
        <v>3075</v>
      </c>
    </row>
    <row r="1435" spans="1:12" hidden="1" x14ac:dyDescent="0.55000000000000004">
      <c r="A1435" s="12" t="s">
        <v>3058</v>
      </c>
      <c r="B1435" s="12" t="s">
        <v>4486</v>
      </c>
      <c r="C1435" s="12" t="s">
        <v>5255</v>
      </c>
      <c r="D1435" s="12" t="s">
        <v>4752</v>
      </c>
      <c r="E1435" s="12" t="s">
        <v>4731</v>
      </c>
      <c r="F1435" s="12" t="s">
        <v>1079</v>
      </c>
      <c r="G1435" s="12" t="s">
        <v>1061</v>
      </c>
      <c r="H1435" s="12" t="s">
        <v>5366</v>
      </c>
      <c r="I1435" s="12" t="s">
        <v>3075</v>
      </c>
      <c r="J1435" s="12" t="s">
        <v>1222</v>
      </c>
      <c r="K1435" s="12" t="s">
        <v>4732</v>
      </c>
      <c r="L1435" s="13" t="s">
        <v>3075</v>
      </c>
    </row>
    <row r="1436" spans="1:12" hidden="1" x14ac:dyDescent="0.55000000000000004">
      <c r="A1436" s="12" t="s">
        <v>3058</v>
      </c>
      <c r="B1436" s="12" t="s">
        <v>4486</v>
      </c>
      <c r="C1436" s="12" t="s">
        <v>5255</v>
      </c>
      <c r="D1436" s="12" t="s">
        <v>4752</v>
      </c>
      <c r="E1436" s="12" t="s">
        <v>5604</v>
      </c>
      <c r="F1436" s="12" t="s">
        <v>428</v>
      </c>
      <c r="G1436" s="12" t="s">
        <v>5605</v>
      </c>
      <c r="H1436" s="12" t="s">
        <v>5366</v>
      </c>
      <c r="I1436" s="12" t="s">
        <v>3075</v>
      </c>
      <c r="J1436" s="12" t="s">
        <v>1222</v>
      </c>
      <c r="K1436" s="12" t="s">
        <v>5606</v>
      </c>
      <c r="L1436" s="13" t="s">
        <v>3075</v>
      </c>
    </row>
    <row r="1437" spans="1:12" hidden="1" x14ac:dyDescent="0.55000000000000004">
      <c r="A1437" s="12" t="s">
        <v>2962</v>
      </c>
      <c r="B1437" s="12" t="s">
        <v>4486</v>
      </c>
      <c r="C1437" s="12" t="s">
        <v>5367</v>
      </c>
      <c r="D1437" s="12" t="s">
        <v>4752</v>
      </c>
      <c r="E1437" s="12" t="s">
        <v>5368</v>
      </c>
      <c r="F1437" s="12" t="s">
        <v>5369</v>
      </c>
      <c r="G1437" s="12" t="s">
        <v>5370</v>
      </c>
      <c r="H1437" s="12" t="s">
        <v>5371</v>
      </c>
      <c r="I1437" s="12" t="s">
        <v>3075</v>
      </c>
      <c r="J1437" s="12" t="s">
        <v>1366</v>
      </c>
      <c r="K1437" s="12" t="s">
        <v>5372</v>
      </c>
      <c r="L1437" s="13" t="s">
        <v>3075</v>
      </c>
    </row>
    <row r="1438" spans="1:12" hidden="1" x14ac:dyDescent="0.55000000000000004">
      <c r="A1438" s="12" t="s">
        <v>2962</v>
      </c>
      <c r="B1438" s="12" t="s">
        <v>4486</v>
      </c>
      <c r="C1438" s="12" t="s">
        <v>5367</v>
      </c>
      <c r="D1438" s="12" t="s">
        <v>4752</v>
      </c>
      <c r="E1438" s="12" t="s">
        <v>5373</v>
      </c>
      <c r="F1438" s="12" t="s">
        <v>5374</v>
      </c>
      <c r="G1438" s="12" t="s">
        <v>5375</v>
      </c>
      <c r="H1438" s="12" t="s">
        <v>5371</v>
      </c>
      <c r="I1438" s="12" t="s">
        <v>3075</v>
      </c>
      <c r="J1438" s="12" t="s">
        <v>1366</v>
      </c>
      <c r="K1438" s="12" t="s">
        <v>5376</v>
      </c>
      <c r="L1438" s="13" t="s">
        <v>3075</v>
      </c>
    </row>
    <row r="1439" spans="1:12" hidden="1" x14ac:dyDescent="0.55000000000000004">
      <c r="A1439" s="12" t="s">
        <v>2962</v>
      </c>
      <c r="B1439" s="12" t="s">
        <v>4486</v>
      </c>
      <c r="C1439" s="12" t="s">
        <v>5367</v>
      </c>
      <c r="D1439" s="12" t="s">
        <v>4752</v>
      </c>
      <c r="E1439" s="12" t="s">
        <v>5377</v>
      </c>
      <c r="F1439" s="12" t="s">
        <v>5378</v>
      </c>
      <c r="G1439" s="12" t="s">
        <v>5379</v>
      </c>
      <c r="H1439" s="12" t="s">
        <v>5371</v>
      </c>
      <c r="I1439" s="12" t="s">
        <v>3075</v>
      </c>
      <c r="J1439" s="12" t="s">
        <v>1366</v>
      </c>
      <c r="K1439" s="12" t="s">
        <v>5380</v>
      </c>
      <c r="L1439" s="13" t="s">
        <v>3075</v>
      </c>
    </row>
    <row r="1440" spans="1:12" hidden="1" x14ac:dyDescent="0.55000000000000004">
      <c r="A1440" s="12" t="s">
        <v>2962</v>
      </c>
      <c r="B1440" s="12" t="s">
        <v>4486</v>
      </c>
      <c r="C1440" s="12" t="s">
        <v>5367</v>
      </c>
      <c r="D1440" s="12" t="s">
        <v>4752</v>
      </c>
      <c r="E1440" s="12" t="s">
        <v>5381</v>
      </c>
      <c r="F1440" s="12" t="s">
        <v>5382</v>
      </c>
      <c r="G1440" s="12" t="s">
        <v>5383</v>
      </c>
      <c r="H1440" s="12" t="s">
        <v>5371</v>
      </c>
      <c r="I1440" s="12" t="s">
        <v>3075</v>
      </c>
      <c r="J1440" s="12" t="s">
        <v>1366</v>
      </c>
      <c r="K1440" s="12" t="s">
        <v>5384</v>
      </c>
      <c r="L1440" s="13" t="s">
        <v>3075</v>
      </c>
    </row>
    <row r="1441" spans="1:12" hidden="1" x14ac:dyDescent="0.55000000000000004">
      <c r="A1441" s="12" t="s">
        <v>2962</v>
      </c>
      <c r="B1441" s="12" t="s">
        <v>4486</v>
      </c>
      <c r="C1441" s="12" t="s">
        <v>5367</v>
      </c>
      <c r="D1441" s="12" t="s">
        <v>4752</v>
      </c>
      <c r="E1441" s="12" t="s">
        <v>5385</v>
      </c>
      <c r="F1441" s="12" t="s">
        <v>1205</v>
      </c>
      <c r="G1441" s="12" t="s">
        <v>5386</v>
      </c>
      <c r="H1441" s="12" t="s">
        <v>5371</v>
      </c>
      <c r="I1441" s="12" t="s">
        <v>3075</v>
      </c>
      <c r="J1441" s="12" t="s">
        <v>1366</v>
      </c>
      <c r="K1441" s="12" t="s">
        <v>5387</v>
      </c>
      <c r="L1441" s="13" t="s">
        <v>3075</v>
      </c>
    </row>
    <row r="1442" spans="1:12" hidden="1" x14ac:dyDescent="0.55000000000000004">
      <c r="A1442" s="12" t="s">
        <v>2962</v>
      </c>
      <c r="B1442" s="12" t="s">
        <v>4486</v>
      </c>
      <c r="C1442" s="12" t="s">
        <v>5367</v>
      </c>
      <c r="D1442" s="12" t="s">
        <v>4752</v>
      </c>
      <c r="E1442" s="12" t="s">
        <v>5388</v>
      </c>
      <c r="F1442" s="12" t="s">
        <v>5389</v>
      </c>
      <c r="G1442" s="12" t="s">
        <v>5390</v>
      </c>
      <c r="H1442" s="12" t="s">
        <v>5371</v>
      </c>
      <c r="I1442" s="12" t="s">
        <v>3075</v>
      </c>
      <c r="J1442" s="12" t="s">
        <v>1366</v>
      </c>
      <c r="K1442" s="12" t="s">
        <v>5391</v>
      </c>
      <c r="L1442" s="13" t="s">
        <v>3075</v>
      </c>
    </row>
    <row r="1443" spans="1:12" hidden="1" x14ac:dyDescent="0.55000000000000004">
      <c r="A1443" s="12" t="s">
        <v>2962</v>
      </c>
      <c r="B1443" s="12" t="s">
        <v>4486</v>
      </c>
      <c r="C1443" s="12" t="s">
        <v>5367</v>
      </c>
      <c r="D1443" s="12" t="s">
        <v>4752</v>
      </c>
      <c r="E1443" s="12" t="s">
        <v>5392</v>
      </c>
      <c r="F1443" s="12" t="s">
        <v>693</v>
      </c>
      <c r="G1443" s="12" t="s">
        <v>5393</v>
      </c>
      <c r="H1443" s="12" t="s">
        <v>5371</v>
      </c>
      <c r="I1443" s="12" t="s">
        <v>3075</v>
      </c>
      <c r="J1443" s="12" t="s">
        <v>1366</v>
      </c>
      <c r="K1443" s="12" t="s">
        <v>5394</v>
      </c>
      <c r="L1443" s="13" t="s">
        <v>3075</v>
      </c>
    </row>
    <row r="1444" spans="1:12" hidden="1" x14ac:dyDescent="0.55000000000000004">
      <c r="A1444" s="12" t="s">
        <v>2962</v>
      </c>
      <c r="B1444" s="12" t="s">
        <v>4486</v>
      </c>
      <c r="C1444" s="12" t="s">
        <v>5367</v>
      </c>
      <c r="D1444" s="12" t="s">
        <v>4752</v>
      </c>
      <c r="E1444" s="12" t="s">
        <v>5395</v>
      </c>
      <c r="F1444" s="12" t="s">
        <v>411</v>
      </c>
      <c r="G1444" s="12" t="s">
        <v>5396</v>
      </c>
      <c r="H1444" s="12" t="s">
        <v>5371</v>
      </c>
      <c r="I1444" s="12" t="s">
        <v>3075</v>
      </c>
      <c r="J1444" s="12" t="s">
        <v>1366</v>
      </c>
      <c r="K1444" s="12" t="s">
        <v>5397</v>
      </c>
      <c r="L1444" s="13" t="s">
        <v>3075</v>
      </c>
    </row>
    <row r="1445" spans="1:12" hidden="1" x14ac:dyDescent="0.55000000000000004">
      <c r="A1445" s="12" t="s">
        <v>2962</v>
      </c>
      <c r="B1445" s="12" t="s">
        <v>4486</v>
      </c>
      <c r="C1445" s="12" t="s">
        <v>5367</v>
      </c>
      <c r="D1445" s="12" t="s">
        <v>4752</v>
      </c>
      <c r="E1445" s="12" t="s">
        <v>5398</v>
      </c>
      <c r="F1445" s="12" t="s">
        <v>5399</v>
      </c>
      <c r="G1445" s="12" t="s">
        <v>5400</v>
      </c>
      <c r="H1445" s="12" t="s">
        <v>5371</v>
      </c>
      <c r="I1445" s="12" t="s">
        <v>3075</v>
      </c>
      <c r="J1445" s="12" t="s">
        <v>1366</v>
      </c>
      <c r="K1445" s="12" t="s">
        <v>5401</v>
      </c>
      <c r="L1445" s="13" t="s">
        <v>3075</v>
      </c>
    </row>
    <row r="1446" spans="1:12" hidden="1" x14ac:dyDescent="0.55000000000000004">
      <c r="A1446" s="12" t="s">
        <v>2962</v>
      </c>
      <c r="B1446" s="12" t="s">
        <v>4486</v>
      </c>
      <c r="C1446" s="12" t="s">
        <v>5367</v>
      </c>
      <c r="D1446" s="12" t="s">
        <v>4752</v>
      </c>
      <c r="E1446" s="12" t="s">
        <v>5402</v>
      </c>
      <c r="F1446" s="12" t="s">
        <v>629</v>
      </c>
      <c r="G1446" s="12" t="s">
        <v>5403</v>
      </c>
      <c r="H1446" s="12" t="s">
        <v>5371</v>
      </c>
      <c r="I1446" s="12" t="s">
        <v>3059</v>
      </c>
      <c r="J1446" s="12" t="s">
        <v>1366</v>
      </c>
      <c r="K1446" s="12" t="s">
        <v>5404</v>
      </c>
      <c r="L1446" s="13">
        <v>7</v>
      </c>
    </row>
    <row r="1447" spans="1:12" hidden="1" x14ac:dyDescent="0.55000000000000004">
      <c r="A1447" s="12" t="s">
        <v>2962</v>
      </c>
      <c r="B1447" s="12" t="s">
        <v>4486</v>
      </c>
      <c r="C1447" s="12" t="s">
        <v>5367</v>
      </c>
      <c r="D1447" s="12" t="s">
        <v>4752</v>
      </c>
      <c r="E1447" s="12" t="s">
        <v>5405</v>
      </c>
      <c r="F1447" s="12" t="s">
        <v>1649</v>
      </c>
      <c r="G1447" s="12" t="s">
        <v>5406</v>
      </c>
      <c r="H1447" s="12" t="s">
        <v>5371</v>
      </c>
      <c r="I1447" s="12" t="s">
        <v>3075</v>
      </c>
      <c r="J1447" s="12" t="s">
        <v>1366</v>
      </c>
      <c r="K1447" s="12" t="s">
        <v>5407</v>
      </c>
      <c r="L1447" s="13" t="s">
        <v>3075</v>
      </c>
    </row>
    <row r="1448" spans="1:12" hidden="1" x14ac:dyDescent="0.55000000000000004">
      <c r="A1448" s="12" t="s">
        <v>2962</v>
      </c>
      <c r="B1448" s="12" t="s">
        <v>4486</v>
      </c>
      <c r="C1448" s="12" t="s">
        <v>5367</v>
      </c>
      <c r="D1448" s="12" t="s">
        <v>4752</v>
      </c>
      <c r="E1448" s="12" t="s">
        <v>5408</v>
      </c>
      <c r="F1448" s="12" t="s">
        <v>1524</v>
      </c>
      <c r="G1448" s="12" t="s">
        <v>5409</v>
      </c>
      <c r="H1448" s="12" t="s">
        <v>5371</v>
      </c>
      <c r="I1448" s="12" t="s">
        <v>3075</v>
      </c>
      <c r="J1448" s="12" t="s">
        <v>1366</v>
      </c>
      <c r="K1448" s="12" t="s">
        <v>5410</v>
      </c>
      <c r="L1448" s="13" t="s">
        <v>3075</v>
      </c>
    </row>
    <row r="1449" spans="1:12" hidden="1" x14ac:dyDescent="0.55000000000000004">
      <c r="A1449" s="12" t="s">
        <v>2962</v>
      </c>
      <c r="B1449" s="12" t="s">
        <v>4486</v>
      </c>
      <c r="C1449" s="12" t="s">
        <v>5367</v>
      </c>
      <c r="D1449" s="12" t="s">
        <v>4752</v>
      </c>
      <c r="E1449" s="12" t="s">
        <v>5411</v>
      </c>
      <c r="F1449" s="12" t="s">
        <v>5412</v>
      </c>
      <c r="G1449" s="12" t="s">
        <v>5413</v>
      </c>
      <c r="H1449" s="12" t="s">
        <v>5371</v>
      </c>
      <c r="I1449" s="12" t="s">
        <v>3075</v>
      </c>
      <c r="J1449" s="12" t="s">
        <v>1366</v>
      </c>
      <c r="K1449" s="12" t="s">
        <v>5414</v>
      </c>
      <c r="L1449" s="13" t="s">
        <v>3075</v>
      </c>
    </row>
    <row r="1450" spans="1:12" hidden="1" x14ac:dyDescent="0.55000000000000004">
      <c r="A1450" s="12" t="s">
        <v>2962</v>
      </c>
      <c r="B1450" s="12" t="s">
        <v>4486</v>
      </c>
      <c r="C1450" s="12" t="s">
        <v>5367</v>
      </c>
      <c r="D1450" s="12" t="s">
        <v>4752</v>
      </c>
      <c r="E1450" s="12" t="s">
        <v>5415</v>
      </c>
      <c r="F1450" s="12" t="s">
        <v>5416</v>
      </c>
      <c r="G1450" s="12" t="s">
        <v>5417</v>
      </c>
      <c r="H1450" s="12" t="s">
        <v>5371</v>
      </c>
      <c r="I1450" s="12" t="s">
        <v>3075</v>
      </c>
      <c r="J1450" s="12" t="s">
        <v>1366</v>
      </c>
      <c r="K1450" s="12" t="s">
        <v>5418</v>
      </c>
      <c r="L1450" s="13" t="s">
        <v>3075</v>
      </c>
    </row>
    <row r="1451" spans="1:12" hidden="1" x14ac:dyDescent="0.55000000000000004">
      <c r="A1451" s="12" t="s">
        <v>2962</v>
      </c>
      <c r="B1451" s="12" t="s">
        <v>4486</v>
      </c>
      <c r="C1451" s="12" t="s">
        <v>5367</v>
      </c>
      <c r="D1451" s="12" t="s">
        <v>4752</v>
      </c>
      <c r="E1451" s="12" t="s">
        <v>5419</v>
      </c>
      <c r="F1451" s="12" t="s">
        <v>513</v>
      </c>
      <c r="G1451" s="12" t="s">
        <v>5420</v>
      </c>
      <c r="H1451" s="12" t="s">
        <v>5371</v>
      </c>
      <c r="I1451" s="12" t="s">
        <v>3075</v>
      </c>
      <c r="J1451" s="12" t="s">
        <v>1366</v>
      </c>
      <c r="K1451" s="12" t="s">
        <v>5421</v>
      </c>
      <c r="L1451" s="13" t="s">
        <v>3075</v>
      </c>
    </row>
    <row r="1452" spans="1:12" hidden="1" x14ac:dyDescent="0.55000000000000004">
      <c r="A1452" s="12" t="s">
        <v>2962</v>
      </c>
      <c r="B1452" s="12" t="s">
        <v>4486</v>
      </c>
      <c r="C1452" s="12" t="s">
        <v>5367</v>
      </c>
      <c r="D1452" s="12" t="s">
        <v>4752</v>
      </c>
      <c r="E1452" s="12" t="s">
        <v>5422</v>
      </c>
      <c r="F1452" s="12" t="s">
        <v>579</v>
      </c>
      <c r="G1452" s="12" t="s">
        <v>5423</v>
      </c>
      <c r="H1452" s="12" t="s">
        <v>5371</v>
      </c>
      <c r="I1452" s="12" t="s">
        <v>3075</v>
      </c>
      <c r="J1452" s="12" t="s">
        <v>1366</v>
      </c>
      <c r="K1452" s="12" t="s">
        <v>5424</v>
      </c>
      <c r="L1452" s="13" t="s">
        <v>3075</v>
      </c>
    </row>
    <row r="1453" spans="1:12" hidden="1" x14ac:dyDescent="0.55000000000000004">
      <c r="A1453" s="12" t="s">
        <v>2962</v>
      </c>
      <c r="B1453" s="12" t="s">
        <v>4486</v>
      </c>
      <c r="C1453" s="12" t="s">
        <v>5367</v>
      </c>
      <c r="D1453" s="12" t="s">
        <v>4752</v>
      </c>
      <c r="E1453" s="12" t="s">
        <v>5425</v>
      </c>
      <c r="F1453" s="12" t="s">
        <v>2794</v>
      </c>
      <c r="G1453" s="12" t="s">
        <v>5426</v>
      </c>
      <c r="H1453" s="12" t="s">
        <v>5371</v>
      </c>
      <c r="I1453" s="12" t="s">
        <v>3075</v>
      </c>
      <c r="J1453" s="12" t="s">
        <v>1366</v>
      </c>
      <c r="K1453" s="12" t="s">
        <v>5427</v>
      </c>
      <c r="L1453" s="13" t="s">
        <v>3075</v>
      </c>
    </row>
    <row r="1454" spans="1:12" hidden="1" x14ac:dyDescent="0.55000000000000004">
      <c r="A1454" s="12" t="s">
        <v>2962</v>
      </c>
      <c r="B1454" s="12" t="s">
        <v>4486</v>
      </c>
      <c r="C1454" s="12" t="s">
        <v>5367</v>
      </c>
      <c r="D1454" s="12" t="s">
        <v>4752</v>
      </c>
      <c r="E1454" s="12" t="s">
        <v>5428</v>
      </c>
      <c r="F1454" s="12" t="s">
        <v>5429</v>
      </c>
      <c r="G1454" s="12" t="s">
        <v>5430</v>
      </c>
      <c r="H1454" s="12" t="s">
        <v>5371</v>
      </c>
      <c r="I1454" s="12" t="s">
        <v>3075</v>
      </c>
      <c r="J1454" s="12" t="s">
        <v>1366</v>
      </c>
      <c r="K1454" s="12" t="s">
        <v>5431</v>
      </c>
      <c r="L1454" s="13" t="s">
        <v>3075</v>
      </c>
    </row>
    <row r="1455" spans="1:12" hidden="1" x14ac:dyDescent="0.55000000000000004">
      <c r="A1455" s="12" t="s">
        <v>2962</v>
      </c>
      <c r="B1455" s="12" t="s">
        <v>4486</v>
      </c>
      <c r="C1455" s="12" t="s">
        <v>5367</v>
      </c>
      <c r="D1455" s="12" t="s">
        <v>4752</v>
      </c>
      <c r="E1455" s="12" t="s">
        <v>5432</v>
      </c>
      <c r="F1455" s="12" t="s">
        <v>5433</v>
      </c>
      <c r="G1455" s="12" t="s">
        <v>5434</v>
      </c>
      <c r="H1455" s="12" t="s">
        <v>5371</v>
      </c>
      <c r="I1455" s="12" t="s">
        <v>3075</v>
      </c>
      <c r="J1455" s="12" t="s">
        <v>1366</v>
      </c>
      <c r="K1455" s="12" t="s">
        <v>5435</v>
      </c>
      <c r="L1455" s="13" t="s">
        <v>3075</v>
      </c>
    </row>
    <row r="1456" spans="1:12" hidden="1" x14ac:dyDescent="0.55000000000000004">
      <c r="A1456" s="12" t="s">
        <v>2962</v>
      </c>
      <c r="B1456" s="12" t="s">
        <v>4486</v>
      </c>
      <c r="C1456" s="12" t="s">
        <v>5367</v>
      </c>
      <c r="D1456" s="12" t="s">
        <v>4752</v>
      </c>
      <c r="E1456" s="12" t="s">
        <v>5436</v>
      </c>
      <c r="F1456" s="12" t="s">
        <v>5437</v>
      </c>
      <c r="G1456" s="12" t="s">
        <v>5438</v>
      </c>
      <c r="H1456" s="12" t="s">
        <v>5371</v>
      </c>
      <c r="I1456" s="12" t="s">
        <v>3075</v>
      </c>
      <c r="J1456" s="12" t="s">
        <v>1366</v>
      </c>
      <c r="K1456" s="12" t="s">
        <v>5439</v>
      </c>
      <c r="L1456" s="13" t="s">
        <v>3075</v>
      </c>
    </row>
    <row r="1457" spans="1:12" hidden="1" x14ac:dyDescent="0.55000000000000004">
      <c r="A1457" s="12" t="s">
        <v>2962</v>
      </c>
      <c r="B1457" s="12" t="s">
        <v>4486</v>
      </c>
      <c r="C1457" s="12" t="s">
        <v>5367</v>
      </c>
      <c r="D1457" s="12" t="s">
        <v>4752</v>
      </c>
      <c r="E1457" s="12" t="s">
        <v>5440</v>
      </c>
      <c r="F1457" s="12" t="s">
        <v>5441</v>
      </c>
      <c r="G1457" s="12" t="s">
        <v>5442</v>
      </c>
      <c r="H1457" s="12" t="s">
        <v>5371</v>
      </c>
      <c r="I1457" s="12" t="s">
        <v>3075</v>
      </c>
      <c r="J1457" s="12" t="s">
        <v>1366</v>
      </c>
      <c r="K1457" s="12" t="s">
        <v>5443</v>
      </c>
      <c r="L1457" s="13" t="s">
        <v>3075</v>
      </c>
    </row>
    <row r="1458" spans="1:12" hidden="1" x14ac:dyDescent="0.55000000000000004">
      <c r="A1458" s="12" t="s">
        <v>2962</v>
      </c>
      <c r="B1458" s="12" t="s">
        <v>4486</v>
      </c>
      <c r="C1458" s="12" t="s">
        <v>5367</v>
      </c>
      <c r="D1458" s="12" t="s">
        <v>4752</v>
      </c>
      <c r="E1458" s="12" t="s">
        <v>5444</v>
      </c>
      <c r="F1458" s="12" t="s">
        <v>2395</v>
      </c>
      <c r="G1458" s="12" t="s">
        <v>5445</v>
      </c>
      <c r="H1458" s="12" t="s">
        <v>5371</v>
      </c>
      <c r="I1458" s="12" t="s">
        <v>3075</v>
      </c>
      <c r="J1458" s="12" t="s">
        <v>1366</v>
      </c>
      <c r="K1458" s="12" t="s">
        <v>5446</v>
      </c>
      <c r="L1458" s="13" t="s">
        <v>3075</v>
      </c>
    </row>
    <row r="1459" spans="1:12" hidden="1" x14ac:dyDescent="0.55000000000000004">
      <c r="A1459" s="12" t="s">
        <v>2962</v>
      </c>
      <c r="B1459" s="12" t="s">
        <v>4486</v>
      </c>
      <c r="C1459" s="12" t="s">
        <v>5367</v>
      </c>
      <c r="D1459" s="12" t="s">
        <v>4752</v>
      </c>
      <c r="E1459" s="12" t="s">
        <v>5447</v>
      </c>
      <c r="F1459" s="12" t="s">
        <v>2222</v>
      </c>
      <c r="G1459" s="12" t="s">
        <v>5448</v>
      </c>
      <c r="H1459" s="12" t="s">
        <v>5371</v>
      </c>
      <c r="I1459" s="12" t="s">
        <v>3075</v>
      </c>
      <c r="J1459" s="12" t="s">
        <v>1366</v>
      </c>
      <c r="K1459" s="12" t="s">
        <v>5449</v>
      </c>
      <c r="L1459" s="13" t="s">
        <v>3075</v>
      </c>
    </row>
    <row r="1460" spans="1:12" hidden="1" x14ac:dyDescent="0.55000000000000004">
      <c r="A1460" s="12" t="s">
        <v>2962</v>
      </c>
      <c r="B1460" s="12" t="s">
        <v>4486</v>
      </c>
      <c r="C1460" s="12" t="s">
        <v>5367</v>
      </c>
      <c r="D1460" s="12" t="s">
        <v>4752</v>
      </c>
      <c r="E1460" s="12" t="s">
        <v>5450</v>
      </c>
      <c r="F1460" s="12" t="s">
        <v>5451</v>
      </c>
      <c r="G1460" s="12" t="s">
        <v>5452</v>
      </c>
      <c r="H1460" s="12" t="s">
        <v>5371</v>
      </c>
      <c r="I1460" s="12" t="s">
        <v>3075</v>
      </c>
      <c r="J1460" s="12" t="s">
        <v>1366</v>
      </c>
      <c r="K1460" s="12" t="s">
        <v>5453</v>
      </c>
      <c r="L1460" s="13" t="s">
        <v>3075</v>
      </c>
    </row>
    <row r="1461" spans="1:12" hidden="1" x14ac:dyDescent="0.55000000000000004">
      <c r="A1461" s="12" t="s">
        <v>2962</v>
      </c>
      <c r="B1461" s="12" t="s">
        <v>4486</v>
      </c>
      <c r="C1461" s="12" t="s">
        <v>5367</v>
      </c>
      <c r="D1461" s="12" t="s">
        <v>4752</v>
      </c>
      <c r="E1461" s="12" t="s">
        <v>5454</v>
      </c>
      <c r="F1461" s="12" t="s">
        <v>5455</v>
      </c>
      <c r="G1461" s="12" t="s">
        <v>5456</v>
      </c>
      <c r="H1461" s="12" t="s">
        <v>5371</v>
      </c>
      <c r="I1461" s="12" t="s">
        <v>3075</v>
      </c>
      <c r="J1461" s="12" t="s">
        <v>1366</v>
      </c>
      <c r="K1461" s="12" t="s">
        <v>5457</v>
      </c>
      <c r="L1461" s="13" t="s">
        <v>3075</v>
      </c>
    </row>
    <row r="1462" spans="1:12" hidden="1" x14ac:dyDescent="0.55000000000000004">
      <c r="A1462" s="12" t="s">
        <v>2962</v>
      </c>
      <c r="B1462" s="12" t="s">
        <v>4486</v>
      </c>
      <c r="C1462" s="12" t="s">
        <v>5367</v>
      </c>
      <c r="D1462" s="12" t="s">
        <v>4752</v>
      </c>
      <c r="E1462" s="12" t="s">
        <v>5458</v>
      </c>
      <c r="F1462" s="12" t="s">
        <v>5459</v>
      </c>
      <c r="G1462" s="12" t="s">
        <v>5460</v>
      </c>
      <c r="H1462" s="12" t="s">
        <v>5371</v>
      </c>
      <c r="I1462" s="12" t="s">
        <v>3075</v>
      </c>
      <c r="J1462" s="12" t="s">
        <v>1366</v>
      </c>
      <c r="K1462" s="12" t="s">
        <v>5461</v>
      </c>
      <c r="L1462" s="13" t="s">
        <v>3075</v>
      </c>
    </row>
    <row r="1463" spans="1:12" hidden="1" x14ac:dyDescent="0.55000000000000004">
      <c r="A1463" s="12" t="s">
        <v>2962</v>
      </c>
      <c r="B1463" s="12" t="s">
        <v>4486</v>
      </c>
      <c r="C1463" s="12" t="s">
        <v>5462</v>
      </c>
      <c r="D1463" s="12" t="s">
        <v>4752</v>
      </c>
      <c r="E1463" s="12" t="s">
        <v>5463</v>
      </c>
      <c r="F1463" s="12" t="s">
        <v>5464</v>
      </c>
      <c r="G1463" s="12" t="s">
        <v>1303</v>
      </c>
      <c r="H1463" s="12" t="s">
        <v>5371</v>
      </c>
      <c r="I1463" s="12" t="s">
        <v>3059</v>
      </c>
      <c r="J1463" s="12" t="s">
        <v>1366</v>
      </c>
      <c r="K1463" s="12" t="s">
        <v>5465</v>
      </c>
      <c r="L1463" s="13">
        <v>9</v>
      </c>
    </row>
    <row r="1464" spans="1:12" hidden="1" x14ac:dyDescent="0.55000000000000004">
      <c r="A1464" s="12" t="s">
        <v>2962</v>
      </c>
      <c r="B1464" s="12" t="s">
        <v>4486</v>
      </c>
      <c r="C1464" s="12" t="s">
        <v>5462</v>
      </c>
      <c r="D1464" s="12" t="s">
        <v>4752</v>
      </c>
      <c r="E1464" s="12" t="s">
        <v>5466</v>
      </c>
      <c r="F1464" s="12" t="s">
        <v>341</v>
      </c>
      <c r="G1464" s="12" t="s">
        <v>5467</v>
      </c>
      <c r="H1464" s="12" t="s">
        <v>5371</v>
      </c>
      <c r="I1464" s="12" t="s">
        <v>5468</v>
      </c>
      <c r="J1464" s="12" t="s">
        <v>1366</v>
      </c>
      <c r="K1464" s="12" t="s">
        <v>5469</v>
      </c>
      <c r="L1464" s="13">
        <v>8</v>
      </c>
    </row>
    <row r="1465" spans="1:12" hidden="1" x14ac:dyDescent="0.55000000000000004">
      <c r="A1465" s="12" t="s">
        <v>3000</v>
      </c>
      <c r="B1465" s="12" t="s">
        <v>4486</v>
      </c>
      <c r="C1465" s="12" t="s">
        <v>5470</v>
      </c>
      <c r="D1465" s="12" t="s">
        <v>4752</v>
      </c>
      <c r="E1465" s="12" t="s">
        <v>5471</v>
      </c>
      <c r="F1465" s="12" t="s">
        <v>5472</v>
      </c>
      <c r="G1465" s="12" t="s">
        <v>5473</v>
      </c>
      <c r="H1465" s="12" t="s">
        <v>5474</v>
      </c>
      <c r="I1465" s="12" t="s">
        <v>3059</v>
      </c>
      <c r="J1465" s="12" t="s">
        <v>519</v>
      </c>
      <c r="K1465" s="12" t="s">
        <v>5475</v>
      </c>
      <c r="L1465" s="13">
        <v>6</v>
      </c>
    </row>
    <row r="1466" spans="1:12" hidden="1" x14ac:dyDescent="0.55000000000000004">
      <c r="A1466" s="12" t="s">
        <v>3000</v>
      </c>
      <c r="B1466" s="12" t="s">
        <v>4486</v>
      </c>
      <c r="C1466" s="12" t="s">
        <v>5470</v>
      </c>
      <c r="D1466" s="12" t="s">
        <v>4752</v>
      </c>
      <c r="E1466" s="12" t="s">
        <v>5476</v>
      </c>
      <c r="F1466" s="12" t="s">
        <v>1393</v>
      </c>
      <c r="G1466" s="12" t="s">
        <v>5477</v>
      </c>
      <c r="H1466" s="12" t="s">
        <v>5474</v>
      </c>
      <c r="I1466" s="12" t="s">
        <v>3059</v>
      </c>
      <c r="J1466" s="12" t="s">
        <v>519</v>
      </c>
      <c r="K1466" s="12" t="s">
        <v>5478</v>
      </c>
      <c r="L1466" s="13">
        <v>6</v>
      </c>
    </row>
    <row r="1467" spans="1:12" hidden="1" x14ac:dyDescent="0.55000000000000004">
      <c r="A1467" s="12" t="s">
        <v>3000</v>
      </c>
      <c r="B1467" s="12" t="s">
        <v>4486</v>
      </c>
      <c r="C1467" s="12" t="s">
        <v>5470</v>
      </c>
      <c r="D1467" s="12" t="s">
        <v>4752</v>
      </c>
      <c r="E1467" s="12" t="s">
        <v>5479</v>
      </c>
      <c r="F1467" s="12" t="s">
        <v>30</v>
      </c>
      <c r="G1467" s="12" t="s">
        <v>5477</v>
      </c>
      <c r="H1467" s="12" t="s">
        <v>5474</v>
      </c>
      <c r="I1467" s="12" t="s">
        <v>3059</v>
      </c>
      <c r="J1467" s="12" t="s">
        <v>519</v>
      </c>
      <c r="K1467" s="12" t="s">
        <v>5480</v>
      </c>
      <c r="L1467" s="13">
        <v>6</v>
      </c>
    </row>
    <row r="1468" spans="1:12" hidden="1" x14ac:dyDescent="0.55000000000000004">
      <c r="A1468" s="12" t="s">
        <v>3000</v>
      </c>
      <c r="B1468" s="12" t="s">
        <v>4486</v>
      </c>
      <c r="C1468" s="12" t="s">
        <v>5470</v>
      </c>
      <c r="D1468" s="12" t="s">
        <v>4752</v>
      </c>
      <c r="E1468" s="12" t="s">
        <v>5481</v>
      </c>
      <c r="F1468" s="12" t="s">
        <v>130</v>
      </c>
      <c r="G1468" s="12" t="s">
        <v>5482</v>
      </c>
      <c r="H1468" s="12" t="s">
        <v>5474</v>
      </c>
      <c r="I1468" s="12" t="s">
        <v>3059</v>
      </c>
      <c r="J1468" s="12" t="s">
        <v>519</v>
      </c>
      <c r="K1468" s="12" t="s">
        <v>5483</v>
      </c>
      <c r="L1468" s="13">
        <v>6</v>
      </c>
    </row>
    <row r="1469" spans="1:12" hidden="1" x14ac:dyDescent="0.55000000000000004">
      <c r="A1469" s="12" t="s">
        <v>3000</v>
      </c>
      <c r="B1469" s="12" t="s">
        <v>4486</v>
      </c>
      <c r="C1469" s="12" t="s">
        <v>5470</v>
      </c>
      <c r="D1469" s="12" t="s">
        <v>4752</v>
      </c>
      <c r="E1469" s="12" t="s">
        <v>5484</v>
      </c>
      <c r="F1469" s="12" t="s">
        <v>1898</v>
      </c>
      <c r="G1469" s="12" t="s">
        <v>5485</v>
      </c>
      <c r="H1469" s="12" t="s">
        <v>5474</v>
      </c>
      <c r="I1469" s="12" t="s">
        <v>3059</v>
      </c>
      <c r="J1469" s="12" t="s">
        <v>519</v>
      </c>
      <c r="K1469" s="12" t="s">
        <v>5486</v>
      </c>
      <c r="L1469" s="13">
        <v>6</v>
      </c>
    </row>
    <row r="1470" spans="1:12" hidden="1" x14ac:dyDescent="0.55000000000000004">
      <c r="A1470" s="12" t="s">
        <v>3020</v>
      </c>
      <c r="B1470" s="12" t="s">
        <v>4486</v>
      </c>
      <c r="C1470" s="12" t="s">
        <v>5367</v>
      </c>
      <c r="D1470" s="12" t="s">
        <v>4752</v>
      </c>
      <c r="E1470" s="12" t="s">
        <v>5487</v>
      </c>
      <c r="F1470" s="12" t="s">
        <v>5488</v>
      </c>
      <c r="G1470" s="12" t="s">
        <v>5489</v>
      </c>
      <c r="H1470" s="12" t="s">
        <v>5490</v>
      </c>
      <c r="I1470" s="12" t="s">
        <v>3075</v>
      </c>
      <c r="J1470" s="12" t="s">
        <v>4887</v>
      </c>
      <c r="K1470" s="12" t="s">
        <v>5491</v>
      </c>
      <c r="L1470" s="13" t="s">
        <v>3075</v>
      </c>
    </row>
    <row r="1471" spans="1:12" hidden="1" x14ac:dyDescent="0.55000000000000004">
      <c r="A1471" s="12" t="s">
        <v>3020</v>
      </c>
      <c r="B1471" s="12" t="s">
        <v>4486</v>
      </c>
      <c r="C1471" s="12" t="s">
        <v>5367</v>
      </c>
      <c r="D1471" s="12" t="s">
        <v>4752</v>
      </c>
      <c r="E1471" s="12" t="s">
        <v>5492</v>
      </c>
      <c r="F1471" s="12" t="s">
        <v>5493</v>
      </c>
      <c r="G1471" s="12" t="s">
        <v>5494</v>
      </c>
      <c r="H1471" s="12" t="s">
        <v>5490</v>
      </c>
      <c r="I1471" s="12" t="s">
        <v>3075</v>
      </c>
      <c r="J1471" s="12" t="s">
        <v>4887</v>
      </c>
      <c r="K1471" s="12" t="s">
        <v>5495</v>
      </c>
      <c r="L1471" s="13" t="s">
        <v>3075</v>
      </c>
    </row>
    <row r="1472" spans="1:12" hidden="1" x14ac:dyDescent="0.55000000000000004">
      <c r="A1472" s="12" t="s">
        <v>3020</v>
      </c>
      <c r="B1472" s="12" t="s">
        <v>4486</v>
      </c>
      <c r="C1472" s="12" t="s">
        <v>5367</v>
      </c>
      <c r="D1472" s="12" t="s">
        <v>4752</v>
      </c>
      <c r="E1472" s="12" t="s">
        <v>5496</v>
      </c>
      <c r="F1472" s="12" t="s">
        <v>5497</v>
      </c>
      <c r="G1472" s="12" t="s">
        <v>5498</v>
      </c>
      <c r="H1472" s="12" t="s">
        <v>5490</v>
      </c>
      <c r="I1472" s="12" t="s">
        <v>3075</v>
      </c>
      <c r="J1472" s="12" t="s">
        <v>4887</v>
      </c>
      <c r="K1472" s="12" t="s">
        <v>5499</v>
      </c>
      <c r="L1472" s="13" t="s">
        <v>3075</v>
      </c>
    </row>
    <row r="1473" spans="1:12" hidden="1" x14ac:dyDescent="0.55000000000000004">
      <c r="A1473" s="12" t="s">
        <v>3020</v>
      </c>
      <c r="B1473" s="12" t="s">
        <v>4486</v>
      </c>
      <c r="C1473" s="12" t="s">
        <v>5367</v>
      </c>
      <c r="D1473" s="12" t="s">
        <v>4752</v>
      </c>
      <c r="E1473" s="12" t="s">
        <v>5500</v>
      </c>
      <c r="F1473" s="12" t="s">
        <v>521</v>
      </c>
      <c r="G1473" s="12" t="s">
        <v>5501</v>
      </c>
      <c r="H1473" s="12" t="s">
        <v>5490</v>
      </c>
      <c r="I1473" s="12" t="s">
        <v>3075</v>
      </c>
      <c r="J1473" s="12" t="s">
        <v>4887</v>
      </c>
      <c r="K1473" s="12" t="s">
        <v>5502</v>
      </c>
      <c r="L1473" s="13" t="s">
        <v>3075</v>
      </c>
    </row>
    <row r="1474" spans="1:12" hidden="1" x14ac:dyDescent="0.55000000000000004">
      <c r="A1474" s="12" t="s">
        <v>4526</v>
      </c>
      <c r="B1474" s="12" t="s">
        <v>4486</v>
      </c>
      <c r="C1474" s="12" t="s">
        <v>4883</v>
      </c>
      <c r="D1474" s="12" t="s">
        <v>4752</v>
      </c>
      <c r="E1474" s="12" t="s">
        <v>304</v>
      </c>
      <c r="F1474" s="12" t="s">
        <v>305</v>
      </c>
      <c r="G1474" s="12" t="s">
        <v>306</v>
      </c>
      <c r="H1474" s="12" t="s">
        <v>5503</v>
      </c>
      <c r="I1474" s="12" t="s">
        <v>3075</v>
      </c>
      <c r="J1474" s="12" t="s">
        <v>3091</v>
      </c>
      <c r="K1474" s="12" t="s">
        <v>3347</v>
      </c>
      <c r="L1474" s="13" t="s">
        <v>3075</v>
      </c>
    </row>
    <row r="1475" spans="1:12" hidden="1" x14ac:dyDescent="0.55000000000000004">
      <c r="A1475" s="12" t="s">
        <v>4526</v>
      </c>
      <c r="B1475" s="12" t="s">
        <v>4486</v>
      </c>
      <c r="C1475" s="12" t="s">
        <v>4883</v>
      </c>
      <c r="D1475" s="12" t="s">
        <v>4752</v>
      </c>
      <c r="E1475" s="12" t="s">
        <v>6230</v>
      </c>
      <c r="F1475" s="12" t="s">
        <v>6231</v>
      </c>
      <c r="G1475" s="12" t="s">
        <v>6232</v>
      </c>
      <c r="H1475" s="12" t="s">
        <v>5503</v>
      </c>
      <c r="I1475" s="12" t="s">
        <v>3075</v>
      </c>
      <c r="J1475" s="12" t="s">
        <v>3091</v>
      </c>
      <c r="K1475" s="12" t="s">
        <v>6233</v>
      </c>
      <c r="L1475" s="13" t="s">
        <v>3075</v>
      </c>
    </row>
    <row r="1476" spans="1:12" hidden="1" x14ac:dyDescent="0.55000000000000004">
      <c r="A1476" s="12" t="s">
        <v>2982</v>
      </c>
      <c r="B1476" s="12" t="s">
        <v>4486</v>
      </c>
      <c r="C1476" s="12" t="s">
        <v>5245</v>
      </c>
      <c r="D1476" s="12" t="s">
        <v>4752</v>
      </c>
      <c r="E1476" s="12" t="s">
        <v>6234</v>
      </c>
      <c r="F1476" s="12" t="s">
        <v>6235</v>
      </c>
      <c r="G1476" s="12" t="s">
        <v>6236</v>
      </c>
      <c r="H1476" s="12" t="s">
        <v>6237</v>
      </c>
      <c r="I1476" s="12" t="s">
        <v>3075</v>
      </c>
      <c r="J1476" s="12" t="s">
        <v>3091</v>
      </c>
      <c r="K1476" s="12" t="s">
        <v>6238</v>
      </c>
      <c r="L1476" s="13" t="s">
        <v>3075</v>
      </c>
    </row>
    <row r="1477" spans="1:12" hidden="1" x14ac:dyDescent="0.55000000000000004">
      <c r="A1477" s="12" t="s">
        <v>2982</v>
      </c>
      <c r="B1477" s="12" t="s">
        <v>4486</v>
      </c>
      <c r="C1477" s="12" t="s">
        <v>5245</v>
      </c>
      <c r="D1477" s="12" t="s">
        <v>4752</v>
      </c>
      <c r="E1477" s="12" t="s">
        <v>6239</v>
      </c>
      <c r="F1477" s="12" t="s">
        <v>1098</v>
      </c>
      <c r="G1477" s="12" t="s">
        <v>6240</v>
      </c>
      <c r="H1477" s="12" t="s">
        <v>6237</v>
      </c>
      <c r="I1477" s="12" t="s">
        <v>3075</v>
      </c>
      <c r="J1477" s="12" t="s">
        <v>3091</v>
      </c>
      <c r="K1477" s="12" t="s">
        <v>6241</v>
      </c>
      <c r="L1477" s="13" t="s">
        <v>3075</v>
      </c>
    </row>
    <row r="1478" spans="1:12" hidden="1" x14ac:dyDescent="0.55000000000000004">
      <c r="A1478" s="12" t="s">
        <v>2982</v>
      </c>
      <c r="B1478" s="12" t="s">
        <v>4486</v>
      </c>
      <c r="C1478" s="12" t="s">
        <v>5245</v>
      </c>
      <c r="D1478" s="12" t="s">
        <v>4752</v>
      </c>
      <c r="E1478" s="12" t="s">
        <v>6242</v>
      </c>
      <c r="F1478" s="12" t="s">
        <v>6243</v>
      </c>
      <c r="G1478" s="12" t="s">
        <v>6244</v>
      </c>
      <c r="H1478" s="12" t="s">
        <v>6237</v>
      </c>
      <c r="I1478" s="12" t="s">
        <v>3075</v>
      </c>
      <c r="J1478" s="12" t="s">
        <v>3091</v>
      </c>
      <c r="K1478" s="12" t="s">
        <v>6245</v>
      </c>
      <c r="L1478" s="13" t="s">
        <v>3075</v>
      </c>
    </row>
    <row r="1479" spans="1:12" hidden="1" x14ac:dyDescent="0.55000000000000004">
      <c r="A1479" s="12" t="s">
        <v>2876</v>
      </c>
      <c r="B1479" s="12" t="s">
        <v>4374</v>
      </c>
      <c r="C1479" s="12" t="s">
        <v>5243</v>
      </c>
      <c r="D1479" s="12" t="s">
        <v>4752</v>
      </c>
      <c r="E1479" s="12" t="s">
        <v>6246</v>
      </c>
      <c r="F1479" s="12" t="s">
        <v>6002</v>
      </c>
      <c r="G1479" s="12" t="s">
        <v>6247</v>
      </c>
      <c r="H1479" s="12" t="s">
        <v>4380</v>
      </c>
      <c r="I1479" s="12" t="s">
        <v>3075</v>
      </c>
      <c r="J1479" s="12" t="s">
        <v>3093</v>
      </c>
      <c r="K1479" s="12" t="s">
        <v>6248</v>
      </c>
      <c r="L1479" s="13" t="s">
        <v>3075</v>
      </c>
    </row>
    <row r="1480" spans="1:12" hidden="1" x14ac:dyDescent="0.55000000000000004">
      <c r="A1480" s="12" t="s">
        <v>2809</v>
      </c>
      <c r="B1480" s="12" t="s">
        <v>4298</v>
      </c>
      <c r="C1480" s="12" t="s">
        <v>5147</v>
      </c>
      <c r="D1480" s="12" t="s">
        <v>4752</v>
      </c>
      <c r="E1480" s="12" t="s">
        <v>6249</v>
      </c>
      <c r="F1480" s="12" t="s">
        <v>6250</v>
      </c>
      <c r="G1480" s="12" t="s">
        <v>6251</v>
      </c>
      <c r="H1480" s="12" t="s">
        <v>4302</v>
      </c>
      <c r="I1480" s="12" t="s">
        <v>3059</v>
      </c>
      <c r="J1480" s="12" t="s">
        <v>1603</v>
      </c>
      <c r="K1480" s="12" t="s">
        <v>6252</v>
      </c>
      <c r="L1480" s="13">
        <v>7</v>
      </c>
    </row>
  </sheetData>
  <autoFilter ref="A1:L1480" xr:uid="{21331360-3A0F-429C-BBD5-B83B70A5E183}">
    <filterColumn colId="5">
      <filters>
        <filter val="สราวุฒิ"/>
      </filters>
    </filterColumn>
  </autoFilter>
  <sortState ref="A2:L1280">
    <sortCondition ref="A2:A1280"/>
  </sortState>
  <conditionalFormatting sqref="L2:L1280 I2:I1280">
    <cfRule type="cellIs" dxfId="0" priority="1" operator="equal">
      <formula>"ผ่าน"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42093-50C6-4528-8930-AD4393A189B6}">
  <dimension ref="A1:H288"/>
  <sheetViews>
    <sheetView tabSelected="1" topLeftCell="B1" workbookViewId="0">
      <pane xSplit="2" ySplit="1" topLeftCell="D2" activePane="bottomRight" state="frozen"/>
      <selection activeCell="B1" sqref="B1"/>
      <selection pane="topRight" activeCell="D1" sqref="D1"/>
      <selection pane="bottomLeft" activeCell="B2" sqref="B2"/>
      <selection pane="bottomRight" activeCell="G10" sqref="G10"/>
    </sheetView>
  </sheetViews>
  <sheetFormatPr defaultRowHeight="17" x14ac:dyDescent="0.6"/>
  <cols>
    <col min="1" max="1" width="10" style="9" bestFit="1" customWidth="1"/>
    <col min="2" max="2" width="7.90625" style="9" customWidth="1"/>
    <col min="3" max="3" width="23.6328125" style="9" bestFit="1" customWidth="1"/>
    <col min="4" max="4" width="11.7265625" style="9" customWidth="1"/>
    <col min="5" max="7" width="11.36328125" style="9" customWidth="1"/>
    <col min="8" max="16384" width="8.7265625" style="9"/>
  </cols>
  <sheetData>
    <row r="1" spans="1:8" ht="17.5" thickBot="1" x14ac:dyDescent="0.65">
      <c r="A1" s="2" t="s">
        <v>4297</v>
      </c>
      <c r="B1" s="3" t="s">
        <v>4296</v>
      </c>
      <c r="C1" s="2" t="s">
        <v>4</v>
      </c>
      <c r="D1" s="11" t="s">
        <v>4614</v>
      </c>
      <c r="E1" s="11" t="s">
        <v>4615</v>
      </c>
      <c r="F1" s="11" t="s">
        <v>3075</v>
      </c>
      <c r="G1" s="11" t="s">
        <v>4617</v>
      </c>
      <c r="H1" s="11" t="s">
        <v>4616</v>
      </c>
    </row>
    <row r="2" spans="1:8" ht="17.5" thickBot="1" x14ac:dyDescent="0.65">
      <c r="A2" s="4" t="s">
        <v>4298</v>
      </c>
      <c r="B2" s="5" t="s">
        <v>2806</v>
      </c>
      <c r="C2" s="5" t="s">
        <v>4299</v>
      </c>
      <c r="D2" s="10">
        <f>COUNTIF(รายชื่อจบส.!$A:$A,$B2)</f>
        <v>2</v>
      </c>
      <c r="E2" s="10">
        <f>COUNTIFS(รายชื่อจบส.!$A:$A,$B2,รายชื่อจบส.!$I:$I,"ผ่าน")</f>
        <v>0</v>
      </c>
      <c r="F2" s="10">
        <f>E2-D2</f>
        <v>-2</v>
      </c>
      <c r="G2" s="10">
        <f>IF(AND(D2&gt;0,F2=0,H2&lt;=7),3,IF(AND(D2&gt;0,F2=0,H2&lt;=11),2,IF(AND(D2&gt;0,F2=0,H2=12),1,0)))</f>
        <v>0</v>
      </c>
      <c r="H2" s="10">
        <f>_xlfn.MAXIFS(รายชื่อจบส.!$L:$L,รายชื่อจบส.!$A:$A,$B2)</f>
        <v>0</v>
      </c>
    </row>
    <row r="3" spans="1:8" ht="17.5" thickBot="1" x14ac:dyDescent="0.65">
      <c r="A3" s="4" t="s">
        <v>4298</v>
      </c>
      <c r="B3" s="5" t="s">
        <v>2807</v>
      </c>
      <c r="C3" s="5" t="s">
        <v>4300</v>
      </c>
      <c r="D3" s="10">
        <f>COUNTIF(รายชื่อจบส.!$A:$A,$B3)</f>
        <v>4</v>
      </c>
      <c r="E3" s="10">
        <f>COUNTIFS(รายชื่อจบส.!$A:$A,$B3,รายชื่อจบส.!$I:$I,"ผ่าน")</f>
        <v>2</v>
      </c>
      <c r="F3" s="10">
        <f t="shared" ref="F3:F66" si="0">E3-D3</f>
        <v>-2</v>
      </c>
      <c r="G3" s="10">
        <f t="shared" ref="G3:G66" si="1">IF(AND(D3&gt;0,F3=0,H3&lt;=7),3,IF(AND(D3&gt;0,F3=0,H3&lt;=11),2,IF(AND(D3&gt;0,F3=0,H3=12),1,0)))</f>
        <v>0</v>
      </c>
      <c r="H3" s="10">
        <f>_xlfn.MAXIFS(รายชื่อจบส.!$L:$L,รายชื่อจบส.!$A:$A,$B3)</f>
        <v>7</v>
      </c>
    </row>
    <row r="4" spans="1:8" ht="17.5" thickBot="1" x14ac:dyDescent="0.65">
      <c r="A4" s="4" t="s">
        <v>4298</v>
      </c>
      <c r="B4" s="5" t="s">
        <v>2808</v>
      </c>
      <c r="C4" s="5" t="s">
        <v>4301</v>
      </c>
      <c r="D4" s="10">
        <f>COUNTIF(รายชื่อจบส.!$A:$A,$B4)</f>
        <v>2</v>
      </c>
      <c r="E4" s="10">
        <f>COUNTIFS(รายชื่อจบส.!$A:$A,$B4,รายชื่อจบส.!$I:$I,"ผ่าน")</f>
        <v>1</v>
      </c>
      <c r="F4" s="10">
        <f t="shared" si="0"/>
        <v>-1</v>
      </c>
      <c r="G4" s="10">
        <f t="shared" si="1"/>
        <v>0</v>
      </c>
      <c r="H4" s="10">
        <f>_xlfn.MAXIFS(รายชื่อจบส.!$L:$L,รายชื่อจบส.!$A:$A,$B4)</f>
        <v>5</v>
      </c>
    </row>
    <row r="5" spans="1:8" ht="17.5" thickBot="1" x14ac:dyDescent="0.65">
      <c r="A5" s="4" t="s">
        <v>4298</v>
      </c>
      <c r="B5" s="5" t="s">
        <v>2809</v>
      </c>
      <c r="C5" s="5" t="s">
        <v>4302</v>
      </c>
      <c r="D5" s="10">
        <f>COUNTIF(รายชื่อจบส.!$A:$A,$B5)</f>
        <v>1</v>
      </c>
      <c r="E5" s="10">
        <f>COUNTIFS(รายชื่อจบส.!$A:$A,$B5,รายชื่อจบส.!$I:$I,"ผ่าน")</f>
        <v>1</v>
      </c>
      <c r="F5" s="10">
        <f t="shared" si="0"/>
        <v>0</v>
      </c>
      <c r="G5" s="10">
        <f t="shared" si="1"/>
        <v>3</v>
      </c>
      <c r="H5" s="10">
        <f>_xlfn.MAXIFS(รายชื่อจบส.!$L:$L,รายชื่อจบส.!$A:$A,$B5)</f>
        <v>7</v>
      </c>
    </row>
    <row r="6" spans="1:8" ht="17.5" thickBot="1" x14ac:dyDescent="0.65">
      <c r="A6" s="4" t="s">
        <v>4298</v>
      </c>
      <c r="B6" s="5" t="s">
        <v>2810</v>
      </c>
      <c r="C6" s="5" t="s">
        <v>4303</v>
      </c>
      <c r="D6" s="10">
        <f>COUNTIF(รายชื่อจบส.!$A:$A,$B6)</f>
        <v>5</v>
      </c>
      <c r="E6" s="10">
        <f>COUNTIFS(รายชื่อจบส.!$A:$A,$B6,รายชื่อจบส.!$I:$I,"ผ่าน")</f>
        <v>1</v>
      </c>
      <c r="F6" s="10">
        <f t="shared" si="0"/>
        <v>-4</v>
      </c>
      <c r="G6" s="10">
        <f t="shared" si="1"/>
        <v>0</v>
      </c>
      <c r="H6" s="10">
        <f>_xlfn.MAXIFS(รายชื่อจบส.!$L:$L,รายชื่อจบส.!$A:$A,$B6)</f>
        <v>3</v>
      </c>
    </row>
    <row r="7" spans="1:8" ht="17.5" thickBot="1" x14ac:dyDescent="0.65">
      <c r="A7" s="4" t="s">
        <v>4298</v>
      </c>
      <c r="B7" s="5" t="s">
        <v>2811</v>
      </c>
      <c r="C7" s="5" t="s">
        <v>4304</v>
      </c>
      <c r="D7" s="10">
        <f>COUNTIF(รายชื่อจบส.!$A:$A,$B7)</f>
        <v>9</v>
      </c>
      <c r="E7" s="10">
        <f>COUNTIFS(รายชื่อจบส.!$A:$A,$B7,รายชื่อจบส.!$I:$I,"ผ่าน")</f>
        <v>7</v>
      </c>
      <c r="F7" s="10">
        <f t="shared" si="0"/>
        <v>-2</v>
      </c>
      <c r="G7" s="10">
        <f t="shared" si="1"/>
        <v>0</v>
      </c>
      <c r="H7" s="10">
        <f>_xlfn.MAXIFS(รายชื่อจบส.!$L:$L,รายชื่อจบส.!$A:$A,$B7)</f>
        <v>9</v>
      </c>
    </row>
    <row r="8" spans="1:8" ht="17.5" thickBot="1" x14ac:dyDescent="0.65">
      <c r="A8" s="4" t="s">
        <v>4298</v>
      </c>
      <c r="B8" s="5" t="s">
        <v>2812</v>
      </c>
      <c r="C8" s="5" t="s">
        <v>4305</v>
      </c>
      <c r="D8" s="10">
        <f>COUNTIF(รายชื่อจบส.!$A:$A,$B8)</f>
        <v>7</v>
      </c>
      <c r="E8" s="10">
        <f>COUNTIFS(รายชื่อจบส.!$A:$A,$B8,รายชื่อจบส.!$I:$I,"ผ่าน")</f>
        <v>0</v>
      </c>
      <c r="F8" s="10">
        <f t="shared" si="0"/>
        <v>-7</v>
      </c>
      <c r="G8" s="10">
        <f t="shared" si="1"/>
        <v>0</v>
      </c>
      <c r="H8" s="10">
        <f>_xlfn.MAXIFS(รายชื่อจบส.!$L:$L,รายชื่อจบส.!$A:$A,$B8)</f>
        <v>0</v>
      </c>
    </row>
    <row r="9" spans="1:8" ht="17.5" thickBot="1" x14ac:dyDescent="0.65">
      <c r="A9" s="4" t="s">
        <v>4298</v>
      </c>
      <c r="B9" s="5" t="s">
        <v>2813</v>
      </c>
      <c r="C9" s="5" t="s">
        <v>4306</v>
      </c>
      <c r="D9" s="10">
        <f>COUNTIF(รายชื่อจบส.!$A:$A,$B9)</f>
        <v>6</v>
      </c>
      <c r="E9" s="10">
        <f>COUNTIFS(รายชื่อจบส.!$A:$A,$B9,รายชื่อจบส.!$I:$I,"ผ่าน")</f>
        <v>0</v>
      </c>
      <c r="F9" s="10">
        <f t="shared" si="0"/>
        <v>-6</v>
      </c>
      <c r="G9" s="10">
        <f t="shared" si="1"/>
        <v>0</v>
      </c>
      <c r="H9" s="10">
        <f>_xlfn.MAXIFS(รายชื่อจบส.!$L:$L,รายชื่อจบส.!$A:$A,$B9)</f>
        <v>0</v>
      </c>
    </row>
    <row r="10" spans="1:8" ht="17.5" thickBot="1" x14ac:dyDescent="0.65">
      <c r="A10" s="4" t="s">
        <v>4298</v>
      </c>
      <c r="B10" s="5" t="s">
        <v>2814</v>
      </c>
      <c r="C10" s="5" t="s">
        <v>4307</v>
      </c>
      <c r="D10" s="10">
        <f>COUNTIF(รายชื่อจบส.!$A:$A,$B10)</f>
        <v>2</v>
      </c>
      <c r="E10" s="10">
        <f>COUNTIFS(รายชื่อจบส.!$A:$A,$B10,รายชื่อจบส.!$I:$I,"ผ่าน")</f>
        <v>1</v>
      </c>
      <c r="F10" s="10">
        <f t="shared" si="0"/>
        <v>-1</v>
      </c>
      <c r="G10" s="10">
        <f t="shared" si="1"/>
        <v>0</v>
      </c>
      <c r="H10" s="10">
        <f>_xlfn.MAXIFS(รายชื่อจบส.!$L:$L,รายชื่อจบส.!$A:$A,$B10)</f>
        <v>5</v>
      </c>
    </row>
    <row r="11" spans="1:8" ht="17.5" thickBot="1" x14ac:dyDescent="0.65">
      <c r="A11" s="4" t="s">
        <v>4298</v>
      </c>
      <c r="B11" s="5" t="s">
        <v>2815</v>
      </c>
      <c r="C11" s="5" t="s">
        <v>4308</v>
      </c>
      <c r="D11" s="10">
        <f>COUNTIF(รายชื่อจบส.!$A:$A,$B11)</f>
        <v>5</v>
      </c>
      <c r="E11" s="10">
        <f>COUNTIFS(รายชื่อจบส.!$A:$A,$B11,รายชื่อจบส.!$I:$I,"ผ่าน")</f>
        <v>4</v>
      </c>
      <c r="F11" s="10">
        <f t="shared" si="0"/>
        <v>-1</v>
      </c>
      <c r="G11" s="10">
        <f t="shared" si="1"/>
        <v>0</v>
      </c>
      <c r="H11" s="10">
        <f>_xlfn.MAXIFS(รายชื่อจบส.!$L:$L,รายชื่อจบส.!$A:$A,$B11)</f>
        <v>4</v>
      </c>
    </row>
    <row r="12" spans="1:8" ht="17.5" thickBot="1" x14ac:dyDescent="0.65">
      <c r="A12" s="4" t="s">
        <v>4298</v>
      </c>
      <c r="B12" s="5" t="s">
        <v>2816</v>
      </c>
      <c r="C12" s="5" t="s">
        <v>4309</v>
      </c>
      <c r="D12" s="10">
        <f>COUNTIF(รายชื่อจบส.!$A:$A,$B12)</f>
        <v>2</v>
      </c>
      <c r="E12" s="10">
        <f>COUNTIFS(รายชื่อจบส.!$A:$A,$B12,รายชื่อจบส.!$I:$I,"ผ่าน")</f>
        <v>2</v>
      </c>
      <c r="F12" s="10">
        <f t="shared" si="0"/>
        <v>0</v>
      </c>
      <c r="G12" s="10">
        <f t="shared" si="1"/>
        <v>3</v>
      </c>
      <c r="H12" s="10">
        <f>_xlfn.MAXIFS(รายชื่อจบส.!$L:$L,รายชื่อจบส.!$A:$A,$B12)</f>
        <v>2</v>
      </c>
    </row>
    <row r="13" spans="1:8" ht="17.5" thickBot="1" x14ac:dyDescent="0.65">
      <c r="A13" s="4" t="s">
        <v>4298</v>
      </c>
      <c r="B13" s="5" t="s">
        <v>2817</v>
      </c>
      <c r="C13" s="5" t="s">
        <v>4310</v>
      </c>
      <c r="D13" s="10">
        <f>COUNTIF(รายชื่อจบส.!$A:$A,$B13)</f>
        <v>2</v>
      </c>
      <c r="E13" s="10">
        <f>COUNTIFS(รายชื่อจบส.!$A:$A,$B13,รายชื่อจบส.!$I:$I,"ผ่าน")</f>
        <v>2</v>
      </c>
      <c r="F13" s="10">
        <f t="shared" si="0"/>
        <v>0</v>
      </c>
      <c r="G13" s="10">
        <f t="shared" si="1"/>
        <v>3</v>
      </c>
      <c r="H13" s="10">
        <f>_xlfn.MAXIFS(รายชื่อจบส.!$L:$L,รายชื่อจบส.!$A:$A,$B13)</f>
        <v>5</v>
      </c>
    </row>
    <row r="14" spans="1:8" ht="17.5" thickBot="1" x14ac:dyDescent="0.65">
      <c r="A14" s="4" t="s">
        <v>4298</v>
      </c>
      <c r="B14" s="5" t="s">
        <v>2818</v>
      </c>
      <c r="C14" s="5" t="s">
        <v>4311</v>
      </c>
      <c r="D14" s="10">
        <f>COUNTIF(รายชื่อจบส.!$A:$A,$B14)</f>
        <v>2</v>
      </c>
      <c r="E14" s="10">
        <f>COUNTIFS(รายชื่อจบส.!$A:$A,$B14,รายชื่อจบส.!$I:$I,"ผ่าน")</f>
        <v>2</v>
      </c>
      <c r="F14" s="10">
        <f t="shared" si="0"/>
        <v>0</v>
      </c>
      <c r="G14" s="10">
        <f t="shared" si="1"/>
        <v>3</v>
      </c>
      <c r="H14" s="10">
        <f>_xlfn.MAXIFS(รายชื่อจบส.!$L:$L,รายชื่อจบส.!$A:$A,$B14)</f>
        <v>4</v>
      </c>
    </row>
    <row r="15" spans="1:8" ht="17.5" thickBot="1" x14ac:dyDescent="0.65">
      <c r="A15" s="4" t="s">
        <v>4298</v>
      </c>
      <c r="B15" s="5" t="s">
        <v>2819</v>
      </c>
      <c r="C15" s="5" t="s">
        <v>4312</v>
      </c>
      <c r="D15" s="10">
        <f>COUNTIF(รายชื่อจบส.!$A:$A,$B15)</f>
        <v>2</v>
      </c>
      <c r="E15" s="10">
        <f>COUNTIFS(รายชื่อจบส.!$A:$A,$B15,รายชื่อจบส.!$I:$I,"ผ่าน")</f>
        <v>2</v>
      </c>
      <c r="F15" s="10">
        <f t="shared" si="0"/>
        <v>0</v>
      </c>
      <c r="G15" s="10">
        <f t="shared" si="1"/>
        <v>3</v>
      </c>
      <c r="H15" s="10">
        <f>_xlfn.MAXIFS(รายชื่อจบส.!$L:$L,รายชื่อจบส.!$A:$A,$B15)</f>
        <v>4</v>
      </c>
    </row>
    <row r="16" spans="1:8" ht="17.5" thickBot="1" x14ac:dyDescent="0.65">
      <c r="A16" s="4" t="s">
        <v>4298</v>
      </c>
      <c r="B16" s="5" t="s">
        <v>4313</v>
      </c>
      <c r="C16" s="5" t="s">
        <v>4314</v>
      </c>
      <c r="D16" s="10">
        <f>COUNTIF(รายชื่อจบส.!$A:$A,$B16)</f>
        <v>1</v>
      </c>
      <c r="E16" s="10">
        <f>COUNTIFS(รายชื่อจบส.!$A:$A,$B16,รายชื่อจบส.!$I:$I,"ผ่าน")</f>
        <v>1</v>
      </c>
      <c r="F16" s="10">
        <f t="shared" si="0"/>
        <v>0</v>
      </c>
      <c r="G16" s="10">
        <f t="shared" si="1"/>
        <v>3</v>
      </c>
      <c r="H16" s="10">
        <f>_xlfn.MAXIFS(รายชื่อจบส.!$L:$L,รายชื่อจบส.!$A:$A,$B16)</f>
        <v>5</v>
      </c>
    </row>
    <row r="17" spans="1:8" ht="17.5" thickBot="1" x14ac:dyDescent="0.65">
      <c r="A17" s="4" t="s">
        <v>4298</v>
      </c>
      <c r="B17" s="5" t="s">
        <v>2820</v>
      </c>
      <c r="C17" s="5" t="s">
        <v>4315</v>
      </c>
      <c r="D17" s="10">
        <f>COUNTIF(รายชื่อจบส.!$A:$A,$B17)</f>
        <v>7</v>
      </c>
      <c r="E17" s="10">
        <f>COUNTIFS(รายชื่อจบส.!$A:$A,$B17,รายชื่อจบส.!$I:$I,"ผ่าน")</f>
        <v>7</v>
      </c>
      <c r="F17" s="10">
        <f t="shared" si="0"/>
        <v>0</v>
      </c>
      <c r="G17" s="10">
        <f t="shared" si="1"/>
        <v>3</v>
      </c>
      <c r="H17" s="10">
        <f>_xlfn.MAXIFS(รายชื่อจบส.!$L:$L,รายชื่อจบส.!$A:$A,$B17)</f>
        <v>5</v>
      </c>
    </row>
    <row r="18" spans="1:8" ht="17.5" thickBot="1" x14ac:dyDescent="0.65">
      <c r="A18" s="4" t="s">
        <v>4298</v>
      </c>
      <c r="B18" s="5" t="s">
        <v>2821</v>
      </c>
      <c r="C18" s="5" t="s">
        <v>4316</v>
      </c>
      <c r="D18" s="10">
        <f>COUNTIF(รายชื่อจบส.!$A:$A,$B18)</f>
        <v>3</v>
      </c>
      <c r="E18" s="10">
        <f>COUNTIFS(รายชื่อจบส.!$A:$A,$B18,รายชื่อจบส.!$I:$I,"ผ่าน")</f>
        <v>1</v>
      </c>
      <c r="F18" s="10">
        <f t="shared" si="0"/>
        <v>-2</v>
      </c>
      <c r="G18" s="10">
        <f t="shared" si="1"/>
        <v>0</v>
      </c>
      <c r="H18" s="10">
        <f>_xlfn.MAXIFS(รายชื่อจบส.!$L:$L,รายชื่อจบส.!$A:$A,$B18)</f>
        <v>7</v>
      </c>
    </row>
    <row r="19" spans="1:8" ht="17.5" thickBot="1" x14ac:dyDescent="0.65">
      <c r="A19" s="4" t="s">
        <v>4298</v>
      </c>
      <c r="B19" s="5" t="s">
        <v>2822</v>
      </c>
      <c r="C19" s="5" t="s">
        <v>4317</v>
      </c>
      <c r="D19" s="10">
        <f>COUNTIF(รายชื่อจบส.!$A:$A,$B19)</f>
        <v>3</v>
      </c>
      <c r="E19" s="10">
        <f>COUNTIFS(รายชื่อจบส.!$A:$A,$B19,รายชื่อจบส.!$I:$I,"ผ่าน")</f>
        <v>3</v>
      </c>
      <c r="F19" s="10">
        <f t="shared" si="0"/>
        <v>0</v>
      </c>
      <c r="G19" s="10">
        <f t="shared" si="1"/>
        <v>3</v>
      </c>
      <c r="H19" s="10">
        <f>_xlfn.MAXIFS(รายชื่อจบส.!$L:$L,รายชื่อจบส.!$A:$A,$B19)</f>
        <v>7</v>
      </c>
    </row>
    <row r="20" spans="1:8" ht="17.5" thickBot="1" x14ac:dyDescent="0.65">
      <c r="A20" s="4" t="s">
        <v>4298</v>
      </c>
      <c r="B20" s="5" t="s">
        <v>2823</v>
      </c>
      <c r="C20" s="5" t="s">
        <v>4318</v>
      </c>
      <c r="D20" s="10">
        <f>COUNTIF(รายชื่อจบส.!$A:$A,$B20)</f>
        <v>2</v>
      </c>
      <c r="E20" s="10">
        <f>COUNTIFS(รายชื่อจบส.!$A:$A,$B20,รายชื่อจบส.!$I:$I,"ผ่าน")</f>
        <v>2</v>
      </c>
      <c r="F20" s="10">
        <f t="shared" si="0"/>
        <v>0</v>
      </c>
      <c r="G20" s="10">
        <f t="shared" si="1"/>
        <v>3</v>
      </c>
      <c r="H20" s="10">
        <f>_xlfn.MAXIFS(รายชื่อจบส.!$L:$L,รายชื่อจบส.!$A:$A,$B20)</f>
        <v>7</v>
      </c>
    </row>
    <row r="21" spans="1:8" ht="17.5" thickBot="1" x14ac:dyDescent="0.65">
      <c r="A21" s="4" t="s">
        <v>4298</v>
      </c>
      <c r="B21" s="5" t="s">
        <v>2824</v>
      </c>
      <c r="C21" s="5" t="s">
        <v>4319</v>
      </c>
      <c r="D21" s="10">
        <f>COUNTIF(รายชื่อจบส.!$A:$A,$B21)</f>
        <v>5</v>
      </c>
      <c r="E21" s="10">
        <f>COUNTIFS(รายชื่อจบส.!$A:$A,$B21,รายชื่อจบส.!$I:$I,"ผ่าน")</f>
        <v>4</v>
      </c>
      <c r="F21" s="10">
        <f t="shared" si="0"/>
        <v>-1</v>
      </c>
      <c r="G21" s="10">
        <f t="shared" si="1"/>
        <v>0</v>
      </c>
      <c r="H21" s="10">
        <f>_xlfn.MAXIFS(รายชื่อจบส.!$L:$L,รายชื่อจบส.!$A:$A,$B21)</f>
        <v>6</v>
      </c>
    </row>
    <row r="22" spans="1:8" ht="17.5" thickBot="1" x14ac:dyDescent="0.65">
      <c r="A22" s="4" t="s">
        <v>4298</v>
      </c>
      <c r="B22" s="5" t="s">
        <v>2826</v>
      </c>
      <c r="C22" s="5" t="s">
        <v>4320</v>
      </c>
      <c r="D22" s="10">
        <f>COUNTIF(รายชื่อจบส.!$A:$A,$B22)</f>
        <v>3</v>
      </c>
      <c r="E22" s="10">
        <f>COUNTIFS(รายชื่อจบส.!$A:$A,$B22,รายชื่อจบส.!$I:$I,"ผ่าน")</f>
        <v>1</v>
      </c>
      <c r="F22" s="10">
        <f t="shared" si="0"/>
        <v>-2</v>
      </c>
      <c r="G22" s="10">
        <f t="shared" si="1"/>
        <v>0</v>
      </c>
      <c r="H22" s="10">
        <f>_xlfn.MAXIFS(รายชื่อจบส.!$L:$L,รายชื่อจบส.!$A:$A,$B22)</f>
        <v>8</v>
      </c>
    </row>
    <row r="23" spans="1:8" ht="17.5" thickBot="1" x14ac:dyDescent="0.65">
      <c r="A23" s="4" t="s">
        <v>4298</v>
      </c>
      <c r="B23" s="5" t="s">
        <v>2825</v>
      </c>
      <c r="C23" s="5" t="s">
        <v>4321</v>
      </c>
      <c r="D23" s="10">
        <f>COUNTIF(รายชื่อจบส.!$A:$A,$B23)</f>
        <v>8</v>
      </c>
      <c r="E23" s="10">
        <f>COUNTIFS(รายชื่อจบส.!$A:$A,$B23,รายชื่อจบส.!$I:$I,"ผ่าน")</f>
        <v>4</v>
      </c>
      <c r="F23" s="10">
        <f t="shared" si="0"/>
        <v>-4</v>
      </c>
      <c r="G23" s="10">
        <f t="shared" si="1"/>
        <v>0</v>
      </c>
      <c r="H23" s="10">
        <f>_xlfn.MAXIFS(รายชื่อจบส.!$L:$L,รายชื่อจบส.!$A:$A,$B23)</f>
        <v>9</v>
      </c>
    </row>
    <row r="24" spans="1:8" ht="17.5" thickBot="1" x14ac:dyDescent="0.65">
      <c r="A24" s="4" t="s">
        <v>4298</v>
      </c>
      <c r="B24" s="5" t="s">
        <v>2827</v>
      </c>
      <c r="C24" s="5" t="s">
        <v>4322</v>
      </c>
      <c r="D24" s="10">
        <f>COUNTIF(รายชื่อจบส.!$A:$A,$B24)</f>
        <v>2</v>
      </c>
      <c r="E24" s="10">
        <f>COUNTIFS(รายชื่อจบส.!$A:$A,$B24,รายชื่อจบส.!$I:$I,"ผ่าน")</f>
        <v>2</v>
      </c>
      <c r="F24" s="10">
        <f t="shared" si="0"/>
        <v>0</v>
      </c>
      <c r="G24" s="10">
        <f t="shared" si="1"/>
        <v>3</v>
      </c>
      <c r="H24" s="10">
        <f>_xlfn.MAXIFS(รายชื่อจบส.!$L:$L,รายชื่อจบส.!$A:$A,$B24)</f>
        <v>6</v>
      </c>
    </row>
    <row r="25" spans="1:8" ht="17.5" thickBot="1" x14ac:dyDescent="0.65">
      <c r="A25" s="4" t="s">
        <v>4298</v>
      </c>
      <c r="B25" s="5" t="s">
        <v>2828</v>
      </c>
      <c r="C25" s="5" t="s">
        <v>4323</v>
      </c>
      <c r="D25" s="10">
        <f>COUNTIF(รายชื่อจบส.!$A:$A,$B25)</f>
        <v>4</v>
      </c>
      <c r="E25" s="10">
        <f>COUNTIFS(รายชื่อจบส.!$A:$A,$B25,รายชื่อจบส.!$I:$I,"ผ่าน")</f>
        <v>3</v>
      </c>
      <c r="F25" s="10">
        <f t="shared" si="0"/>
        <v>-1</v>
      </c>
      <c r="G25" s="10">
        <f t="shared" si="1"/>
        <v>0</v>
      </c>
      <c r="H25" s="10">
        <f>_xlfn.MAXIFS(รายชื่อจบส.!$L:$L,รายชื่อจบส.!$A:$A,$B25)</f>
        <v>9</v>
      </c>
    </row>
    <row r="26" spans="1:8" ht="17.5" thickBot="1" x14ac:dyDescent="0.65">
      <c r="A26" s="4" t="s">
        <v>4298</v>
      </c>
      <c r="B26" s="5" t="s">
        <v>2829</v>
      </c>
      <c r="C26" s="5" t="s">
        <v>4324</v>
      </c>
      <c r="D26" s="10">
        <f>COUNTIF(รายชื่อจบส.!$A:$A,$B26)</f>
        <v>3</v>
      </c>
      <c r="E26" s="10">
        <f>COUNTIFS(รายชื่อจบส.!$A:$A,$B26,รายชื่อจบส.!$I:$I,"ผ่าน")</f>
        <v>3</v>
      </c>
      <c r="F26" s="10">
        <f t="shared" si="0"/>
        <v>0</v>
      </c>
      <c r="G26" s="10">
        <f t="shared" si="1"/>
        <v>3</v>
      </c>
      <c r="H26" s="10">
        <f>_xlfn.MAXIFS(รายชื่อจบส.!$L:$L,รายชื่อจบส.!$A:$A,$B26)</f>
        <v>6</v>
      </c>
    </row>
    <row r="27" spans="1:8" ht="17.5" thickBot="1" x14ac:dyDescent="0.65">
      <c r="A27" s="4" t="s">
        <v>4298</v>
      </c>
      <c r="B27" s="5" t="s">
        <v>2830</v>
      </c>
      <c r="C27" s="5" t="s">
        <v>4325</v>
      </c>
      <c r="D27" s="10">
        <f>COUNTIF(รายชื่อจบส.!$A:$A,$B27)</f>
        <v>4</v>
      </c>
      <c r="E27" s="10">
        <f>COUNTIFS(รายชื่อจบส.!$A:$A,$B27,รายชื่อจบส.!$I:$I,"ผ่าน")</f>
        <v>2</v>
      </c>
      <c r="F27" s="10">
        <f t="shared" si="0"/>
        <v>-2</v>
      </c>
      <c r="G27" s="10">
        <f t="shared" si="1"/>
        <v>0</v>
      </c>
      <c r="H27" s="10">
        <f>_xlfn.MAXIFS(รายชื่อจบส.!$L:$L,รายชื่อจบส.!$A:$A,$B27)</f>
        <v>9</v>
      </c>
    </row>
    <row r="28" spans="1:8" ht="17.5" thickBot="1" x14ac:dyDescent="0.65">
      <c r="A28" s="4" t="s">
        <v>4298</v>
      </c>
      <c r="B28" s="5" t="s">
        <v>2831</v>
      </c>
      <c r="C28" s="5" t="s">
        <v>2699</v>
      </c>
      <c r="D28" s="10">
        <f>COUNTIF(รายชื่อจบส.!$A:$A,$B28)</f>
        <v>19</v>
      </c>
      <c r="E28" s="10">
        <f>COUNTIFS(รายชื่อจบส.!$A:$A,$B28,รายชื่อจบส.!$I:$I,"ผ่าน")</f>
        <v>13</v>
      </c>
      <c r="F28" s="10">
        <f t="shared" si="0"/>
        <v>-6</v>
      </c>
      <c r="G28" s="10">
        <f t="shared" si="1"/>
        <v>0</v>
      </c>
      <c r="H28" s="10">
        <f>_xlfn.MAXIFS(รายชื่อจบส.!$L:$L,รายชื่อจบส.!$A:$A,$B28)</f>
        <v>5</v>
      </c>
    </row>
    <row r="29" spans="1:8" ht="17.5" thickBot="1" x14ac:dyDescent="0.65">
      <c r="A29" s="4" t="s">
        <v>4298</v>
      </c>
      <c r="B29" s="5" t="s">
        <v>2833</v>
      </c>
      <c r="C29" s="5" t="s">
        <v>4326</v>
      </c>
      <c r="D29" s="10">
        <f>COUNTIF(รายชื่อจบส.!$A:$A,$B29)</f>
        <v>12</v>
      </c>
      <c r="E29" s="10">
        <f>COUNTIFS(รายชื่อจบส.!$A:$A,$B29,รายชื่อจบส.!$I:$I,"ผ่าน")</f>
        <v>10</v>
      </c>
      <c r="F29" s="10">
        <f t="shared" si="0"/>
        <v>-2</v>
      </c>
      <c r="G29" s="10">
        <f t="shared" si="1"/>
        <v>0</v>
      </c>
      <c r="H29" s="10">
        <f>_xlfn.MAXIFS(รายชื่อจบส.!$L:$L,รายชื่อจบส.!$A:$A,$B29)</f>
        <v>5</v>
      </c>
    </row>
    <row r="30" spans="1:8" ht="17.5" thickBot="1" x14ac:dyDescent="0.65">
      <c r="A30" s="4" t="s">
        <v>4298</v>
      </c>
      <c r="B30" s="5" t="s">
        <v>2832</v>
      </c>
      <c r="C30" s="5" t="s">
        <v>4327</v>
      </c>
      <c r="D30" s="10">
        <f>COUNTIF(รายชื่อจบส.!$A:$A,$B30)</f>
        <v>1</v>
      </c>
      <c r="E30" s="10">
        <f>COUNTIFS(รายชื่อจบส.!$A:$A,$B30,รายชื่อจบส.!$I:$I,"ผ่าน")</f>
        <v>0</v>
      </c>
      <c r="F30" s="10">
        <f t="shared" si="0"/>
        <v>-1</v>
      </c>
      <c r="G30" s="10">
        <f t="shared" si="1"/>
        <v>0</v>
      </c>
      <c r="H30" s="10">
        <f>_xlfn.MAXIFS(รายชื่อจบส.!$L:$L,รายชื่อจบส.!$A:$A,$B30)</f>
        <v>0</v>
      </c>
    </row>
    <row r="31" spans="1:8" ht="17.5" thickBot="1" x14ac:dyDescent="0.65">
      <c r="A31" s="4" t="s">
        <v>4298</v>
      </c>
      <c r="B31" s="5" t="s">
        <v>2834</v>
      </c>
      <c r="C31" s="5" t="s">
        <v>4328</v>
      </c>
      <c r="D31" s="10">
        <f>COUNTIF(รายชื่อจบส.!$A:$A,$B31)</f>
        <v>4</v>
      </c>
      <c r="E31" s="10">
        <f>COUNTIFS(รายชื่อจบส.!$A:$A,$B31,รายชื่อจบส.!$I:$I,"ผ่าน")</f>
        <v>3</v>
      </c>
      <c r="F31" s="10">
        <f t="shared" si="0"/>
        <v>-1</v>
      </c>
      <c r="G31" s="10">
        <f t="shared" si="1"/>
        <v>0</v>
      </c>
      <c r="H31" s="10">
        <f>_xlfn.MAXIFS(รายชื่อจบส.!$L:$L,รายชื่อจบส.!$A:$A,$B31)</f>
        <v>4</v>
      </c>
    </row>
    <row r="32" spans="1:8" ht="17.5" thickBot="1" x14ac:dyDescent="0.65">
      <c r="A32" s="4" t="s">
        <v>4298</v>
      </c>
      <c r="B32" s="5" t="s">
        <v>2835</v>
      </c>
      <c r="C32" s="5" t="s">
        <v>4329</v>
      </c>
      <c r="D32" s="10">
        <f>COUNTIF(รายชื่อจบส.!$A:$A,$B32)</f>
        <v>4</v>
      </c>
      <c r="E32" s="10">
        <f>COUNTIFS(รายชื่อจบส.!$A:$A,$B32,รายชื่อจบส.!$I:$I,"ผ่าน")</f>
        <v>3</v>
      </c>
      <c r="F32" s="10">
        <f t="shared" si="0"/>
        <v>-1</v>
      </c>
      <c r="G32" s="10">
        <f t="shared" si="1"/>
        <v>0</v>
      </c>
      <c r="H32" s="10">
        <f>_xlfn.MAXIFS(รายชื่อจบส.!$L:$L,รายชื่อจบส.!$A:$A,$B32)</f>
        <v>4</v>
      </c>
    </row>
    <row r="33" spans="1:8" ht="17.5" thickBot="1" x14ac:dyDescent="0.65">
      <c r="A33" s="4" t="s">
        <v>4298</v>
      </c>
      <c r="B33" s="5" t="s">
        <v>2836</v>
      </c>
      <c r="C33" s="5" t="s">
        <v>4330</v>
      </c>
      <c r="D33" s="10">
        <f>COUNTIF(รายชื่อจบส.!$A:$A,$B33)</f>
        <v>3</v>
      </c>
      <c r="E33" s="10">
        <f>COUNTIFS(รายชื่อจบส.!$A:$A,$B33,รายชื่อจบส.!$I:$I,"ผ่าน")</f>
        <v>3</v>
      </c>
      <c r="F33" s="10">
        <f t="shared" si="0"/>
        <v>0</v>
      </c>
      <c r="G33" s="10">
        <f t="shared" si="1"/>
        <v>3</v>
      </c>
      <c r="H33" s="10">
        <f>_xlfn.MAXIFS(รายชื่อจบส.!$L:$L,รายชื่อจบส.!$A:$A,$B33)</f>
        <v>6</v>
      </c>
    </row>
    <row r="34" spans="1:8" ht="17.5" thickBot="1" x14ac:dyDescent="0.65">
      <c r="A34" s="4" t="s">
        <v>4298</v>
      </c>
      <c r="B34" s="5" t="s">
        <v>2837</v>
      </c>
      <c r="C34" s="5" t="s">
        <v>4331</v>
      </c>
      <c r="D34" s="10">
        <f>COUNTIF(รายชื่อจบส.!$A:$A,$B34)</f>
        <v>2</v>
      </c>
      <c r="E34" s="10">
        <f>COUNTIFS(รายชื่อจบส.!$A:$A,$B34,รายชื่อจบส.!$I:$I,"ผ่าน")</f>
        <v>2</v>
      </c>
      <c r="F34" s="10">
        <f t="shared" si="0"/>
        <v>0</v>
      </c>
      <c r="G34" s="10">
        <f t="shared" si="1"/>
        <v>3</v>
      </c>
      <c r="H34" s="10">
        <f>_xlfn.MAXIFS(รายชื่อจบส.!$L:$L,รายชื่อจบส.!$A:$A,$B34)</f>
        <v>5</v>
      </c>
    </row>
    <row r="35" spans="1:8" ht="17.5" thickBot="1" x14ac:dyDescent="0.65">
      <c r="A35" s="4" t="s">
        <v>4298</v>
      </c>
      <c r="B35" s="5" t="s">
        <v>2838</v>
      </c>
      <c r="C35" s="5" t="s">
        <v>4332</v>
      </c>
      <c r="D35" s="10">
        <f>COUNTIF(รายชื่อจบส.!$A:$A,$B35)</f>
        <v>2</v>
      </c>
      <c r="E35" s="10">
        <f>COUNTIFS(รายชื่อจบส.!$A:$A,$B35,รายชื่อจบส.!$I:$I,"ผ่าน")</f>
        <v>2</v>
      </c>
      <c r="F35" s="10">
        <f t="shared" si="0"/>
        <v>0</v>
      </c>
      <c r="G35" s="10">
        <f t="shared" si="1"/>
        <v>3</v>
      </c>
      <c r="H35" s="10">
        <f>_xlfn.MAXIFS(รายชื่อจบส.!$L:$L,รายชื่อจบส.!$A:$A,$B35)</f>
        <v>6</v>
      </c>
    </row>
    <row r="36" spans="1:8" ht="17.5" thickBot="1" x14ac:dyDescent="0.65">
      <c r="A36" s="4" t="s">
        <v>4298</v>
      </c>
      <c r="B36" s="5" t="s">
        <v>2839</v>
      </c>
      <c r="C36" s="5" t="s">
        <v>4333</v>
      </c>
      <c r="D36" s="10">
        <f>COUNTIF(รายชื่อจบส.!$A:$A,$B36)</f>
        <v>1</v>
      </c>
      <c r="E36" s="10">
        <f>COUNTIFS(รายชื่อจบส.!$A:$A,$B36,รายชื่อจบส.!$I:$I,"ผ่าน")</f>
        <v>1</v>
      </c>
      <c r="F36" s="10">
        <f t="shared" si="0"/>
        <v>0</v>
      </c>
      <c r="G36" s="10">
        <f t="shared" si="1"/>
        <v>3</v>
      </c>
      <c r="H36" s="10">
        <f>_xlfn.MAXIFS(รายชื่อจบส.!$L:$L,รายชื่อจบส.!$A:$A,$B36)</f>
        <v>2</v>
      </c>
    </row>
    <row r="37" spans="1:8" ht="17.5" thickBot="1" x14ac:dyDescent="0.65">
      <c r="A37" s="4" t="s">
        <v>4298</v>
      </c>
      <c r="B37" s="5" t="s">
        <v>2840</v>
      </c>
      <c r="C37" s="5" t="s">
        <v>4334</v>
      </c>
      <c r="D37" s="10">
        <f>COUNTIF(รายชื่อจบส.!$A:$A,$B37)</f>
        <v>9</v>
      </c>
      <c r="E37" s="10">
        <f>COUNTIFS(รายชื่อจบส.!$A:$A,$B37,รายชื่อจบส.!$I:$I,"ผ่าน")</f>
        <v>0</v>
      </c>
      <c r="F37" s="10">
        <f t="shared" si="0"/>
        <v>-9</v>
      </c>
      <c r="G37" s="10">
        <f t="shared" si="1"/>
        <v>0</v>
      </c>
      <c r="H37" s="10">
        <f>_xlfn.MAXIFS(รายชื่อจบส.!$L:$L,รายชื่อจบส.!$A:$A,$B37)</f>
        <v>0</v>
      </c>
    </row>
    <row r="38" spans="1:8" ht="17.5" thickBot="1" x14ac:dyDescent="0.65">
      <c r="A38" s="4" t="s">
        <v>4298</v>
      </c>
      <c r="B38" s="5" t="s">
        <v>2841</v>
      </c>
      <c r="C38" s="5" t="s">
        <v>4335</v>
      </c>
      <c r="D38" s="10">
        <f>COUNTIF(รายชื่อจบส.!$A:$A,$B38)</f>
        <v>14</v>
      </c>
      <c r="E38" s="10">
        <f>COUNTIFS(รายชื่อจบส.!$A:$A,$B38,รายชื่อจบส.!$I:$I,"ผ่าน")</f>
        <v>14</v>
      </c>
      <c r="F38" s="10">
        <f t="shared" si="0"/>
        <v>0</v>
      </c>
      <c r="G38" s="10">
        <f t="shared" si="1"/>
        <v>2</v>
      </c>
      <c r="H38" s="10">
        <f>_xlfn.MAXIFS(รายชื่อจบส.!$L:$L,รายชื่อจบส.!$A:$A,$B38)</f>
        <v>9</v>
      </c>
    </row>
    <row r="39" spans="1:8" ht="17.5" thickBot="1" x14ac:dyDescent="0.65">
      <c r="A39" s="4" t="s">
        <v>4298</v>
      </c>
      <c r="B39" s="5" t="s">
        <v>4336</v>
      </c>
      <c r="C39" s="5" t="s">
        <v>4337</v>
      </c>
      <c r="D39" s="10">
        <f>COUNTIF(รายชื่อจบส.!$A:$A,$B39)</f>
        <v>1</v>
      </c>
      <c r="E39" s="10">
        <f>COUNTIFS(รายชื่อจบส.!$A:$A,$B39,รายชื่อจบส.!$I:$I,"ผ่าน")</f>
        <v>1</v>
      </c>
      <c r="F39" s="10">
        <f t="shared" si="0"/>
        <v>0</v>
      </c>
      <c r="G39" s="10">
        <f t="shared" si="1"/>
        <v>3</v>
      </c>
      <c r="H39" s="10">
        <f>_xlfn.MAXIFS(รายชื่อจบส.!$L:$L,รายชื่อจบส.!$A:$A,$B39)</f>
        <v>2</v>
      </c>
    </row>
    <row r="40" spans="1:8" ht="17.5" thickBot="1" x14ac:dyDescent="0.65">
      <c r="A40" s="4" t="s">
        <v>4298</v>
      </c>
      <c r="B40" s="5" t="s">
        <v>2842</v>
      </c>
      <c r="C40" s="5" t="s">
        <v>4338</v>
      </c>
      <c r="D40" s="10">
        <f>COUNTIF(รายชื่อจบส.!$A:$A,$B40)</f>
        <v>1</v>
      </c>
      <c r="E40" s="10">
        <f>COUNTIFS(รายชื่อจบส.!$A:$A,$B40,รายชื่อจบส.!$I:$I,"ผ่าน")</f>
        <v>1</v>
      </c>
      <c r="F40" s="10">
        <f t="shared" si="0"/>
        <v>0</v>
      </c>
      <c r="G40" s="10">
        <f t="shared" si="1"/>
        <v>3</v>
      </c>
      <c r="H40" s="10">
        <f>_xlfn.MAXIFS(รายชื่อจบส.!$L:$L,รายชื่อจบส.!$A:$A,$B40)</f>
        <v>2</v>
      </c>
    </row>
    <row r="41" spans="1:8" ht="17.5" thickBot="1" x14ac:dyDescent="0.65">
      <c r="A41" s="4" t="s">
        <v>4298</v>
      </c>
      <c r="B41" s="5" t="s">
        <v>2843</v>
      </c>
      <c r="C41" s="5" t="s">
        <v>4339</v>
      </c>
      <c r="D41" s="10">
        <f>COUNTIF(รายชื่อจบส.!$A:$A,$B41)</f>
        <v>0</v>
      </c>
      <c r="E41" s="10">
        <f>COUNTIFS(รายชื่อจบส.!$A:$A,$B41,รายชื่อจบส.!$I:$I,"ผ่าน")</f>
        <v>0</v>
      </c>
      <c r="F41" s="10">
        <f t="shared" si="0"/>
        <v>0</v>
      </c>
      <c r="G41" s="10">
        <f t="shared" si="1"/>
        <v>0</v>
      </c>
      <c r="H41" s="10">
        <f>_xlfn.MAXIFS(รายชื่อจบส.!$L:$L,รายชื่อจบส.!$A:$A,$B41)</f>
        <v>0</v>
      </c>
    </row>
    <row r="42" spans="1:8" ht="17.5" thickBot="1" x14ac:dyDescent="0.65">
      <c r="A42" s="4" t="s">
        <v>4298</v>
      </c>
      <c r="B42" s="5" t="s">
        <v>4340</v>
      </c>
      <c r="C42" s="5" t="s">
        <v>4341</v>
      </c>
      <c r="D42" s="10">
        <f>COUNTIF(รายชื่อจบส.!$A:$A,$B42)</f>
        <v>7</v>
      </c>
      <c r="E42" s="10">
        <f>COUNTIFS(รายชื่อจบส.!$A:$A,$B42,รายชื่อจบส.!$I:$I,"ผ่าน")</f>
        <v>7</v>
      </c>
      <c r="F42" s="10">
        <f t="shared" si="0"/>
        <v>0</v>
      </c>
      <c r="G42" s="10">
        <f t="shared" si="1"/>
        <v>3</v>
      </c>
      <c r="H42" s="10">
        <f>_xlfn.MAXIFS(รายชื่อจบส.!$L:$L,รายชื่อจบส.!$A:$A,$B42)</f>
        <v>5</v>
      </c>
    </row>
    <row r="43" spans="1:8" ht="17.5" thickBot="1" x14ac:dyDescent="0.65">
      <c r="A43" s="4" t="s">
        <v>4298</v>
      </c>
      <c r="B43" s="5" t="s">
        <v>2844</v>
      </c>
      <c r="C43" s="5" t="s">
        <v>4342</v>
      </c>
      <c r="D43" s="10">
        <f>COUNTIF(รายชื่อจบส.!$A:$A,$B43)</f>
        <v>5</v>
      </c>
      <c r="E43" s="10">
        <f>COUNTIFS(รายชื่อจบส.!$A:$A,$B43,รายชื่อจบส.!$I:$I,"ผ่าน")</f>
        <v>4</v>
      </c>
      <c r="F43" s="10">
        <f t="shared" si="0"/>
        <v>-1</v>
      </c>
      <c r="G43" s="10">
        <f t="shared" si="1"/>
        <v>0</v>
      </c>
      <c r="H43" s="10">
        <f>_xlfn.MAXIFS(รายชื่อจบส.!$L:$L,รายชื่อจบส.!$A:$A,$B43)</f>
        <v>3</v>
      </c>
    </row>
    <row r="44" spans="1:8" ht="17.5" thickBot="1" x14ac:dyDescent="0.65">
      <c r="A44" s="4" t="s">
        <v>4298</v>
      </c>
      <c r="B44" s="5" t="s">
        <v>2845</v>
      </c>
      <c r="C44" s="5" t="s">
        <v>4343</v>
      </c>
      <c r="D44" s="10">
        <f>COUNTIF(รายชื่อจบส.!$A:$A,$B44)</f>
        <v>6</v>
      </c>
      <c r="E44" s="10">
        <f>COUNTIFS(รายชื่อจบส.!$A:$A,$B44,รายชื่อจบส.!$I:$I,"ผ่าน")</f>
        <v>1</v>
      </c>
      <c r="F44" s="10">
        <f t="shared" si="0"/>
        <v>-5</v>
      </c>
      <c r="G44" s="10">
        <f t="shared" si="1"/>
        <v>0</v>
      </c>
      <c r="H44" s="10">
        <f>_xlfn.MAXIFS(รายชื่อจบส.!$L:$L,รายชื่อจบส.!$A:$A,$B44)</f>
        <v>8</v>
      </c>
    </row>
    <row r="45" spans="1:8" ht="17.5" thickBot="1" x14ac:dyDescent="0.65">
      <c r="A45" s="4" t="s">
        <v>4298</v>
      </c>
      <c r="B45" s="5" t="s">
        <v>2846</v>
      </c>
      <c r="C45" s="5" t="s">
        <v>4344</v>
      </c>
      <c r="D45" s="10">
        <f>COUNTIF(รายชื่อจบส.!$A:$A,$B45)</f>
        <v>2</v>
      </c>
      <c r="E45" s="10">
        <f>COUNTIFS(รายชื่อจบส.!$A:$A,$B45,รายชื่อจบส.!$I:$I,"ผ่าน")</f>
        <v>2</v>
      </c>
      <c r="F45" s="10">
        <f t="shared" si="0"/>
        <v>0</v>
      </c>
      <c r="G45" s="10">
        <f t="shared" si="1"/>
        <v>3</v>
      </c>
      <c r="H45" s="10">
        <f>_xlfn.MAXIFS(รายชื่อจบส.!$L:$L,รายชื่อจบส.!$A:$A,$B45)</f>
        <v>2</v>
      </c>
    </row>
    <row r="46" spans="1:8" ht="17.5" thickBot="1" x14ac:dyDescent="0.65">
      <c r="A46" s="4" t="s">
        <v>4298</v>
      </c>
      <c r="B46" s="5" t="s">
        <v>2847</v>
      </c>
      <c r="C46" s="5" t="s">
        <v>4345</v>
      </c>
      <c r="D46" s="10">
        <f>COUNTIF(รายชื่อจบส.!$A:$A,$B46)</f>
        <v>2</v>
      </c>
      <c r="E46" s="10">
        <f>COUNTIFS(รายชื่อจบส.!$A:$A,$B46,รายชื่อจบส.!$I:$I,"ผ่าน")</f>
        <v>2</v>
      </c>
      <c r="F46" s="10">
        <f t="shared" si="0"/>
        <v>0</v>
      </c>
      <c r="G46" s="10">
        <f t="shared" si="1"/>
        <v>3</v>
      </c>
      <c r="H46" s="10">
        <f>_xlfn.MAXIFS(รายชื่อจบส.!$L:$L,รายชื่อจบส.!$A:$A,$B46)</f>
        <v>2</v>
      </c>
    </row>
    <row r="47" spans="1:8" ht="17.5" thickBot="1" x14ac:dyDescent="0.65">
      <c r="A47" s="4" t="s">
        <v>4298</v>
      </c>
      <c r="B47" s="5" t="s">
        <v>2848</v>
      </c>
      <c r="C47" s="5" t="s">
        <v>4346</v>
      </c>
      <c r="D47" s="10">
        <f>COUNTIF(รายชื่อจบส.!$A:$A,$B47)</f>
        <v>6</v>
      </c>
      <c r="E47" s="10">
        <f>COUNTIFS(รายชื่อจบส.!$A:$A,$B47,รายชื่อจบส.!$I:$I,"ผ่าน")</f>
        <v>4</v>
      </c>
      <c r="F47" s="10">
        <f t="shared" si="0"/>
        <v>-2</v>
      </c>
      <c r="G47" s="10">
        <f t="shared" si="1"/>
        <v>0</v>
      </c>
      <c r="H47" s="10">
        <f>_xlfn.MAXIFS(รายชื่อจบส.!$L:$L,รายชื่อจบส.!$A:$A,$B47)</f>
        <v>4</v>
      </c>
    </row>
    <row r="48" spans="1:8" ht="17.5" thickBot="1" x14ac:dyDescent="0.65">
      <c r="A48" s="4" t="s">
        <v>4298</v>
      </c>
      <c r="B48" s="5" t="s">
        <v>2849</v>
      </c>
      <c r="C48" s="5" t="s">
        <v>4347</v>
      </c>
      <c r="D48" s="10">
        <f>COUNTIF(รายชื่อจบส.!$A:$A,$B48)</f>
        <v>5</v>
      </c>
      <c r="E48" s="10">
        <f>COUNTIFS(รายชื่อจบส.!$A:$A,$B48,รายชื่อจบส.!$I:$I,"ผ่าน")</f>
        <v>1</v>
      </c>
      <c r="F48" s="10">
        <f t="shared" si="0"/>
        <v>-4</v>
      </c>
      <c r="G48" s="10">
        <f t="shared" si="1"/>
        <v>0</v>
      </c>
      <c r="H48" s="10">
        <f>_xlfn.MAXIFS(รายชื่อจบส.!$L:$L,รายชื่อจบส.!$A:$A,$B48)</f>
        <v>10</v>
      </c>
    </row>
    <row r="49" spans="1:8" ht="17.5" thickBot="1" x14ac:dyDescent="0.65">
      <c r="A49" s="4" t="s">
        <v>4298</v>
      </c>
      <c r="B49" s="5" t="s">
        <v>2850</v>
      </c>
      <c r="C49" s="5" t="s">
        <v>4348</v>
      </c>
      <c r="D49" s="10">
        <f>COUNTIF(รายชื่อจบส.!$A:$A,$B49)</f>
        <v>1</v>
      </c>
      <c r="E49" s="10">
        <f>COUNTIFS(รายชื่อจบส.!$A:$A,$B49,รายชื่อจบส.!$I:$I,"ผ่าน")</f>
        <v>1</v>
      </c>
      <c r="F49" s="10">
        <f t="shared" si="0"/>
        <v>0</v>
      </c>
      <c r="G49" s="10">
        <f t="shared" si="1"/>
        <v>3</v>
      </c>
      <c r="H49" s="10">
        <f>_xlfn.MAXIFS(รายชื่อจบส.!$L:$L,รายชื่อจบส.!$A:$A,$B49)</f>
        <v>6</v>
      </c>
    </row>
    <row r="50" spans="1:8" ht="17.5" thickBot="1" x14ac:dyDescent="0.65">
      <c r="A50" s="4" t="s">
        <v>4298</v>
      </c>
      <c r="B50" s="5" t="s">
        <v>2851</v>
      </c>
      <c r="C50" s="5" t="s">
        <v>4349</v>
      </c>
      <c r="D50" s="10">
        <f>COUNTIF(รายชื่อจบส.!$A:$A,$B50)</f>
        <v>3</v>
      </c>
      <c r="E50" s="10">
        <f>COUNTIFS(รายชื่อจบส.!$A:$A,$B50,รายชื่อจบส.!$I:$I,"ผ่าน")</f>
        <v>3</v>
      </c>
      <c r="F50" s="10">
        <f t="shared" si="0"/>
        <v>0</v>
      </c>
      <c r="G50" s="10">
        <f t="shared" si="1"/>
        <v>3</v>
      </c>
      <c r="H50" s="10">
        <f>_xlfn.MAXIFS(รายชื่อจบส.!$L:$L,รายชื่อจบส.!$A:$A,$B50)</f>
        <v>6</v>
      </c>
    </row>
    <row r="51" spans="1:8" ht="17.5" thickBot="1" x14ac:dyDescent="0.65">
      <c r="A51" s="4" t="s">
        <v>4298</v>
      </c>
      <c r="B51" s="5" t="s">
        <v>2852</v>
      </c>
      <c r="C51" s="5" t="s">
        <v>4350</v>
      </c>
      <c r="D51" s="10">
        <f>COUNTIF(รายชื่อจบส.!$A:$A,$B51)</f>
        <v>2</v>
      </c>
      <c r="E51" s="10">
        <f>COUNTIFS(รายชื่อจบส.!$A:$A,$B51,รายชื่อจบส.!$I:$I,"ผ่าน")</f>
        <v>2</v>
      </c>
      <c r="F51" s="10">
        <f t="shared" si="0"/>
        <v>0</v>
      </c>
      <c r="G51" s="10">
        <f t="shared" si="1"/>
        <v>2</v>
      </c>
      <c r="H51" s="10">
        <f>_xlfn.MAXIFS(รายชื่อจบส.!$L:$L,รายชื่อจบส.!$A:$A,$B51)</f>
        <v>9</v>
      </c>
    </row>
    <row r="52" spans="1:8" ht="17.5" thickBot="1" x14ac:dyDescent="0.65">
      <c r="A52" s="4" t="s">
        <v>4298</v>
      </c>
      <c r="B52" s="5" t="s">
        <v>2853</v>
      </c>
      <c r="C52" s="5" t="s">
        <v>4351</v>
      </c>
      <c r="D52" s="10">
        <f>COUNTIF(รายชื่อจบส.!$A:$A,$B52)</f>
        <v>10</v>
      </c>
      <c r="E52" s="10">
        <f>COUNTIFS(รายชื่อจบส.!$A:$A,$B52,รายชื่อจบส.!$I:$I,"ผ่าน")</f>
        <v>7</v>
      </c>
      <c r="F52" s="10">
        <f t="shared" si="0"/>
        <v>-3</v>
      </c>
      <c r="G52" s="10">
        <f t="shared" si="1"/>
        <v>0</v>
      </c>
      <c r="H52" s="10">
        <f>_xlfn.MAXIFS(รายชื่อจบส.!$L:$L,รายชื่อจบส.!$A:$A,$B52)</f>
        <v>7</v>
      </c>
    </row>
    <row r="53" spans="1:8" ht="17.5" thickBot="1" x14ac:dyDescent="0.65">
      <c r="A53" s="4" t="s">
        <v>4298</v>
      </c>
      <c r="B53" s="5" t="s">
        <v>2854</v>
      </c>
      <c r="C53" s="5" t="s">
        <v>4352</v>
      </c>
      <c r="D53" s="10">
        <f>COUNTIF(รายชื่อจบส.!$A:$A,$B53)</f>
        <v>8</v>
      </c>
      <c r="E53" s="10">
        <f>COUNTIFS(รายชื่อจบส.!$A:$A,$B53,รายชื่อจบส.!$I:$I,"ผ่าน")</f>
        <v>7</v>
      </c>
      <c r="F53" s="10">
        <f t="shared" si="0"/>
        <v>-1</v>
      </c>
      <c r="G53" s="10">
        <f t="shared" si="1"/>
        <v>0</v>
      </c>
      <c r="H53" s="10">
        <f>_xlfn.MAXIFS(รายชื่อจบส.!$L:$L,รายชื่อจบส.!$A:$A,$B53)</f>
        <v>6</v>
      </c>
    </row>
    <row r="54" spans="1:8" ht="17.5" thickBot="1" x14ac:dyDescent="0.65">
      <c r="A54" s="4" t="s">
        <v>4298</v>
      </c>
      <c r="B54" s="5" t="s">
        <v>2855</v>
      </c>
      <c r="C54" s="5" t="s">
        <v>4353</v>
      </c>
      <c r="D54" s="10">
        <f>COUNTIF(รายชื่อจบส.!$A:$A,$B54)</f>
        <v>2</v>
      </c>
      <c r="E54" s="10">
        <f>COUNTIFS(รายชื่อจบส.!$A:$A,$B54,รายชื่อจบส.!$I:$I,"ผ่าน")</f>
        <v>0</v>
      </c>
      <c r="F54" s="10">
        <f t="shared" si="0"/>
        <v>-2</v>
      </c>
      <c r="G54" s="10">
        <f t="shared" si="1"/>
        <v>0</v>
      </c>
      <c r="H54" s="10">
        <f>_xlfn.MAXIFS(รายชื่อจบส.!$L:$L,รายชื่อจบส.!$A:$A,$B54)</f>
        <v>0</v>
      </c>
    </row>
    <row r="55" spans="1:8" ht="17.5" thickBot="1" x14ac:dyDescent="0.65">
      <c r="A55" s="4" t="s">
        <v>4298</v>
      </c>
      <c r="B55" s="5" t="s">
        <v>2856</v>
      </c>
      <c r="C55" s="5" t="s">
        <v>4354</v>
      </c>
      <c r="D55" s="10">
        <f>COUNTIF(รายชื่อจบส.!$A:$A,$B55)</f>
        <v>8</v>
      </c>
      <c r="E55" s="10">
        <f>COUNTIFS(รายชื่อจบส.!$A:$A,$B55,รายชื่อจบส.!$I:$I,"ผ่าน")</f>
        <v>8</v>
      </c>
      <c r="F55" s="10">
        <f t="shared" si="0"/>
        <v>0</v>
      </c>
      <c r="G55" s="10">
        <f t="shared" si="1"/>
        <v>3</v>
      </c>
      <c r="H55" s="10">
        <f>_xlfn.MAXIFS(รายชื่อจบส.!$L:$L,รายชื่อจบส.!$A:$A,$B55)</f>
        <v>6</v>
      </c>
    </row>
    <row r="56" spans="1:8" ht="17.5" thickBot="1" x14ac:dyDescent="0.65">
      <c r="A56" s="4" t="s">
        <v>4298</v>
      </c>
      <c r="B56" s="5" t="s">
        <v>4355</v>
      </c>
      <c r="C56" s="5" t="s">
        <v>4356</v>
      </c>
      <c r="D56" s="10">
        <f>COUNTIF(รายชื่อจบส.!$A:$A,$B56)</f>
        <v>0</v>
      </c>
      <c r="E56" s="10">
        <f>COUNTIFS(รายชื่อจบส.!$A:$A,$B56,รายชื่อจบส.!$I:$I,"ผ่าน")</f>
        <v>0</v>
      </c>
      <c r="F56" s="10">
        <f t="shared" si="0"/>
        <v>0</v>
      </c>
      <c r="G56" s="10">
        <f t="shared" si="1"/>
        <v>0</v>
      </c>
      <c r="H56" s="10">
        <f>_xlfn.MAXIFS(รายชื่อจบส.!$L:$L,รายชื่อจบส.!$A:$A,$B56)</f>
        <v>0</v>
      </c>
    </row>
    <row r="57" spans="1:8" ht="17.5" thickBot="1" x14ac:dyDescent="0.65">
      <c r="A57" s="4" t="s">
        <v>4298</v>
      </c>
      <c r="B57" s="5" t="s">
        <v>2857</v>
      </c>
      <c r="C57" s="5" t="s">
        <v>4357</v>
      </c>
      <c r="D57" s="10">
        <f>COUNTIF(รายชื่อจบส.!$A:$A,$B57)</f>
        <v>12</v>
      </c>
      <c r="E57" s="10">
        <f>COUNTIFS(รายชื่อจบส.!$A:$A,$B57,รายชื่อจบส.!$I:$I,"ผ่าน")</f>
        <v>12</v>
      </c>
      <c r="F57" s="10">
        <f t="shared" si="0"/>
        <v>0</v>
      </c>
      <c r="G57" s="10">
        <f t="shared" si="1"/>
        <v>3</v>
      </c>
      <c r="H57" s="10">
        <f>_xlfn.MAXIFS(รายชื่อจบส.!$L:$L,รายชื่อจบส.!$A:$A,$B57)</f>
        <v>6</v>
      </c>
    </row>
    <row r="58" spans="1:8" ht="17.5" thickBot="1" x14ac:dyDescent="0.65">
      <c r="A58" s="4" t="s">
        <v>4298</v>
      </c>
      <c r="B58" s="5" t="s">
        <v>2858</v>
      </c>
      <c r="C58" s="5" t="s">
        <v>4358</v>
      </c>
      <c r="D58" s="10">
        <f>COUNTIF(รายชื่อจบส.!$A:$A,$B58)</f>
        <v>4</v>
      </c>
      <c r="E58" s="10">
        <f>COUNTIFS(รายชื่อจบส.!$A:$A,$B58,รายชื่อจบส.!$I:$I,"ผ่าน")</f>
        <v>4</v>
      </c>
      <c r="F58" s="10">
        <f t="shared" si="0"/>
        <v>0</v>
      </c>
      <c r="G58" s="10">
        <f t="shared" si="1"/>
        <v>3</v>
      </c>
      <c r="H58" s="10">
        <f>_xlfn.MAXIFS(รายชื่อจบส.!$L:$L,รายชื่อจบส.!$A:$A,$B58)</f>
        <v>6</v>
      </c>
    </row>
    <row r="59" spans="1:8" ht="17.5" thickBot="1" x14ac:dyDescent="0.65">
      <c r="A59" s="4" t="s">
        <v>4298</v>
      </c>
      <c r="B59" s="5" t="s">
        <v>2859</v>
      </c>
      <c r="C59" s="5" t="s">
        <v>4359</v>
      </c>
      <c r="D59" s="10">
        <f>COUNTIF(รายชื่อจบส.!$A:$A,$B59)</f>
        <v>7</v>
      </c>
      <c r="E59" s="10">
        <f>COUNTIFS(รายชื่อจบส.!$A:$A,$B59,รายชื่อจบส.!$I:$I,"ผ่าน")</f>
        <v>7</v>
      </c>
      <c r="F59" s="10">
        <f t="shared" si="0"/>
        <v>0</v>
      </c>
      <c r="G59" s="10">
        <f t="shared" si="1"/>
        <v>2</v>
      </c>
      <c r="H59" s="10">
        <f>_xlfn.MAXIFS(รายชื่อจบส.!$L:$L,รายชื่อจบส.!$A:$A,$B59)</f>
        <v>9</v>
      </c>
    </row>
    <row r="60" spans="1:8" ht="17.5" thickBot="1" x14ac:dyDescent="0.65">
      <c r="A60" s="4" t="s">
        <v>4298</v>
      </c>
      <c r="B60" s="5" t="s">
        <v>2860</v>
      </c>
      <c r="C60" s="5" t="s">
        <v>4360</v>
      </c>
      <c r="D60" s="10">
        <f>COUNTIF(รายชื่อจบส.!$A:$A,$B60)</f>
        <v>4</v>
      </c>
      <c r="E60" s="10">
        <f>COUNTIFS(รายชื่อจบส.!$A:$A,$B60,รายชื่อจบส.!$I:$I,"ผ่าน")</f>
        <v>4</v>
      </c>
      <c r="F60" s="10">
        <f t="shared" si="0"/>
        <v>0</v>
      </c>
      <c r="G60" s="10">
        <f t="shared" si="1"/>
        <v>2</v>
      </c>
      <c r="H60" s="10">
        <f>_xlfn.MAXIFS(รายชื่อจบส.!$L:$L,รายชื่อจบส.!$A:$A,$B60)</f>
        <v>9</v>
      </c>
    </row>
    <row r="61" spans="1:8" ht="17.5" thickBot="1" x14ac:dyDescent="0.65">
      <c r="A61" s="4" t="s">
        <v>4298</v>
      </c>
      <c r="B61" s="5" t="s">
        <v>2861</v>
      </c>
      <c r="C61" s="5" t="s">
        <v>4361</v>
      </c>
      <c r="D61" s="10">
        <f>COUNTIF(รายชื่อจบส.!$A:$A,$B61)</f>
        <v>2</v>
      </c>
      <c r="E61" s="10">
        <f>COUNTIFS(รายชื่อจบส.!$A:$A,$B61,รายชื่อจบส.!$I:$I,"ผ่าน")</f>
        <v>2</v>
      </c>
      <c r="F61" s="10">
        <f t="shared" si="0"/>
        <v>0</v>
      </c>
      <c r="G61" s="10">
        <f t="shared" si="1"/>
        <v>2</v>
      </c>
      <c r="H61" s="10">
        <f>_xlfn.MAXIFS(รายชื่อจบส.!$L:$L,รายชื่อจบส.!$A:$A,$B61)</f>
        <v>8</v>
      </c>
    </row>
    <row r="62" spans="1:8" ht="17.5" thickBot="1" x14ac:dyDescent="0.65">
      <c r="A62" s="4" t="s">
        <v>4298</v>
      </c>
      <c r="B62" s="5" t="s">
        <v>2862</v>
      </c>
      <c r="C62" s="5" t="s">
        <v>4362</v>
      </c>
      <c r="D62" s="10">
        <f>COUNTIF(รายชื่อจบส.!$A:$A,$B62)</f>
        <v>3</v>
      </c>
      <c r="E62" s="10">
        <f>COUNTIFS(รายชื่อจบส.!$A:$A,$B62,รายชื่อจบส.!$I:$I,"ผ่าน")</f>
        <v>0</v>
      </c>
      <c r="F62" s="10">
        <f t="shared" si="0"/>
        <v>-3</v>
      </c>
      <c r="G62" s="10">
        <f t="shared" si="1"/>
        <v>0</v>
      </c>
      <c r="H62" s="10">
        <f>_xlfn.MAXIFS(รายชื่อจบส.!$L:$L,รายชื่อจบส.!$A:$A,$B62)</f>
        <v>0</v>
      </c>
    </row>
    <row r="63" spans="1:8" ht="17.5" thickBot="1" x14ac:dyDescent="0.65">
      <c r="A63" s="4" t="s">
        <v>4298</v>
      </c>
      <c r="B63" s="5" t="s">
        <v>2863</v>
      </c>
      <c r="C63" s="5" t="s">
        <v>137</v>
      </c>
      <c r="D63" s="10">
        <f>COUNTIF(รายชื่อจบส.!$A:$A,$B63)</f>
        <v>3</v>
      </c>
      <c r="E63" s="10">
        <f>COUNTIFS(รายชื่อจบส.!$A:$A,$B63,รายชื่อจบส.!$I:$I,"ผ่าน")</f>
        <v>3</v>
      </c>
      <c r="F63" s="10">
        <f t="shared" si="0"/>
        <v>0</v>
      </c>
      <c r="G63" s="10">
        <f t="shared" si="1"/>
        <v>2</v>
      </c>
      <c r="H63" s="10">
        <f>_xlfn.MAXIFS(รายชื่อจบส.!$L:$L,รายชื่อจบส.!$A:$A,$B63)</f>
        <v>9</v>
      </c>
    </row>
    <row r="64" spans="1:8" ht="17.5" thickBot="1" x14ac:dyDescent="0.65">
      <c r="A64" s="4" t="s">
        <v>4298</v>
      </c>
      <c r="B64" s="5" t="s">
        <v>4363</v>
      </c>
      <c r="C64" s="5" t="s">
        <v>4364</v>
      </c>
      <c r="D64" s="10">
        <f>COUNTIF(รายชื่อจบส.!$A:$A,$B64)</f>
        <v>0</v>
      </c>
      <c r="E64" s="10">
        <f>COUNTIFS(รายชื่อจบส.!$A:$A,$B64,รายชื่อจบส.!$I:$I,"ผ่าน")</f>
        <v>0</v>
      </c>
      <c r="F64" s="10">
        <f t="shared" si="0"/>
        <v>0</v>
      </c>
      <c r="G64" s="10">
        <f t="shared" si="1"/>
        <v>0</v>
      </c>
      <c r="H64" s="10">
        <f>_xlfn.MAXIFS(รายชื่อจบส.!$L:$L,รายชื่อจบส.!$A:$A,$B64)</f>
        <v>0</v>
      </c>
    </row>
    <row r="65" spans="1:8" ht="17.5" thickBot="1" x14ac:dyDescent="0.65">
      <c r="A65" s="4" t="s">
        <v>4298</v>
      </c>
      <c r="B65" s="5" t="s">
        <v>2864</v>
      </c>
      <c r="C65" s="5" t="s">
        <v>4365</v>
      </c>
      <c r="D65" s="10">
        <f>COUNTIF(รายชื่อจบส.!$A:$A,$B65)</f>
        <v>5</v>
      </c>
      <c r="E65" s="10">
        <f>COUNTIFS(รายชื่อจบส.!$A:$A,$B65,รายชื่อจบส.!$I:$I,"ผ่าน")</f>
        <v>4</v>
      </c>
      <c r="F65" s="10">
        <f t="shared" si="0"/>
        <v>-1</v>
      </c>
      <c r="G65" s="10">
        <f t="shared" si="1"/>
        <v>0</v>
      </c>
      <c r="H65" s="10">
        <f>_xlfn.MAXIFS(รายชื่อจบส.!$L:$L,รายชื่อจบส.!$A:$A,$B65)</f>
        <v>3</v>
      </c>
    </row>
    <row r="66" spans="1:8" ht="17.5" thickBot="1" x14ac:dyDescent="0.65">
      <c r="A66" s="4" t="s">
        <v>4298</v>
      </c>
      <c r="B66" s="5" t="s">
        <v>2865</v>
      </c>
      <c r="C66" s="5" t="s">
        <v>4366</v>
      </c>
      <c r="D66" s="10">
        <f>COUNTIF(รายชื่อจบส.!$A:$A,$B66)</f>
        <v>6</v>
      </c>
      <c r="E66" s="10">
        <f>COUNTIFS(รายชื่อจบส.!$A:$A,$B66,รายชื่อจบส.!$I:$I,"ผ่าน")</f>
        <v>5</v>
      </c>
      <c r="F66" s="10">
        <f t="shared" si="0"/>
        <v>-1</v>
      </c>
      <c r="G66" s="10">
        <f t="shared" si="1"/>
        <v>0</v>
      </c>
      <c r="H66" s="10">
        <f>_xlfn.MAXIFS(รายชื่อจบส.!$L:$L,รายชื่อจบส.!$A:$A,$B66)</f>
        <v>3</v>
      </c>
    </row>
    <row r="67" spans="1:8" ht="17.5" thickBot="1" x14ac:dyDescent="0.65">
      <c r="A67" s="4" t="s">
        <v>4298</v>
      </c>
      <c r="B67" s="5" t="s">
        <v>4367</v>
      </c>
      <c r="C67" s="5" t="s">
        <v>4368</v>
      </c>
      <c r="D67" s="10">
        <f>COUNTIF(รายชื่อจบส.!$A:$A,$B67)</f>
        <v>0</v>
      </c>
      <c r="E67" s="10">
        <f>COUNTIFS(รายชื่อจบส.!$A:$A,$B67,รายชื่อจบส.!$I:$I,"ผ่าน")</f>
        <v>0</v>
      </c>
      <c r="F67" s="10">
        <f t="shared" ref="F67:F130" si="2">E67-D67</f>
        <v>0</v>
      </c>
      <c r="G67" s="10">
        <f t="shared" ref="G67:G130" si="3">IF(AND(D67&gt;0,F67=0,H67&lt;=7),3,IF(AND(D67&gt;0,F67=0,H67&lt;=11),2,IF(AND(D67&gt;0,F67=0,H67=12),1,0)))</f>
        <v>0</v>
      </c>
      <c r="H67" s="10">
        <f>_xlfn.MAXIFS(รายชื่อจบส.!$L:$L,รายชื่อจบส.!$A:$A,$B67)</f>
        <v>0</v>
      </c>
    </row>
    <row r="68" spans="1:8" ht="17.5" thickBot="1" x14ac:dyDescent="0.65">
      <c r="A68" s="4" t="s">
        <v>4298</v>
      </c>
      <c r="B68" s="5" t="s">
        <v>2866</v>
      </c>
      <c r="C68" s="5" t="s">
        <v>4369</v>
      </c>
      <c r="D68" s="10">
        <f>COUNTIF(รายชื่อจบส.!$A:$A,$B68)</f>
        <v>16</v>
      </c>
      <c r="E68" s="10">
        <f>COUNTIFS(รายชื่อจบส.!$A:$A,$B68,รายชื่อจบส.!$I:$I,"ผ่าน")</f>
        <v>11</v>
      </c>
      <c r="F68" s="10">
        <f t="shared" si="2"/>
        <v>-5</v>
      </c>
      <c r="G68" s="10">
        <f t="shared" si="3"/>
        <v>0</v>
      </c>
      <c r="H68" s="10">
        <f>_xlfn.MAXIFS(รายชื่อจบส.!$L:$L,รายชื่อจบส.!$A:$A,$B68)</f>
        <v>6</v>
      </c>
    </row>
    <row r="69" spans="1:8" ht="17.5" thickBot="1" x14ac:dyDescent="0.65">
      <c r="A69" s="4" t="s">
        <v>4298</v>
      </c>
      <c r="B69" s="5" t="s">
        <v>2867</v>
      </c>
      <c r="C69" s="5" t="s">
        <v>4370</v>
      </c>
      <c r="D69" s="10">
        <f>COUNTIF(รายชื่อจบส.!$A:$A,$B69)</f>
        <v>1</v>
      </c>
      <c r="E69" s="10">
        <f>COUNTIFS(รายชื่อจบส.!$A:$A,$B69,รายชื่อจบส.!$I:$I,"ผ่าน")</f>
        <v>1</v>
      </c>
      <c r="F69" s="10">
        <f t="shared" si="2"/>
        <v>0</v>
      </c>
      <c r="G69" s="10">
        <f t="shared" si="3"/>
        <v>3</v>
      </c>
      <c r="H69" s="10">
        <f>_xlfn.MAXIFS(รายชื่อจบส.!$L:$L,รายชื่อจบส.!$A:$A,$B69)</f>
        <v>4</v>
      </c>
    </row>
    <row r="70" spans="1:8" ht="17.5" thickBot="1" x14ac:dyDescent="0.65">
      <c r="A70" s="4" t="s">
        <v>4298</v>
      </c>
      <c r="B70" s="5" t="s">
        <v>2868</v>
      </c>
      <c r="C70" s="5" t="s">
        <v>4371</v>
      </c>
      <c r="D70" s="10">
        <f>COUNTIF(รายชื่อจบส.!$A:$A,$B70)</f>
        <v>6</v>
      </c>
      <c r="E70" s="10">
        <f>COUNTIFS(รายชื่อจบส.!$A:$A,$B70,รายชื่อจบส.!$I:$I,"ผ่าน")</f>
        <v>4</v>
      </c>
      <c r="F70" s="10">
        <f t="shared" si="2"/>
        <v>-2</v>
      </c>
      <c r="G70" s="10">
        <f t="shared" si="3"/>
        <v>0</v>
      </c>
      <c r="H70" s="10">
        <f>_xlfn.MAXIFS(รายชื่อจบส.!$L:$L,รายชื่อจบส.!$A:$A,$B70)</f>
        <v>7</v>
      </c>
    </row>
    <row r="71" spans="1:8" ht="17.5" thickBot="1" x14ac:dyDescent="0.65">
      <c r="A71" s="4" t="s">
        <v>4298</v>
      </c>
      <c r="B71" s="5" t="s">
        <v>2869</v>
      </c>
      <c r="C71" s="5" t="s">
        <v>4372</v>
      </c>
      <c r="D71" s="10">
        <f>COUNTIF(รายชื่อจบส.!$A:$A,$B71)</f>
        <v>1</v>
      </c>
      <c r="E71" s="10">
        <f>COUNTIFS(รายชื่อจบส.!$A:$A,$B71,รายชื่อจบส.!$I:$I,"ผ่าน")</f>
        <v>1</v>
      </c>
      <c r="F71" s="10">
        <f t="shared" si="2"/>
        <v>0</v>
      </c>
      <c r="G71" s="10">
        <f t="shared" si="3"/>
        <v>3</v>
      </c>
      <c r="H71" s="10">
        <f>_xlfn.MAXIFS(รายชื่อจบส.!$L:$L,รายชื่อจบส.!$A:$A,$B71)</f>
        <v>6</v>
      </c>
    </row>
    <row r="72" spans="1:8" ht="17.5" thickBot="1" x14ac:dyDescent="0.65">
      <c r="A72" s="4" t="s">
        <v>4298</v>
      </c>
      <c r="B72" s="5" t="s">
        <v>2870</v>
      </c>
      <c r="C72" s="5" t="s">
        <v>4373</v>
      </c>
      <c r="D72" s="10">
        <f>COUNTIF(รายชื่อจบส.!$A:$A,$B72)</f>
        <v>5</v>
      </c>
      <c r="E72" s="10">
        <f>COUNTIFS(รายชื่อจบส.!$A:$A,$B72,รายชื่อจบส.!$I:$I,"ผ่าน")</f>
        <v>0</v>
      </c>
      <c r="F72" s="10">
        <f t="shared" si="2"/>
        <v>-5</v>
      </c>
      <c r="G72" s="10">
        <f t="shared" si="3"/>
        <v>0</v>
      </c>
      <c r="H72" s="10">
        <f>_xlfn.MAXIFS(รายชื่อจบส.!$L:$L,รายชื่อจบส.!$A:$A,$B72)</f>
        <v>0</v>
      </c>
    </row>
    <row r="73" spans="1:8" ht="17.5" thickBot="1" x14ac:dyDescent="0.65">
      <c r="A73" s="4" t="s">
        <v>4374</v>
      </c>
      <c r="B73" s="5" t="s">
        <v>2871</v>
      </c>
      <c r="C73" s="5" t="s">
        <v>4375</v>
      </c>
      <c r="D73" s="10">
        <f>COUNTIF(รายชื่อจบส.!$A:$A,$B73)</f>
        <v>2</v>
      </c>
      <c r="E73" s="10">
        <f>COUNTIFS(รายชื่อจบส.!$A:$A,$B73,รายชื่อจบส.!$I:$I,"ผ่าน")</f>
        <v>0</v>
      </c>
      <c r="F73" s="10">
        <f t="shared" si="2"/>
        <v>-2</v>
      </c>
      <c r="G73" s="10">
        <f t="shared" si="3"/>
        <v>0</v>
      </c>
      <c r="H73" s="10">
        <f>_xlfn.MAXIFS(รายชื่อจบส.!$L:$L,รายชื่อจบส.!$A:$A,$B73)</f>
        <v>0</v>
      </c>
    </row>
    <row r="74" spans="1:8" ht="17.5" thickBot="1" x14ac:dyDescent="0.65">
      <c r="A74" s="4" t="s">
        <v>4374</v>
      </c>
      <c r="B74" s="5" t="s">
        <v>2872</v>
      </c>
      <c r="C74" s="5" t="s">
        <v>4376</v>
      </c>
      <c r="D74" s="10">
        <f>COUNTIF(รายชื่อจบส.!$A:$A,$B74)</f>
        <v>2</v>
      </c>
      <c r="E74" s="10">
        <f>COUNTIFS(รายชื่อจบส.!$A:$A,$B74,รายชื่อจบส.!$I:$I,"ผ่าน")</f>
        <v>1</v>
      </c>
      <c r="F74" s="10">
        <f t="shared" si="2"/>
        <v>-1</v>
      </c>
      <c r="G74" s="10">
        <f t="shared" si="3"/>
        <v>0</v>
      </c>
      <c r="H74" s="10">
        <f>_xlfn.MAXIFS(รายชื่อจบส.!$L:$L,รายชื่อจบส.!$A:$A,$B74)</f>
        <v>6</v>
      </c>
    </row>
    <row r="75" spans="1:8" ht="17.5" thickBot="1" x14ac:dyDescent="0.65">
      <c r="A75" s="4" t="s">
        <v>4374</v>
      </c>
      <c r="B75" s="5" t="s">
        <v>2873</v>
      </c>
      <c r="C75" s="5" t="s">
        <v>4377</v>
      </c>
      <c r="D75" s="10">
        <f>COUNTIF(รายชื่อจบส.!$A:$A,$B75)</f>
        <v>10</v>
      </c>
      <c r="E75" s="10">
        <f>COUNTIFS(รายชื่อจบส.!$A:$A,$B75,รายชื่อจบส.!$I:$I,"ผ่าน")</f>
        <v>6</v>
      </c>
      <c r="F75" s="10">
        <f t="shared" si="2"/>
        <v>-4</v>
      </c>
      <c r="G75" s="10">
        <f t="shared" si="3"/>
        <v>0</v>
      </c>
      <c r="H75" s="10">
        <f>_xlfn.MAXIFS(รายชื่อจบส.!$L:$L,รายชื่อจบส.!$A:$A,$B75)</f>
        <v>6</v>
      </c>
    </row>
    <row r="76" spans="1:8" ht="17.5" thickBot="1" x14ac:dyDescent="0.65">
      <c r="A76" s="4" t="s">
        <v>4374</v>
      </c>
      <c r="B76" s="5" t="s">
        <v>2874</v>
      </c>
      <c r="C76" s="5" t="s">
        <v>4378</v>
      </c>
      <c r="D76" s="10">
        <f>COUNTIF(รายชื่อจบส.!$A:$A,$B76)</f>
        <v>2</v>
      </c>
      <c r="E76" s="10">
        <f>COUNTIFS(รายชื่อจบส.!$A:$A,$B76,รายชื่อจบส.!$I:$I,"ผ่าน")</f>
        <v>0</v>
      </c>
      <c r="F76" s="10">
        <f t="shared" si="2"/>
        <v>-2</v>
      </c>
      <c r="G76" s="10">
        <f t="shared" si="3"/>
        <v>0</v>
      </c>
      <c r="H76" s="10">
        <f>_xlfn.MAXIFS(รายชื่อจบส.!$L:$L,รายชื่อจบส.!$A:$A,$B76)</f>
        <v>0</v>
      </c>
    </row>
    <row r="77" spans="1:8" ht="17.5" thickBot="1" x14ac:dyDescent="0.65">
      <c r="A77" s="4" t="s">
        <v>4374</v>
      </c>
      <c r="B77" s="5" t="s">
        <v>2875</v>
      </c>
      <c r="C77" s="5" t="s">
        <v>4379</v>
      </c>
      <c r="D77" s="10">
        <f>COUNTIF(รายชื่อจบส.!$A:$A,$B77)</f>
        <v>7</v>
      </c>
      <c r="E77" s="10">
        <f>COUNTIFS(รายชื่อจบส.!$A:$A,$B77,รายชื่อจบส.!$I:$I,"ผ่าน")</f>
        <v>0</v>
      </c>
      <c r="F77" s="10">
        <f t="shared" si="2"/>
        <v>-7</v>
      </c>
      <c r="G77" s="10">
        <f t="shared" si="3"/>
        <v>0</v>
      </c>
      <c r="H77" s="10">
        <f>_xlfn.MAXIFS(รายชื่อจบส.!$L:$L,รายชื่อจบส.!$A:$A,$B77)</f>
        <v>0</v>
      </c>
    </row>
    <row r="78" spans="1:8" ht="17.5" thickBot="1" x14ac:dyDescent="0.65">
      <c r="A78" s="4" t="s">
        <v>4374</v>
      </c>
      <c r="B78" s="5" t="s">
        <v>2876</v>
      </c>
      <c r="C78" s="5" t="s">
        <v>4380</v>
      </c>
      <c r="D78" s="10">
        <f>COUNTIF(รายชื่อจบส.!$A:$A,$B78)</f>
        <v>1</v>
      </c>
      <c r="E78" s="10">
        <f>COUNTIFS(รายชื่อจบส.!$A:$A,$B78,รายชื่อจบส.!$I:$I,"ผ่าน")</f>
        <v>0</v>
      </c>
      <c r="F78" s="10">
        <f t="shared" si="2"/>
        <v>-1</v>
      </c>
      <c r="G78" s="10">
        <f t="shared" si="3"/>
        <v>0</v>
      </c>
      <c r="H78" s="10">
        <f>_xlfn.MAXIFS(รายชื่อจบส.!$L:$L,รายชื่อจบส.!$A:$A,$B78)</f>
        <v>0</v>
      </c>
    </row>
    <row r="79" spans="1:8" ht="17.5" thickBot="1" x14ac:dyDescent="0.65">
      <c r="A79" s="4" t="s">
        <v>4374</v>
      </c>
      <c r="B79" s="5" t="s">
        <v>2877</v>
      </c>
      <c r="C79" s="5" t="s">
        <v>4381</v>
      </c>
      <c r="D79" s="10">
        <f>COUNTIF(รายชื่อจบส.!$A:$A,$B79)</f>
        <v>3</v>
      </c>
      <c r="E79" s="10">
        <f>COUNTIFS(รายชื่อจบส.!$A:$A,$B79,รายชื่อจบส.!$I:$I,"ผ่าน")</f>
        <v>0</v>
      </c>
      <c r="F79" s="10">
        <f t="shared" si="2"/>
        <v>-3</v>
      </c>
      <c r="G79" s="10">
        <f t="shared" si="3"/>
        <v>0</v>
      </c>
      <c r="H79" s="10">
        <f>_xlfn.MAXIFS(รายชื่อจบส.!$L:$L,รายชื่อจบส.!$A:$A,$B79)</f>
        <v>0</v>
      </c>
    </row>
    <row r="80" spans="1:8" ht="17.5" thickBot="1" x14ac:dyDescent="0.65">
      <c r="A80" s="4" t="s">
        <v>4374</v>
      </c>
      <c r="B80" s="5" t="s">
        <v>2878</v>
      </c>
      <c r="C80" s="5" t="s">
        <v>4382</v>
      </c>
      <c r="D80" s="10">
        <f>COUNTIF(รายชื่อจบส.!$A:$A,$B80)</f>
        <v>0</v>
      </c>
      <c r="E80" s="10">
        <f>COUNTIFS(รายชื่อจบส.!$A:$A,$B80,รายชื่อจบส.!$I:$I,"ผ่าน")</f>
        <v>0</v>
      </c>
      <c r="F80" s="10">
        <f t="shared" si="2"/>
        <v>0</v>
      </c>
      <c r="G80" s="10">
        <f t="shared" si="3"/>
        <v>0</v>
      </c>
      <c r="H80" s="10">
        <f>_xlfn.MAXIFS(รายชื่อจบส.!$L:$L,รายชื่อจบส.!$A:$A,$B80)</f>
        <v>0</v>
      </c>
    </row>
    <row r="81" spans="1:8" ht="17.5" thickBot="1" x14ac:dyDescent="0.65">
      <c r="A81" s="4" t="s">
        <v>4374</v>
      </c>
      <c r="B81" s="5" t="s">
        <v>2880</v>
      </c>
      <c r="C81" s="5" t="s">
        <v>823</v>
      </c>
      <c r="D81" s="10">
        <f>COUNTIF(รายชื่อจบส.!$A:$A,$B81)</f>
        <v>8</v>
      </c>
      <c r="E81" s="10">
        <f>COUNTIFS(รายชื่อจบส.!$A:$A,$B81,รายชื่อจบส.!$I:$I,"ผ่าน")</f>
        <v>8</v>
      </c>
      <c r="F81" s="10">
        <f t="shared" si="2"/>
        <v>0</v>
      </c>
      <c r="G81" s="10">
        <f t="shared" si="3"/>
        <v>3</v>
      </c>
      <c r="H81" s="10">
        <f>_xlfn.MAXIFS(รายชื่อจบส.!$L:$L,รายชื่อจบส.!$A:$A,$B81)</f>
        <v>3</v>
      </c>
    </row>
    <row r="82" spans="1:8" ht="17.5" thickBot="1" x14ac:dyDescent="0.65">
      <c r="A82" s="4" t="s">
        <v>4374</v>
      </c>
      <c r="B82" s="5" t="s">
        <v>2879</v>
      </c>
      <c r="C82" s="5" t="s">
        <v>4383</v>
      </c>
      <c r="D82" s="10">
        <f>COUNTIF(รายชื่อจบส.!$A:$A,$B82)</f>
        <v>3</v>
      </c>
      <c r="E82" s="10">
        <f>COUNTIFS(รายชื่อจบส.!$A:$A,$B82,รายชื่อจบส.!$I:$I,"ผ่าน")</f>
        <v>2</v>
      </c>
      <c r="F82" s="10">
        <f t="shared" si="2"/>
        <v>-1</v>
      </c>
      <c r="G82" s="10">
        <f t="shared" si="3"/>
        <v>0</v>
      </c>
      <c r="H82" s="10">
        <f>_xlfn.MAXIFS(รายชื่อจบส.!$L:$L,รายชื่อจบส.!$A:$A,$B82)</f>
        <v>4</v>
      </c>
    </row>
    <row r="83" spans="1:8" ht="17.5" thickBot="1" x14ac:dyDescent="0.65">
      <c r="A83" s="4" t="e">
        <v>#N/A</v>
      </c>
      <c r="B83" s="5">
        <v>3164</v>
      </c>
      <c r="C83" s="5" t="s">
        <v>4384</v>
      </c>
      <c r="D83" s="10">
        <f>COUNTIF(รายชื่อจบส.!$A:$A,$B83)</f>
        <v>13</v>
      </c>
      <c r="E83" s="10">
        <f>COUNTIFS(รายชื่อจบส.!$A:$A,$B83,รายชื่อจบส.!$I:$I,"ผ่าน")</f>
        <v>1</v>
      </c>
      <c r="F83" s="10">
        <f t="shared" si="2"/>
        <v>-12</v>
      </c>
      <c r="G83" s="10">
        <f t="shared" si="3"/>
        <v>0</v>
      </c>
      <c r="H83" s="10">
        <f>_xlfn.MAXIFS(รายชื่อจบส.!$L:$L,รายชื่อจบส.!$A:$A,$B83)</f>
        <v>5</v>
      </c>
    </row>
    <row r="84" spans="1:8" ht="17.5" thickBot="1" x14ac:dyDescent="0.65">
      <c r="A84" s="4" t="s">
        <v>4374</v>
      </c>
      <c r="B84" s="5" t="s">
        <v>2882</v>
      </c>
      <c r="C84" s="5" t="s">
        <v>4385</v>
      </c>
      <c r="D84" s="10">
        <f>COUNTIF(รายชื่อจบส.!$A:$A,$B84)</f>
        <v>9</v>
      </c>
      <c r="E84" s="10">
        <f>COUNTIFS(รายชื่อจบส.!$A:$A,$B84,รายชื่อจบส.!$I:$I,"ผ่าน")</f>
        <v>2</v>
      </c>
      <c r="F84" s="10">
        <f t="shared" si="2"/>
        <v>-7</v>
      </c>
      <c r="G84" s="10">
        <f t="shared" si="3"/>
        <v>0</v>
      </c>
      <c r="H84" s="10">
        <f>_xlfn.MAXIFS(รายชื่อจบส.!$L:$L,รายชื่อจบส.!$A:$A,$B84)</f>
        <v>8</v>
      </c>
    </row>
    <row r="85" spans="1:8" ht="17.5" thickBot="1" x14ac:dyDescent="0.65">
      <c r="A85" s="4" t="s">
        <v>4374</v>
      </c>
      <c r="B85" s="5" t="s">
        <v>2881</v>
      </c>
      <c r="C85" s="5" t="s">
        <v>4386</v>
      </c>
      <c r="D85" s="10">
        <f>COUNTIF(รายชื่อจบส.!$A:$A,$B85)</f>
        <v>6</v>
      </c>
      <c r="E85" s="10">
        <f>COUNTIFS(รายชื่อจบส.!$A:$A,$B85,รายชื่อจบส.!$I:$I,"ผ่าน")</f>
        <v>2</v>
      </c>
      <c r="F85" s="10">
        <f t="shared" si="2"/>
        <v>-4</v>
      </c>
      <c r="G85" s="10">
        <f t="shared" si="3"/>
        <v>0</v>
      </c>
      <c r="H85" s="10">
        <f>_xlfn.MAXIFS(รายชื่อจบส.!$L:$L,รายชื่อจบส.!$A:$A,$B85)</f>
        <v>5</v>
      </c>
    </row>
    <row r="86" spans="1:8" ht="17.5" thickBot="1" x14ac:dyDescent="0.65">
      <c r="A86" s="4" t="s">
        <v>4374</v>
      </c>
      <c r="B86" s="5" t="s">
        <v>2883</v>
      </c>
      <c r="C86" s="5" t="s">
        <v>4387</v>
      </c>
      <c r="D86" s="10">
        <f>COUNTIF(รายชื่อจบส.!$A:$A,$B86)</f>
        <v>5</v>
      </c>
      <c r="E86" s="10">
        <f>COUNTIFS(รายชื่อจบส.!$A:$A,$B86,รายชื่อจบส.!$I:$I,"ผ่าน")</f>
        <v>5</v>
      </c>
      <c r="F86" s="10">
        <f t="shared" si="2"/>
        <v>0</v>
      </c>
      <c r="G86" s="10">
        <f t="shared" si="3"/>
        <v>3</v>
      </c>
      <c r="H86" s="10">
        <f>_xlfn.MAXIFS(รายชื่อจบส.!$L:$L,รายชื่อจบส.!$A:$A,$B86)</f>
        <v>5</v>
      </c>
    </row>
    <row r="87" spans="1:8" ht="17.5" thickBot="1" x14ac:dyDescent="0.65">
      <c r="A87" s="4" t="s">
        <v>4374</v>
      </c>
      <c r="B87" s="5" t="s">
        <v>2884</v>
      </c>
      <c r="C87" s="5" t="s">
        <v>4388</v>
      </c>
      <c r="D87" s="10">
        <f>COUNTIF(รายชื่อจบส.!$A:$A,$B87)</f>
        <v>6</v>
      </c>
      <c r="E87" s="10">
        <f>COUNTIFS(รายชื่อจบส.!$A:$A,$B87,รายชื่อจบส.!$I:$I,"ผ่าน")</f>
        <v>5</v>
      </c>
      <c r="F87" s="10">
        <f t="shared" si="2"/>
        <v>-1</v>
      </c>
      <c r="G87" s="10">
        <f t="shared" si="3"/>
        <v>0</v>
      </c>
      <c r="H87" s="10">
        <f>_xlfn.MAXIFS(รายชื่อจบส.!$L:$L,รายชื่อจบส.!$A:$A,$B87)</f>
        <v>5</v>
      </c>
    </row>
    <row r="88" spans="1:8" ht="17.5" thickBot="1" x14ac:dyDescent="0.65">
      <c r="A88" s="4" t="s">
        <v>4374</v>
      </c>
      <c r="B88" s="5" t="s">
        <v>2885</v>
      </c>
      <c r="C88" s="5" t="s">
        <v>4389</v>
      </c>
      <c r="D88" s="10">
        <f>COUNTIF(รายชื่อจบส.!$A:$A,$B88)</f>
        <v>4</v>
      </c>
      <c r="E88" s="10">
        <f>COUNTIFS(รายชื่อจบส.!$A:$A,$B88,รายชื่อจบส.!$I:$I,"ผ่าน")</f>
        <v>0</v>
      </c>
      <c r="F88" s="10">
        <f t="shared" si="2"/>
        <v>-4</v>
      </c>
      <c r="G88" s="10">
        <f t="shared" si="3"/>
        <v>0</v>
      </c>
      <c r="H88" s="10">
        <f>_xlfn.MAXIFS(รายชื่อจบส.!$L:$L,รายชื่อจบส.!$A:$A,$B88)</f>
        <v>0</v>
      </c>
    </row>
    <row r="89" spans="1:8" ht="17.5" thickBot="1" x14ac:dyDescent="0.65">
      <c r="A89" s="4" t="s">
        <v>4374</v>
      </c>
      <c r="B89" s="5" t="s">
        <v>4390</v>
      </c>
      <c r="C89" s="5" t="s">
        <v>4391</v>
      </c>
      <c r="D89" s="10">
        <f>COUNTIF(รายชื่อจบส.!$A:$A,$B89)</f>
        <v>0</v>
      </c>
      <c r="E89" s="10">
        <f>COUNTIFS(รายชื่อจบส.!$A:$A,$B89,รายชื่อจบส.!$I:$I,"ผ่าน")</f>
        <v>0</v>
      </c>
      <c r="F89" s="10">
        <f t="shared" si="2"/>
        <v>0</v>
      </c>
      <c r="G89" s="10">
        <f t="shared" si="3"/>
        <v>0</v>
      </c>
      <c r="H89" s="10">
        <f>_xlfn.MAXIFS(รายชื่อจบส.!$L:$L,รายชื่อจบส.!$A:$A,$B89)</f>
        <v>0</v>
      </c>
    </row>
    <row r="90" spans="1:8" ht="17.5" thickBot="1" x14ac:dyDescent="0.65">
      <c r="A90" s="4" t="s">
        <v>4374</v>
      </c>
      <c r="B90" s="5" t="s">
        <v>2886</v>
      </c>
      <c r="C90" s="5" t="s">
        <v>4392</v>
      </c>
      <c r="D90" s="10">
        <f>COUNTIF(รายชื่อจบส.!$A:$A,$B90)</f>
        <v>5</v>
      </c>
      <c r="E90" s="10">
        <f>COUNTIFS(รายชื่อจบส.!$A:$A,$B90,รายชื่อจบส.!$I:$I,"ผ่าน")</f>
        <v>4</v>
      </c>
      <c r="F90" s="10">
        <f t="shared" si="2"/>
        <v>-1</v>
      </c>
      <c r="G90" s="10">
        <f t="shared" si="3"/>
        <v>0</v>
      </c>
      <c r="H90" s="10">
        <f>_xlfn.MAXIFS(รายชื่อจบส.!$L:$L,รายชื่อจบส.!$A:$A,$B90)</f>
        <v>5</v>
      </c>
    </row>
    <row r="91" spans="1:8" ht="17.5" thickBot="1" x14ac:dyDescent="0.65">
      <c r="A91" s="4" t="s">
        <v>4374</v>
      </c>
      <c r="B91" s="5" t="s">
        <v>2887</v>
      </c>
      <c r="C91" s="5" t="s">
        <v>4393</v>
      </c>
      <c r="D91" s="10">
        <f>COUNTIF(รายชื่อจบส.!$A:$A,$B91)</f>
        <v>10</v>
      </c>
      <c r="E91" s="10">
        <f>COUNTIFS(รายชื่อจบส.!$A:$A,$B91,รายชื่อจบส.!$I:$I,"ผ่าน")</f>
        <v>8</v>
      </c>
      <c r="F91" s="10">
        <f t="shared" si="2"/>
        <v>-2</v>
      </c>
      <c r="G91" s="10">
        <f t="shared" si="3"/>
        <v>0</v>
      </c>
      <c r="H91" s="10">
        <f>_xlfn.MAXIFS(รายชื่อจบส.!$L:$L,รายชื่อจบส.!$A:$A,$B91)</f>
        <v>4</v>
      </c>
    </row>
    <row r="92" spans="1:8" ht="17.5" thickBot="1" x14ac:dyDescent="0.65">
      <c r="A92" s="4" t="s">
        <v>4374</v>
      </c>
      <c r="B92" s="5" t="s">
        <v>2888</v>
      </c>
      <c r="C92" s="5" t="s">
        <v>4394</v>
      </c>
      <c r="D92" s="10">
        <f>COUNTIF(รายชื่อจบส.!$A:$A,$B92)</f>
        <v>6</v>
      </c>
      <c r="E92" s="10">
        <f>COUNTIFS(รายชื่อจบส.!$A:$A,$B92,รายชื่อจบส.!$I:$I,"ผ่าน")</f>
        <v>5</v>
      </c>
      <c r="F92" s="10">
        <f t="shared" si="2"/>
        <v>-1</v>
      </c>
      <c r="G92" s="10">
        <f t="shared" si="3"/>
        <v>0</v>
      </c>
      <c r="H92" s="10">
        <f>_xlfn.MAXIFS(รายชื่อจบส.!$L:$L,รายชื่อจบส.!$A:$A,$B92)</f>
        <v>4</v>
      </c>
    </row>
    <row r="93" spans="1:8" ht="17.5" thickBot="1" x14ac:dyDescent="0.65">
      <c r="A93" s="4" t="s">
        <v>4374</v>
      </c>
      <c r="B93" s="5" t="s">
        <v>3074</v>
      </c>
      <c r="C93" s="5" t="s">
        <v>4395</v>
      </c>
      <c r="D93" s="10">
        <f>COUNTIF(รายชื่อจบส.!$A:$A,$B93)</f>
        <v>4</v>
      </c>
      <c r="E93" s="10">
        <f>COUNTIFS(รายชื่อจบส.!$A:$A,$B93,รายชื่อจบส.!$I:$I,"ผ่าน")</f>
        <v>1</v>
      </c>
      <c r="F93" s="10">
        <f t="shared" si="2"/>
        <v>-3</v>
      </c>
      <c r="G93" s="10">
        <f t="shared" si="3"/>
        <v>0</v>
      </c>
      <c r="H93" s="10">
        <f>_xlfn.MAXIFS(รายชื่อจบส.!$L:$L,รายชื่อจบส.!$A:$A,$B93)</f>
        <v>10</v>
      </c>
    </row>
    <row r="94" spans="1:8" ht="17.5" thickBot="1" x14ac:dyDescent="0.65">
      <c r="A94" s="4" t="s">
        <v>4374</v>
      </c>
      <c r="B94" s="5" t="s">
        <v>3063</v>
      </c>
      <c r="C94" s="5" t="s">
        <v>4396</v>
      </c>
      <c r="D94" s="10">
        <f>COUNTIF(รายชื่อจบส.!$A:$A,$B94)</f>
        <v>2</v>
      </c>
      <c r="E94" s="10">
        <f>COUNTIFS(รายชื่อจบส.!$A:$A,$B94,รายชื่อจบส.!$I:$I,"ผ่าน")</f>
        <v>2</v>
      </c>
      <c r="F94" s="10">
        <f t="shared" si="2"/>
        <v>0</v>
      </c>
      <c r="G94" s="10">
        <f t="shared" si="3"/>
        <v>2</v>
      </c>
      <c r="H94" s="10">
        <f>_xlfn.MAXIFS(รายชื่อจบส.!$L:$L,รายชื่อจบส.!$A:$A,$B94)</f>
        <v>10</v>
      </c>
    </row>
    <row r="95" spans="1:8" ht="17.5" thickBot="1" x14ac:dyDescent="0.65">
      <c r="A95" s="4" t="s">
        <v>4374</v>
      </c>
      <c r="B95" s="5" t="s">
        <v>2889</v>
      </c>
      <c r="C95" s="5" t="s">
        <v>4397</v>
      </c>
      <c r="D95" s="10">
        <f>COUNTIF(รายชื่อจบส.!$A:$A,$B95)</f>
        <v>7</v>
      </c>
      <c r="E95" s="10">
        <f>COUNTIFS(รายชื่อจบส.!$A:$A,$B95,รายชื่อจบส.!$I:$I,"ผ่าน")</f>
        <v>4</v>
      </c>
      <c r="F95" s="10">
        <f t="shared" si="2"/>
        <v>-3</v>
      </c>
      <c r="G95" s="10">
        <f t="shared" si="3"/>
        <v>0</v>
      </c>
      <c r="H95" s="10">
        <f>_xlfn.MAXIFS(รายชื่อจบส.!$L:$L,รายชื่อจบส.!$A:$A,$B95)</f>
        <v>3</v>
      </c>
    </row>
    <row r="96" spans="1:8" ht="17.5" thickBot="1" x14ac:dyDescent="0.65">
      <c r="A96" s="4" t="s">
        <v>4374</v>
      </c>
      <c r="B96" s="5" t="s">
        <v>2890</v>
      </c>
      <c r="C96" s="5" t="s">
        <v>2568</v>
      </c>
      <c r="D96" s="10">
        <f>COUNTIF(รายชื่อจบส.!$A:$A,$B96)</f>
        <v>9</v>
      </c>
      <c r="E96" s="10">
        <f>COUNTIFS(รายชื่อจบส.!$A:$A,$B96,รายชื่อจบส.!$I:$I,"ผ่าน")</f>
        <v>3</v>
      </c>
      <c r="F96" s="10">
        <f t="shared" si="2"/>
        <v>-6</v>
      </c>
      <c r="G96" s="10">
        <f t="shared" si="3"/>
        <v>0</v>
      </c>
      <c r="H96" s="10">
        <f>_xlfn.MAXIFS(รายชื่อจบส.!$L:$L,รายชื่อจบส.!$A:$A,$B96)</f>
        <v>3</v>
      </c>
    </row>
    <row r="97" spans="1:8" ht="17.5" thickBot="1" x14ac:dyDescent="0.65">
      <c r="A97" s="4" t="s">
        <v>4374</v>
      </c>
      <c r="B97" s="5" t="s">
        <v>3062</v>
      </c>
      <c r="C97" s="5" t="s">
        <v>4398</v>
      </c>
      <c r="D97" s="10">
        <f>COUNTIF(รายชื่อจบส.!$A:$A,$B97)</f>
        <v>9</v>
      </c>
      <c r="E97" s="10">
        <f>COUNTIFS(รายชื่อจบส.!$A:$A,$B97,รายชื่อจบส.!$I:$I,"ผ่าน")</f>
        <v>6</v>
      </c>
      <c r="F97" s="10">
        <f t="shared" si="2"/>
        <v>-3</v>
      </c>
      <c r="G97" s="10">
        <f t="shared" si="3"/>
        <v>0</v>
      </c>
      <c r="H97" s="10">
        <f>_xlfn.MAXIFS(รายชื่อจบส.!$L:$L,รายชื่อจบส.!$A:$A,$B97)</f>
        <v>9</v>
      </c>
    </row>
    <row r="98" spans="1:8" ht="17.5" thickBot="1" x14ac:dyDescent="0.65">
      <c r="A98" s="4" t="s">
        <v>4374</v>
      </c>
      <c r="B98" s="5" t="s">
        <v>2891</v>
      </c>
      <c r="C98" s="5" t="s">
        <v>4399</v>
      </c>
      <c r="D98" s="10">
        <f>COUNTIF(รายชื่อจบส.!$A:$A,$B98)</f>
        <v>6</v>
      </c>
      <c r="E98" s="10">
        <f>COUNTIFS(รายชื่อจบส.!$A:$A,$B98,รายชื่อจบส.!$I:$I,"ผ่าน")</f>
        <v>2</v>
      </c>
      <c r="F98" s="10">
        <f t="shared" si="2"/>
        <v>-4</v>
      </c>
      <c r="G98" s="10">
        <f t="shared" si="3"/>
        <v>0</v>
      </c>
      <c r="H98" s="10">
        <f>_xlfn.MAXIFS(รายชื่อจบส.!$L:$L,รายชื่อจบส.!$A:$A,$B98)</f>
        <v>3</v>
      </c>
    </row>
    <row r="99" spans="1:8" ht="17.5" thickBot="1" x14ac:dyDescent="0.65">
      <c r="A99" s="4" t="s">
        <v>4374</v>
      </c>
      <c r="B99" s="5" t="s">
        <v>2892</v>
      </c>
      <c r="C99" s="5" t="s">
        <v>4400</v>
      </c>
      <c r="D99" s="10">
        <f>COUNTIF(รายชื่อจบส.!$A:$A,$B99)</f>
        <v>8</v>
      </c>
      <c r="E99" s="10">
        <f>COUNTIFS(รายชื่อจบส.!$A:$A,$B99,รายชื่อจบส.!$I:$I,"ผ่าน")</f>
        <v>8</v>
      </c>
      <c r="F99" s="10">
        <f t="shared" si="2"/>
        <v>0</v>
      </c>
      <c r="G99" s="10">
        <f t="shared" si="3"/>
        <v>3</v>
      </c>
      <c r="H99" s="10">
        <f>_xlfn.MAXIFS(รายชื่อจบส.!$L:$L,รายชื่อจบส.!$A:$A,$B99)</f>
        <v>5</v>
      </c>
    </row>
    <row r="100" spans="1:8" ht="17.5" thickBot="1" x14ac:dyDescent="0.65">
      <c r="A100" s="4" t="s">
        <v>4374</v>
      </c>
      <c r="B100" s="5" t="s">
        <v>2893</v>
      </c>
      <c r="C100" s="5" t="s">
        <v>4401</v>
      </c>
      <c r="D100" s="10">
        <f>COUNTIF(รายชื่อจบส.!$A:$A,$B100)</f>
        <v>2</v>
      </c>
      <c r="E100" s="10">
        <f>COUNTIFS(รายชื่อจบส.!$A:$A,$B100,รายชื่อจบส.!$I:$I,"ผ่าน")</f>
        <v>1</v>
      </c>
      <c r="F100" s="10">
        <f t="shared" si="2"/>
        <v>-1</v>
      </c>
      <c r="G100" s="10">
        <f t="shared" si="3"/>
        <v>0</v>
      </c>
      <c r="H100" s="10">
        <f>_xlfn.MAXIFS(รายชื่อจบส.!$L:$L,รายชื่อจบส.!$A:$A,$B100)</f>
        <v>5</v>
      </c>
    </row>
    <row r="101" spans="1:8" ht="17.5" thickBot="1" x14ac:dyDescent="0.65">
      <c r="A101" s="4" t="s">
        <v>4374</v>
      </c>
      <c r="B101" s="5" t="s">
        <v>2894</v>
      </c>
      <c r="C101" s="5" t="s">
        <v>4402</v>
      </c>
      <c r="D101" s="10">
        <f>COUNTIF(รายชื่อจบส.!$A:$A,$B101)</f>
        <v>6</v>
      </c>
      <c r="E101" s="10">
        <f>COUNTIFS(รายชื่อจบส.!$A:$A,$B101,รายชื่อจบส.!$I:$I,"ผ่าน")</f>
        <v>0</v>
      </c>
      <c r="F101" s="10">
        <f t="shared" si="2"/>
        <v>-6</v>
      </c>
      <c r="G101" s="10">
        <f t="shared" si="3"/>
        <v>0</v>
      </c>
      <c r="H101" s="10">
        <f>_xlfn.MAXIFS(รายชื่อจบส.!$L:$L,รายชื่อจบส.!$A:$A,$B101)</f>
        <v>0</v>
      </c>
    </row>
    <row r="102" spans="1:8" ht="17.5" thickBot="1" x14ac:dyDescent="0.65">
      <c r="A102" s="4" t="s">
        <v>4374</v>
      </c>
      <c r="B102" s="5" t="s">
        <v>4403</v>
      </c>
      <c r="C102" s="5" t="s">
        <v>4404</v>
      </c>
      <c r="D102" s="10">
        <f>COUNTIF(รายชื่อจบส.!$A:$A,$B102)</f>
        <v>0</v>
      </c>
      <c r="E102" s="10">
        <f>COUNTIFS(รายชื่อจบส.!$A:$A,$B102,รายชื่อจบส.!$I:$I,"ผ่าน")</f>
        <v>0</v>
      </c>
      <c r="F102" s="10">
        <f t="shared" si="2"/>
        <v>0</v>
      </c>
      <c r="G102" s="10">
        <f t="shared" si="3"/>
        <v>0</v>
      </c>
      <c r="H102" s="10">
        <f>_xlfn.MAXIFS(รายชื่อจบส.!$L:$L,รายชื่อจบส.!$A:$A,$B102)</f>
        <v>0</v>
      </c>
    </row>
    <row r="103" spans="1:8" ht="17.5" thickBot="1" x14ac:dyDescent="0.65">
      <c r="A103" s="4" t="s">
        <v>4374</v>
      </c>
      <c r="B103" s="5" t="s">
        <v>2895</v>
      </c>
      <c r="C103" s="5" t="s">
        <v>4405</v>
      </c>
      <c r="D103" s="10">
        <f>COUNTIF(รายชื่อจบส.!$A:$A,$B103)</f>
        <v>4</v>
      </c>
      <c r="E103" s="10">
        <f>COUNTIFS(รายชื่อจบส.!$A:$A,$B103,รายชื่อจบส.!$I:$I,"ผ่าน")</f>
        <v>2</v>
      </c>
      <c r="F103" s="10">
        <f t="shared" si="2"/>
        <v>-2</v>
      </c>
      <c r="G103" s="10">
        <f t="shared" si="3"/>
        <v>0</v>
      </c>
      <c r="H103" s="10">
        <f>_xlfn.MAXIFS(รายชื่อจบส.!$L:$L,รายชื่อจบส.!$A:$A,$B103)</f>
        <v>9</v>
      </c>
    </row>
    <row r="104" spans="1:8" ht="17.5" thickBot="1" x14ac:dyDescent="0.65">
      <c r="A104" s="4" t="s">
        <v>4374</v>
      </c>
      <c r="B104" s="5" t="s">
        <v>2896</v>
      </c>
      <c r="C104" s="5" t="s">
        <v>4406</v>
      </c>
      <c r="D104" s="10">
        <f>COUNTIF(รายชื่อจบส.!$A:$A,$B104)</f>
        <v>11</v>
      </c>
      <c r="E104" s="10">
        <f>COUNTIFS(รายชื่อจบส.!$A:$A,$B104,รายชื่อจบส.!$I:$I,"ผ่าน")</f>
        <v>5</v>
      </c>
      <c r="F104" s="10">
        <f t="shared" si="2"/>
        <v>-6</v>
      </c>
      <c r="G104" s="10">
        <f t="shared" si="3"/>
        <v>0</v>
      </c>
      <c r="H104" s="10">
        <f>_xlfn.MAXIFS(รายชื่อจบส.!$L:$L,รายชื่อจบส.!$A:$A,$B104)</f>
        <v>4</v>
      </c>
    </row>
    <row r="105" spans="1:8" ht="17.5" thickBot="1" x14ac:dyDescent="0.65">
      <c r="A105" s="4" t="s">
        <v>4374</v>
      </c>
      <c r="B105" s="5" t="s">
        <v>2897</v>
      </c>
      <c r="C105" s="5" t="s">
        <v>4407</v>
      </c>
      <c r="D105" s="10">
        <f>COUNTIF(รายชื่อจบส.!$A:$A,$B105)</f>
        <v>5</v>
      </c>
      <c r="E105" s="10">
        <f>COUNTIFS(รายชื่อจบส.!$A:$A,$B105,รายชื่อจบส.!$I:$I,"ผ่าน")</f>
        <v>5</v>
      </c>
      <c r="F105" s="10">
        <f t="shared" si="2"/>
        <v>0</v>
      </c>
      <c r="G105" s="10">
        <f t="shared" si="3"/>
        <v>3</v>
      </c>
      <c r="H105" s="10">
        <f>_xlfn.MAXIFS(รายชื่อจบส.!$L:$L,รายชื่อจบส.!$A:$A,$B105)</f>
        <v>5</v>
      </c>
    </row>
    <row r="106" spans="1:8" ht="17.5" thickBot="1" x14ac:dyDescent="0.65">
      <c r="A106" s="4" t="s">
        <v>4374</v>
      </c>
      <c r="B106" s="5" t="s">
        <v>2898</v>
      </c>
      <c r="C106" s="5" t="s">
        <v>4408</v>
      </c>
      <c r="D106" s="10">
        <f>COUNTIF(รายชื่อจบส.!$A:$A,$B106)</f>
        <v>4</v>
      </c>
      <c r="E106" s="10">
        <f>COUNTIFS(รายชื่อจบส.!$A:$A,$B106,รายชื่อจบส.!$I:$I,"ผ่าน")</f>
        <v>3</v>
      </c>
      <c r="F106" s="10">
        <f t="shared" si="2"/>
        <v>-1</v>
      </c>
      <c r="G106" s="10">
        <f t="shared" si="3"/>
        <v>0</v>
      </c>
      <c r="H106" s="10">
        <f>_xlfn.MAXIFS(รายชื่อจบส.!$L:$L,รายชื่อจบส.!$A:$A,$B106)</f>
        <v>5</v>
      </c>
    </row>
    <row r="107" spans="1:8" ht="17.5" thickBot="1" x14ac:dyDescent="0.65">
      <c r="A107" s="4" t="s">
        <v>4374</v>
      </c>
      <c r="B107" s="5" t="s">
        <v>2899</v>
      </c>
      <c r="C107" s="5" t="s">
        <v>4409</v>
      </c>
      <c r="D107" s="10">
        <f>COUNTIF(รายชื่อจบส.!$A:$A,$B107)</f>
        <v>3</v>
      </c>
      <c r="E107" s="10">
        <f>COUNTIFS(รายชื่อจบส.!$A:$A,$B107,รายชื่อจบส.!$I:$I,"ผ่าน")</f>
        <v>3</v>
      </c>
      <c r="F107" s="10">
        <f t="shared" si="2"/>
        <v>0</v>
      </c>
      <c r="G107" s="10">
        <f t="shared" si="3"/>
        <v>3</v>
      </c>
      <c r="H107" s="10">
        <f>_xlfn.MAXIFS(รายชื่อจบส.!$L:$L,รายชื่อจบส.!$A:$A,$B107)</f>
        <v>5</v>
      </c>
    </row>
    <row r="108" spans="1:8" ht="17.5" thickBot="1" x14ac:dyDescent="0.65">
      <c r="A108" s="4" t="s">
        <v>4374</v>
      </c>
      <c r="B108" s="5" t="s">
        <v>4410</v>
      </c>
      <c r="C108" s="5" t="s">
        <v>4411</v>
      </c>
      <c r="D108" s="10">
        <f>COUNTIF(รายชื่อจบส.!$A:$A,$B108)</f>
        <v>0</v>
      </c>
      <c r="E108" s="10">
        <f>COUNTIFS(รายชื่อจบส.!$A:$A,$B108,รายชื่อจบส.!$I:$I,"ผ่าน")</f>
        <v>0</v>
      </c>
      <c r="F108" s="10">
        <f t="shared" si="2"/>
        <v>0</v>
      </c>
      <c r="G108" s="10">
        <f t="shared" si="3"/>
        <v>0</v>
      </c>
      <c r="H108" s="10">
        <f>_xlfn.MAXIFS(รายชื่อจบส.!$L:$L,รายชื่อจบส.!$A:$A,$B108)</f>
        <v>0</v>
      </c>
    </row>
    <row r="109" spans="1:8" ht="17.5" thickBot="1" x14ac:dyDescent="0.65">
      <c r="A109" s="4" t="s">
        <v>4374</v>
      </c>
      <c r="B109" s="5" t="s">
        <v>2900</v>
      </c>
      <c r="C109" s="5" t="s">
        <v>4412</v>
      </c>
      <c r="D109" s="10">
        <f>COUNTIF(รายชื่อจบส.!$A:$A,$B109)</f>
        <v>6</v>
      </c>
      <c r="E109" s="10">
        <f>COUNTIFS(รายชื่อจบส.!$A:$A,$B109,รายชื่อจบส.!$I:$I,"ผ่าน")</f>
        <v>6</v>
      </c>
      <c r="F109" s="10">
        <f t="shared" si="2"/>
        <v>0</v>
      </c>
      <c r="G109" s="10">
        <f t="shared" si="3"/>
        <v>3</v>
      </c>
      <c r="H109" s="10">
        <f>_xlfn.MAXIFS(รายชื่อจบส.!$L:$L,รายชื่อจบส.!$A:$A,$B109)</f>
        <v>4</v>
      </c>
    </row>
    <row r="110" spans="1:8" ht="17.5" thickBot="1" x14ac:dyDescent="0.65">
      <c r="A110" s="4" t="s">
        <v>4374</v>
      </c>
      <c r="B110" s="5" t="s">
        <v>2901</v>
      </c>
      <c r="C110" s="5" t="s">
        <v>4413</v>
      </c>
      <c r="D110" s="10">
        <f>COUNTIF(รายชื่อจบส.!$A:$A,$B110)</f>
        <v>6</v>
      </c>
      <c r="E110" s="10">
        <f>COUNTIFS(รายชื่อจบส.!$A:$A,$B110,รายชื่อจบส.!$I:$I,"ผ่าน")</f>
        <v>5</v>
      </c>
      <c r="F110" s="10">
        <f t="shared" si="2"/>
        <v>-1</v>
      </c>
      <c r="G110" s="10">
        <f t="shared" si="3"/>
        <v>0</v>
      </c>
      <c r="H110" s="10">
        <f>_xlfn.MAXIFS(รายชื่อจบส.!$L:$L,รายชื่อจบส.!$A:$A,$B110)</f>
        <v>4</v>
      </c>
    </row>
    <row r="111" spans="1:8" ht="17.5" thickBot="1" x14ac:dyDescent="0.65">
      <c r="A111" s="4" t="s">
        <v>4374</v>
      </c>
      <c r="B111" s="5" t="s">
        <v>2902</v>
      </c>
      <c r="C111" s="5" t="s">
        <v>4414</v>
      </c>
      <c r="D111" s="10">
        <f>COUNTIF(รายชื่อจบส.!$A:$A,$B111)</f>
        <v>0</v>
      </c>
      <c r="E111" s="10">
        <f>COUNTIFS(รายชื่อจบส.!$A:$A,$B111,รายชื่อจบส.!$I:$I,"ผ่าน")</f>
        <v>0</v>
      </c>
      <c r="F111" s="10">
        <f t="shared" si="2"/>
        <v>0</v>
      </c>
      <c r="G111" s="10">
        <f t="shared" si="3"/>
        <v>0</v>
      </c>
      <c r="H111" s="10">
        <f>_xlfn.MAXIFS(รายชื่อจบส.!$L:$L,รายชื่อจบส.!$A:$A,$B111)</f>
        <v>0</v>
      </c>
    </row>
    <row r="112" spans="1:8" ht="17.5" thickBot="1" x14ac:dyDescent="0.65">
      <c r="A112" s="4" t="s">
        <v>4374</v>
      </c>
      <c r="B112" s="5" t="s">
        <v>4415</v>
      </c>
      <c r="C112" s="5" t="s">
        <v>4416</v>
      </c>
      <c r="D112" s="10">
        <f>COUNTIF(รายชื่อจบส.!$A:$A,$B112)</f>
        <v>0</v>
      </c>
      <c r="E112" s="10">
        <f>COUNTIFS(รายชื่อจบส.!$A:$A,$B112,รายชื่อจบส.!$I:$I,"ผ่าน")</f>
        <v>0</v>
      </c>
      <c r="F112" s="10">
        <f t="shared" si="2"/>
        <v>0</v>
      </c>
      <c r="G112" s="10">
        <f t="shared" si="3"/>
        <v>0</v>
      </c>
      <c r="H112" s="10">
        <f>_xlfn.MAXIFS(รายชื่อจบส.!$L:$L,รายชื่อจบส.!$A:$A,$B112)</f>
        <v>0</v>
      </c>
    </row>
    <row r="113" spans="1:8" ht="17.5" thickBot="1" x14ac:dyDescent="0.65">
      <c r="A113" s="4" t="s">
        <v>4417</v>
      </c>
      <c r="B113" s="5" t="s">
        <v>2903</v>
      </c>
      <c r="C113" s="5" t="s">
        <v>4418</v>
      </c>
      <c r="D113" s="10">
        <f>COUNTIF(รายชื่อจบส.!$A:$A,$B113)</f>
        <v>3</v>
      </c>
      <c r="E113" s="10">
        <f>COUNTIFS(รายชื่อจบส.!$A:$A,$B113,รายชื่อจบส.!$I:$I,"ผ่าน")</f>
        <v>2</v>
      </c>
      <c r="F113" s="10">
        <f t="shared" si="2"/>
        <v>-1</v>
      </c>
      <c r="G113" s="10">
        <f t="shared" si="3"/>
        <v>0</v>
      </c>
      <c r="H113" s="10">
        <f>_xlfn.MAXIFS(รายชื่อจบส.!$L:$L,รายชื่อจบส.!$A:$A,$B113)</f>
        <v>9</v>
      </c>
    </row>
    <row r="114" spans="1:8" ht="17.5" thickBot="1" x14ac:dyDescent="0.65">
      <c r="A114" s="4" t="s">
        <v>4417</v>
      </c>
      <c r="B114" s="5" t="s">
        <v>2904</v>
      </c>
      <c r="C114" s="5" t="s">
        <v>4419</v>
      </c>
      <c r="D114" s="10">
        <f>COUNTIF(รายชื่อจบส.!$A:$A,$B114)</f>
        <v>5</v>
      </c>
      <c r="E114" s="10">
        <f>COUNTIFS(รายชื่อจบส.!$A:$A,$B114,รายชื่อจบส.!$I:$I,"ผ่าน")</f>
        <v>5</v>
      </c>
      <c r="F114" s="10">
        <f t="shared" si="2"/>
        <v>0</v>
      </c>
      <c r="G114" s="10">
        <f t="shared" si="3"/>
        <v>3</v>
      </c>
      <c r="H114" s="10">
        <f>_xlfn.MAXIFS(รายชื่อจบส.!$L:$L,รายชื่อจบส.!$A:$A,$B114)</f>
        <v>6</v>
      </c>
    </row>
    <row r="115" spans="1:8" ht="17.5" thickBot="1" x14ac:dyDescent="0.65">
      <c r="A115" s="4" t="s">
        <v>4417</v>
      </c>
      <c r="B115" s="5" t="s">
        <v>2941</v>
      </c>
      <c r="C115" s="5" t="s">
        <v>4420</v>
      </c>
      <c r="D115" s="10">
        <f>COUNTIF(รายชื่อจบส.!$A:$A,$B115)</f>
        <v>6</v>
      </c>
      <c r="E115" s="10">
        <f>COUNTIFS(รายชื่อจบส.!$A:$A,$B115,รายชื่อจบส.!$I:$I,"ผ่าน")</f>
        <v>0</v>
      </c>
      <c r="F115" s="10">
        <f t="shared" si="2"/>
        <v>-6</v>
      </c>
      <c r="G115" s="10">
        <f t="shared" si="3"/>
        <v>0</v>
      </c>
      <c r="H115" s="10">
        <f>_xlfn.MAXIFS(รายชื่อจบส.!$L:$L,รายชื่อจบส.!$A:$A,$B115)</f>
        <v>0</v>
      </c>
    </row>
    <row r="116" spans="1:8" ht="17.5" thickBot="1" x14ac:dyDescent="0.65">
      <c r="A116" s="4" t="s">
        <v>4417</v>
      </c>
      <c r="B116" s="5" t="s">
        <v>2905</v>
      </c>
      <c r="C116" s="5" t="s">
        <v>4421</v>
      </c>
      <c r="D116" s="10">
        <f>COUNTIF(รายชื่อจบส.!$A:$A,$B116)</f>
        <v>4</v>
      </c>
      <c r="E116" s="10">
        <f>COUNTIFS(รายชื่อจบส.!$A:$A,$B116,รายชื่อจบส.!$I:$I,"ผ่าน")</f>
        <v>3</v>
      </c>
      <c r="F116" s="10">
        <f t="shared" si="2"/>
        <v>-1</v>
      </c>
      <c r="G116" s="10">
        <f t="shared" si="3"/>
        <v>0</v>
      </c>
      <c r="H116" s="10">
        <f>_xlfn.MAXIFS(รายชื่อจบส.!$L:$L,รายชื่อจบส.!$A:$A,$B116)</f>
        <v>9</v>
      </c>
    </row>
    <row r="117" spans="1:8" ht="17.5" thickBot="1" x14ac:dyDescent="0.65">
      <c r="A117" s="4" t="s">
        <v>4422</v>
      </c>
      <c r="B117" s="5" t="s">
        <v>2906</v>
      </c>
      <c r="C117" s="5" t="s">
        <v>4423</v>
      </c>
      <c r="D117" s="10">
        <f>COUNTIF(รายชื่อจบส.!$A:$A,$B117)</f>
        <v>8</v>
      </c>
      <c r="E117" s="10">
        <f>COUNTIFS(รายชื่อจบส.!$A:$A,$B117,รายชื่อจบส.!$I:$I,"ผ่าน")</f>
        <v>6</v>
      </c>
      <c r="F117" s="10">
        <f t="shared" si="2"/>
        <v>-2</v>
      </c>
      <c r="G117" s="10">
        <f t="shared" si="3"/>
        <v>0</v>
      </c>
      <c r="H117" s="10">
        <f>_xlfn.MAXIFS(รายชื่อจบส.!$L:$L,รายชื่อจบส.!$A:$A,$B117)</f>
        <v>6</v>
      </c>
    </row>
    <row r="118" spans="1:8" ht="17.5" thickBot="1" x14ac:dyDescent="0.65">
      <c r="A118" s="4" t="s">
        <v>4422</v>
      </c>
      <c r="B118" s="5" t="s">
        <v>2907</v>
      </c>
      <c r="C118" s="5" t="s">
        <v>4424</v>
      </c>
      <c r="D118" s="10">
        <f>COUNTIF(รายชื่อจบส.!$A:$A,$B118)</f>
        <v>10</v>
      </c>
      <c r="E118" s="10">
        <f>COUNTIFS(รายชื่อจบส.!$A:$A,$B118,รายชื่อจบส.!$I:$I,"ผ่าน")</f>
        <v>3</v>
      </c>
      <c r="F118" s="10">
        <f t="shared" si="2"/>
        <v>-7</v>
      </c>
      <c r="G118" s="10">
        <f t="shared" si="3"/>
        <v>0</v>
      </c>
      <c r="H118" s="10">
        <f>_xlfn.MAXIFS(รายชื่อจบส.!$L:$L,รายชื่อจบส.!$A:$A,$B118)</f>
        <v>5</v>
      </c>
    </row>
    <row r="119" spans="1:8" ht="17.5" thickBot="1" x14ac:dyDescent="0.65">
      <c r="A119" s="4" t="s">
        <v>4422</v>
      </c>
      <c r="B119" s="5" t="s">
        <v>2908</v>
      </c>
      <c r="C119" s="5" t="s">
        <v>4425</v>
      </c>
      <c r="D119" s="10">
        <f>COUNTIF(รายชื่อจบส.!$A:$A,$B119)</f>
        <v>2</v>
      </c>
      <c r="E119" s="10">
        <f>COUNTIFS(รายชื่อจบส.!$A:$A,$B119,รายชื่อจบส.!$I:$I,"ผ่าน")</f>
        <v>2</v>
      </c>
      <c r="F119" s="10">
        <f t="shared" si="2"/>
        <v>0</v>
      </c>
      <c r="G119" s="10">
        <f t="shared" si="3"/>
        <v>3</v>
      </c>
      <c r="H119" s="10">
        <f>_xlfn.MAXIFS(รายชื่อจบส.!$L:$L,รายชื่อจบส.!$A:$A,$B119)</f>
        <v>5</v>
      </c>
    </row>
    <row r="120" spans="1:8" ht="17.5" thickBot="1" x14ac:dyDescent="0.65">
      <c r="A120" s="4" t="s">
        <v>4422</v>
      </c>
      <c r="B120" s="5" t="s">
        <v>2909</v>
      </c>
      <c r="C120" s="5" t="s">
        <v>4426</v>
      </c>
      <c r="D120" s="10">
        <f>COUNTIF(รายชื่อจบส.!$A:$A,$B120)</f>
        <v>2</v>
      </c>
      <c r="E120" s="10">
        <f>COUNTIFS(รายชื่อจบส.!$A:$A,$B120,รายชื่อจบส.!$I:$I,"ผ่าน")</f>
        <v>1</v>
      </c>
      <c r="F120" s="10">
        <f t="shared" si="2"/>
        <v>-1</v>
      </c>
      <c r="G120" s="10">
        <f t="shared" si="3"/>
        <v>0</v>
      </c>
      <c r="H120" s="10">
        <f>_xlfn.MAXIFS(รายชื่อจบส.!$L:$L,รายชื่อจบส.!$A:$A,$B120)</f>
        <v>5</v>
      </c>
    </row>
    <row r="121" spans="1:8" ht="17.5" thickBot="1" x14ac:dyDescent="0.65">
      <c r="A121" s="4" t="s">
        <v>4422</v>
      </c>
      <c r="B121" s="5" t="s">
        <v>4427</v>
      </c>
      <c r="C121" s="5" t="s">
        <v>4428</v>
      </c>
      <c r="D121" s="10">
        <f>COUNTIF(รายชื่อจบส.!$A:$A,$B121)</f>
        <v>1</v>
      </c>
      <c r="E121" s="10">
        <f>COUNTIFS(รายชื่อจบส.!$A:$A,$B121,รายชื่อจบส.!$I:$I,"ผ่าน")</f>
        <v>0</v>
      </c>
      <c r="F121" s="10">
        <f t="shared" si="2"/>
        <v>-1</v>
      </c>
      <c r="G121" s="10">
        <f t="shared" si="3"/>
        <v>0</v>
      </c>
      <c r="H121" s="10">
        <f>_xlfn.MAXIFS(รายชื่อจบส.!$L:$L,รายชื่อจบส.!$A:$A,$B121)</f>
        <v>0</v>
      </c>
    </row>
    <row r="122" spans="1:8" ht="17.5" thickBot="1" x14ac:dyDescent="0.65">
      <c r="A122" s="4" t="s">
        <v>4422</v>
      </c>
      <c r="B122" s="5" t="s">
        <v>2910</v>
      </c>
      <c r="C122" s="5" t="s">
        <v>4429</v>
      </c>
      <c r="D122" s="10">
        <f>COUNTIF(รายชื่อจบส.!$A:$A,$B122)</f>
        <v>4</v>
      </c>
      <c r="E122" s="10">
        <f>COUNTIFS(รายชื่อจบส.!$A:$A,$B122,รายชื่อจบส.!$I:$I,"ผ่าน")</f>
        <v>4</v>
      </c>
      <c r="F122" s="10">
        <f t="shared" si="2"/>
        <v>0</v>
      </c>
      <c r="G122" s="10">
        <f t="shared" si="3"/>
        <v>3</v>
      </c>
      <c r="H122" s="10">
        <f>_xlfn.MAXIFS(รายชื่อจบส.!$L:$L,รายชื่อจบส.!$A:$A,$B122)</f>
        <v>2</v>
      </c>
    </row>
    <row r="123" spans="1:8" ht="17.5" thickBot="1" x14ac:dyDescent="0.65">
      <c r="A123" s="4" t="s">
        <v>4422</v>
      </c>
      <c r="B123" s="5" t="s">
        <v>2911</v>
      </c>
      <c r="C123" s="5" t="s">
        <v>4430</v>
      </c>
      <c r="D123" s="10">
        <f>COUNTIF(รายชื่อจบส.!$A:$A,$B123)</f>
        <v>2</v>
      </c>
      <c r="E123" s="10">
        <f>COUNTIFS(รายชื่อจบส.!$A:$A,$B123,รายชื่อจบส.!$I:$I,"ผ่าน")</f>
        <v>2</v>
      </c>
      <c r="F123" s="10">
        <f t="shared" si="2"/>
        <v>0</v>
      </c>
      <c r="G123" s="10">
        <f t="shared" si="3"/>
        <v>2</v>
      </c>
      <c r="H123" s="10">
        <f>_xlfn.MAXIFS(รายชื่อจบส.!$L:$L,รายชื่อจบส.!$A:$A,$B123)</f>
        <v>8</v>
      </c>
    </row>
    <row r="124" spans="1:8" ht="17.5" thickBot="1" x14ac:dyDescent="0.65">
      <c r="A124" s="4" t="s">
        <v>4422</v>
      </c>
      <c r="B124" s="5" t="s">
        <v>2912</v>
      </c>
      <c r="C124" s="5" t="s">
        <v>4431</v>
      </c>
      <c r="D124" s="10">
        <f>COUNTIF(รายชื่อจบส.!$A:$A,$B124)</f>
        <v>2</v>
      </c>
      <c r="E124" s="10">
        <f>COUNTIFS(รายชื่อจบส.!$A:$A,$B124,รายชื่อจบส.!$I:$I,"ผ่าน")</f>
        <v>1</v>
      </c>
      <c r="F124" s="10">
        <f t="shared" si="2"/>
        <v>-1</v>
      </c>
      <c r="G124" s="10">
        <f t="shared" si="3"/>
        <v>0</v>
      </c>
      <c r="H124" s="10">
        <f>_xlfn.MAXIFS(รายชื่อจบส.!$L:$L,รายชื่อจบส.!$A:$A,$B124)</f>
        <v>2</v>
      </c>
    </row>
    <row r="125" spans="1:8" ht="17.5" thickBot="1" x14ac:dyDescent="0.65">
      <c r="A125" s="4" t="s">
        <v>4422</v>
      </c>
      <c r="B125" s="5" t="s">
        <v>2913</v>
      </c>
      <c r="C125" s="5" t="s">
        <v>4432</v>
      </c>
      <c r="D125" s="10">
        <f>COUNTIF(รายชื่อจบส.!$A:$A,$B125)</f>
        <v>4</v>
      </c>
      <c r="E125" s="10">
        <f>COUNTIFS(รายชื่อจบส.!$A:$A,$B125,รายชื่อจบส.!$I:$I,"ผ่าน")</f>
        <v>4</v>
      </c>
      <c r="F125" s="10">
        <f t="shared" si="2"/>
        <v>0</v>
      </c>
      <c r="G125" s="10">
        <f t="shared" si="3"/>
        <v>3</v>
      </c>
      <c r="H125" s="10">
        <f>_xlfn.MAXIFS(รายชื่อจบส.!$L:$L,รายชื่อจบส.!$A:$A,$B125)</f>
        <v>2</v>
      </c>
    </row>
    <row r="126" spans="1:8" ht="17.5" thickBot="1" x14ac:dyDescent="0.65">
      <c r="A126" s="4" t="s">
        <v>4422</v>
      </c>
      <c r="B126" s="5" t="s">
        <v>2914</v>
      </c>
      <c r="C126" s="5" t="s">
        <v>5215</v>
      </c>
      <c r="D126" s="10">
        <f>COUNTIF(รายชื่อจบส.!$A:$A,$B126)</f>
        <v>5</v>
      </c>
      <c r="E126" s="10">
        <f>COUNTIFS(รายชื่อจบส.!$A:$A,$B126,รายชื่อจบส.!$I:$I,"ผ่าน")</f>
        <v>4</v>
      </c>
      <c r="F126" s="10">
        <f t="shared" si="2"/>
        <v>-1</v>
      </c>
      <c r="G126" s="10">
        <f t="shared" si="3"/>
        <v>0</v>
      </c>
      <c r="H126" s="10">
        <f>_xlfn.MAXIFS(รายชื่อจบส.!$L:$L,รายชื่อจบส.!$A:$A,$B126)</f>
        <v>2</v>
      </c>
    </row>
    <row r="127" spans="1:8" ht="17.5" thickBot="1" x14ac:dyDescent="0.65">
      <c r="A127" s="4" t="s">
        <v>4422</v>
      </c>
      <c r="B127" s="5" t="s">
        <v>2915</v>
      </c>
      <c r="C127" s="5" t="s">
        <v>4433</v>
      </c>
      <c r="D127" s="10">
        <f>COUNTIF(รายชื่อจบส.!$A:$A,$B127)</f>
        <v>3</v>
      </c>
      <c r="E127" s="10">
        <f>COUNTIFS(รายชื่อจบส.!$A:$A,$B127,รายชื่อจบส.!$I:$I,"ผ่าน")</f>
        <v>3</v>
      </c>
      <c r="F127" s="10">
        <f t="shared" si="2"/>
        <v>0</v>
      </c>
      <c r="G127" s="10">
        <f t="shared" si="3"/>
        <v>3</v>
      </c>
      <c r="H127" s="10">
        <f>_xlfn.MAXIFS(รายชื่อจบส.!$L:$L,รายชื่อจบส.!$A:$A,$B127)</f>
        <v>2</v>
      </c>
    </row>
    <row r="128" spans="1:8" ht="17.5" thickBot="1" x14ac:dyDescent="0.65">
      <c r="A128" s="4" t="s">
        <v>4422</v>
      </c>
      <c r="B128" s="5" t="s">
        <v>2916</v>
      </c>
      <c r="C128" s="5" t="s">
        <v>5269</v>
      </c>
      <c r="D128" s="10">
        <f>COUNTIF(รายชื่อจบส.!$A:$A,$B128)</f>
        <v>4</v>
      </c>
      <c r="E128" s="10">
        <f>COUNTIFS(รายชื่อจบส.!$A:$A,$B128,รายชื่อจบส.!$I:$I,"ผ่าน")</f>
        <v>2</v>
      </c>
      <c r="F128" s="10">
        <f t="shared" si="2"/>
        <v>-2</v>
      </c>
      <c r="G128" s="10">
        <f t="shared" si="3"/>
        <v>0</v>
      </c>
      <c r="H128" s="10">
        <f>_xlfn.MAXIFS(รายชื่อจบส.!$L:$L,รายชื่อจบส.!$A:$A,$B128)</f>
        <v>6</v>
      </c>
    </row>
    <row r="129" spans="1:8" ht="17.5" thickBot="1" x14ac:dyDescent="0.65">
      <c r="A129" s="4" t="s">
        <v>4422</v>
      </c>
      <c r="B129" s="5" t="s">
        <v>2917</v>
      </c>
      <c r="C129" s="5" t="s">
        <v>4434</v>
      </c>
      <c r="D129" s="10">
        <f>COUNTIF(รายชื่อจบส.!$A:$A,$B129)</f>
        <v>6</v>
      </c>
      <c r="E129" s="10">
        <f>COUNTIFS(รายชื่อจบส.!$A:$A,$B129,รายชื่อจบส.!$I:$I,"ผ่าน")</f>
        <v>3</v>
      </c>
      <c r="F129" s="10">
        <f t="shared" si="2"/>
        <v>-3</v>
      </c>
      <c r="G129" s="10">
        <f t="shared" si="3"/>
        <v>0</v>
      </c>
      <c r="H129" s="10">
        <f>_xlfn.MAXIFS(รายชื่อจบส.!$L:$L,รายชื่อจบส.!$A:$A,$B129)</f>
        <v>6</v>
      </c>
    </row>
    <row r="130" spans="1:8" ht="17.5" thickBot="1" x14ac:dyDescent="0.65">
      <c r="A130" s="4" t="s">
        <v>4422</v>
      </c>
      <c r="B130" s="5" t="s">
        <v>2918</v>
      </c>
      <c r="C130" s="5" t="s">
        <v>4435</v>
      </c>
      <c r="D130" s="10">
        <f>COUNTIF(รายชื่อจบส.!$A:$A,$B130)</f>
        <v>3</v>
      </c>
      <c r="E130" s="10">
        <f>COUNTIFS(รายชื่อจบส.!$A:$A,$B130,รายชื่อจบส.!$I:$I,"ผ่าน")</f>
        <v>1</v>
      </c>
      <c r="F130" s="10">
        <f t="shared" si="2"/>
        <v>-2</v>
      </c>
      <c r="G130" s="10">
        <f t="shared" si="3"/>
        <v>0</v>
      </c>
      <c r="H130" s="10">
        <f>_xlfn.MAXIFS(รายชื่อจบส.!$L:$L,รายชื่อจบส.!$A:$A,$B130)</f>
        <v>6</v>
      </c>
    </row>
    <row r="131" spans="1:8" ht="17.5" thickBot="1" x14ac:dyDescent="0.65">
      <c r="A131" s="4" t="s">
        <v>4422</v>
      </c>
      <c r="B131" s="5" t="s">
        <v>2919</v>
      </c>
      <c r="C131" s="5" t="s">
        <v>4436</v>
      </c>
      <c r="D131" s="10">
        <f>COUNTIF(รายชื่อจบส.!$A:$A,$B131)</f>
        <v>9</v>
      </c>
      <c r="E131" s="10">
        <f>COUNTIFS(รายชื่อจบส.!$A:$A,$B131,รายชื่อจบส.!$I:$I,"ผ่าน")</f>
        <v>6</v>
      </c>
      <c r="F131" s="10">
        <f t="shared" ref="F131:F194" si="4">E131-D131</f>
        <v>-3</v>
      </c>
      <c r="G131" s="10">
        <f t="shared" ref="G131:G194" si="5">IF(AND(D131&gt;0,F131=0,H131&lt;=7),3,IF(AND(D131&gt;0,F131=0,H131&lt;=11),2,IF(AND(D131&gt;0,F131=0,H131=12),1,0)))</f>
        <v>0</v>
      </c>
      <c r="H131" s="10">
        <f>_xlfn.MAXIFS(รายชื่อจบส.!$L:$L,รายชื่อจบส.!$A:$A,$B131)</f>
        <v>5</v>
      </c>
    </row>
    <row r="132" spans="1:8" ht="17.5" thickBot="1" x14ac:dyDescent="0.65">
      <c r="A132" s="4" t="s">
        <v>4422</v>
      </c>
      <c r="B132" s="5" t="s">
        <v>2920</v>
      </c>
      <c r="C132" s="5" t="s">
        <v>4437</v>
      </c>
      <c r="D132" s="10">
        <f>COUNTIF(รายชื่อจบส.!$A:$A,$B132)</f>
        <v>5</v>
      </c>
      <c r="E132" s="10">
        <f>COUNTIFS(รายชื่อจบส.!$A:$A,$B132,รายชื่อจบส.!$I:$I,"ผ่าน")</f>
        <v>5</v>
      </c>
      <c r="F132" s="10">
        <f t="shared" si="4"/>
        <v>0</v>
      </c>
      <c r="G132" s="10">
        <f t="shared" si="5"/>
        <v>3</v>
      </c>
      <c r="H132" s="10">
        <f>_xlfn.MAXIFS(รายชื่อจบส.!$L:$L,รายชื่อจบส.!$A:$A,$B132)</f>
        <v>5</v>
      </c>
    </row>
    <row r="133" spans="1:8" ht="17.5" thickBot="1" x14ac:dyDescent="0.65">
      <c r="A133" s="4" t="s">
        <v>4422</v>
      </c>
      <c r="B133" s="5" t="s">
        <v>2921</v>
      </c>
      <c r="C133" s="5" t="s">
        <v>4438</v>
      </c>
      <c r="D133" s="10">
        <f>COUNTIF(รายชื่อจบส.!$A:$A,$B133)</f>
        <v>6</v>
      </c>
      <c r="E133" s="10">
        <f>COUNTIFS(รายชื่อจบส.!$A:$A,$B133,รายชื่อจบส.!$I:$I,"ผ่าน")</f>
        <v>2</v>
      </c>
      <c r="F133" s="10">
        <f t="shared" si="4"/>
        <v>-4</v>
      </c>
      <c r="G133" s="10">
        <f t="shared" si="5"/>
        <v>0</v>
      </c>
      <c r="H133" s="10">
        <f>_xlfn.MAXIFS(รายชื่อจบส.!$L:$L,รายชื่อจบส.!$A:$A,$B133)</f>
        <v>5</v>
      </c>
    </row>
    <row r="134" spans="1:8" ht="17.5" thickBot="1" x14ac:dyDescent="0.65">
      <c r="A134" s="4" t="s">
        <v>4422</v>
      </c>
      <c r="B134" s="5" t="s">
        <v>2954</v>
      </c>
      <c r="C134" s="5" t="s">
        <v>4439</v>
      </c>
      <c r="D134" s="10">
        <f>COUNTIF(รายชื่อจบส.!$A:$A,$B134)</f>
        <v>2</v>
      </c>
      <c r="E134" s="10">
        <f>COUNTIFS(รายชื่อจบส.!$A:$A,$B134,รายชื่อจบส.!$I:$I,"ผ่าน")</f>
        <v>2</v>
      </c>
      <c r="F134" s="10">
        <f t="shared" si="4"/>
        <v>0</v>
      </c>
      <c r="G134" s="10">
        <f t="shared" si="5"/>
        <v>3</v>
      </c>
      <c r="H134" s="10">
        <f>_xlfn.MAXIFS(รายชื่อจบส.!$L:$L,รายชื่อจบส.!$A:$A,$B134)</f>
        <v>7</v>
      </c>
    </row>
    <row r="135" spans="1:8" ht="17.5" thickBot="1" x14ac:dyDescent="0.65">
      <c r="A135" s="4" t="s">
        <v>4422</v>
      </c>
      <c r="B135" s="5" t="s">
        <v>2922</v>
      </c>
      <c r="C135" s="5" t="s">
        <v>4440</v>
      </c>
      <c r="D135" s="10">
        <f>COUNTIF(รายชื่อจบส.!$A:$A,$B135)</f>
        <v>4</v>
      </c>
      <c r="E135" s="10">
        <f>COUNTIFS(รายชื่อจบส.!$A:$A,$B135,รายชื่อจบส.!$I:$I,"ผ่าน")</f>
        <v>4</v>
      </c>
      <c r="F135" s="10">
        <f t="shared" si="4"/>
        <v>0</v>
      </c>
      <c r="G135" s="10">
        <f t="shared" si="5"/>
        <v>3</v>
      </c>
      <c r="H135" s="10">
        <f>_xlfn.MAXIFS(รายชื่อจบส.!$L:$L,รายชื่อจบส.!$A:$A,$B135)</f>
        <v>2</v>
      </c>
    </row>
    <row r="136" spans="1:8" ht="17.5" thickBot="1" x14ac:dyDescent="0.65">
      <c r="A136" s="4" t="s">
        <v>4422</v>
      </c>
      <c r="B136" s="5" t="s">
        <v>2923</v>
      </c>
      <c r="C136" s="5" t="s">
        <v>4441</v>
      </c>
      <c r="D136" s="10">
        <f>COUNTIF(รายชื่อจบส.!$A:$A,$B136)</f>
        <v>6</v>
      </c>
      <c r="E136" s="10">
        <f>COUNTIFS(รายชื่อจบส.!$A:$A,$B136,รายชื่อจบส.!$I:$I,"ผ่าน")</f>
        <v>5</v>
      </c>
      <c r="F136" s="10">
        <f t="shared" si="4"/>
        <v>-1</v>
      </c>
      <c r="G136" s="10">
        <f t="shared" si="5"/>
        <v>0</v>
      </c>
      <c r="H136" s="10">
        <f>_xlfn.MAXIFS(รายชื่อจบส.!$L:$L,รายชื่อจบส.!$A:$A,$B136)</f>
        <v>3</v>
      </c>
    </row>
    <row r="137" spans="1:8" ht="17.5" thickBot="1" x14ac:dyDescent="0.65">
      <c r="A137" s="4" t="s">
        <v>4442</v>
      </c>
      <c r="B137" s="5" t="s">
        <v>2926</v>
      </c>
      <c r="C137" s="5" t="s">
        <v>4443</v>
      </c>
      <c r="D137" s="10">
        <f>COUNTIF(รายชื่อจบส.!$A:$A,$B137)</f>
        <v>15</v>
      </c>
      <c r="E137" s="10">
        <f>COUNTIFS(รายชื่อจบส.!$A:$A,$B137,รายชื่อจบส.!$I:$I,"ผ่าน")</f>
        <v>0</v>
      </c>
      <c r="F137" s="10">
        <f t="shared" si="4"/>
        <v>-15</v>
      </c>
      <c r="G137" s="10">
        <f t="shared" si="5"/>
        <v>0</v>
      </c>
      <c r="H137" s="10">
        <f>_xlfn.MAXIFS(รายชื่อจบส.!$L:$L,รายชื่อจบส.!$A:$A,$B137)</f>
        <v>0</v>
      </c>
    </row>
    <row r="138" spans="1:8" ht="17.5" thickBot="1" x14ac:dyDescent="0.65">
      <c r="A138" s="4" t="s">
        <v>4442</v>
      </c>
      <c r="B138" s="5" t="s">
        <v>2924</v>
      </c>
      <c r="C138" s="5" t="s">
        <v>4444</v>
      </c>
      <c r="D138" s="10">
        <f>COUNTIF(รายชื่อจบส.!$A:$A,$B138)</f>
        <v>2</v>
      </c>
      <c r="E138" s="10">
        <f>COUNTIFS(รายชื่อจบส.!$A:$A,$B138,รายชื่อจบส.!$I:$I,"ผ่าน")</f>
        <v>0</v>
      </c>
      <c r="F138" s="10">
        <f t="shared" si="4"/>
        <v>-2</v>
      </c>
      <c r="G138" s="10">
        <f t="shared" si="5"/>
        <v>0</v>
      </c>
      <c r="H138" s="10">
        <f>_xlfn.MAXIFS(รายชื่อจบส.!$L:$L,รายชื่อจบส.!$A:$A,$B138)</f>
        <v>0</v>
      </c>
    </row>
    <row r="139" spans="1:8" ht="17.5" thickBot="1" x14ac:dyDescent="0.65">
      <c r="A139" s="4" t="s">
        <v>4442</v>
      </c>
      <c r="B139" s="5" t="s">
        <v>2925</v>
      </c>
      <c r="C139" s="5" t="s">
        <v>4445</v>
      </c>
      <c r="D139" s="10">
        <f>COUNTIF(รายชื่อจบส.!$A:$A,$B139)</f>
        <v>8</v>
      </c>
      <c r="E139" s="10">
        <f>COUNTIFS(รายชื่อจบส.!$A:$A,$B139,รายชื่อจบส.!$I:$I,"ผ่าน")</f>
        <v>8</v>
      </c>
      <c r="F139" s="10">
        <f t="shared" si="4"/>
        <v>0</v>
      </c>
      <c r="G139" s="10">
        <f t="shared" si="5"/>
        <v>3</v>
      </c>
      <c r="H139" s="10">
        <f>_xlfn.MAXIFS(รายชื่อจบส.!$L:$L,รายชื่อจบส.!$A:$A,$B139)</f>
        <v>5</v>
      </c>
    </row>
    <row r="140" spans="1:8" ht="17.5" thickBot="1" x14ac:dyDescent="0.65">
      <c r="A140" s="4" t="s">
        <v>4442</v>
      </c>
      <c r="B140" s="5" t="s">
        <v>2927</v>
      </c>
      <c r="C140" s="5" t="s">
        <v>4446</v>
      </c>
      <c r="D140" s="10">
        <f>COUNTIF(รายชื่อจบส.!$A:$A,$B140)</f>
        <v>2</v>
      </c>
      <c r="E140" s="10">
        <f>COUNTIFS(รายชื่อจบส.!$A:$A,$B140,รายชื่อจบส.!$I:$I,"ผ่าน")</f>
        <v>2</v>
      </c>
      <c r="F140" s="10">
        <f t="shared" si="4"/>
        <v>0</v>
      </c>
      <c r="G140" s="10">
        <f t="shared" si="5"/>
        <v>2</v>
      </c>
      <c r="H140" s="10">
        <f>_xlfn.MAXIFS(รายชื่อจบส.!$L:$L,รายชื่อจบส.!$A:$A,$B140)</f>
        <v>9</v>
      </c>
    </row>
    <row r="141" spans="1:8" ht="17.5" thickBot="1" x14ac:dyDescent="0.65">
      <c r="A141" s="4" t="s">
        <v>4442</v>
      </c>
      <c r="B141" s="5" t="s">
        <v>2928</v>
      </c>
      <c r="C141" s="5" t="s">
        <v>4447</v>
      </c>
      <c r="D141" s="10">
        <f>COUNTIF(รายชื่อจบส.!$A:$A,$B141)</f>
        <v>8</v>
      </c>
      <c r="E141" s="10">
        <f>COUNTIFS(รายชื่อจบส.!$A:$A,$B141,รายชื่อจบส.!$I:$I,"ผ่าน")</f>
        <v>7</v>
      </c>
      <c r="F141" s="10">
        <f t="shared" si="4"/>
        <v>-1</v>
      </c>
      <c r="G141" s="10">
        <f t="shared" si="5"/>
        <v>0</v>
      </c>
      <c r="H141" s="10">
        <f>_xlfn.MAXIFS(รายชื่อจบส.!$L:$L,รายชื่อจบส.!$A:$A,$B141)</f>
        <v>3</v>
      </c>
    </row>
    <row r="142" spans="1:8" ht="17.5" thickBot="1" x14ac:dyDescent="0.65">
      <c r="A142" s="4" t="s">
        <v>4442</v>
      </c>
      <c r="B142" s="5" t="s">
        <v>2929</v>
      </c>
      <c r="C142" s="5" t="s">
        <v>4448</v>
      </c>
      <c r="D142" s="10">
        <f>COUNTIF(รายชื่อจบส.!$A:$A,$B142)</f>
        <v>3</v>
      </c>
      <c r="E142" s="10">
        <f>COUNTIFS(รายชื่อจบส.!$A:$A,$B142,รายชื่อจบส.!$I:$I,"ผ่าน")</f>
        <v>0</v>
      </c>
      <c r="F142" s="10">
        <f t="shared" si="4"/>
        <v>-3</v>
      </c>
      <c r="G142" s="10">
        <f t="shared" si="5"/>
        <v>0</v>
      </c>
      <c r="H142" s="10">
        <f>_xlfn.MAXIFS(รายชื่อจบส.!$L:$L,รายชื่อจบส.!$A:$A,$B142)</f>
        <v>0</v>
      </c>
    </row>
    <row r="143" spans="1:8" ht="17.5" thickBot="1" x14ac:dyDescent="0.65">
      <c r="A143" s="4" t="s">
        <v>4442</v>
      </c>
      <c r="B143" s="5" t="s">
        <v>2930</v>
      </c>
      <c r="C143" s="5" t="s">
        <v>4449</v>
      </c>
      <c r="D143" s="10">
        <f>COUNTIF(รายชื่อจบส.!$A:$A,$B143)</f>
        <v>18</v>
      </c>
      <c r="E143" s="10">
        <f>COUNTIFS(รายชื่อจบส.!$A:$A,$B143,รายชื่อจบส.!$I:$I,"ผ่าน")</f>
        <v>12</v>
      </c>
      <c r="F143" s="10">
        <f t="shared" si="4"/>
        <v>-6</v>
      </c>
      <c r="G143" s="10">
        <f t="shared" si="5"/>
        <v>0</v>
      </c>
      <c r="H143" s="10">
        <f>_xlfn.MAXIFS(รายชื่อจบส.!$L:$L,รายชื่อจบส.!$A:$A,$B143)</f>
        <v>9</v>
      </c>
    </row>
    <row r="144" spans="1:8" ht="17.5" thickBot="1" x14ac:dyDescent="0.65">
      <c r="A144" s="4" t="s">
        <v>4442</v>
      </c>
      <c r="B144" s="5" t="s">
        <v>2931</v>
      </c>
      <c r="C144" s="5" t="s">
        <v>4450</v>
      </c>
      <c r="D144" s="10">
        <f>COUNTIF(รายชื่อจบส.!$A:$A,$B144)</f>
        <v>32</v>
      </c>
      <c r="E144" s="10">
        <f>COUNTIFS(รายชื่อจบส.!$A:$A,$B144,รายชื่อจบส.!$I:$I,"ผ่าน")</f>
        <v>29</v>
      </c>
      <c r="F144" s="10">
        <f t="shared" si="4"/>
        <v>-3</v>
      </c>
      <c r="G144" s="10">
        <f t="shared" si="5"/>
        <v>0</v>
      </c>
      <c r="H144" s="10">
        <f>_xlfn.MAXIFS(รายชื่อจบส.!$L:$L,รายชื่อจบส.!$A:$A,$B144)</f>
        <v>10</v>
      </c>
    </row>
    <row r="145" spans="1:8" ht="17.5" thickBot="1" x14ac:dyDescent="0.65">
      <c r="A145" s="4" t="s">
        <v>4442</v>
      </c>
      <c r="B145" s="5" t="s">
        <v>2932</v>
      </c>
      <c r="C145" s="5" t="s">
        <v>4451</v>
      </c>
      <c r="D145" s="10">
        <f>COUNTIF(รายชื่อจบส.!$A:$A,$B145)</f>
        <v>6</v>
      </c>
      <c r="E145" s="10">
        <f>COUNTIFS(รายชื่อจบส.!$A:$A,$B145,รายชื่อจบส.!$I:$I,"ผ่าน")</f>
        <v>6</v>
      </c>
      <c r="F145" s="10">
        <f t="shared" si="4"/>
        <v>0</v>
      </c>
      <c r="G145" s="10">
        <f t="shared" si="5"/>
        <v>2</v>
      </c>
      <c r="H145" s="10">
        <f>_xlfn.MAXIFS(รายชื่อจบส.!$L:$L,รายชื่อจบส.!$A:$A,$B145)</f>
        <v>10</v>
      </c>
    </row>
    <row r="146" spans="1:8" ht="17.5" thickBot="1" x14ac:dyDescent="0.65">
      <c r="A146" s="4" t="s">
        <v>4442</v>
      </c>
      <c r="B146" s="5" t="s">
        <v>2933</v>
      </c>
      <c r="C146" s="5" t="s">
        <v>4452</v>
      </c>
      <c r="D146" s="10">
        <f>COUNTIF(รายชื่อจบส.!$A:$A,$B146)</f>
        <v>16</v>
      </c>
      <c r="E146" s="10">
        <f>COUNTIFS(รายชื่อจบส.!$A:$A,$B146,รายชื่อจบส.!$I:$I,"ผ่าน")</f>
        <v>15</v>
      </c>
      <c r="F146" s="10">
        <f t="shared" si="4"/>
        <v>-1</v>
      </c>
      <c r="G146" s="10">
        <f t="shared" si="5"/>
        <v>0</v>
      </c>
      <c r="H146" s="10">
        <f>_xlfn.MAXIFS(รายชื่อจบส.!$L:$L,รายชื่อจบส.!$A:$A,$B146)</f>
        <v>10</v>
      </c>
    </row>
    <row r="147" spans="1:8" ht="17.5" thickBot="1" x14ac:dyDescent="0.65">
      <c r="A147" s="4" t="s">
        <v>4442</v>
      </c>
      <c r="B147" s="5" t="s">
        <v>2934</v>
      </c>
      <c r="C147" s="5" t="s">
        <v>4453</v>
      </c>
      <c r="D147" s="10">
        <f>COUNTIF(รายชื่อจบส.!$A:$A,$B147)</f>
        <v>8</v>
      </c>
      <c r="E147" s="10">
        <f>COUNTIFS(รายชื่อจบส.!$A:$A,$B147,รายชื่อจบส.!$I:$I,"ผ่าน")</f>
        <v>8</v>
      </c>
      <c r="F147" s="10">
        <f t="shared" si="4"/>
        <v>0</v>
      </c>
      <c r="G147" s="10">
        <f t="shared" si="5"/>
        <v>2</v>
      </c>
      <c r="H147" s="10">
        <f>_xlfn.MAXIFS(รายชื่อจบส.!$L:$L,รายชื่อจบส.!$A:$A,$B147)</f>
        <v>10</v>
      </c>
    </row>
    <row r="148" spans="1:8" ht="17.5" thickBot="1" x14ac:dyDescent="0.65">
      <c r="A148" s="4" t="s">
        <v>4442</v>
      </c>
      <c r="B148" s="5" t="s">
        <v>2935</v>
      </c>
      <c r="C148" s="5" t="s">
        <v>4454</v>
      </c>
      <c r="D148" s="10">
        <f>COUNTIF(รายชื่อจบส.!$A:$A,$B148)</f>
        <v>8</v>
      </c>
      <c r="E148" s="10">
        <f>COUNTIFS(รายชื่อจบส.!$A:$A,$B148,รายชื่อจบส.!$I:$I,"ผ่าน")</f>
        <v>0</v>
      </c>
      <c r="F148" s="10">
        <f t="shared" si="4"/>
        <v>-8</v>
      </c>
      <c r="G148" s="10">
        <f t="shared" si="5"/>
        <v>0</v>
      </c>
      <c r="H148" s="10">
        <f>_xlfn.MAXIFS(รายชื่อจบส.!$L:$L,รายชื่อจบส.!$A:$A,$B148)</f>
        <v>0</v>
      </c>
    </row>
    <row r="149" spans="1:8" ht="17.5" thickBot="1" x14ac:dyDescent="0.65">
      <c r="A149" s="4" t="s">
        <v>4442</v>
      </c>
      <c r="B149" s="5" t="s">
        <v>2936</v>
      </c>
      <c r="C149" s="5" t="s">
        <v>4455</v>
      </c>
      <c r="D149" s="10">
        <f>COUNTIF(รายชื่อจบส.!$A:$A,$B149)</f>
        <v>17</v>
      </c>
      <c r="E149" s="10">
        <f>COUNTIFS(รายชื่อจบส.!$A:$A,$B149,รายชื่อจบส.!$I:$I,"ผ่าน")</f>
        <v>15</v>
      </c>
      <c r="F149" s="10">
        <f t="shared" si="4"/>
        <v>-2</v>
      </c>
      <c r="G149" s="10">
        <f t="shared" si="5"/>
        <v>0</v>
      </c>
      <c r="H149" s="10">
        <f>_xlfn.MAXIFS(รายชื่อจบส.!$L:$L,รายชื่อจบส.!$A:$A,$B149)</f>
        <v>8</v>
      </c>
    </row>
    <row r="150" spans="1:8" ht="17.5" thickBot="1" x14ac:dyDescent="0.65">
      <c r="A150" s="4" t="s">
        <v>4442</v>
      </c>
      <c r="B150" s="5" t="s">
        <v>2937</v>
      </c>
      <c r="C150" s="5" t="s">
        <v>4456</v>
      </c>
      <c r="D150" s="10">
        <f>COUNTIF(รายชื่อจบส.!$A:$A,$B150)</f>
        <v>6</v>
      </c>
      <c r="E150" s="10">
        <f>COUNTIFS(รายชื่อจบส.!$A:$A,$B150,รายชื่อจบส.!$I:$I,"ผ่าน")</f>
        <v>3</v>
      </c>
      <c r="F150" s="10">
        <f t="shared" si="4"/>
        <v>-3</v>
      </c>
      <c r="G150" s="10">
        <f t="shared" si="5"/>
        <v>0</v>
      </c>
      <c r="H150" s="10">
        <f>_xlfn.MAXIFS(รายชื่อจบส.!$L:$L,รายชื่อจบส.!$A:$A,$B150)</f>
        <v>7</v>
      </c>
    </row>
    <row r="151" spans="1:8" ht="17.5" thickBot="1" x14ac:dyDescent="0.65">
      <c r="A151" s="4" t="s">
        <v>4442</v>
      </c>
      <c r="B151" s="5" t="s">
        <v>2938</v>
      </c>
      <c r="C151" s="5" t="s">
        <v>73</v>
      </c>
      <c r="D151" s="10">
        <f>COUNTIF(รายชื่อจบส.!$A:$A,$B151)</f>
        <v>5</v>
      </c>
      <c r="E151" s="10">
        <f>COUNTIFS(รายชื่อจบส.!$A:$A,$B151,รายชื่อจบส.!$I:$I,"ผ่าน")</f>
        <v>4</v>
      </c>
      <c r="F151" s="10">
        <f t="shared" si="4"/>
        <v>-1</v>
      </c>
      <c r="G151" s="10">
        <f t="shared" si="5"/>
        <v>0</v>
      </c>
      <c r="H151" s="10">
        <f>_xlfn.MAXIFS(รายชื่อจบส.!$L:$L,รายชื่อจบส.!$A:$A,$B151)</f>
        <v>8</v>
      </c>
    </row>
    <row r="152" spans="1:8" ht="17.5" thickBot="1" x14ac:dyDescent="0.65">
      <c r="A152" s="4" t="s">
        <v>4442</v>
      </c>
      <c r="B152" s="5" t="s">
        <v>2939</v>
      </c>
      <c r="C152" s="5" t="s">
        <v>4457</v>
      </c>
      <c r="D152" s="10">
        <f>COUNTIF(รายชื่อจบส.!$A:$A,$B152)</f>
        <v>14</v>
      </c>
      <c r="E152" s="10">
        <f>COUNTIFS(รายชื่อจบส.!$A:$A,$B152,รายชื่อจบส.!$I:$I,"ผ่าน")</f>
        <v>0</v>
      </c>
      <c r="F152" s="10">
        <f t="shared" si="4"/>
        <v>-14</v>
      </c>
      <c r="G152" s="10">
        <f t="shared" si="5"/>
        <v>0</v>
      </c>
      <c r="H152" s="10">
        <f>_xlfn.MAXIFS(รายชื่อจบส.!$L:$L,รายชื่อจบส.!$A:$A,$B152)</f>
        <v>6</v>
      </c>
    </row>
    <row r="153" spans="1:8" ht="17.5" thickBot="1" x14ac:dyDescent="0.65">
      <c r="A153" s="4" t="s">
        <v>4442</v>
      </c>
      <c r="B153" s="5" t="s">
        <v>2940</v>
      </c>
      <c r="C153" s="5" t="s">
        <v>4458</v>
      </c>
      <c r="D153" s="10">
        <f>COUNTIF(รายชื่อจบส.!$A:$A,$B153)</f>
        <v>9</v>
      </c>
      <c r="E153" s="10">
        <f>COUNTIFS(รายชื่อจบส.!$A:$A,$B153,รายชื่อจบส.!$I:$I,"ผ่าน")</f>
        <v>0</v>
      </c>
      <c r="F153" s="10">
        <f t="shared" si="4"/>
        <v>-9</v>
      </c>
      <c r="G153" s="10">
        <f t="shared" si="5"/>
        <v>0</v>
      </c>
      <c r="H153" s="10">
        <f>_xlfn.MAXIFS(รายชื่อจบส.!$L:$L,รายชื่อจบส.!$A:$A,$B153)</f>
        <v>0</v>
      </c>
    </row>
    <row r="154" spans="1:8" ht="17.5" thickBot="1" x14ac:dyDescent="0.65">
      <c r="A154" s="4" t="s">
        <v>4442</v>
      </c>
      <c r="B154" s="5" t="s">
        <v>2942</v>
      </c>
      <c r="C154" s="5" t="s">
        <v>4459</v>
      </c>
      <c r="D154" s="10">
        <f>COUNTIF(รายชื่อจบส.!$A:$A,$B154)</f>
        <v>5</v>
      </c>
      <c r="E154" s="10">
        <f>COUNTIFS(รายชื่อจบส.!$A:$A,$B154,รายชื่อจบส.!$I:$I,"ผ่าน")</f>
        <v>0</v>
      </c>
      <c r="F154" s="10">
        <f t="shared" si="4"/>
        <v>-5</v>
      </c>
      <c r="G154" s="10">
        <f t="shared" si="5"/>
        <v>0</v>
      </c>
      <c r="H154" s="10">
        <f>_xlfn.MAXIFS(รายชื่อจบส.!$L:$L,รายชื่อจบส.!$A:$A,$B154)</f>
        <v>6</v>
      </c>
    </row>
    <row r="155" spans="1:8" ht="17.5" thickBot="1" x14ac:dyDescent="0.65">
      <c r="A155" s="4" t="s">
        <v>4442</v>
      </c>
      <c r="B155" s="5" t="s">
        <v>4460</v>
      </c>
      <c r="C155" s="5" t="s">
        <v>4461</v>
      </c>
      <c r="D155" s="10">
        <f>COUNTIF(รายชื่อจบส.!$A:$A,$B155)</f>
        <v>0</v>
      </c>
      <c r="E155" s="10">
        <f>COUNTIFS(รายชื่อจบส.!$A:$A,$B155,รายชื่อจบส.!$I:$I,"ผ่าน")</f>
        <v>0</v>
      </c>
      <c r="F155" s="10">
        <f t="shared" si="4"/>
        <v>0</v>
      </c>
      <c r="G155" s="10">
        <f t="shared" si="5"/>
        <v>0</v>
      </c>
      <c r="H155" s="10">
        <f>_xlfn.MAXIFS(รายชื่อจบส.!$L:$L,รายชื่อจบส.!$A:$A,$B155)</f>
        <v>0</v>
      </c>
    </row>
    <row r="156" spans="1:8" ht="17.5" thickBot="1" x14ac:dyDescent="0.65">
      <c r="A156" s="4" t="s">
        <v>4442</v>
      </c>
      <c r="B156" s="5" t="s">
        <v>2943</v>
      </c>
      <c r="C156" s="5" t="s">
        <v>4462</v>
      </c>
      <c r="D156" s="10">
        <f>COUNTIF(รายชื่อจบส.!$A:$A,$B156)</f>
        <v>11</v>
      </c>
      <c r="E156" s="10">
        <f>COUNTIFS(รายชื่อจบส.!$A:$A,$B156,รายชื่อจบส.!$I:$I,"ผ่าน")</f>
        <v>10</v>
      </c>
      <c r="F156" s="10">
        <f t="shared" si="4"/>
        <v>-1</v>
      </c>
      <c r="G156" s="10">
        <f t="shared" si="5"/>
        <v>0</v>
      </c>
      <c r="H156" s="10">
        <f>_xlfn.MAXIFS(รายชื่อจบส.!$L:$L,รายชื่อจบส.!$A:$A,$B156)</f>
        <v>5</v>
      </c>
    </row>
    <row r="157" spans="1:8" ht="17.5" thickBot="1" x14ac:dyDescent="0.65">
      <c r="A157" s="4" t="s">
        <v>4442</v>
      </c>
      <c r="B157" s="5" t="s">
        <v>2945</v>
      </c>
      <c r="C157" s="5" t="s">
        <v>4463</v>
      </c>
      <c r="D157" s="10">
        <f>COUNTIF(รายชื่อจบส.!$A:$A,$B157)</f>
        <v>19</v>
      </c>
      <c r="E157" s="10">
        <f>COUNTIFS(รายชื่อจบส.!$A:$A,$B157,รายชื่อจบส.!$I:$I,"ผ่าน")</f>
        <v>18</v>
      </c>
      <c r="F157" s="10">
        <f t="shared" si="4"/>
        <v>-1</v>
      </c>
      <c r="G157" s="10">
        <f t="shared" si="5"/>
        <v>0</v>
      </c>
      <c r="H157" s="10">
        <f>_xlfn.MAXIFS(รายชื่อจบส.!$L:$L,รายชื่อจบส.!$A:$A,$B157)</f>
        <v>5</v>
      </c>
    </row>
    <row r="158" spans="1:8" ht="17.5" thickBot="1" x14ac:dyDescent="0.65">
      <c r="A158" s="4" t="s">
        <v>4442</v>
      </c>
      <c r="B158" s="5" t="s">
        <v>2944</v>
      </c>
      <c r="C158" s="5" t="s">
        <v>4464</v>
      </c>
      <c r="D158" s="10">
        <f>COUNTIF(รายชื่อจบส.!$A:$A,$B158)</f>
        <v>10</v>
      </c>
      <c r="E158" s="10">
        <f>COUNTIFS(รายชื่อจบส.!$A:$A,$B158,รายชื่อจบส.!$I:$I,"ผ่าน")</f>
        <v>10</v>
      </c>
      <c r="F158" s="10">
        <f t="shared" si="4"/>
        <v>0</v>
      </c>
      <c r="G158" s="10">
        <f t="shared" si="5"/>
        <v>3</v>
      </c>
      <c r="H158" s="10">
        <f>_xlfn.MAXIFS(รายชื่อจบส.!$L:$L,รายชื่อจบส.!$A:$A,$B158)</f>
        <v>7</v>
      </c>
    </row>
    <row r="159" spans="1:8" ht="17.5" thickBot="1" x14ac:dyDescent="0.65">
      <c r="A159" s="4" t="s">
        <v>4442</v>
      </c>
      <c r="B159" s="5" t="s">
        <v>2946</v>
      </c>
      <c r="C159" s="5" t="s">
        <v>4465</v>
      </c>
      <c r="D159" s="10">
        <f>COUNTIF(รายชื่อจบส.!$A:$A,$B159)</f>
        <v>9</v>
      </c>
      <c r="E159" s="10">
        <f>COUNTIFS(รายชื่อจบส.!$A:$A,$B159,รายชื่อจบส.!$I:$I,"ผ่าน")</f>
        <v>9</v>
      </c>
      <c r="F159" s="10">
        <f t="shared" si="4"/>
        <v>0</v>
      </c>
      <c r="G159" s="10">
        <f t="shared" si="5"/>
        <v>3</v>
      </c>
      <c r="H159" s="10">
        <f>_xlfn.MAXIFS(รายชื่อจบส.!$L:$L,รายชื่อจบส.!$A:$A,$B159)</f>
        <v>5</v>
      </c>
    </row>
    <row r="160" spans="1:8" ht="17.5" thickBot="1" x14ac:dyDescent="0.65">
      <c r="A160" s="4" t="s">
        <v>4442</v>
      </c>
      <c r="B160" s="5" t="s">
        <v>2947</v>
      </c>
      <c r="C160" s="5" t="s">
        <v>4466</v>
      </c>
      <c r="D160" s="10">
        <f>COUNTIF(รายชื่อจบส.!$A:$A,$B160)</f>
        <v>2</v>
      </c>
      <c r="E160" s="10">
        <f>COUNTIFS(รายชื่อจบส.!$A:$A,$B160,รายชื่อจบส.!$I:$I,"ผ่าน")</f>
        <v>1</v>
      </c>
      <c r="F160" s="10">
        <f t="shared" si="4"/>
        <v>-1</v>
      </c>
      <c r="G160" s="10">
        <f t="shared" si="5"/>
        <v>0</v>
      </c>
      <c r="H160" s="10">
        <f>_xlfn.MAXIFS(รายชื่อจบส.!$L:$L,รายชื่อจบส.!$A:$A,$B160)</f>
        <v>5</v>
      </c>
    </row>
    <row r="161" spans="1:8" ht="17.5" thickBot="1" x14ac:dyDescent="0.65">
      <c r="A161" s="4" t="s">
        <v>4442</v>
      </c>
      <c r="B161" s="5" t="s">
        <v>2949</v>
      </c>
      <c r="C161" s="5" t="s">
        <v>4467</v>
      </c>
      <c r="D161" s="10">
        <f>COUNTIF(รายชื่อจบส.!$A:$A,$B161)</f>
        <v>3</v>
      </c>
      <c r="E161" s="10">
        <f>COUNTIFS(รายชื่อจบส.!$A:$A,$B161,รายชื่อจบส.!$I:$I,"ผ่าน")</f>
        <v>2</v>
      </c>
      <c r="F161" s="10">
        <f t="shared" si="4"/>
        <v>-1</v>
      </c>
      <c r="G161" s="10">
        <f t="shared" si="5"/>
        <v>0</v>
      </c>
      <c r="H161" s="10">
        <f>_xlfn.MAXIFS(รายชื่อจบส.!$L:$L,รายชื่อจบส.!$A:$A,$B161)</f>
        <v>5</v>
      </c>
    </row>
    <row r="162" spans="1:8" ht="17.5" thickBot="1" x14ac:dyDescent="0.65">
      <c r="A162" s="4" t="s">
        <v>4442</v>
      </c>
      <c r="B162" s="5" t="s">
        <v>2948</v>
      </c>
      <c r="C162" s="5" t="s">
        <v>4468</v>
      </c>
      <c r="D162" s="10">
        <f>COUNTIF(รายชื่อจบส.!$A:$A,$B162)</f>
        <v>10</v>
      </c>
      <c r="E162" s="10">
        <f>COUNTIFS(รายชื่อจบส.!$A:$A,$B162,รายชื่อจบส.!$I:$I,"ผ่าน")</f>
        <v>10</v>
      </c>
      <c r="F162" s="10">
        <f t="shared" si="4"/>
        <v>0</v>
      </c>
      <c r="G162" s="10">
        <f t="shared" si="5"/>
        <v>3</v>
      </c>
      <c r="H162" s="10">
        <f>_xlfn.MAXIFS(รายชื่อจบส.!$L:$L,รายชื่อจบส.!$A:$A,$B162)</f>
        <v>6</v>
      </c>
    </row>
    <row r="163" spans="1:8" ht="17.5" thickBot="1" x14ac:dyDescent="0.65">
      <c r="A163" s="4" t="s">
        <v>4442</v>
      </c>
      <c r="B163" s="5" t="s">
        <v>2950</v>
      </c>
      <c r="C163" s="5" t="s">
        <v>4469</v>
      </c>
      <c r="D163" s="10">
        <f>COUNTIF(รายชื่อจบส.!$A:$A,$B163)</f>
        <v>9</v>
      </c>
      <c r="E163" s="10">
        <f>COUNTIFS(รายชื่อจบส.!$A:$A,$B163,รายชื่อจบส.!$I:$I,"ผ่าน")</f>
        <v>9</v>
      </c>
      <c r="F163" s="10">
        <f t="shared" si="4"/>
        <v>0</v>
      </c>
      <c r="G163" s="10">
        <f t="shared" si="5"/>
        <v>3</v>
      </c>
      <c r="H163" s="10">
        <f>_xlfn.MAXIFS(รายชื่อจบส.!$L:$L,รายชื่อจบส.!$A:$A,$B163)</f>
        <v>6</v>
      </c>
    </row>
    <row r="164" spans="1:8" ht="17.5" thickBot="1" x14ac:dyDescent="0.65">
      <c r="A164" s="4" t="s">
        <v>4442</v>
      </c>
      <c r="B164" s="5" t="s">
        <v>4470</v>
      </c>
      <c r="C164" s="5" t="s">
        <v>4471</v>
      </c>
      <c r="D164" s="10">
        <f>COUNTIF(รายชื่อจบส.!$A:$A,$B164)</f>
        <v>0</v>
      </c>
      <c r="E164" s="10">
        <f>COUNTIFS(รายชื่อจบส.!$A:$A,$B164,รายชื่อจบส.!$I:$I,"ผ่าน")</f>
        <v>0</v>
      </c>
      <c r="F164" s="10">
        <f t="shared" si="4"/>
        <v>0</v>
      </c>
      <c r="G164" s="10">
        <f t="shared" si="5"/>
        <v>0</v>
      </c>
      <c r="H164" s="10">
        <f>_xlfn.MAXIFS(รายชื่อจบส.!$L:$L,รายชื่อจบส.!$A:$A,$B164)</f>
        <v>0</v>
      </c>
    </row>
    <row r="165" spans="1:8" ht="17.5" thickBot="1" x14ac:dyDescent="0.65">
      <c r="A165" s="4" t="s">
        <v>4442</v>
      </c>
      <c r="B165" s="5" t="s">
        <v>2951</v>
      </c>
      <c r="C165" s="5" t="s">
        <v>4472</v>
      </c>
      <c r="D165" s="10">
        <f>COUNTIF(รายชื่อจบส.!$A:$A,$B165)</f>
        <v>5</v>
      </c>
      <c r="E165" s="10">
        <f>COUNTIFS(รายชื่อจบส.!$A:$A,$B165,รายชื่อจบส.!$I:$I,"ผ่าน")</f>
        <v>3</v>
      </c>
      <c r="F165" s="10">
        <f t="shared" si="4"/>
        <v>-2</v>
      </c>
      <c r="G165" s="10">
        <f t="shared" si="5"/>
        <v>0</v>
      </c>
      <c r="H165" s="10">
        <f>_xlfn.MAXIFS(รายชื่อจบส.!$L:$L,รายชื่อจบส.!$A:$A,$B165)</f>
        <v>2</v>
      </c>
    </row>
    <row r="166" spans="1:8" ht="17.5" thickBot="1" x14ac:dyDescent="0.65">
      <c r="A166" s="4" t="s">
        <v>4442</v>
      </c>
      <c r="B166" s="5" t="s">
        <v>2952</v>
      </c>
      <c r="C166" s="5" t="s">
        <v>4473</v>
      </c>
      <c r="D166" s="10">
        <f>COUNTIF(รายชื่อจบส.!$A:$A,$B166)</f>
        <v>2</v>
      </c>
      <c r="E166" s="10">
        <f>COUNTIFS(รายชื่อจบส.!$A:$A,$B166,รายชื่อจบส.!$I:$I,"ผ่าน")</f>
        <v>1</v>
      </c>
      <c r="F166" s="10">
        <f t="shared" si="4"/>
        <v>-1</v>
      </c>
      <c r="G166" s="10">
        <f t="shared" si="5"/>
        <v>0</v>
      </c>
      <c r="H166" s="10">
        <f>_xlfn.MAXIFS(รายชื่อจบส.!$L:$L,รายชื่อจบส.!$A:$A,$B166)</f>
        <v>6</v>
      </c>
    </row>
    <row r="167" spans="1:8" ht="17.5" thickBot="1" x14ac:dyDescent="0.65">
      <c r="A167" s="4" t="s">
        <v>4442</v>
      </c>
      <c r="B167" s="5" t="s">
        <v>2953</v>
      </c>
      <c r="C167" s="5" t="s">
        <v>4474</v>
      </c>
      <c r="D167" s="10">
        <f>COUNTIF(รายชื่อจบส.!$A:$A,$B167)</f>
        <v>3</v>
      </c>
      <c r="E167" s="10">
        <f>COUNTIFS(รายชื่อจบส.!$A:$A,$B167,รายชื่อจบส.!$I:$I,"ผ่าน")</f>
        <v>3</v>
      </c>
      <c r="F167" s="10">
        <f t="shared" si="4"/>
        <v>0</v>
      </c>
      <c r="G167" s="10">
        <f t="shared" si="5"/>
        <v>3</v>
      </c>
      <c r="H167" s="10">
        <f>_xlfn.MAXIFS(รายชื่อจบส.!$L:$L,รายชื่อจบส.!$A:$A,$B167)</f>
        <v>7</v>
      </c>
    </row>
    <row r="168" spans="1:8" ht="17.5" thickBot="1" x14ac:dyDescent="0.65">
      <c r="A168" s="4" t="s">
        <v>4442</v>
      </c>
      <c r="B168" s="5" t="s">
        <v>2955</v>
      </c>
      <c r="C168" s="5" t="s">
        <v>4475</v>
      </c>
      <c r="D168" s="10">
        <f>COUNTIF(รายชื่อจบส.!$A:$A,$B168)</f>
        <v>8</v>
      </c>
      <c r="E168" s="10">
        <f>COUNTIFS(รายชื่อจบส.!$A:$A,$B168,รายชื่อจบส.!$I:$I,"ผ่าน")</f>
        <v>6</v>
      </c>
      <c r="F168" s="10">
        <f t="shared" si="4"/>
        <v>-2</v>
      </c>
      <c r="G168" s="10">
        <f t="shared" si="5"/>
        <v>0</v>
      </c>
      <c r="H168" s="10">
        <f>_xlfn.MAXIFS(รายชื่อจบส.!$L:$L,รายชื่อจบส.!$A:$A,$B168)</f>
        <v>6</v>
      </c>
    </row>
    <row r="169" spans="1:8" ht="17.5" thickBot="1" x14ac:dyDescent="0.65">
      <c r="A169" s="4" t="s">
        <v>4442</v>
      </c>
      <c r="B169" s="5" t="s">
        <v>4476</v>
      </c>
      <c r="C169" s="5" t="s">
        <v>4477</v>
      </c>
      <c r="D169" s="10">
        <f>COUNTIF(รายชื่อจบส.!$A:$A,$B169)</f>
        <v>3</v>
      </c>
      <c r="E169" s="10">
        <f>COUNTIFS(รายชื่อจบส.!$A:$A,$B169,รายชื่อจบส.!$I:$I,"ผ่าน")</f>
        <v>3</v>
      </c>
      <c r="F169" s="10">
        <f t="shared" si="4"/>
        <v>0</v>
      </c>
      <c r="G169" s="10">
        <f t="shared" si="5"/>
        <v>3</v>
      </c>
      <c r="H169" s="10">
        <f>_xlfn.MAXIFS(รายชื่อจบส.!$L:$L,รายชื่อจบส.!$A:$A,$B169)</f>
        <v>6</v>
      </c>
    </row>
    <row r="170" spans="1:8" ht="17.5" thickBot="1" x14ac:dyDescent="0.65">
      <c r="A170" s="4" t="s">
        <v>4442</v>
      </c>
      <c r="B170" s="5" t="s">
        <v>2956</v>
      </c>
      <c r="C170" s="5" t="s">
        <v>4478</v>
      </c>
      <c r="D170" s="10">
        <f>COUNTIF(รายชื่อจบส.!$A:$A,$B170)</f>
        <v>4</v>
      </c>
      <c r="E170" s="10">
        <f>COUNTIFS(รายชื่อจบส.!$A:$A,$B170,รายชื่อจบส.!$I:$I,"ผ่าน")</f>
        <v>3</v>
      </c>
      <c r="F170" s="10">
        <f t="shared" si="4"/>
        <v>-1</v>
      </c>
      <c r="G170" s="10">
        <f t="shared" si="5"/>
        <v>0</v>
      </c>
      <c r="H170" s="10">
        <f>_xlfn.MAXIFS(รายชื่อจบส.!$L:$L,รายชื่อจบส.!$A:$A,$B170)</f>
        <v>6</v>
      </c>
    </row>
    <row r="171" spans="1:8" ht="17.5" thickBot="1" x14ac:dyDescent="0.65">
      <c r="A171" s="4" t="s">
        <v>4442</v>
      </c>
      <c r="B171" s="5" t="s">
        <v>2957</v>
      </c>
      <c r="C171" s="5" t="s">
        <v>4479</v>
      </c>
      <c r="D171" s="10">
        <f>COUNTIF(รายชื่อจบส.!$A:$A,$B171)</f>
        <v>9</v>
      </c>
      <c r="E171" s="10">
        <f>COUNTIFS(รายชื่อจบส.!$A:$A,$B171,รายชื่อจบส.!$I:$I,"ผ่าน")</f>
        <v>7</v>
      </c>
      <c r="F171" s="10">
        <f t="shared" si="4"/>
        <v>-2</v>
      </c>
      <c r="G171" s="10">
        <f t="shared" si="5"/>
        <v>0</v>
      </c>
      <c r="H171" s="10">
        <f>_xlfn.MAXIFS(รายชื่อจบส.!$L:$L,รายชื่อจบส.!$A:$A,$B171)</f>
        <v>6</v>
      </c>
    </row>
    <row r="172" spans="1:8" ht="17.5" thickBot="1" x14ac:dyDescent="0.65">
      <c r="A172" s="4" t="s">
        <v>4442</v>
      </c>
      <c r="B172" s="5" t="s">
        <v>2958</v>
      </c>
      <c r="C172" s="5" t="s">
        <v>4480</v>
      </c>
      <c r="D172" s="10">
        <f>COUNTIF(รายชื่อจบส.!$A:$A,$B172)</f>
        <v>8</v>
      </c>
      <c r="E172" s="10">
        <f>COUNTIFS(รายชื่อจบส.!$A:$A,$B172,รายชื่อจบส.!$I:$I,"ผ่าน")</f>
        <v>7</v>
      </c>
      <c r="F172" s="10">
        <f t="shared" si="4"/>
        <v>-1</v>
      </c>
      <c r="G172" s="10">
        <f t="shared" si="5"/>
        <v>0</v>
      </c>
      <c r="H172" s="10">
        <f>_xlfn.MAXIFS(รายชื่อจบส.!$L:$L,รายชื่อจบส.!$A:$A,$B172)</f>
        <v>2</v>
      </c>
    </row>
    <row r="173" spans="1:8" ht="17.5" thickBot="1" x14ac:dyDescent="0.65">
      <c r="A173" s="4" t="s">
        <v>4442</v>
      </c>
      <c r="B173" s="5" t="s">
        <v>2959</v>
      </c>
      <c r="C173" s="5" t="s">
        <v>4481</v>
      </c>
      <c r="D173" s="10">
        <f>COUNTIF(รายชื่อจบส.!$A:$A,$B173)</f>
        <v>13</v>
      </c>
      <c r="E173" s="10">
        <f>COUNTIFS(รายชื่อจบส.!$A:$A,$B173,รายชื่อจบส.!$I:$I,"ผ่าน")</f>
        <v>3</v>
      </c>
      <c r="F173" s="10">
        <f t="shared" si="4"/>
        <v>-10</v>
      </c>
      <c r="G173" s="10">
        <f t="shared" si="5"/>
        <v>0</v>
      </c>
      <c r="H173" s="10">
        <f>_xlfn.MAXIFS(รายชื่อจบส.!$L:$L,รายชื่อจบส.!$A:$A,$B173)</f>
        <v>7</v>
      </c>
    </row>
    <row r="174" spans="1:8" ht="17.5" thickBot="1" x14ac:dyDescent="0.65">
      <c r="A174" s="4" t="s">
        <v>4442</v>
      </c>
      <c r="B174" s="5" t="s">
        <v>2960</v>
      </c>
      <c r="C174" s="5" t="s">
        <v>4482</v>
      </c>
      <c r="D174" s="10">
        <f>COUNTIF(รายชื่อจบส.!$A:$A,$B174)</f>
        <v>8</v>
      </c>
      <c r="E174" s="10">
        <f>COUNTIFS(รายชื่อจบส.!$A:$A,$B174,รายชื่อจบส.!$I:$I,"ผ่าน")</f>
        <v>8</v>
      </c>
      <c r="F174" s="10">
        <f t="shared" si="4"/>
        <v>0</v>
      </c>
      <c r="G174" s="10">
        <f t="shared" si="5"/>
        <v>3</v>
      </c>
      <c r="H174" s="10">
        <f>_xlfn.MAXIFS(รายชื่อจบส.!$L:$L,รายชื่อจบส.!$A:$A,$B174)</f>
        <v>5</v>
      </c>
    </row>
    <row r="175" spans="1:8" ht="17.5" thickBot="1" x14ac:dyDescent="0.65">
      <c r="A175" s="4" t="s">
        <v>4442</v>
      </c>
      <c r="B175" s="5" t="s">
        <v>2961</v>
      </c>
      <c r="C175" s="5" t="s">
        <v>4483</v>
      </c>
      <c r="D175" s="10">
        <f>COUNTIF(รายชื่อจบส.!$A:$A,$B175)</f>
        <v>26</v>
      </c>
      <c r="E175" s="10">
        <f>COUNTIFS(รายชื่อจบส.!$A:$A,$B175,รายชื่อจบส.!$I:$I,"ผ่าน")</f>
        <v>19</v>
      </c>
      <c r="F175" s="10">
        <f t="shared" si="4"/>
        <v>-7</v>
      </c>
      <c r="G175" s="10">
        <f t="shared" si="5"/>
        <v>0</v>
      </c>
      <c r="H175" s="10">
        <f>_xlfn.MAXIFS(รายชื่อจบส.!$L:$L,รายชื่อจบส.!$A:$A,$B175)</f>
        <v>9</v>
      </c>
    </row>
    <row r="176" spans="1:8" ht="17.5" thickBot="1" x14ac:dyDescent="0.65">
      <c r="A176" s="4" t="s">
        <v>4442</v>
      </c>
      <c r="B176" s="5" t="s">
        <v>4484</v>
      </c>
      <c r="C176" s="5" t="s">
        <v>4485</v>
      </c>
      <c r="D176" s="10">
        <f>COUNTIF(รายชื่อจบส.!$A:$A,$B176)</f>
        <v>0</v>
      </c>
      <c r="E176" s="10">
        <f>COUNTIFS(รายชื่อจบส.!$A:$A,$B176,รายชื่อจบส.!$I:$I,"ผ่าน")</f>
        <v>0</v>
      </c>
      <c r="F176" s="10">
        <f t="shared" si="4"/>
        <v>0</v>
      </c>
      <c r="G176" s="10">
        <f t="shared" si="5"/>
        <v>0</v>
      </c>
      <c r="H176" s="10">
        <f>_xlfn.MAXIFS(รายชื่อจบส.!$L:$L,รายชื่อจบส.!$A:$A,$B176)</f>
        <v>0</v>
      </c>
    </row>
    <row r="177" spans="1:8" ht="17.5" thickBot="1" x14ac:dyDescent="0.65">
      <c r="A177" s="4" t="s">
        <v>4486</v>
      </c>
      <c r="B177" s="5" t="s">
        <v>4487</v>
      </c>
      <c r="C177" s="5" t="s">
        <v>4488</v>
      </c>
      <c r="D177" s="10">
        <f>COUNTIF(รายชื่อจบส.!$A:$A,$B177)</f>
        <v>0</v>
      </c>
      <c r="E177" s="10">
        <f>COUNTIFS(รายชื่อจบส.!$A:$A,$B177,รายชื่อจบส.!$I:$I,"ผ่าน")</f>
        <v>0</v>
      </c>
      <c r="F177" s="10">
        <f t="shared" si="4"/>
        <v>0</v>
      </c>
      <c r="G177" s="10">
        <f t="shared" si="5"/>
        <v>0</v>
      </c>
      <c r="H177" s="10">
        <f>_xlfn.MAXIFS(รายชื่อจบส.!$L:$L,รายชื่อจบส.!$A:$A,$B177)</f>
        <v>0</v>
      </c>
    </row>
    <row r="178" spans="1:8" ht="17.5" thickBot="1" x14ac:dyDescent="0.65">
      <c r="A178" s="4" t="s">
        <v>4486</v>
      </c>
      <c r="B178" s="5" t="s">
        <v>4489</v>
      </c>
      <c r="C178" s="5" t="s">
        <v>4490</v>
      </c>
      <c r="D178" s="10">
        <f>COUNTIF(รายชื่อจบส.!$A:$A,$B178)</f>
        <v>0</v>
      </c>
      <c r="E178" s="10">
        <f>COUNTIFS(รายชื่อจบส.!$A:$A,$B178,รายชื่อจบส.!$I:$I,"ผ่าน")</f>
        <v>0</v>
      </c>
      <c r="F178" s="10">
        <f t="shared" si="4"/>
        <v>0</v>
      </c>
      <c r="G178" s="10">
        <f t="shared" si="5"/>
        <v>0</v>
      </c>
      <c r="H178" s="10">
        <f>_xlfn.MAXIFS(รายชื่อจบส.!$L:$L,รายชื่อจบส.!$A:$A,$B178)</f>
        <v>0</v>
      </c>
    </row>
    <row r="179" spans="1:8" ht="17.5" thickBot="1" x14ac:dyDescent="0.65">
      <c r="A179" s="4" t="s">
        <v>4486</v>
      </c>
      <c r="B179" s="5" t="s">
        <v>2962</v>
      </c>
      <c r="C179" s="5" t="s">
        <v>4491</v>
      </c>
      <c r="D179" s="10">
        <f>COUNTIF(รายชื่อจบส.!$A:$A,$B179)</f>
        <v>28</v>
      </c>
      <c r="E179" s="10">
        <f>COUNTIFS(รายชื่อจบส.!$A:$A,$B179,รายชื่อจบส.!$I:$I,"ผ่าน")</f>
        <v>2</v>
      </c>
      <c r="F179" s="10">
        <f t="shared" si="4"/>
        <v>-26</v>
      </c>
      <c r="G179" s="10">
        <f t="shared" si="5"/>
        <v>0</v>
      </c>
      <c r="H179" s="10">
        <f>_xlfn.MAXIFS(รายชื่อจบส.!$L:$L,รายชื่อจบส.!$A:$A,$B179)</f>
        <v>9</v>
      </c>
    </row>
    <row r="180" spans="1:8" ht="17.5" thickBot="1" x14ac:dyDescent="0.65">
      <c r="A180" s="4" t="s">
        <v>4486</v>
      </c>
      <c r="B180" s="5" t="s">
        <v>4492</v>
      </c>
      <c r="C180" s="5" t="s">
        <v>4493</v>
      </c>
      <c r="D180" s="10">
        <f>COUNTIF(รายชื่อจบส.!$A:$A,$B180)</f>
        <v>0</v>
      </c>
      <c r="E180" s="10">
        <f>COUNTIFS(รายชื่อจบส.!$A:$A,$B180,รายชื่อจบส.!$I:$I,"ผ่าน")</f>
        <v>0</v>
      </c>
      <c r="F180" s="10">
        <f t="shared" si="4"/>
        <v>0</v>
      </c>
      <c r="G180" s="10">
        <f t="shared" si="5"/>
        <v>0</v>
      </c>
      <c r="H180" s="10">
        <f>_xlfn.MAXIFS(รายชื่อจบส.!$L:$L,รายชื่อจบส.!$A:$A,$B180)</f>
        <v>0</v>
      </c>
    </row>
    <row r="181" spans="1:8" ht="17.5" thickBot="1" x14ac:dyDescent="0.65">
      <c r="A181" s="4" t="s">
        <v>4486</v>
      </c>
      <c r="B181" s="5" t="s">
        <v>4494</v>
      </c>
      <c r="C181" s="5" t="s">
        <v>4495</v>
      </c>
      <c r="D181" s="10">
        <f>COUNTIF(รายชื่อจบส.!$A:$A,$B181)</f>
        <v>0</v>
      </c>
      <c r="E181" s="10">
        <f>COUNTIFS(รายชื่อจบส.!$A:$A,$B181,รายชื่อจบส.!$I:$I,"ผ่าน")</f>
        <v>0</v>
      </c>
      <c r="F181" s="10">
        <f t="shared" si="4"/>
        <v>0</v>
      </c>
      <c r="G181" s="10">
        <f t="shared" si="5"/>
        <v>0</v>
      </c>
      <c r="H181" s="10">
        <f>_xlfn.MAXIFS(รายชื่อจบส.!$L:$L,รายชื่อจบส.!$A:$A,$B181)</f>
        <v>0</v>
      </c>
    </row>
    <row r="182" spans="1:8" ht="17.5" thickBot="1" x14ac:dyDescent="0.65">
      <c r="A182" s="4" t="s">
        <v>4486</v>
      </c>
      <c r="B182" s="6" t="s">
        <v>4496</v>
      </c>
      <c r="C182" s="7" t="s">
        <v>4497</v>
      </c>
      <c r="D182" s="10">
        <f>COUNTIF(รายชื่อจบส.!$A:$A,$B182)</f>
        <v>0</v>
      </c>
      <c r="E182" s="10">
        <f>COUNTIFS(รายชื่อจบส.!$A:$A,$B182,รายชื่อจบส.!$I:$I,"ผ่าน")</f>
        <v>0</v>
      </c>
      <c r="F182" s="10">
        <f t="shared" si="4"/>
        <v>0</v>
      </c>
      <c r="G182" s="10">
        <f t="shared" si="5"/>
        <v>0</v>
      </c>
      <c r="H182" s="10">
        <f>_xlfn.MAXIFS(รายชื่อจบส.!$L:$L,รายชื่อจบส.!$A:$A,$B182)</f>
        <v>0</v>
      </c>
    </row>
    <row r="183" spans="1:8" ht="17.5" thickBot="1" x14ac:dyDescent="0.65">
      <c r="A183" s="4" t="s">
        <v>4486</v>
      </c>
      <c r="B183" s="5" t="s">
        <v>4498</v>
      </c>
      <c r="C183" s="5" t="s">
        <v>4499</v>
      </c>
      <c r="D183" s="10">
        <f>COUNTIF(รายชื่อจบส.!$A:$A,$B183)</f>
        <v>0</v>
      </c>
      <c r="E183" s="10">
        <f>COUNTIFS(รายชื่อจบส.!$A:$A,$B183,รายชื่อจบส.!$I:$I,"ผ่าน")</f>
        <v>0</v>
      </c>
      <c r="F183" s="10">
        <f t="shared" si="4"/>
        <v>0</v>
      </c>
      <c r="G183" s="10">
        <f t="shared" si="5"/>
        <v>0</v>
      </c>
      <c r="H183" s="10">
        <f>_xlfn.MAXIFS(รายชื่อจบส.!$L:$L,รายชื่อจบส.!$A:$A,$B183)</f>
        <v>0</v>
      </c>
    </row>
    <row r="184" spans="1:8" ht="17.5" thickBot="1" x14ac:dyDescent="0.65">
      <c r="A184" s="4" t="s">
        <v>4486</v>
      </c>
      <c r="B184" s="5" t="s">
        <v>2963</v>
      </c>
      <c r="C184" s="5" t="s">
        <v>4500</v>
      </c>
      <c r="D184" s="10">
        <f>COUNTIF(รายชื่อจบส.!$A:$A,$B184)</f>
        <v>8</v>
      </c>
      <c r="E184" s="10">
        <f>COUNTIFS(รายชื่อจบส.!$A:$A,$B184,รายชื่อจบส.!$I:$I,"ผ่าน")</f>
        <v>6</v>
      </c>
      <c r="F184" s="10">
        <f t="shared" si="4"/>
        <v>-2</v>
      </c>
      <c r="G184" s="10">
        <f t="shared" si="5"/>
        <v>0</v>
      </c>
      <c r="H184" s="10">
        <f>_xlfn.MAXIFS(รายชื่อจบส.!$L:$L,รายชื่อจบส.!$A:$A,$B184)</f>
        <v>8</v>
      </c>
    </row>
    <row r="185" spans="1:8" ht="17.5" thickBot="1" x14ac:dyDescent="0.65">
      <c r="A185" s="4" t="s">
        <v>4486</v>
      </c>
      <c r="B185" s="5" t="s">
        <v>2964</v>
      </c>
      <c r="C185" s="5" t="s">
        <v>4501</v>
      </c>
      <c r="D185" s="10">
        <f>COUNTIF(รายชื่อจบส.!$A:$A,$B185)</f>
        <v>2</v>
      </c>
      <c r="E185" s="10">
        <f>COUNTIFS(รายชื่อจบส.!$A:$A,$B185,รายชื่อจบส.!$I:$I,"ผ่าน")</f>
        <v>0</v>
      </c>
      <c r="F185" s="10">
        <f t="shared" si="4"/>
        <v>-2</v>
      </c>
      <c r="G185" s="10">
        <f t="shared" si="5"/>
        <v>0</v>
      </c>
      <c r="H185" s="10">
        <f>_xlfn.MAXIFS(รายชื่อจบส.!$L:$L,รายชื่อจบส.!$A:$A,$B185)</f>
        <v>0</v>
      </c>
    </row>
    <row r="186" spans="1:8" ht="17.5" thickBot="1" x14ac:dyDescent="0.65">
      <c r="A186" s="4" t="s">
        <v>4486</v>
      </c>
      <c r="B186" s="8" t="s">
        <v>2965</v>
      </c>
      <c r="C186" s="8" t="s">
        <v>4502</v>
      </c>
      <c r="D186" s="10">
        <f>COUNTIF(รายชื่อจบส.!$A:$A,$B186)</f>
        <v>8</v>
      </c>
      <c r="E186" s="10">
        <f>COUNTIFS(รายชื่อจบส.!$A:$A,$B186,รายชื่อจบส.!$I:$I,"ผ่าน")</f>
        <v>8</v>
      </c>
      <c r="F186" s="10">
        <f t="shared" si="4"/>
        <v>0</v>
      </c>
      <c r="G186" s="10">
        <f t="shared" si="5"/>
        <v>3</v>
      </c>
      <c r="H186" s="10">
        <f>_xlfn.MAXIFS(รายชื่อจบส.!$L:$L,รายชื่อจบส.!$A:$A,$B186)</f>
        <v>5</v>
      </c>
    </row>
    <row r="187" spans="1:8" ht="17.5" thickBot="1" x14ac:dyDescent="0.65">
      <c r="A187" s="4" t="s">
        <v>4486</v>
      </c>
      <c r="B187" s="8" t="s">
        <v>2966</v>
      </c>
      <c r="C187" s="8" t="s">
        <v>4503</v>
      </c>
      <c r="D187" s="10">
        <f>COUNTIF(รายชื่อจบส.!$A:$A,$B187)</f>
        <v>2</v>
      </c>
      <c r="E187" s="10">
        <f>COUNTIFS(รายชื่อจบส.!$A:$A,$B187,รายชื่อจบส.!$I:$I,"ผ่าน")</f>
        <v>2</v>
      </c>
      <c r="F187" s="10">
        <f t="shared" si="4"/>
        <v>0</v>
      </c>
      <c r="G187" s="10">
        <f t="shared" si="5"/>
        <v>3</v>
      </c>
      <c r="H187" s="10">
        <f>_xlfn.MAXIFS(รายชื่อจบส.!$L:$L,รายชื่อจบส.!$A:$A,$B187)</f>
        <v>4</v>
      </c>
    </row>
    <row r="188" spans="1:8" ht="17.5" thickBot="1" x14ac:dyDescent="0.65">
      <c r="A188" s="4" t="s">
        <v>4486</v>
      </c>
      <c r="B188" s="5" t="s">
        <v>2967</v>
      </c>
      <c r="C188" s="5" t="s">
        <v>4504</v>
      </c>
      <c r="D188" s="10">
        <f>COUNTIF(รายชื่อจบส.!$A:$A,$B188)</f>
        <v>6</v>
      </c>
      <c r="E188" s="10">
        <f>COUNTIFS(รายชื่อจบส.!$A:$A,$B188,รายชื่อจบส.!$I:$I,"ผ่าน")</f>
        <v>6</v>
      </c>
      <c r="F188" s="10">
        <f t="shared" si="4"/>
        <v>0</v>
      </c>
      <c r="G188" s="10">
        <f t="shared" si="5"/>
        <v>3</v>
      </c>
      <c r="H188" s="10">
        <f>_xlfn.MAXIFS(รายชื่อจบส.!$L:$L,รายชื่อจบส.!$A:$A,$B188)</f>
        <v>5</v>
      </c>
    </row>
    <row r="189" spans="1:8" ht="17.5" thickBot="1" x14ac:dyDescent="0.65">
      <c r="A189" s="4" t="s">
        <v>4486</v>
      </c>
      <c r="B189" s="5" t="s">
        <v>2969</v>
      </c>
      <c r="C189" s="5" t="s">
        <v>4505</v>
      </c>
      <c r="D189" s="10">
        <f>COUNTIF(รายชื่อจบส.!$A:$A,$B189)</f>
        <v>3</v>
      </c>
      <c r="E189" s="10">
        <f>COUNTIFS(รายชื่อจบส.!$A:$A,$B189,รายชื่อจบส.!$I:$I,"ผ่าน")</f>
        <v>0</v>
      </c>
      <c r="F189" s="10">
        <f t="shared" si="4"/>
        <v>-3</v>
      </c>
      <c r="G189" s="10">
        <f t="shared" si="5"/>
        <v>0</v>
      </c>
      <c r="H189" s="10">
        <f>_xlfn.MAXIFS(รายชื่อจบส.!$L:$L,รายชื่อจบส.!$A:$A,$B189)</f>
        <v>0</v>
      </c>
    </row>
    <row r="190" spans="1:8" ht="17.5" thickBot="1" x14ac:dyDescent="0.65">
      <c r="A190" s="4" t="s">
        <v>4486</v>
      </c>
      <c r="B190" s="5" t="s">
        <v>2968</v>
      </c>
      <c r="C190" s="5" t="s">
        <v>4506</v>
      </c>
      <c r="D190" s="10">
        <f>COUNTIF(รายชื่อจบส.!$A:$A,$B190)</f>
        <v>2</v>
      </c>
      <c r="E190" s="10">
        <f>COUNTIFS(รายชื่อจบส.!$A:$A,$B190,รายชื่อจบส.!$I:$I,"ผ่าน")</f>
        <v>0</v>
      </c>
      <c r="F190" s="10">
        <f t="shared" si="4"/>
        <v>-2</v>
      </c>
      <c r="G190" s="10">
        <f t="shared" si="5"/>
        <v>0</v>
      </c>
      <c r="H190" s="10">
        <f>_xlfn.MAXIFS(รายชื่อจบส.!$L:$L,รายชื่อจบส.!$A:$A,$B190)</f>
        <v>0</v>
      </c>
    </row>
    <row r="191" spans="1:8" ht="17.5" thickBot="1" x14ac:dyDescent="0.65">
      <c r="A191" s="4" t="s">
        <v>4486</v>
      </c>
      <c r="B191" s="5" t="s">
        <v>2970</v>
      </c>
      <c r="C191" s="5" t="s">
        <v>4507</v>
      </c>
      <c r="D191" s="10">
        <f>COUNTIF(รายชื่อจบส.!$A:$A,$B191)</f>
        <v>3</v>
      </c>
      <c r="E191" s="10">
        <f>COUNTIFS(รายชื่อจบส.!$A:$A,$B191,รายชื่อจบส.!$I:$I,"ผ่าน")</f>
        <v>0</v>
      </c>
      <c r="F191" s="10">
        <f t="shared" si="4"/>
        <v>-3</v>
      </c>
      <c r="G191" s="10">
        <f t="shared" si="5"/>
        <v>0</v>
      </c>
      <c r="H191" s="10">
        <f>_xlfn.MAXIFS(รายชื่อจบส.!$L:$L,รายชื่อจบส.!$A:$A,$B191)</f>
        <v>0</v>
      </c>
    </row>
    <row r="192" spans="1:8" ht="17.5" thickBot="1" x14ac:dyDescent="0.65">
      <c r="A192" s="4" t="s">
        <v>4486</v>
      </c>
      <c r="B192" s="5" t="s">
        <v>2971</v>
      </c>
      <c r="C192" s="5" t="s">
        <v>4508</v>
      </c>
      <c r="D192" s="10">
        <f>COUNTIF(รายชื่อจบส.!$A:$A,$B192)</f>
        <v>8</v>
      </c>
      <c r="E192" s="10">
        <f>COUNTIFS(รายชื่อจบส.!$A:$A,$B192,รายชื่อจบส.!$I:$I,"ผ่าน")</f>
        <v>6</v>
      </c>
      <c r="F192" s="10">
        <f t="shared" si="4"/>
        <v>-2</v>
      </c>
      <c r="G192" s="10">
        <f t="shared" si="5"/>
        <v>0</v>
      </c>
      <c r="H192" s="10">
        <f>_xlfn.MAXIFS(รายชื่อจบส.!$L:$L,รายชื่อจบส.!$A:$A,$B192)</f>
        <v>7</v>
      </c>
    </row>
    <row r="193" spans="1:8" ht="17.5" thickBot="1" x14ac:dyDescent="0.65">
      <c r="A193" s="4" t="s">
        <v>4486</v>
      </c>
      <c r="B193" s="5" t="s">
        <v>4509</v>
      </c>
      <c r="C193" s="5" t="s">
        <v>4510</v>
      </c>
      <c r="D193" s="10">
        <f>COUNTIF(รายชื่อจบส.!$A:$A,$B193)</f>
        <v>0</v>
      </c>
      <c r="E193" s="10">
        <f>COUNTIFS(รายชื่อจบส.!$A:$A,$B193,รายชื่อจบส.!$I:$I,"ผ่าน")</f>
        <v>0</v>
      </c>
      <c r="F193" s="10">
        <f t="shared" si="4"/>
        <v>0</v>
      </c>
      <c r="G193" s="10">
        <f t="shared" si="5"/>
        <v>0</v>
      </c>
      <c r="H193" s="10">
        <f>_xlfn.MAXIFS(รายชื่อจบส.!$L:$L,รายชื่อจบส.!$A:$A,$B193)</f>
        <v>0</v>
      </c>
    </row>
    <row r="194" spans="1:8" ht="17.5" thickBot="1" x14ac:dyDescent="0.65">
      <c r="A194" s="4" t="s">
        <v>4486</v>
      </c>
      <c r="B194" s="5" t="s">
        <v>2973</v>
      </c>
      <c r="C194" s="5" t="s">
        <v>4511</v>
      </c>
      <c r="D194" s="10">
        <f>COUNTIF(รายชื่อจบส.!$A:$A,$B194)</f>
        <v>0</v>
      </c>
      <c r="E194" s="10">
        <f>COUNTIFS(รายชื่อจบส.!$A:$A,$B194,รายชื่อจบส.!$I:$I,"ผ่าน")</f>
        <v>0</v>
      </c>
      <c r="F194" s="10">
        <f t="shared" si="4"/>
        <v>0</v>
      </c>
      <c r="G194" s="10">
        <f t="shared" si="5"/>
        <v>0</v>
      </c>
      <c r="H194" s="10">
        <f>_xlfn.MAXIFS(รายชื่อจบส.!$L:$L,รายชื่อจบส.!$A:$A,$B194)</f>
        <v>0</v>
      </c>
    </row>
    <row r="195" spans="1:8" ht="17.5" thickBot="1" x14ac:dyDescent="0.65">
      <c r="A195" s="4" t="s">
        <v>4486</v>
      </c>
      <c r="B195" s="5" t="s">
        <v>2974</v>
      </c>
      <c r="C195" s="5" t="s">
        <v>4512</v>
      </c>
      <c r="D195" s="10">
        <f>COUNTIF(รายชื่อจบส.!$A:$A,$B195)</f>
        <v>2</v>
      </c>
      <c r="E195" s="10">
        <f>COUNTIFS(รายชื่อจบส.!$A:$A,$B195,รายชื่อจบส.!$I:$I,"ผ่าน")</f>
        <v>2</v>
      </c>
      <c r="F195" s="10">
        <f t="shared" ref="F195:F258" si="6">E195-D195</f>
        <v>0</v>
      </c>
      <c r="G195" s="10">
        <f t="shared" ref="G195:G258" si="7">IF(AND(D195&gt;0,F195=0,H195&lt;=7),3,IF(AND(D195&gt;0,F195=0,H195&lt;=11),2,IF(AND(D195&gt;0,F195=0,H195=12),1,0)))</f>
        <v>3</v>
      </c>
      <c r="H195" s="10">
        <f>_xlfn.MAXIFS(รายชื่อจบส.!$L:$L,รายชื่อจบส.!$A:$A,$B195)</f>
        <v>4</v>
      </c>
    </row>
    <row r="196" spans="1:8" ht="17.5" thickBot="1" x14ac:dyDescent="0.65">
      <c r="A196" s="4" t="s">
        <v>4486</v>
      </c>
      <c r="B196" s="5" t="s">
        <v>2975</v>
      </c>
      <c r="C196" s="5" t="s">
        <v>4513</v>
      </c>
      <c r="D196" s="10">
        <f>COUNTIF(รายชื่อจบส.!$A:$A,$B196)</f>
        <v>6</v>
      </c>
      <c r="E196" s="10">
        <f>COUNTIFS(รายชื่อจบส.!$A:$A,$B196,รายชื่อจบส.!$I:$I,"ผ่าน")</f>
        <v>4</v>
      </c>
      <c r="F196" s="10">
        <f t="shared" si="6"/>
        <v>-2</v>
      </c>
      <c r="G196" s="10">
        <f t="shared" si="7"/>
        <v>0</v>
      </c>
      <c r="H196" s="10">
        <f>_xlfn.MAXIFS(รายชื่อจบส.!$L:$L,รายชื่อจบส.!$A:$A,$B196)</f>
        <v>4</v>
      </c>
    </row>
    <row r="197" spans="1:8" ht="17.5" thickBot="1" x14ac:dyDescent="0.65">
      <c r="A197" s="4" t="s">
        <v>4486</v>
      </c>
      <c r="B197" s="5" t="s">
        <v>2976</v>
      </c>
      <c r="C197" s="5" t="s">
        <v>4514</v>
      </c>
      <c r="D197" s="10">
        <f>COUNTIF(รายชื่อจบส.!$A:$A,$B197)</f>
        <v>5</v>
      </c>
      <c r="E197" s="10">
        <f>COUNTIFS(รายชื่อจบส.!$A:$A,$B197,รายชื่อจบส.!$I:$I,"ผ่าน")</f>
        <v>2</v>
      </c>
      <c r="F197" s="10">
        <f t="shared" si="6"/>
        <v>-3</v>
      </c>
      <c r="G197" s="10">
        <f t="shared" si="7"/>
        <v>0</v>
      </c>
      <c r="H197" s="10">
        <f>_xlfn.MAXIFS(รายชื่อจบส.!$L:$L,รายชื่อจบส.!$A:$A,$B197)</f>
        <v>4</v>
      </c>
    </row>
    <row r="198" spans="1:8" ht="17.5" thickBot="1" x14ac:dyDescent="0.65">
      <c r="A198" s="4" t="s">
        <v>4486</v>
      </c>
      <c r="B198" s="5" t="s">
        <v>2977</v>
      </c>
      <c r="C198" s="5" t="s">
        <v>4515</v>
      </c>
      <c r="D198" s="10">
        <f>COUNTIF(รายชื่อจบส.!$A:$A,$B198)</f>
        <v>3</v>
      </c>
      <c r="E198" s="10">
        <f>COUNTIFS(รายชื่อจบส.!$A:$A,$B198,รายชื่อจบส.!$I:$I,"ผ่าน")</f>
        <v>3</v>
      </c>
      <c r="F198" s="10">
        <f t="shared" si="6"/>
        <v>0</v>
      </c>
      <c r="G198" s="10">
        <f t="shared" si="7"/>
        <v>3</v>
      </c>
      <c r="H198" s="10">
        <f>_xlfn.MAXIFS(รายชื่อจบส.!$L:$L,รายชื่อจบส.!$A:$A,$B198)</f>
        <v>4</v>
      </c>
    </row>
    <row r="199" spans="1:8" ht="17.5" thickBot="1" x14ac:dyDescent="0.65">
      <c r="A199" s="4" t="s">
        <v>4486</v>
      </c>
      <c r="B199" s="5" t="s">
        <v>2978</v>
      </c>
      <c r="C199" s="5" t="s">
        <v>4516</v>
      </c>
      <c r="D199" s="10">
        <f>COUNTIF(รายชื่อจบส.!$A:$A,$B199)</f>
        <v>2</v>
      </c>
      <c r="E199" s="10">
        <f>COUNTIFS(รายชื่อจบส.!$A:$A,$B199,รายชื่อจบส.!$I:$I,"ผ่าน")</f>
        <v>0</v>
      </c>
      <c r="F199" s="10">
        <f t="shared" si="6"/>
        <v>-2</v>
      </c>
      <c r="G199" s="10">
        <f t="shared" si="7"/>
        <v>0</v>
      </c>
      <c r="H199" s="10">
        <f>_xlfn.MAXIFS(รายชื่อจบส.!$L:$L,รายชื่อจบส.!$A:$A,$B199)</f>
        <v>0</v>
      </c>
    </row>
    <row r="200" spans="1:8" ht="17.5" thickBot="1" x14ac:dyDescent="0.65">
      <c r="A200" s="4" t="s">
        <v>4486</v>
      </c>
      <c r="B200" s="5" t="s">
        <v>2979</v>
      </c>
      <c r="C200" s="5" t="s">
        <v>4517</v>
      </c>
      <c r="D200" s="10">
        <f>COUNTIF(รายชื่อจบส.!$A:$A,$B200)</f>
        <v>6</v>
      </c>
      <c r="E200" s="10">
        <f>COUNTIFS(รายชื่อจบส.!$A:$A,$B200,รายชื่อจบส.!$I:$I,"ผ่าน")</f>
        <v>0</v>
      </c>
      <c r="F200" s="10">
        <f t="shared" si="6"/>
        <v>-6</v>
      </c>
      <c r="G200" s="10">
        <f t="shared" si="7"/>
        <v>0</v>
      </c>
      <c r="H200" s="10">
        <f>_xlfn.MAXIFS(รายชื่อจบส.!$L:$L,รายชื่อจบส.!$A:$A,$B200)</f>
        <v>0</v>
      </c>
    </row>
    <row r="201" spans="1:8" ht="17.5" thickBot="1" x14ac:dyDescent="0.65">
      <c r="A201" s="4" t="s">
        <v>4486</v>
      </c>
      <c r="B201" s="5" t="s">
        <v>2980</v>
      </c>
      <c r="C201" s="5" t="s">
        <v>4518</v>
      </c>
      <c r="D201" s="10">
        <f>COUNTIF(รายชื่อจบส.!$A:$A,$B201)</f>
        <v>8</v>
      </c>
      <c r="E201" s="10">
        <f>COUNTIFS(รายชื่อจบส.!$A:$A,$B201,รายชื่อจบส.!$I:$I,"ผ่าน")</f>
        <v>0</v>
      </c>
      <c r="F201" s="10">
        <f t="shared" si="6"/>
        <v>-8</v>
      </c>
      <c r="G201" s="10">
        <f t="shared" si="7"/>
        <v>0</v>
      </c>
      <c r="H201" s="10">
        <f>_xlfn.MAXIFS(รายชื่อจบส.!$L:$L,รายชื่อจบส.!$A:$A,$B201)</f>
        <v>0</v>
      </c>
    </row>
    <row r="202" spans="1:8" ht="17.5" thickBot="1" x14ac:dyDescent="0.65">
      <c r="A202" s="4" t="s">
        <v>4486</v>
      </c>
      <c r="B202" s="5" t="s">
        <v>2981</v>
      </c>
      <c r="C202" s="5" t="s">
        <v>4519</v>
      </c>
      <c r="D202" s="10">
        <f>COUNTIF(รายชื่อจบส.!$A:$A,$B202)</f>
        <v>2</v>
      </c>
      <c r="E202" s="10">
        <f>COUNTIFS(รายชื่อจบส.!$A:$A,$B202,รายชื่อจบส.!$I:$I,"ผ่าน")</f>
        <v>0</v>
      </c>
      <c r="F202" s="10">
        <f t="shared" si="6"/>
        <v>-2</v>
      </c>
      <c r="G202" s="10">
        <f t="shared" si="7"/>
        <v>0</v>
      </c>
      <c r="H202" s="10">
        <f>_xlfn.MAXIFS(รายชื่อจบส.!$L:$L,รายชื่อจบส.!$A:$A,$B202)</f>
        <v>0</v>
      </c>
    </row>
    <row r="203" spans="1:8" ht="17.5" thickBot="1" x14ac:dyDescent="0.65">
      <c r="A203" s="4" t="s">
        <v>4486</v>
      </c>
      <c r="B203" s="5" t="s">
        <v>2983</v>
      </c>
      <c r="C203" s="5" t="s">
        <v>4520</v>
      </c>
      <c r="D203" s="10">
        <f>COUNTIF(รายชื่อจบส.!$A:$A,$B203)</f>
        <v>1</v>
      </c>
      <c r="E203" s="10">
        <f>COUNTIFS(รายชื่อจบส.!$A:$A,$B203,รายชื่อจบส.!$I:$I,"ผ่าน")</f>
        <v>0</v>
      </c>
      <c r="F203" s="10">
        <f t="shared" si="6"/>
        <v>-1</v>
      </c>
      <c r="G203" s="10">
        <f t="shared" si="7"/>
        <v>0</v>
      </c>
      <c r="H203" s="10">
        <f>_xlfn.MAXIFS(รายชื่อจบส.!$L:$L,รายชื่อจบส.!$A:$A,$B203)</f>
        <v>0</v>
      </c>
    </row>
    <row r="204" spans="1:8" ht="17.5" thickBot="1" x14ac:dyDescent="0.65">
      <c r="A204" s="4" t="s">
        <v>4486</v>
      </c>
      <c r="B204" s="5" t="s">
        <v>2982</v>
      </c>
      <c r="C204" s="5" t="s">
        <v>4521</v>
      </c>
      <c r="D204" s="10">
        <f>COUNTIF(รายชื่อจบส.!$A:$A,$B204)</f>
        <v>3</v>
      </c>
      <c r="E204" s="10">
        <f>COUNTIFS(รายชื่อจบส.!$A:$A,$B204,รายชื่อจบส.!$I:$I,"ผ่าน")</f>
        <v>0</v>
      </c>
      <c r="F204" s="10">
        <f t="shared" si="6"/>
        <v>-3</v>
      </c>
      <c r="G204" s="10">
        <f t="shared" si="7"/>
        <v>0</v>
      </c>
      <c r="H204" s="10">
        <f>_xlfn.MAXIFS(รายชื่อจบส.!$L:$L,รายชื่อจบส.!$A:$A,$B204)</f>
        <v>0</v>
      </c>
    </row>
    <row r="205" spans="1:8" ht="17.5" thickBot="1" x14ac:dyDescent="0.65">
      <c r="A205" s="4" t="s">
        <v>4486</v>
      </c>
      <c r="B205" s="5" t="s">
        <v>4522</v>
      </c>
      <c r="C205" s="5" t="s">
        <v>4523</v>
      </c>
      <c r="D205" s="10">
        <f>COUNTIF(รายชื่อจบส.!$A:$A,$B205)</f>
        <v>1</v>
      </c>
      <c r="E205" s="10">
        <f>COUNTIFS(รายชื่อจบส.!$A:$A,$B205,รายชื่อจบส.!$I:$I,"ผ่าน")</f>
        <v>0</v>
      </c>
      <c r="F205" s="10">
        <f t="shared" si="6"/>
        <v>-1</v>
      </c>
      <c r="G205" s="10">
        <f t="shared" si="7"/>
        <v>0</v>
      </c>
      <c r="H205" s="10">
        <f>_xlfn.MAXIFS(รายชื่อจบส.!$L:$L,รายชื่อจบส.!$A:$A,$B205)</f>
        <v>0</v>
      </c>
    </row>
    <row r="206" spans="1:8" ht="17.5" thickBot="1" x14ac:dyDescent="0.65">
      <c r="A206" s="4" t="s">
        <v>4486</v>
      </c>
      <c r="B206" s="5" t="s">
        <v>2984</v>
      </c>
      <c r="C206" s="5" t="s">
        <v>4524</v>
      </c>
      <c r="D206" s="10">
        <f>COUNTIF(รายชื่อจบส.!$A:$A,$B206)</f>
        <v>4</v>
      </c>
      <c r="E206" s="10">
        <f>COUNTIFS(รายชื่อจบส.!$A:$A,$B206,รายชื่อจบส.!$I:$I,"ผ่าน")</f>
        <v>0</v>
      </c>
      <c r="F206" s="10">
        <f t="shared" si="6"/>
        <v>-4</v>
      </c>
      <c r="G206" s="10">
        <f t="shared" si="7"/>
        <v>0</v>
      </c>
      <c r="H206" s="10">
        <f>_xlfn.MAXIFS(รายชื่อจบส.!$L:$L,รายชื่อจบส.!$A:$A,$B206)</f>
        <v>0</v>
      </c>
    </row>
    <row r="207" spans="1:8" ht="17.5" thickBot="1" x14ac:dyDescent="0.65">
      <c r="A207" s="4" t="s">
        <v>4486</v>
      </c>
      <c r="B207" s="5" t="s">
        <v>3057</v>
      </c>
      <c r="C207" s="5" t="s">
        <v>4525</v>
      </c>
      <c r="D207" s="10">
        <f>COUNTIF(รายชื่อจบส.!$A:$A,$B207)</f>
        <v>5</v>
      </c>
      <c r="E207" s="10">
        <f>COUNTIFS(รายชื่อจบส.!$A:$A,$B207,รายชื่อจบส.!$I:$I,"ผ่าน")</f>
        <v>0</v>
      </c>
      <c r="F207" s="10">
        <f t="shared" si="6"/>
        <v>-5</v>
      </c>
      <c r="G207" s="10">
        <f t="shared" si="7"/>
        <v>0</v>
      </c>
      <c r="H207" s="10">
        <f>_xlfn.MAXIFS(รายชื่อจบส.!$L:$L,รายชื่อจบส.!$A:$A,$B207)</f>
        <v>0</v>
      </c>
    </row>
    <row r="208" spans="1:8" ht="17.5" thickBot="1" x14ac:dyDescent="0.65">
      <c r="A208" s="4" t="s">
        <v>4486</v>
      </c>
      <c r="B208" s="5" t="s">
        <v>4526</v>
      </c>
      <c r="C208" s="5" t="s">
        <v>4527</v>
      </c>
      <c r="D208" s="10">
        <f>COUNTIF(รายชื่อจบส.!$A:$A,$B208)</f>
        <v>2</v>
      </c>
      <c r="E208" s="10">
        <f>COUNTIFS(รายชื่อจบส.!$A:$A,$B208,รายชื่อจบส.!$I:$I,"ผ่าน")</f>
        <v>0</v>
      </c>
      <c r="F208" s="10">
        <f t="shared" si="6"/>
        <v>-2</v>
      </c>
      <c r="G208" s="10">
        <f t="shared" si="7"/>
        <v>0</v>
      </c>
      <c r="H208" s="10">
        <f>_xlfn.MAXIFS(รายชื่อจบส.!$L:$L,รายชื่อจบส.!$A:$A,$B208)</f>
        <v>0</v>
      </c>
    </row>
    <row r="209" spans="1:8" ht="17.5" thickBot="1" x14ac:dyDescent="0.65">
      <c r="A209" s="4" t="s">
        <v>4486</v>
      </c>
      <c r="B209" s="5" t="s">
        <v>4528</v>
      </c>
      <c r="C209" s="5" t="s">
        <v>4529</v>
      </c>
      <c r="D209" s="10">
        <f>COUNTIF(รายชื่อจบส.!$A:$A,$B209)</f>
        <v>0</v>
      </c>
      <c r="E209" s="10">
        <f>COUNTIFS(รายชื่อจบส.!$A:$A,$B209,รายชื่อจบส.!$I:$I,"ผ่าน")</f>
        <v>0</v>
      </c>
      <c r="F209" s="10">
        <f t="shared" si="6"/>
        <v>0</v>
      </c>
      <c r="G209" s="10">
        <f t="shared" si="7"/>
        <v>0</v>
      </c>
      <c r="H209" s="10">
        <f>_xlfn.MAXIFS(รายชื่อจบส.!$L:$L,รายชื่อจบส.!$A:$A,$B209)</f>
        <v>0</v>
      </c>
    </row>
    <row r="210" spans="1:8" ht="17.5" thickBot="1" x14ac:dyDescent="0.65">
      <c r="A210" s="4" t="s">
        <v>4486</v>
      </c>
      <c r="B210" s="5" t="s">
        <v>2985</v>
      </c>
      <c r="C210" s="5" t="s">
        <v>4530</v>
      </c>
      <c r="D210" s="10">
        <f>COUNTIF(รายชื่อจบส.!$A:$A,$B210)</f>
        <v>32</v>
      </c>
      <c r="E210" s="10">
        <f>COUNTIFS(รายชื่อจบส.!$A:$A,$B210,รายชื่อจบส.!$I:$I,"ผ่าน")</f>
        <v>20</v>
      </c>
      <c r="F210" s="10">
        <f t="shared" si="6"/>
        <v>-12</v>
      </c>
      <c r="G210" s="10">
        <f t="shared" si="7"/>
        <v>0</v>
      </c>
      <c r="H210" s="10">
        <f>_xlfn.MAXIFS(รายชื่อจบส.!$L:$L,รายชื่อจบส.!$A:$A,$B210)</f>
        <v>6</v>
      </c>
    </row>
    <row r="211" spans="1:8" ht="17.5" thickBot="1" x14ac:dyDescent="0.65">
      <c r="A211" s="4" t="s">
        <v>4486</v>
      </c>
      <c r="B211" s="5" t="s">
        <v>2986</v>
      </c>
      <c r="C211" s="5" t="s">
        <v>4531</v>
      </c>
      <c r="D211" s="10">
        <f>COUNTIF(รายชื่อจบส.!$A:$A,$B211)</f>
        <v>6</v>
      </c>
      <c r="E211" s="10">
        <f>COUNTIFS(รายชื่อจบส.!$A:$A,$B211,รายชื่อจบส.!$I:$I,"ผ่าน")</f>
        <v>1</v>
      </c>
      <c r="F211" s="10">
        <f t="shared" si="6"/>
        <v>-5</v>
      </c>
      <c r="G211" s="10">
        <f t="shared" si="7"/>
        <v>0</v>
      </c>
      <c r="H211" s="10">
        <f>_xlfn.MAXIFS(รายชื่อจบส.!$L:$L,รายชื่อจบส.!$A:$A,$B211)</f>
        <v>4</v>
      </c>
    </row>
    <row r="212" spans="1:8" ht="17.5" thickBot="1" x14ac:dyDescent="0.65">
      <c r="A212" s="4" t="s">
        <v>4486</v>
      </c>
      <c r="B212" s="5" t="s">
        <v>2987</v>
      </c>
      <c r="C212" s="5" t="s">
        <v>4532</v>
      </c>
      <c r="D212" s="10">
        <f>COUNTIF(รายชื่อจบส.!$A:$A,$B212)</f>
        <v>1</v>
      </c>
      <c r="E212" s="10">
        <f>COUNTIFS(รายชื่อจบส.!$A:$A,$B212,รายชื่อจบส.!$I:$I,"ผ่าน")</f>
        <v>0</v>
      </c>
      <c r="F212" s="10">
        <f t="shared" si="6"/>
        <v>-1</v>
      </c>
      <c r="G212" s="10">
        <f t="shared" si="7"/>
        <v>0</v>
      </c>
      <c r="H212" s="10">
        <f>_xlfn.MAXIFS(รายชื่อจบส.!$L:$L,รายชื่อจบส.!$A:$A,$B212)</f>
        <v>0</v>
      </c>
    </row>
    <row r="213" spans="1:8" ht="17.5" thickBot="1" x14ac:dyDescent="0.65">
      <c r="A213" s="4" t="s">
        <v>4486</v>
      </c>
      <c r="B213" s="5" t="s">
        <v>2991</v>
      </c>
      <c r="C213" s="5" t="s">
        <v>4533</v>
      </c>
      <c r="D213" s="10">
        <f>COUNTIF(รายชื่อจบส.!$A:$A,$B213)</f>
        <v>14</v>
      </c>
      <c r="E213" s="10">
        <f>COUNTIFS(รายชื่อจบส.!$A:$A,$B213,รายชื่อจบส.!$I:$I,"ผ่าน")</f>
        <v>14</v>
      </c>
      <c r="F213" s="10">
        <f t="shared" si="6"/>
        <v>0</v>
      </c>
      <c r="G213" s="10">
        <f t="shared" si="7"/>
        <v>3</v>
      </c>
      <c r="H213" s="10">
        <f>_xlfn.MAXIFS(รายชื่อจบส.!$L:$L,รายชื่อจบส.!$A:$A,$B213)</f>
        <v>5</v>
      </c>
    </row>
    <row r="214" spans="1:8" ht="17.5" thickBot="1" x14ac:dyDescent="0.65">
      <c r="A214" s="4" t="s">
        <v>4486</v>
      </c>
      <c r="B214" s="5" t="s">
        <v>2992</v>
      </c>
      <c r="C214" s="5" t="s">
        <v>4534</v>
      </c>
      <c r="D214" s="10">
        <f>COUNTIF(รายชื่อจบส.!$A:$A,$B214)</f>
        <v>4</v>
      </c>
      <c r="E214" s="10">
        <f>COUNTIFS(รายชื่อจบส.!$A:$A,$B214,รายชื่อจบส.!$I:$I,"ผ่าน")</f>
        <v>3</v>
      </c>
      <c r="F214" s="10">
        <f t="shared" si="6"/>
        <v>-1</v>
      </c>
      <c r="G214" s="10">
        <f t="shared" si="7"/>
        <v>0</v>
      </c>
      <c r="H214" s="10">
        <f>_xlfn.MAXIFS(รายชื่อจบส.!$L:$L,รายชื่อจบส.!$A:$A,$B214)</f>
        <v>5</v>
      </c>
    </row>
    <row r="215" spans="1:8" ht="17.5" thickBot="1" x14ac:dyDescent="0.65">
      <c r="A215" s="4" t="s">
        <v>4486</v>
      </c>
      <c r="B215" s="5" t="s">
        <v>2993</v>
      </c>
      <c r="C215" s="5" t="s">
        <v>4535</v>
      </c>
      <c r="D215" s="10">
        <f>COUNTIF(รายชื่อจบส.!$A:$A,$B215)</f>
        <v>3</v>
      </c>
      <c r="E215" s="10">
        <f>COUNTIFS(รายชื่อจบส.!$A:$A,$B215,รายชื่อจบส.!$I:$I,"ผ่าน")</f>
        <v>3</v>
      </c>
      <c r="F215" s="10">
        <f t="shared" si="6"/>
        <v>0</v>
      </c>
      <c r="G215" s="10">
        <f t="shared" si="7"/>
        <v>3</v>
      </c>
      <c r="H215" s="10">
        <f>_xlfn.MAXIFS(รายชื่อจบส.!$L:$L,รายชื่อจบส.!$A:$A,$B215)</f>
        <v>5</v>
      </c>
    </row>
    <row r="216" spans="1:8" ht="17.5" thickBot="1" x14ac:dyDescent="0.65">
      <c r="A216" s="4" t="s">
        <v>4486</v>
      </c>
      <c r="B216" s="5" t="s">
        <v>2994</v>
      </c>
      <c r="C216" s="5" t="s">
        <v>4536</v>
      </c>
      <c r="D216" s="10">
        <f>COUNTIF(รายชื่อจบส.!$A:$A,$B216)</f>
        <v>1</v>
      </c>
      <c r="E216" s="10">
        <f>COUNTIFS(รายชื่อจบส.!$A:$A,$B216,รายชื่อจบส.!$I:$I,"ผ่าน")</f>
        <v>1</v>
      </c>
      <c r="F216" s="10">
        <f t="shared" si="6"/>
        <v>0</v>
      </c>
      <c r="G216" s="10">
        <f t="shared" si="7"/>
        <v>3</v>
      </c>
      <c r="H216" s="10">
        <f>_xlfn.MAXIFS(รายชื่อจบส.!$L:$L,รายชื่อจบส.!$A:$A,$B216)</f>
        <v>5</v>
      </c>
    </row>
    <row r="217" spans="1:8" ht="17.5" thickBot="1" x14ac:dyDescent="0.65">
      <c r="A217" s="4" t="s">
        <v>4486</v>
      </c>
      <c r="B217" s="5" t="s">
        <v>2995</v>
      </c>
      <c r="C217" s="5" t="s">
        <v>4537</v>
      </c>
      <c r="D217" s="10">
        <f>COUNTIF(รายชื่อจบส.!$A:$A,$B217)</f>
        <v>1</v>
      </c>
      <c r="E217" s="10">
        <f>COUNTIFS(รายชื่อจบส.!$A:$A,$B217,รายชื่อจบส.!$I:$I,"ผ่าน")</f>
        <v>1</v>
      </c>
      <c r="F217" s="10">
        <f t="shared" si="6"/>
        <v>0</v>
      </c>
      <c r="G217" s="10">
        <f t="shared" si="7"/>
        <v>3</v>
      </c>
      <c r="H217" s="10">
        <f>_xlfn.MAXIFS(รายชื่อจบส.!$L:$L,รายชื่อจบส.!$A:$A,$B217)</f>
        <v>5</v>
      </c>
    </row>
    <row r="218" spans="1:8" ht="17.5" thickBot="1" x14ac:dyDescent="0.65">
      <c r="A218" s="4" t="s">
        <v>4486</v>
      </c>
      <c r="B218" s="5" t="s">
        <v>2996</v>
      </c>
      <c r="C218" s="5" t="s">
        <v>4538</v>
      </c>
      <c r="D218" s="10">
        <f>COUNTIF(รายชื่อจบส.!$A:$A,$B218)</f>
        <v>2</v>
      </c>
      <c r="E218" s="10">
        <f>COUNTIFS(รายชื่อจบส.!$A:$A,$B218,รายชื่อจบส.!$I:$I,"ผ่าน")</f>
        <v>2</v>
      </c>
      <c r="F218" s="10">
        <f t="shared" si="6"/>
        <v>0</v>
      </c>
      <c r="G218" s="10">
        <f t="shared" si="7"/>
        <v>3</v>
      </c>
      <c r="H218" s="10">
        <f>_xlfn.MAXIFS(รายชื่อจบส.!$L:$L,รายชื่อจบส.!$A:$A,$B218)</f>
        <v>5</v>
      </c>
    </row>
    <row r="219" spans="1:8" ht="17.5" thickBot="1" x14ac:dyDescent="0.65">
      <c r="A219" s="4" t="s">
        <v>4486</v>
      </c>
      <c r="B219" s="5" t="s">
        <v>2997</v>
      </c>
      <c r="C219" s="5" t="s">
        <v>4539</v>
      </c>
      <c r="D219" s="10">
        <f>COUNTIF(รายชื่อจบส.!$A:$A,$B219)</f>
        <v>4</v>
      </c>
      <c r="E219" s="10">
        <f>COUNTIFS(รายชื่อจบส.!$A:$A,$B219,รายชื่อจบส.!$I:$I,"ผ่าน")</f>
        <v>3</v>
      </c>
      <c r="F219" s="10">
        <f t="shared" si="6"/>
        <v>-1</v>
      </c>
      <c r="G219" s="10">
        <f t="shared" si="7"/>
        <v>0</v>
      </c>
      <c r="H219" s="10">
        <f>_xlfn.MAXIFS(รายชื่อจบส.!$L:$L,รายชื่อจบส.!$A:$A,$B219)</f>
        <v>8</v>
      </c>
    </row>
    <row r="220" spans="1:8" ht="17.5" thickBot="1" x14ac:dyDescent="0.65">
      <c r="A220" s="4" t="s">
        <v>4486</v>
      </c>
      <c r="B220" s="5" t="s">
        <v>3001</v>
      </c>
      <c r="C220" s="5" t="s">
        <v>4540</v>
      </c>
      <c r="D220" s="10">
        <f>COUNTIF(รายชื่อจบส.!$A:$A,$B220)</f>
        <v>6</v>
      </c>
      <c r="E220" s="10">
        <f>COUNTIFS(รายชื่อจบส.!$A:$A,$B220,รายชื่อจบส.!$I:$I,"ผ่าน")</f>
        <v>1</v>
      </c>
      <c r="F220" s="10">
        <f t="shared" si="6"/>
        <v>-5</v>
      </c>
      <c r="G220" s="10">
        <f t="shared" si="7"/>
        <v>0</v>
      </c>
      <c r="H220" s="10">
        <f>_xlfn.MAXIFS(รายชื่อจบส.!$L:$L,รายชื่อจบส.!$A:$A,$B220)</f>
        <v>8</v>
      </c>
    </row>
    <row r="221" spans="1:8" ht="17.5" thickBot="1" x14ac:dyDescent="0.65">
      <c r="A221" s="4" t="s">
        <v>4486</v>
      </c>
      <c r="B221" s="5" t="s">
        <v>2999</v>
      </c>
      <c r="C221" s="5" t="s">
        <v>4541</v>
      </c>
      <c r="D221" s="10">
        <f>COUNTIF(รายชื่อจบส.!$A:$A,$B221)</f>
        <v>5</v>
      </c>
      <c r="E221" s="10">
        <f>COUNTIFS(รายชื่อจบส.!$A:$A,$B221,รายชื่อจบส.!$I:$I,"ผ่าน")</f>
        <v>1</v>
      </c>
      <c r="F221" s="10">
        <f t="shared" si="6"/>
        <v>-4</v>
      </c>
      <c r="G221" s="10">
        <f t="shared" si="7"/>
        <v>0</v>
      </c>
      <c r="H221" s="10">
        <f>_xlfn.MAXIFS(รายชื่อจบส.!$L:$L,รายชื่อจบส.!$A:$A,$B221)</f>
        <v>5</v>
      </c>
    </row>
    <row r="222" spans="1:8" ht="17.5" thickBot="1" x14ac:dyDescent="0.65">
      <c r="A222" s="4" t="s">
        <v>4486</v>
      </c>
      <c r="B222" s="5" t="s">
        <v>3000</v>
      </c>
      <c r="C222" s="5" t="s">
        <v>4542</v>
      </c>
      <c r="D222" s="10">
        <f>COUNTIF(รายชื่อจบส.!$A:$A,$B222)</f>
        <v>5</v>
      </c>
      <c r="E222" s="10">
        <f>COUNTIFS(รายชื่อจบส.!$A:$A,$B222,รายชื่อจบส.!$I:$I,"ผ่าน")</f>
        <v>5</v>
      </c>
      <c r="F222" s="10">
        <f t="shared" si="6"/>
        <v>0</v>
      </c>
      <c r="G222" s="10">
        <f t="shared" si="7"/>
        <v>3</v>
      </c>
      <c r="H222" s="10">
        <f>_xlfn.MAXIFS(รายชื่อจบส.!$L:$L,รายชื่อจบส.!$A:$A,$B222)</f>
        <v>6</v>
      </c>
    </row>
    <row r="223" spans="1:8" ht="17.5" thickBot="1" x14ac:dyDescent="0.65">
      <c r="A223" s="4" t="s">
        <v>4486</v>
      </c>
      <c r="B223" s="5" t="s">
        <v>3002</v>
      </c>
      <c r="C223" s="5" t="s">
        <v>4543</v>
      </c>
      <c r="D223" s="10">
        <f>COUNTIF(รายชื่อจบส.!$A:$A,$B223)</f>
        <v>2</v>
      </c>
      <c r="E223" s="10">
        <f>COUNTIFS(รายชื่อจบส.!$A:$A,$B223,รายชื่อจบส.!$I:$I,"ผ่าน")</f>
        <v>0</v>
      </c>
      <c r="F223" s="10">
        <f t="shared" si="6"/>
        <v>-2</v>
      </c>
      <c r="G223" s="10">
        <f t="shared" si="7"/>
        <v>0</v>
      </c>
      <c r="H223" s="10">
        <f>_xlfn.MAXIFS(รายชื่อจบส.!$L:$L,รายชื่อจบส.!$A:$A,$B223)</f>
        <v>5</v>
      </c>
    </row>
    <row r="224" spans="1:8" ht="17.5" thickBot="1" x14ac:dyDescent="0.65">
      <c r="A224" s="4" t="s">
        <v>4486</v>
      </c>
      <c r="B224" s="5" t="s">
        <v>3003</v>
      </c>
      <c r="C224" s="5" t="s">
        <v>4544</v>
      </c>
      <c r="D224" s="10">
        <f>COUNTIF(รายชื่อจบส.!$A:$A,$B224)</f>
        <v>3</v>
      </c>
      <c r="E224" s="10">
        <f>COUNTIFS(รายชื่อจบส.!$A:$A,$B224,รายชื่อจบส.!$I:$I,"ผ่าน")</f>
        <v>3</v>
      </c>
      <c r="F224" s="10">
        <f t="shared" si="6"/>
        <v>0</v>
      </c>
      <c r="G224" s="10">
        <f t="shared" si="7"/>
        <v>3</v>
      </c>
      <c r="H224" s="10">
        <f>_xlfn.MAXIFS(รายชื่อจบส.!$L:$L,รายชื่อจบส.!$A:$A,$B224)</f>
        <v>5</v>
      </c>
    </row>
    <row r="225" spans="1:8" ht="17.5" thickBot="1" x14ac:dyDescent="0.65">
      <c r="A225" s="4" t="s">
        <v>4486</v>
      </c>
      <c r="B225" s="5" t="s">
        <v>3004</v>
      </c>
      <c r="C225" s="5" t="s">
        <v>4545</v>
      </c>
      <c r="D225" s="10">
        <f>COUNTIF(รายชื่อจบส.!$A:$A,$B225)</f>
        <v>3</v>
      </c>
      <c r="E225" s="10">
        <f>COUNTIFS(รายชื่อจบส.!$A:$A,$B225,รายชื่อจบส.!$I:$I,"ผ่าน")</f>
        <v>3</v>
      </c>
      <c r="F225" s="10">
        <f t="shared" si="6"/>
        <v>0</v>
      </c>
      <c r="G225" s="10">
        <f t="shared" si="7"/>
        <v>3</v>
      </c>
      <c r="H225" s="10">
        <f>_xlfn.MAXIFS(รายชื่อจบส.!$L:$L,รายชื่อจบส.!$A:$A,$B225)</f>
        <v>5</v>
      </c>
    </row>
    <row r="226" spans="1:8" ht="17.5" thickBot="1" x14ac:dyDescent="0.65">
      <c r="A226" s="4" t="s">
        <v>4486</v>
      </c>
      <c r="B226" s="5" t="s">
        <v>3005</v>
      </c>
      <c r="C226" s="5" t="s">
        <v>4546</v>
      </c>
      <c r="D226" s="10">
        <f>COUNTIF(รายชื่อจบส.!$A:$A,$B226)</f>
        <v>3</v>
      </c>
      <c r="E226" s="10">
        <f>COUNTIFS(รายชื่อจบส.!$A:$A,$B226,รายชื่อจบส.!$I:$I,"ผ่าน")</f>
        <v>3</v>
      </c>
      <c r="F226" s="10">
        <f t="shared" si="6"/>
        <v>0</v>
      </c>
      <c r="G226" s="10">
        <f t="shared" si="7"/>
        <v>2</v>
      </c>
      <c r="H226" s="10">
        <f>_xlfn.MAXIFS(รายชื่อจบส.!$L:$L,รายชื่อจบส.!$A:$A,$B226)</f>
        <v>9</v>
      </c>
    </row>
    <row r="227" spans="1:8" ht="17.5" thickBot="1" x14ac:dyDescent="0.65">
      <c r="A227" s="4" t="s">
        <v>4486</v>
      </c>
      <c r="B227" s="5" t="s">
        <v>3006</v>
      </c>
      <c r="C227" s="5" t="s">
        <v>4547</v>
      </c>
      <c r="D227" s="10">
        <f>COUNTIF(รายชื่อจบส.!$A:$A,$B227)</f>
        <v>5</v>
      </c>
      <c r="E227" s="10">
        <f>COUNTIFS(รายชื่อจบส.!$A:$A,$B227,รายชื่อจบส.!$I:$I,"ผ่าน")</f>
        <v>5</v>
      </c>
      <c r="F227" s="10">
        <f t="shared" si="6"/>
        <v>0</v>
      </c>
      <c r="G227" s="10">
        <f t="shared" si="7"/>
        <v>3</v>
      </c>
      <c r="H227" s="10">
        <f>_xlfn.MAXIFS(รายชื่อจบส.!$L:$L,รายชื่อจบส.!$A:$A,$B227)</f>
        <v>5</v>
      </c>
    </row>
    <row r="228" spans="1:8" ht="17.5" thickBot="1" x14ac:dyDescent="0.65">
      <c r="A228" s="4" t="s">
        <v>4486</v>
      </c>
      <c r="B228" s="5" t="s">
        <v>3058</v>
      </c>
      <c r="C228" s="5" t="s">
        <v>4548</v>
      </c>
      <c r="D228" s="10">
        <f>COUNTIF(รายชื่อจบส.!$A:$A,$B228)</f>
        <v>7</v>
      </c>
      <c r="E228" s="10">
        <f>COUNTIFS(รายชื่อจบส.!$A:$A,$B228,รายชื่อจบส.!$I:$I,"ผ่าน")</f>
        <v>4</v>
      </c>
      <c r="F228" s="10">
        <f t="shared" si="6"/>
        <v>-3</v>
      </c>
      <c r="G228" s="10">
        <f t="shared" si="7"/>
        <v>0</v>
      </c>
      <c r="H228" s="10">
        <f>_xlfn.MAXIFS(รายชื่อจบส.!$L:$L,รายชื่อจบส.!$A:$A,$B228)</f>
        <v>6</v>
      </c>
    </row>
    <row r="229" spans="1:8" ht="17.5" thickBot="1" x14ac:dyDescent="0.65">
      <c r="A229" s="4" t="s">
        <v>4486</v>
      </c>
      <c r="B229" s="5" t="s">
        <v>3007</v>
      </c>
      <c r="C229" s="5" t="s">
        <v>3008</v>
      </c>
      <c r="D229" s="10">
        <f>COUNTIF(รายชื่อจบส.!$A:$A,$B229)</f>
        <v>8</v>
      </c>
      <c r="E229" s="10">
        <f>COUNTIFS(รายชื่อจบส.!$A:$A,$B229,รายชื่อจบส.!$I:$I,"ผ่าน")</f>
        <v>7</v>
      </c>
      <c r="F229" s="10">
        <f t="shared" si="6"/>
        <v>-1</v>
      </c>
      <c r="G229" s="10">
        <f t="shared" si="7"/>
        <v>0</v>
      </c>
      <c r="H229" s="10">
        <f>_xlfn.MAXIFS(รายชื่อจบส.!$L:$L,รายชื่อจบส.!$A:$A,$B229)</f>
        <v>6</v>
      </c>
    </row>
    <row r="230" spans="1:8" ht="17.5" thickBot="1" x14ac:dyDescent="0.65">
      <c r="A230" s="4" t="s">
        <v>4486</v>
      </c>
      <c r="B230" s="5" t="s">
        <v>3010</v>
      </c>
      <c r="C230" s="5" t="s">
        <v>4549</v>
      </c>
      <c r="D230" s="10">
        <f>COUNTIF(รายชื่อจบส.!$A:$A,$B230)</f>
        <v>7</v>
      </c>
      <c r="E230" s="10">
        <f>COUNTIFS(รายชื่อจบส.!$A:$A,$B230,รายชื่อจบส.!$I:$I,"ผ่าน")</f>
        <v>7</v>
      </c>
      <c r="F230" s="10">
        <f t="shared" si="6"/>
        <v>0</v>
      </c>
      <c r="G230" s="10">
        <f t="shared" si="7"/>
        <v>2</v>
      </c>
      <c r="H230" s="10">
        <f>_xlfn.MAXIFS(รายชื่อจบส.!$L:$L,รายชื่อจบส.!$A:$A,$B230)</f>
        <v>9</v>
      </c>
    </row>
    <row r="231" spans="1:8" ht="17.5" thickBot="1" x14ac:dyDescent="0.65">
      <c r="A231" s="4" t="s">
        <v>4486</v>
      </c>
      <c r="B231" s="5" t="s">
        <v>3011</v>
      </c>
      <c r="C231" s="5" t="s">
        <v>4550</v>
      </c>
      <c r="D231" s="10">
        <f>COUNTIF(รายชื่อจบส.!$A:$A,$B231)</f>
        <v>6</v>
      </c>
      <c r="E231" s="10">
        <f>COUNTIFS(รายชื่อจบส.!$A:$A,$B231,รายชื่อจบส.!$I:$I,"ผ่าน")</f>
        <v>5</v>
      </c>
      <c r="F231" s="10">
        <f t="shared" si="6"/>
        <v>-1</v>
      </c>
      <c r="G231" s="10">
        <f t="shared" si="7"/>
        <v>0</v>
      </c>
      <c r="H231" s="10">
        <f>_xlfn.MAXIFS(รายชื่อจบส.!$L:$L,รายชื่อจบส.!$A:$A,$B231)</f>
        <v>8</v>
      </c>
    </row>
    <row r="232" spans="1:8" ht="17.5" thickBot="1" x14ac:dyDescent="0.65">
      <c r="A232" s="4" t="s">
        <v>4486</v>
      </c>
      <c r="B232" s="5" t="s">
        <v>3012</v>
      </c>
      <c r="C232" s="5" t="s">
        <v>4551</v>
      </c>
      <c r="D232" s="10">
        <f>COUNTIF(รายชื่อจบส.!$A:$A,$B232)</f>
        <v>1</v>
      </c>
      <c r="E232" s="10">
        <f>COUNTIFS(รายชื่อจบส.!$A:$A,$B232,รายชื่อจบส.!$I:$I,"ผ่าน")</f>
        <v>1</v>
      </c>
      <c r="F232" s="10">
        <f t="shared" si="6"/>
        <v>0</v>
      </c>
      <c r="G232" s="10">
        <f t="shared" si="7"/>
        <v>3</v>
      </c>
      <c r="H232" s="10">
        <f>_xlfn.MAXIFS(รายชื่อจบส.!$L:$L,รายชื่อจบส.!$A:$A,$B232)</f>
        <v>5</v>
      </c>
    </row>
    <row r="233" spans="1:8" ht="17.5" thickBot="1" x14ac:dyDescent="0.65">
      <c r="A233" s="4" t="s">
        <v>4486</v>
      </c>
      <c r="B233" s="5" t="s">
        <v>3013</v>
      </c>
      <c r="C233" s="5" t="s">
        <v>4552</v>
      </c>
      <c r="D233" s="10">
        <f>COUNTIF(รายชื่อจบส.!$A:$A,$B233)</f>
        <v>6</v>
      </c>
      <c r="E233" s="10">
        <f>COUNTIFS(รายชื่อจบส.!$A:$A,$B233,รายชื่อจบส.!$I:$I,"ผ่าน")</f>
        <v>4</v>
      </c>
      <c r="F233" s="10">
        <f t="shared" si="6"/>
        <v>-2</v>
      </c>
      <c r="G233" s="10">
        <f t="shared" si="7"/>
        <v>0</v>
      </c>
      <c r="H233" s="10">
        <f>_xlfn.MAXIFS(รายชื่อจบส.!$L:$L,รายชื่อจบส.!$A:$A,$B233)</f>
        <v>9</v>
      </c>
    </row>
    <row r="234" spans="1:8" ht="17.5" thickBot="1" x14ac:dyDescent="0.65">
      <c r="A234" s="4" t="s">
        <v>4486</v>
      </c>
      <c r="B234" s="5" t="s">
        <v>3014</v>
      </c>
      <c r="C234" s="5" t="s">
        <v>4553</v>
      </c>
      <c r="D234" s="10">
        <f>COUNTIF(รายชื่อจบส.!$A:$A,$B234)</f>
        <v>1</v>
      </c>
      <c r="E234" s="10">
        <f>COUNTIFS(รายชื่อจบส.!$A:$A,$B234,รายชื่อจบส.!$I:$I,"ผ่าน")</f>
        <v>1</v>
      </c>
      <c r="F234" s="10">
        <f t="shared" si="6"/>
        <v>0</v>
      </c>
      <c r="G234" s="10">
        <f t="shared" si="7"/>
        <v>2</v>
      </c>
      <c r="H234" s="10">
        <f>_xlfn.MAXIFS(รายชื่อจบส.!$L:$L,รายชื่อจบส.!$A:$A,$B234)</f>
        <v>9</v>
      </c>
    </row>
    <row r="235" spans="1:8" ht="17.5" thickBot="1" x14ac:dyDescent="0.65">
      <c r="A235" s="4" t="s">
        <v>4486</v>
      </c>
      <c r="B235" s="5" t="s">
        <v>3015</v>
      </c>
      <c r="C235" s="5" t="s">
        <v>4554</v>
      </c>
      <c r="D235" s="10">
        <f>COUNTIF(รายชื่อจบส.!$A:$A,$B235)</f>
        <v>4</v>
      </c>
      <c r="E235" s="10">
        <f>COUNTIFS(รายชื่อจบส.!$A:$A,$B235,รายชื่อจบส.!$I:$I,"ผ่าน")</f>
        <v>4</v>
      </c>
      <c r="F235" s="10">
        <f t="shared" si="6"/>
        <v>0</v>
      </c>
      <c r="G235" s="10">
        <f t="shared" si="7"/>
        <v>2</v>
      </c>
      <c r="H235" s="10">
        <f>_xlfn.MAXIFS(รายชื่อจบส.!$L:$L,รายชื่อจบส.!$A:$A,$B235)</f>
        <v>8</v>
      </c>
    </row>
    <row r="236" spans="1:8" ht="17.5" thickBot="1" x14ac:dyDescent="0.65">
      <c r="A236" s="4" t="s">
        <v>4486</v>
      </c>
      <c r="B236" s="5" t="s">
        <v>4555</v>
      </c>
      <c r="C236" s="5" t="s">
        <v>4556</v>
      </c>
      <c r="D236" s="10">
        <f>COUNTIF(รายชื่อจบส.!$A:$A,$B236)</f>
        <v>0</v>
      </c>
      <c r="E236" s="10">
        <f>COUNTIFS(รายชื่อจบส.!$A:$A,$B236,รายชื่อจบส.!$I:$I,"ผ่าน")</f>
        <v>0</v>
      </c>
      <c r="F236" s="10">
        <f t="shared" si="6"/>
        <v>0</v>
      </c>
      <c r="G236" s="10">
        <f t="shared" si="7"/>
        <v>0</v>
      </c>
      <c r="H236" s="10">
        <f>_xlfn.MAXIFS(รายชื่อจบส.!$L:$L,รายชื่อจบส.!$A:$A,$B236)</f>
        <v>0</v>
      </c>
    </row>
    <row r="237" spans="1:8" ht="17.5" thickBot="1" x14ac:dyDescent="0.65">
      <c r="A237" s="4" t="s">
        <v>4486</v>
      </c>
      <c r="B237" s="5" t="s">
        <v>3016</v>
      </c>
      <c r="C237" s="5" t="s">
        <v>4557</v>
      </c>
      <c r="D237" s="10">
        <f>COUNTIF(รายชื่อจบส.!$A:$A,$B237)</f>
        <v>4</v>
      </c>
      <c r="E237" s="10">
        <f>COUNTIFS(รายชื่อจบส.!$A:$A,$B237,รายชื่อจบส.!$I:$I,"ผ่าน")</f>
        <v>3</v>
      </c>
      <c r="F237" s="10">
        <f t="shared" si="6"/>
        <v>-1</v>
      </c>
      <c r="G237" s="10">
        <f t="shared" si="7"/>
        <v>0</v>
      </c>
      <c r="H237" s="10">
        <f>_xlfn.MAXIFS(รายชื่อจบส.!$L:$L,รายชื่อจบส.!$A:$A,$B237)</f>
        <v>9</v>
      </c>
    </row>
    <row r="238" spans="1:8" ht="17.5" thickBot="1" x14ac:dyDescent="0.65">
      <c r="A238" s="4" t="s">
        <v>4486</v>
      </c>
      <c r="B238" s="5" t="s">
        <v>3017</v>
      </c>
      <c r="C238" s="5" t="s">
        <v>4558</v>
      </c>
      <c r="D238" s="10">
        <f>COUNTIF(รายชื่อจบส.!$A:$A,$B238)</f>
        <v>2</v>
      </c>
      <c r="E238" s="10">
        <f>COUNTIFS(รายชื่อจบส.!$A:$A,$B238,รายชื่อจบส.!$I:$I,"ผ่าน")</f>
        <v>1</v>
      </c>
      <c r="F238" s="10">
        <f t="shared" si="6"/>
        <v>-1</v>
      </c>
      <c r="G238" s="10">
        <f t="shared" si="7"/>
        <v>0</v>
      </c>
      <c r="H238" s="10">
        <f>_xlfn.MAXIFS(รายชื่อจบส.!$L:$L,รายชื่อจบส.!$A:$A,$B238)</f>
        <v>9</v>
      </c>
    </row>
    <row r="239" spans="1:8" ht="17.5" thickBot="1" x14ac:dyDescent="0.65">
      <c r="A239" s="4" t="s">
        <v>4486</v>
      </c>
      <c r="B239" s="6" t="s">
        <v>4559</v>
      </c>
      <c r="C239" s="7" t="s">
        <v>4560</v>
      </c>
      <c r="D239" s="10">
        <f>COUNTIF(รายชื่อจบส.!$A:$A,$B239)</f>
        <v>1</v>
      </c>
      <c r="E239" s="10">
        <f>COUNTIFS(รายชื่อจบส.!$A:$A,$B239,รายชื่อจบส.!$I:$I,"ผ่าน")</f>
        <v>0</v>
      </c>
      <c r="F239" s="10">
        <f t="shared" si="6"/>
        <v>-1</v>
      </c>
      <c r="G239" s="10">
        <f t="shared" si="7"/>
        <v>0</v>
      </c>
      <c r="H239" s="10">
        <f>_xlfn.MAXIFS(รายชื่อจบส.!$L:$L,รายชื่อจบส.!$A:$A,$B239)</f>
        <v>0</v>
      </c>
    </row>
    <row r="240" spans="1:8" ht="17.5" thickBot="1" x14ac:dyDescent="0.65">
      <c r="A240" s="4" t="s">
        <v>4486</v>
      </c>
      <c r="B240" s="5" t="s">
        <v>3020</v>
      </c>
      <c r="C240" s="5" t="s">
        <v>4561</v>
      </c>
      <c r="D240" s="10">
        <f>COUNTIF(รายชื่อจบส.!$A:$A,$B240)</f>
        <v>4</v>
      </c>
      <c r="E240" s="10">
        <f>COUNTIFS(รายชื่อจบส.!$A:$A,$B240,รายชื่อจบส.!$I:$I,"ผ่าน")</f>
        <v>0</v>
      </c>
      <c r="F240" s="10">
        <f t="shared" si="6"/>
        <v>-4</v>
      </c>
      <c r="G240" s="10">
        <f t="shared" si="7"/>
        <v>0</v>
      </c>
      <c r="H240" s="10">
        <f>_xlfn.MAXIFS(รายชื่อจบส.!$L:$L,รายชื่อจบส.!$A:$A,$B240)</f>
        <v>0</v>
      </c>
    </row>
    <row r="241" spans="1:8" ht="17.5" thickBot="1" x14ac:dyDescent="0.65">
      <c r="A241" s="4" t="s">
        <v>4486</v>
      </c>
      <c r="B241" s="5" t="s">
        <v>3021</v>
      </c>
      <c r="C241" s="5" t="s">
        <v>4562</v>
      </c>
      <c r="D241" s="10">
        <f>COUNTIF(รายชื่อจบส.!$A:$A,$B241)</f>
        <v>6</v>
      </c>
      <c r="E241" s="10">
        <f>COUNTIFS(รายชื่อจบส.!$A:$A,$B241,รายชื่อจบส.!$I:$I,"ผ่าน")</f>
        <v>4</v>
      </c>
      <c r="F241" s="10">
        <f t="shared" si="6"/>
        <v>-2</v>
      </c>
      <c r="G241" s="10">
        <f t="shared" si="7"/>
        <v>0</v>
      </c>
      <c r="H241" s="10">
        <f>_xlfn.MAXIFS(รายชื่อจบส.!$L:$L,รายชื่อจบส.!$A:$A,$B241)</f>
        <v>4</v>
      </c>
    </row>
    <row r="242" spans="1:8" ht="17.5" thickBot="1" x14ac:dyDescent="0.65">
      <c r="A242" s="4" t="s">
        <v>4486</v>
      </c>
      <c r="B242" s="5" t="s">
        <v>2972</v>
      </c>
      <c r="C242" s="5" t="s">
        <v>4563</v>
      </c>
      <c r="D242" s="10">
        <f>COUNTIF(รายชื่อจบส.!$A:$A,$B242)</f>
        <v>2</v>
      </c>
      <c r="E242" s="10">
        <f>COUNTIFS(รายชื่อจบส.!$A:$A,$B242,รายชื่อจบส.!$I:$I,"ผ่าน")</f>
        <v>2</v>
      </c>
      <c r="F242" s="10">
        <f t="shared" si="6"/>
        <v>0</v>
      </c>
      <c r="G242" s="10">
        <f t="shared" si="7"/>
        <v>2</v>
      </c>
      <c r="H242" s="10">
        <f>_xlfn.MAXIFS(รายชื่อจบส.!$L:$L,รายชื่อจบส.!$A:$A,$B242)</f>
        <v>9</v>
      </c>
    </row>
    <row r="243" spans="1:8" ht="17.5" thickBot="1" x14ac:dyDescent="0.65">
      <c r="A243" s="4" t="s">
        <v>4486</v>
      </c>
      <c r="B243" s="5" t="s">
        <v>4564</v>
      </c>
      <c r="C243" s="5" t="s">
        <v>4565</v>
      </c>
      <c r="D243" s="10">
        <f>COUNTIF(รายชื่อจบส.!$A:$A,$B243)</f>
        <v>0</v>
      </c>
      <c r="E243" s="10">
        <f>COUNTIFS(รายชื่อจบส.!$A:$A,$B243,รายชื่อจบส.!$I:$I,"ผ่าน")</f>
        <v>0</v>
      </c>
      <c r="F243" s="10">
        <f t="shared" si="6"/>
        <v>0</v>
      </c>
      <c r="G243" s="10">
        <f t="shared" si="7"/>
        <v>0</v>
      </c>
      <c r="H243" s="10">
        <f>_xlfn.MAXIFS(รายชื่อจบส.!$L:$L,รายชื่อจบส.!$A:$A,$B243)</f>
        <v>0</v>
      </c>
    </row>
    <row r="244" spans="1:8" ht="17.5" thickBot="1" x14ac:dyDescent="0.65">
      <c r="A244" s="4" t="s">
        <v>4486</v>
      </c>
      <c r="B244" s="5" t="s">
        <v>3022</v>
      </c>
      <c r="C244" s="5" t="s">
        <v>4566</v>
      </c>
      <c r="D244" s="10">
        <f>COUNTIF(รายชื่อจบส.!$A:$A,$B244)</f>
        <v>16</v>
      </c>
      <c r="E244" s="10">
        <f>COUNTIFS(รายชื่อจบส.!$A:$A,$B244,รายชื่อจบส.!$I:$I,"ผ่าน")</f>
        <v>0</v>
      </c>
      <c r="F244" s="10">
        <f t="shared" si="6"/>
        <v>-16</v>
      </c>
      <c r="G244" s="10">
        <f t="shared" si="7"/>
        <v>0</v>
      </c>
      <c r="H244" s="10">
        <f>_xlfn.MAXIFS(รายชื่อจบส.!$L:$L,รายชื่อจบส.!$A:$A,$B244)</f>
        <v>0</v>
      </c>
    </row>
    <row r="245" spans="1:8" ht="17.5" thickBot="1" x14ac:dyDescent="0.65">
      <c r="A245" s="4" t="s">
        <v>4486</v>
      </c>
      <c r="B245" s="8" t="s">
        <v>3023</v>
      </c>
      <c r="C245" s="8" t="s">
        <v>4567</v>
      </c>
      <c r="D245" s="10">
        <f>COUNTIF(รายชื่อจบส.!$A:$A,$B245)</f>
        <v>3</v>
      </c>
      <c r="E245" s="10">
        <f>COUNTIFS(รายชื่อจบส.!$A:$A,$B245,รายชื่อจบส.!$I:$I,"ผ่าน")</f>
        <v>0</v>
      </c>
      <c r="F245" s="10">
        <f t="shared" si="6"/>
        <v>-3</v>
      </c>
      <c r="G245" s="10">
        <f t="shared" si="7"/>
        <v>0</v>
      </c>
      <c r="H245" s="10">
        <f>_xlfn.MAXIFS(รายชื่อจบส.!$L:$L,รายชื่อจบส.!$A:$A,$B245)</f>
        <v>0</v>
      </c>
    </row>
    <row r="246" spans="1:8" ht="17.5" thickBot="1" x14ac:dyDescent="0.65">
      <c r="A246" s="4" t="s">
        <v>4486</v>
      </c>
      <c r="B246" s="5" t="s">
        <v>3024</v>
      </c>
      <c r="C246" s="5" t="s">
        <v>4568</v>
      </c>
      <c r="D246" s="10">
        <f>COUNTIF(รายชื่อจบส.!$A:$A,$B246)</f>
        <v>2</v>
      </c>
      <c r="E246" s="10">
        <f>COUNTIFS(รายชื่อจบส.!$A:$A,$B246,รายชื่อจบส.!$I:$I,"ผ่าน")</f>
        <v>0</v>
      </c>
      <c r="F246" s="10">
        <f t="shared" si="6"/>
        <v>-2</v>
      </c>
      <c r="G246" s="10">
        <f t="shared" si="7"/>
        <v>0</v>
      </c>
      <c r="H246" s="10">
        <f>_xlfn.MAXIFS(รายชื่อจบส.!$L:$L,รายชื่อจบส.!$A:$A,$B246)</f>
        <v>0</v>
      </c>
    </row>
    <row r="247" spans="1:8" ht="17.5" thickBot="1" x14ac:dyDescent="0.65">
      <c r="A247" s="4" t="s">
        <v>4486</v>
      </c>
      <c r="B247" s="5" t="s">
        <v>3025</v>
      </c>
      <c r="C247" s="5" t="s">
        <v>4569</v>
      </c>
      <c r="D247" s="10">
        <f>COUNTIF(รายชื่อจบส.!$A:$A,$B247)</f>
        <v>7</v>
      </c>
      <c r="E247" s="10">
        <f>COUNTIFS(รายชื่อจบส.!$A:$A,$B247,รายชื่อจบส.!$I:$I,"ผ่าน")</f>
        <v>1</v>
      </c>
      <c r="F247" s="10">
        <f t="shared" si="6"/>
        <v>-6</v>
      </c>
      <c r="G247" s="10">
        <f t="shared" si="7"/>
        <v>0</v>
      </c>
      <c r="H247" s="10">
        <f>_xlfn.MAXIFS(รายชื่อจบส.!$L:$L,รายชื่อจบส.!$A:$A,$B247)</f>
        <v>2</v>
      </c>
    </row>
    <row r="248" spans="1:8" ht="17.5" thickBot="1" x14ac:dyDescent="0.65">
      <c r="A248" s="4" t="s">
        <v>4486</v>
      </c>
      <c r="B248" s="5" t="s">
        <v>3026</v>
      </c>
      <c r="C248" s="5" t="s">
        <v>4570</v>
      </c>
      <c r="D248" s="10">
        <f>COUNTIF(รายชื่อจบส.!$A:$A,$B248)</f>
        <v>0</v>
      </c>
      <c r="E248" s="10">
        <f>COUNTIFS(รายชื่อจบส.!$A:$A,$B248,รายชื่อจบส.!$I:$I,"ผ่าน")</f>
        <v>0</v>
      </c>
      <c r="F248" s="10">
        <f t="shared" si="6"/>
        <v>0</v>
      </c>
      <c r="G248" s="10">
        <f t="shared" si="7"/>
        <v>0</v>
      </c>
      <c r="H248" s="10">
        <f>_xlfn.MAXIFS(รายชื่อจบส.!$L:$L,รายชื่อจบส.!$A:$A,$B248)</f>
        <v>0</v>
      </c>
    </row>
    <row r="249" spans="1:8" ht="17.5" thickBot="1" x14ac:dyDescent="0.65">
      <c r="A249" s="4" t="s">
        <v>4486</v>
      </c>
      <c r="B249" s="5" t="s">
        <v>2998</v>
      </c>
      <c r="C249" s="5" t="s">
        <v>4571</v>
      </c>
      <c r="D249" s="10">
        <f>COUNTIF(รายชื่อจบส.!$A:$A,$B249)</f>
        <v>5</v>
      </c>
      <c r="E249" s="10">
        <f>COUNTIFS(รายชื่อจบส.!$A:$A,$B249,รายชื่อจบส.!$I:$I,"ผ่าน")</f>
        <v>2</v>
      </c>
      <c r="F249" s="10">
        <f t="shared" si="6"/>
        <v>-3</v>
      </c>
      <c r="G249" s="10">
        <f t="shared" si="7"/>
        <v>0</v>
      </c>
      <c r="H249" s="10">
        <f>_xlfn.MAXIFS(รายชื่อจบส.!$L:$L,รายชื่อจบส.!$A:$A,$B249)</f>
        <v>7</v>
      </c>
    </row>
    <row r="250" spans="1:8" ht="17.5" thickBot="1" x14ac:dyDescent="0.65">
      <c r="A250" s="4" t="s">
        <v>4486</v>
      </c>
      <c r="B250" s="5" t="s">
        <v>3019</v>
      </c>
      <c r="C250" s="5" t="s">
        <v>4572</v>
      </c>
      <c r="D250" s="10">
        <f>COUNTIF(รายชื่อจบส.!$A:$A,$B250)</f>
        <v>8</v>
      </c>
      <c r="E250" s="10">
        <f>COUNTIFS(รายชื่อจบส.!$A:$A,$B250,รายชื่อจบส.!$I:$I,"ผ่าน")</f>
        <v>5</v>
      </c>
      <c r="F250" s="10">
        <f t="shared" si="6"/>
        <v>-3</v>
      </c>
      <c r="G250" s="10">
        <f t="shared" si="7"/>
        <v>0</v>
      </c>
      <c r="H250" s="10">
        <f>_xlfn.MAXIFS(รายชื่อจบส.!$L:$L,รายชื่อจบส.!$A:$A,$B250)</f>
        <v>9</v>
      </c>
    </row>
    <row r="251" spans="1:8" ht="17.5" thickBot="1" x14ac:dyDescent="0.65">
      <c r="A251" s="4" t="s">
        <v>4486</v>
      </c>
      <c r="B251" s="5" t="s">
        <v>3018</v>
      </c>
      <c r="C251" s="5" t="s">
        <v>4573</v>
      </c>
      <c r="D251" s="10">
        <f>COUNTIF(รายชื่อจบส.!$A:$A,$B251)</f>
        <v>5</v>
      </c>
      <c r="E251" s="10">
        <f>COUNTIFS(รายชื่อจบส.!$A:$A,$B251,รายชื่อจบส.!$I:$I,"ผ่าน")</f>
        <v>0</v>
      </c>
      <c r="F251" s="10">
        <f t="shared" si="6"/>
        <v>-5</v>
      </c>
      <c r="G251" s="10">
        <f t="shared" si="7"/>
        <v>0</v>
      </c>
      <c r="H251" s="10">
        <f>_xlfn.MAXIFS(รายชื่อจบส.!$L:$L,รายชื่อจบส.!$A:$A,$B251)</f>
        <v>2</v>
      </c>
    </row>
    <row r="252" spans="1:8" ht="17.5" thickBot="1" x14ac:dyDescent="0.65">
      <c r="A252" s="4" t="s">
        <v>4486</v>
      </c>
      <c r="B252" s="5" t="s">
        <v>3027</v>
      </c>
      <c r="C252" s="5" t="s">
        <v>4574</v>
      </c>
      <c r="D252" s="10">
        <f>COUNTIF(รายชื่อจบส.!$A:$A,$B252)</f>
        <v>5</v>
      </c>
      <c r="E252" s="10">
        <f>COUNTIFS(รายชื่อจบส.!$A:$A,$B252,รายชื่อจบส.!$I:$I,"ผ่าน")</f>
        <v>5</v>
      </c>
      <c r="F252" s="10">
        <f t="shared" si="6"/>
        <v>0</v>
      </c>
      <c r="G252" s="10">
        <f t="shared" si="7"/>
        <v>3</v>
      </c>
      <c r="H252" s="10">
        <f>_xlfn.MAXIFS(รายชื่อจบส.!$L:$L,รายชื่อจบส.!$A:$A,$B252)</f>
        <v>6</v>
      </c>
    </row>
    <row r="253" spans="1:8" ht="17.5" thickBot="1" x14ac:dyDescent="0.65">
      <c r="A253" s="4" t="s">
        <v>4486</v>
      </c>
      <c r="B253" s="5" t="s">
        <v>3028</v>
      </c>
      <c r="C253" s="5" t="s">
        <v>4575</v>
      </c>
      <c r="D253" s="10">
        <f>COUNTIF(รายชื่อจบส.!$A:$A,$B253)</f>
        <v>7</v>
      </c>
      <c r="E253" s="10">
        <f>COUNTIFS(รายชื่อจบส.!$A:$A,$B253,รายชื่อจบส.!$I:$I,"ผ่าน")</f>
        <v>5</v>
      </c>
      <c r="F253" s="10">
        <f t="shared" si="6"/>
        <v>-2</v>
      </c>
      <c r="G253" s="10">
        <f t="shared" si="7"/>
        <v>0</v>
      </c>
      <c r="H253" s="10">
        <f>_xlfn.MAXIFS(รายชื่อจบส.!$L:$L,รายชื่อจบส.!$A:$A,$B253)</f>
        <v>8</v>
      </c>
    </row>
    <row r="254" spans="1:8" ht="17.5" thickBot="1" x14ac:dyDescent="0.65">
      <c r="A254" s="4" t="s">
        <v>4486</v>
      </c>
      <c r="B254" s="5" t="s">
        <v>4576</v>
      </c>
      <c r="C254" s="5" t="s">
        <v>4577</v>
      </c>
      <c r="D254" s="10">
        <f>COUNTIF(รายชื่อจบส.!$A:$A,$B254)</f>
        <v>0</v>
      </c>
      <c r="E254" s="10">
        <f>COUNTIFS(รายชื่อจบส.!$A:$A,$B254,รายชื่อจบส.!$I:$I,"ผ่าน")</f>
        <v>0</v>
      </c>
      <c r="F254" s="10">
        <f t="shared" si="6"/>
        <v>0</v>
      </c>
      <c r="G254" s="10">
        <f t="shared" si="7"/>
        <v>0</v>
      </c>
      <c r="H254" s="10">
        <f>_xlfn.MAXIFS(รายชื่อจบส.!$L:$L,รายชื่อจบส.!$A:$A,$B254)</f>
        <v>0</v>
      </c>
    </row>
    <row r="255" spans="1:8" ht="17.5" thickBot="1" x14ac:dyDescent="0.65">
      <c r="A255" s="4" t="s">
        <v>4486</v>
      </c>
      <c r="B255" s="5" t="s">
        <v>2988</v>
      </c>
      <c r="C255" s="5" t="s">
        <v>4578</v>
      </c>
      <c r="D255" s="10">
        <f>COUNTIF(รายชื่อจบส.!$A:$A,$B255)</f>
        <v>6</v>
      </c>
      <c r="E255" s="10">
        <f>COUNTIFS(รายชื่อจบส.!$A:$A,$B255,รายชื่อจบส.!$I:$I,"ผ่าน")</f>
        <v>3</v>
      </c>
      <c r="F255" s="10">
        <f t="shared" si="6"/>
        <v>-3</v>
      </c>
      <c r="G255" s="10">
        <f t="shared" si="7"/>
        <v>0</v>
      </c>
      <c r="H255" s="10">
        <f>_xlfn.MAXIFS(รายชื่อจบส.!$L:$L,รายชื่อจบส.!$A:$A,$B255)</f>
        <v>2</v>
      </c>
    </row>
    <row r="256" spans="1:8" ht="17.5" thickBot="1" x14ac:dyDescent="0.65">
      <c r="A256" s="4" t="s">
        <v>4486</v>
      </c>
      <c r="B256" s="5" t="s">
        <v>2989</v>
      </c>
      <c r="C256" s="5" t="s">
        <v>4579</v>
      </c>
      <c r="D256" s="10">
        <f>COUNTIF(รายชื่อจบส.!$A:$A,$B256)</f>
        <v>10</v>
      </c>
      <c r="E256" s="10">
        <f>COUNTIFS(รายชื่อจบส.!$A:$A,$B256,รายชื่อจบส.!$I:$I,"ผ่าน")</f>
        <v>0</v>
      </c>
      <c r="F256" s="10">
        <f t="shared" si="6"/>
        <v>-10</v>
      </c>
      <c r="G256" s="10">
        <f t="shared" si="7"/>
        <v>0</v>
      </c>
      <c r="H256" s="10">
        <f>_xlfn.MAXIFS(รายชื่อจบส.!$L:$L,รายชื่อจบส.!$A:$A,$B256)</f>
        <v>0</v>
      </c>
    </row>
    <row r="257" spans="1:8" ht="17.5" thickBot="1" x14ac:dyDescent="0.65">
      <c r="A257" s="4" t="s">
        <v>4486</v>
      </c>
      <c r="B257" s="5" t="s">
        <v>2990</v>
      </c>
      <c r="C257" s="5" t="s">
        <v>4580</v>
      </c>
      <c r="D257" s="10">
        <f>COUNTIF(รายชื่อจบส.!$A:$A,$B257)</f>
        <v>7</v>
      </c>
      <c r="E257" s="10">
        <f>COUNTIFS(รายชื่อจบส.!$A:$A,$B257,รายชื่อจบส.!$I:$I,"ผ่าน")</f>
        <v>0</v>
      </c>
      <c r="F257" s="10">
        <f t="shared" si="6"/>
        <v>-7</v>
      </c>
      <c r="G257" s="10">
        <f t="shared" si="7"/>
        <v>0</v>
      </c>
      <c r="H257" s="10">
        <f>_xlfn.MAXIFS(รายชื่อจบส.!$L:$L,รายชื่อจบส.!$A:$A,$B257)</f>
        <v>0</v>
      </c>
    </row>
    <row r="258" spans="1:8" ht="17.5" thickBot="1" x14ac:dyDescent="0.65">
      <c r="A258" s="4" t="s">
        <v>4486</v>
      </c>
      <c r="B258" s="5" t="s">
        <v>3029</v>
      </c>
      <c r="C258" s="5" t="s">
        <v>4581</v>
      </c>
      <c r="D258" s="10">
        <f>COUNTIF(รายชื่อจบส.!$A:$A,$B258)</f>
        <v>6</v>
      </c>
      <c r="E258" s="10">
        <f>COUNTIFS(รายชื่อจบส.!$A:$A,$B258,รายชื่อจบส.!$I:$I,"ผ่าน")</f>
        <v>0</v>
      </c>
      <c r="F258" s="10">
        <f t="shared" si="6"/>
        <v>-6</v>
      </c>
      <c r="G258" s="10">
        <f t="shared" si="7"/>
        <v>0</v>
      </c>
      <c r="H258" s="10">
        <f>_xlfn.MAXIFS(รายชื่อจบส.!$L:$L,รายชื่อจบส.!$A:$A,$B258)</f>
        <v>0</v>
      </c>
    </row>
    <row r="259" spans="1:8" ht="17.5" thickBot="1" x14ac:dyDescent="0.65">
      <c r="A259" s="4" t="s">
        <v>4486</v>
      </c>
      <c r="B259" s="5" t="s">
        <v>3030</v>
      </c>
      <c r="C259" s="5" t="s">
        <v>4582</v>
      </c>
      <c r="D259" s="10">
        <f>COUNTIF(รายชื่อจบส.!$A:$A,$B259)</f>
        <v>6</v>
      </c>
      <c r="E259" s="10">
        <f>COUNTIFS(รายชื่อจบส.!$A:$A,$B259,รายชื่อจบส.!$I:$I,"ผ่าน")</f>
        <v>0</v>
      </c>
      <c r="F259" s="10">
        <f t="shared" ref="F259:F288" si="8">E259-D259</f>
        <v>-6</v>
      </c>
      <c r="G259" s="10">
        <f t="shared" ref="G259:G288" si="9">IF(AND(D259&gt;0,F259=0,H259&lt;=7),3,IF(AND(D259&gt;0,F259=0,H259&lt;=11),2,IF(AND(D259&gt;0,F259=0,H259=12),1,0)))</f>
        <v>0</v>
      </c>
      <c r="H259" s="10">
        <f>_xlfn.MAXIFS(รายชื่อจบส.!$L:$L,รายชื่อจบส.!$A:$A,$B259)</f>
        <v>0</v>
      </c>
    </row>
    <row r="260" spans="1:8" ht="17.5" thickBot="1" x14ac:dyDescent="0.65">
      <c r="A260" s="4" t="s">
        <v>4486</v>
      </c>
      <c r="B260" s="5" t="s">
        <v>3031</v>
      </c>
      <c r="C260" s="5" t="s">
        <v>4583</v>
      </c>
      <c r="D260" s="10">
        <f>COUNTIF(รายชื่อจบส.!$A:$A,$B260)</f>
        <v>4</v>
      </c>
      <c r="E260" s="10">
        <f>COUNTIFS(รายชื่อจบส.!$A:$A,$B260,รายชื่อจบส.!$I:$I,"ผ่าน")</f>
        <v>0</v>
      </c>
      <c r="F260" s="10">
        <f t="shared" si="8"/>
        <v>-4</v>
      </c>
      <c r="G260" s="10">
        <f t="shared" si="9"/>
        <v>0</v>
      </c>
      <c r="H260" s="10">
        <f>_xlfn.MAXIFS(รายชื่อจบส.!$L:$L,รายชื่อจบส.!$A:$A,$B260)</f>
        <v>0</v>
      </c>
    </row>
    <row r="261" spans="1:8" ht="17.5" thickBot="1" x14ac:dyDescent="0.65">
      <c r="A261" s="4" t="s">
        <v>4486</v>
      </c>
      <c r="B261" s="5" t="s">
        <v>3032</v>
      </c>
      <c r="C261" s="5" t="s">
        <v>4584</v>
      </c>
      <c r="D261" s="10">
        <f>COUNTIF(รายชื่อจบส.!$A:$A,$B261)</f>
        <v>6</v>
      </c>
      <c r="E261" s="10">
        <f>COUNTIFS(รายชื่อจบส.!$A:$A,$B261,รายชื่อจบส.!$I:$I,"ผ่าน")</f>
        <v>6</v>
      </c>
      <c r="F261" s="10">
        <f t="shared" si="8"/>
        <v>0</v>
      </c>
      <c r="G261" s="10">
        <f t="shared" si="9"/>
        <v>2</v>
      </c>
      <c r="H261" s="10">
        <f>_xlfn.MAXIFS(รายชื่อจบส.!$L:$L,รายชื่อจบส.!$A:$A,$B261)</f>
        <v>8</v>
      </c>
    </row>
    <row r="262" spans="1:8" ht="17.5" thickBot="1" x14ac:dyDescent="0.65">
      <c r="A262" s="4" t="s">
        <v>4486</v>
      </c>
      <c r="B262" s="5" t="s">
        <v>3033</v>
      </c>
      <c r="C262" s="5" t="s">
        <v>4585</v>
      </c>
      <c r="D262" s="10">
        <f>COUNTIF(รายชื่อจบส.!$A:$A,$B262)</f>
        <v>4</v>
      </c>
      <c r="E262" s="10">
        <f>COUNTIFS(รายชื่อจบส.!$A:$A,$B262,รายชื่อจบส.!$I:$I,"ผ่าน")</f>
        <v>3</v>
      </c>
      <c r="F262" s="10">
        <f t="shared" si="8"/>
        <v>-1</v>
      </c>
      <c r="G262" s="10">
        <f t="shared" si="9"/>
        <v>0</v>
      </c>
      <c r="H262" s="10">
        <f>_xlfn.MAXIFS(รายชื่อจบส.!$L:$L,รายชื่อจบส.!$A:$A,$B262)</f>
        <v>5</v>
      </c>
    </row>
    <row r="263" spans="1:8" ht="17.5" thickBot="1" x14ac:dyDescent="0.65">
      <c r="A263" s="4" t="s">
        <v>4486</v>
      </c>
      <c r="B263" s="5" t="s">
        <v>3034</v>
      </c>
      <c r="C263" s="5" t="s">
        <v>4586</v>
      </c>
      <c r="D263" s="10">
        <f>COUNTIF(รายชื่อจบส.!$A:$A,$B263)</f>
        <v>3</v>
      </c>
      <c r="E263" s="10">
        <f>COUNTIFS(รายชื่อจบส.!$A:$A,$B263,รายชื่อจบส.!$I:$I,"ผ่าน")</f>
        <v>3</v>
      </c>
      <c r="F263" s="10">
        <f t="shared" si="8"/>
        <v>0</v>
      </c>
      <c r="G263" s="10">
        <f t="shared" si="9"/>
        <v>3</v>
      </c>
      <c r="H263" s="10">
        <f>_xlfn.MAXIFS(รายชื่อจบส.!$L:$L,รายชื่อจบส.!$A:$A,$B263)</f>
        <v>3</v>
      </c>
    </row>
    <row r="264" spans="1:8" ht="17.5" thickBot="1" x14ac:dyDescent="0.65">
      <c r="A264" s="4" t="s">
        <v>4486</v>
      </c>
      <c r="B264" s="5" t="s">
        <v>3035</v>
      </c>
      <c r="C264" s="5" t="s">
        <v>4587</v>
      </c>
      <c r="D264" s="10">
        <f>COUNTIF(รายชื่อจบส.!$A:$A,$B264)</f>
        <v>5</v>
      </c>
      <c r="E264" s="10">
        <f>COUNTIFS(รายชื่อจบส.!$A:$A,$B264,รายชื่อจบส.!$I:$I,"ผ่าน")</f>
        <v>5</v>
      </c>
      <c r="F264" s="10">
        <f t="shared" si="8"/>
        <v>0</v>
      </c>
      <c r="G264" s="10">
        <f t="shared" si="9"/>
        <v>3</v>
      </c>
      <c r="H264" s="10">
        <f>_xlfn.MAXIFS(รายชื่อจบส.!$L:$L,รายชื่อจบส.!$A:$A,$B264)</f>
        <v>5</v>
      </c>
    </row>
    <row r="265" spans="1:8" ht="17.5" thickBot="1" x14ac:dyDescent="0.65">
      <c r="A265" s="4" t="s">
        <v>4486</v>
      </c>
      <c r="B265" s="5" t="s">
        <v>3036</v>
      </c>
      <c r="C265" s="5" t="s">
        <v>4588</v>
      </c>
      <c r="D265" s="10">
        <f>COUNTIF(รายชื่อจบส.!$A:$A,$B265)</f>
        <v>3</v>
      </c>
      <c r="E265" s="10">
        <f>COUNTIFS(รายชื่อจบส.!$A:$A,$B265,รายชื่อจบส.!$I:$I,"ผ่าน")</f>
        <v>2</v>
      </c>
      <c r="F265" s="10">
        <f t="shared" si="8"/>
        <v>-1</v>
      </c>
      <c r="G265" s="10">
        <f t="shared" si="9"/>
        <v>0</v>
      </c>
      <c r="H265" s="10">
        <f>_xlfn.MAXIFS(รายชื่อจบส.!$L:$L,รายชื่อจบส.!$A:$A,$B265)</f>
        <v>6</v>
      </c>
    </row>
    <row r="266" spans="1:8" ht="17.5" thickBot="1" x14ac:dyDescent="0.65">
      <c r="A266" s="4" t="s">
        <v>4486</v>
      </c>
      <c r="B266" s="5" t="s">
        <v>4589</v>
      </c>
      <c r="C266" s="5" t="s">
        <v>4590</v>
      </c>
      <c r="D266" s="10">
        <f>COUNTIF(รายชื่อจบส.!$A:$A,$B266)</f>
        <v>0</v>
      </c>
      <c r="E266" s="10">
        <f>COUNTIFS(รายชื่อจบส.!$A:$A,$B266,รายชื่อจบส.!$I:$I,"ผ่าน")</f>
        <v>0</v>
      </c>
      <c r="F266" s="10">
        <f t="shared" si="8"/>
        <v>0</v>
      </c>
      <c r="G266" s="10">
        <f t="shared" si="9"/>
        <v>0</v>
      </c>
      <c r="H266" s="10">
        <f>_xlfn.MAXIFS(รายชื่อจบส.!$L:$L,รายชื่อจบส.!$A:$A,$B266)</f>
        <v>0</v>
      </c>
    </row>
    <row r="267" spans="1:8" ht="17.5" thickBot="1" x14ac:dyDescent="0.65">
      <c r="A267" s="4" t="s">
        <v>4486</v>
      </c>
      <c r="B267" s="5" t="s">
        <v>3037</v>
      </c>
      <c r="C267" s="5" t="s">
        <v>4591</v>
      </c>
      <c r="D267" s="10">
        <f>COUNTIF(รายชื่อจบส.!$A:$A,$B267)</f>
        <v>6</v>
      </c>
      <c r="E267" s="10">
        <f>COUNTIFS(รายชื่อจบส.!$A:$A,$B267,รายชื่อจบส.!$I:$I,"ผ่าน")</f>
        <v>6</v>
      </c>
      <c r="F267" s="10">
        <f t="shared" si="8"/>
        <v>0</v>
      </c>
      <c r="G267" s="10">
        <f t="shared" si="9"/>
        <v>3</v>
      </c>
      <c r="H267" s="10">
        <f>_xlfn.MAXIFS(รายชื่อจบส.!$L:$L,รายชื่อจบส.!$A:$A,$B267)</f>
        <v>4</v>
      </c>
    </row>
    <row r="268" spans="1:8" ht="17.5" thickBot="1" x14ac:dyDescent="0.65">
      <c r="A268" s="4" t="s">
        <v>4486</v>
      </c>
      <c r="B268" s="5" t="s">
        <v>3038</v>
      </c>
      <c r="C268" s="5" t="s">
        <v>4592</v>
      </c>
      <c r="D268" s="10">
        <f>COUNTIF(รายชื่อจบส.!$A:$A,$B268)</f>
        <v>2</v>
      </c>
      <c r="E268" s="10">
        <f>COUNTIFS(รายชื่อจบส.!$A:$A,$B268,รายชื่อจบส.!$I:$I,"ผ่าน")</f>
        <v>2</v>
      </c>
      <c r="F268" s="10">
        <f t="shared" si="8"/>
        <v>0</v>
      </c>
      <c r="G268" s="10">
        <f t="shared" si="9"/>
        <v>3</v>
      </c>
      <c r="H268" s="10">
        <f>_xlfn.MAXIFS(รายชื่อจบส.!$L:$L,รายชื่อจบส.!$A:$A,$B268)</f>
        <v>5</v>
      </c>
    </row>
    <row r="269" spans="1:8" ht="17.5" thickBot="1" x14ac:dyDescent="0.65">
      <c r="A269" s="4" t="s">
        <v>4486</v>
      </c>
      <c r="B269" s="5" t="s">
        <v>3039</v>
      </c>
      <c r="C269" s="5" t="s">
        <v>4593</v>
      </c>
      <c r="D269" s="10">
        <f>COUNTIF(รายชื่อจบส.!$A:$A,$B269)</f>
        <v>2</v>
      </c>
      <c r="E269" s="10">
        <f>COUNTIFS(รายชื่อจบส.!$A:$A,$B269,รายชื่อจบส.!$I:$I,"ผ่าน")</f>
        <v>2</v>
      </c>
      <c r="F269" s="10">
        <f t="shared" si="8"/>
        <v>0</v>
      </c>
      <c r="G269" s="10">
        <f t="shared" si="9"/>
        <v>3</v>
      </c>
      <c r="H269" s="10">
        <f>_xlfn.MAXIFS(รายชื่อจบส.!$L:$L,รายชื่อจบส.!$A:$A,$B269)</f>
        <v>3</v>
      </c>
    </row>
    <row r="270" spans="1:8" ht="17.5" thickBot="1" x14ac:dyDescent="0.65">
      <c r="A270" s="4" t="s">
        <v>4486</v>
      </c>
      <c r="B270" s="5" t="s">
        <v>3040</v>
      </c>
      <c r="C270" s="5" t="s">
        <v>4594</v>
      </c>
      <c r="D270" s="10">
        <f>COUNTIF(รายชื่อจบส.!$A:$A,$B270)</f>
        <v>11</v>
      </c>
      <c r="E270" s="10">
        <f>COUNTIFS(รายชื่อจบส.!$A:$A,$B270,รายชื่อจบส.!$I:$I,"ผ่าน")</f>
        <v>0</v>
      </c>
      <c r="F270" s="10">
        <f t="shared" si="8"/>
        <v>-11</v>
      </c>
      <c r="G270" s="10">
        <f t="shared" si="9"/>
        <v>0</v>
      </c>
      <c r="H270" s="10">
        <f>_xlfn.MAXIFS(รายชื่อจบส.!$L:$L,รายชื่อจบส.!$A:$A,$B270)</f>
        <v>0</v>
      </c>
    </row>
    <row r="271" spans="1:8" ht="17.5" thickBot="1" x14ac:dyDescent="0.65">
      <c r="A271" s="4" t="s">
        <v>4486</v>
      </c>
      <c r="B271" s="5" t="s">
        <v>3041</v>
      </c>
      <c r="C271" s="5" t="s">
        <v>4595</v>
      </c>
      <c r="D271" s="10">
        <f>COUNTIF(รายชื่อจบส.!$A:$A,$B271)</f>
        <v>5</v>
      </c>
      <c r="E271" s="10">
        <f>COUNTIFS(รายชื่อจบส.!$A:$A,$B271,รายชื่อจบส.!$I:$I,"ผ่าน")</f>
        <v>2</v>
      </c>
      <c r="F271" s="10">
        <f t="shared" si="8"/>
        <v>-3</v>
      </c>
      <c r="G271" s="10">
        <f t="shared" si="9"/>
        <v>0</v>
      </c>
      <c r="H271" s="10">
        <f>_xlfn.MAXIFS(รายชื่อจบส.!$L:$L,รายชื่อจบส.!$A:$A,$B271)</f>
        <v>6</v>
      </c>
    </row>
    <row r="272" spans="1:8" ht="17.5" thickBot="1" x14ac:dyDescent="0.65">
      <c r="A272" s="4" t="s">
        <v>4486</v>
      </c>
      <c r="B272" s="5" t="s">
        <v>3042</v>
      </c>
      <c r="C272" s="5" t="s">
        <v>4596</v>
      </c>
      <c r="D272" s="10">
        <f>COUNTIF(รายชื่อจบส.!$A:$A,$B272)</f>
        <v>4</v>
      </c>
      <c r="E272" s="10">
        <f>COUNTIFS(รายชื่อจบส.!$A:$A,$B272,รายชื่อจบส.!$I:$I,"ผ่าน")</f>
        <v>0</v>
      </c>
      <c r="F272" s="10">
        <f t="shared" si="8"/>
        <v>-4</v>
      </c>
      <c r="G272" s="10">
        <f t="shared" si="9"/>
        <v>0</v>
      </c>
      <c r="H272" s="10">
        <f>_xlfn.MAXIFS(รายชื่อจบส.!$L:$L,รายชื่อจบส.!$A:$A,$B272)</f>
        <v>6</v>
      </c>
    </row>
    <row r="273" spans="1:8" ht="17.5" thickBot="1" x14ac:dyDescent="0.65">
      <c r="A273" s="4" t="s">
        <v>4486</v>
      </c>
      <c r="B273" s="5" t="s">
        <v>3043</v>
      </c>
      <c r="C273" s="5" t="s">
        <v>4597</v>
      </c>
      <c r="D273" s="10">
        <f>COUNTIF(รายชื่อจบส.!$A:$A,$B273)</f>
        <v>7</v>
      </c>
      <c r="E273" s="10">
        <f>COUNTIFS(รายชื่อจบส.!$A:$A,$B273,รายชื่อจบส.!$I:$I,"ผ่าน")</f>
        <v>2</v>
      </c>
      <c r="F273" s="10">
        <f t="shared" si="8"/>
        <v>-5</v>
      </c>
      <c r="G273" s="10">
        <f t="shared" si="9"/>
        <v>0</v>
      </c>
      <c r="H273" s="10">
        <f>_xlfn.MAXIFS(รายชื่อจบส.!$L:$L,รายชื่อจบส.!$A:$A,$B273)</f>
        <v>4</v>
      </c>
    </row>
    <row r="274" spans="1:8" ht="17.5" thickBot="1" x14ac:dyDescent="0.65">
      <c r="A274" s="4" t="s">
        <v>4486</v>
      </c>
      <c r="B274" s="5" t="s">
        <v>3044</v>
      </c>
      <c r="C274" s="5" t="s">
        <v>4598</v>
      </c>
      <c r="D274" s="10">
        <f>COUNTIF(รายชื่อจบส.!$A:$A,$B274)</f>
        <v>3</v>
      </c>
      <c r="E274" s="10">
        <f>COUNTIFS(รายชื่อจบส.!$A:$A,$B274,รายชื่อจบส.!$I:$I,"ผ่าน")</f>
        <v>0</v>
      </c>
      <c r="F274" s="10">
        <f t="shared" si="8"/>
        <v>-3</v>
      </c>
      <c r="G274" s="10">
        <f t="shared" si="9"/>
        <v>0</v>
      </c>
      <c r="H274" s="10">
        <f>_xlfn.MAXIFS(รายชื่อจบส.!$L:$L,รายชื่อจบส.!$A:$A,$B274)</f>
        <v>0</v>
      </c>
    </row>
    <row r="275" spans="1:8" ht="17.5" thickBot="1" x14ac:dyDescent="0.65">
      <c r="A275" s="4" t="s">
        <v>4486</v>
      </c>
      <c r="B275" s="5" t="s">
        <v>3045</v>
      </c>
      <c r="C275" s="5" t="s">
        <v>2132</v>
      </c>
      <c r="D275" s="10">
        <f>COUNTIF(รายชื่อจบส.!$A:$A,$B275)</f>
        <v>2</v>
      </c>
      <c r="E275" s="10">
        <f>COUNTIFS(รายชื่อจบส.!$A:$A,$B275,รายชื่อจบส.!$I:$I,"ผ่าน")</f>
        <v>0</v>
      </c>
      <c r="F275" s="10">
        <f t="shared" si="8"/>
        <v>-2</v>
      </c>
      <c r="G275" s="10">
        <f t="shared" si="9"/>
        <v>0</v>
      </c>
      <c r="H275" s="10">
        <f>_xlfn.MAXIFS(รายชื่อจบส.!$L:$L,รายชื่อจบส.!$A:$A,$B275)</f>
        <v>0</v>
      </c>
    </row>
    <row r="276" spans="1:8" ht="17.5" thickBot="1" x14ac:dyDescent="0.65">
      <c r="A276" s="4" t="s">
        <v>4486</v>
      </c>
      <c r="B276" s="5" t="s">
        <v>3046</v>
      </c>
      <c r="C276" s="5" t="s">
        <v>4599</v>
      </c>
      <c r="D276" s="10">
        <f>COUNTIF(รายชื่อจบส.!$A:$A,$B276)</f>
        <v>4</v>
      </c>
      <c r="E276" s="10">
        <f>COUNTIFS(รายชื่อจบส.!$A:$A,$B276,รายชื่อจบส.!$I:$I,"ผ่าน")</f>
        <v>4</v>
      </c>
      <c r="F276" s="10">
        <f t="shared" si="8"/>
        <v>0</v>
      </c>
      <c r="G276" s="10">
        <f t="shared" si="9"/>
        <v>2</v>
      </c>
      <c r="H276" s="10">
        <f>_xlfn.MAXIFS(รายชื่อจบส.!$L:$L,รายชื่อจบส.!$A:$A,$B276)</f>
        <v>9</v>
      </c>
    </row>
    <row r="277" spans="1:8" ht="17.5" thickBot="1" x14ac:dyDescent="0.65">
      <c r="A277" s="4" t="s">
        <v>4486</v>
      </c>
      <c r="B277" s="5" t="s">
        <v>3047</v>
      </c>
      <c r="C277" s="5" t="s">
        <v>4600</v>
      </c>
      <c r="D277" s="10">
        <f>COUNTIF(รายชื่อจบส.!$A:$A,$B277)</f>
        <v>1</v>
      </c>
      <c r="E277" s="10">
        <f>COUNTIFS(รายชื่อจบส.!$A:$A,$B277,รายชื่อจบส.!$I:$I,"ผ่าน")</f>
        <v>1</v>
      </c>
      <c r="F277" s="10">
        <f t="shared" si="8"/>
        <v>0</v>
      </c>
      <c r="G277" s="10">
        <f t="shared" si="9"/>
        <v>2</v>
      </c>
      <c r="H277" s="10">
        <f>_xlfn.MAXIFS(รายชื่อจบส.!$L:$L,รายชื่อจบส.!$A:$A,$B277)</f>
        <v>9</v>
      </c>
    </row>
    <row r="278" spans="1:8" ht="17.5" thickBot="1" x14ac:dyDescent="0.65">
      <c r="A278" s="4" t="s">
        <v>4486</v>
      </c>
      <c r="B278" s="5" t="s">
        <v>4601</v>
      </c>
      <c r="C278" s="5" t="s">
        <v>4602</v>
      </c>
      <c r="D278" s="10">
        <f>COUNTIF(รายชื่อจบส.!$A:$A,$B278)</f>
        <v>0</v>
      </c>
      <c r="E278" s="10">
        <f>COUNTIFS(รายชื่อจบส.!$A:$A,$B278,รายชื่อจบส.!$I:$I,"ผ่าน")</f>
        <v>0</v>
      </c>
      <c r="F278" s="10">
        <f t="shared" si="8"/>
        <v>0</v>
      </c>
      <c r="G278" s="10">
        <f t="shared" si="9"/>
        <v>0</v>
      </c>
      <c r="H278" s="10">
        <f>_xlfn.MAXIFS(รายชื่อจบส.!$L:$L,รายชื่อจบส.!$A:$A,$B278)</f>
        <v>0</v>
      </c>
    </row>
    <row r="279" spans="1:8" ht="17.5" thickBot="1" x14ac:dyDescent="0.65">
      <c r="A279" s="4" t="s">
        <v>4486</v>
      </c>
      <c r="B279" s="5" t="s">
        <v>3049</v>
      </c>
      <c r="C279" s="5" t="s">
        <v>4603</v>
      </c>
      <c r="D279" s="10">
        <f>COUNTIF(รายชื่อจบส.!$A:$A,$B279)</f>
        <v>15</v>
      </c>
      <c r="E279" s="10">
        <f>COUNTIFS(รายชื่อจบส.!$A:$A,$B279,รายชื่อจบส.!$I:$I,"ผ่าน")</f>
        <v>9</v>
      </c>
      <c r="F279" s="10">
        <f t="shared" si="8"/>
        <v>-6</v>
      </c>
      <c r="G279" s="10">
        <f t="shared" si="9"/>
        <v>0</v>
      </c>
      <c r="H279" s="10">
        <f>_xlfn.MAXIFS(รายชื่อจบส.!$L:$L,รายชื่อจบส.!$A:$A,$B279)</f>
        <v>6</v>
      </c>
    </row>
    <row r="280" spans="1:8" ht="17.5" thickBot="1" x14ac:dyDescent="0.65">
      <c r="A280" s="4" t="s">
        <v>4486</v>
      </c>
      <c r="B280" s="5" t="s">
        <v>3050</v>
      </c>
      <c r="C280" s="5" t="s">
        <v>4604</v>
      </c>
      <c r="D280" s="10">
        <f>COUNTIF(รายชื่อจบส.!$A:$A,$B280)</f>
        <v>6</v>
      </c>
      <c r="E280" s="10">
        <f>COUNTIFS(รายชื่อจบส.!$A:$A,$B280,รายชื่อจบส.!$I:$I,"ผ่าน")</f>
        <v>3</v>
      </c>
      <c r="F280" s="10">
        <f t="shared" si="8"/>
        <v>-3</v>
      </c>
      <c r="G280" s="10">
        <f t="shared" si="9"/>
        <v>0</v>
      </c>
      <c r="H280" s="10">
        <f>_xlfn.MAXIFS(รายชื่อจบส.!$L:$L,รายชื่อจบส.!$A:$A,$B280)</f>
        <v>8</v>
      </c>
    </row>
    <row r="281" spans="1:8" ht="17.5" thickBot="1" x14ac:dyDescent="0.65">
      <c r="A281" s="4" t="s">
        <v>4486</v>
      </c>
      <c r="B281" s="5" t="s">
        <v>3051</v>
      </c>
      <c r="C281" s="5" t="s">
        <v>4605</v>
      </c>
      <c r="D281" s="10">
        <f>COUNTIF(รายชื่อจบส.!$A:$A,$B281)</f>
        <v>5</v>
      </c>
      <c r="E281" s="10">
        <f>COUNTIFS(รายชื่อจบส.!$A:$A,$B281,รายชื่อจบส.!$I:$I,"ผ่าน")</f>
        <v>5</v>
      </c>
      <c r="F281" s="10">
        <f t="shared" si="8"/>
        <v>0</v>
      </c>
      <c r="G281" s="10">
        <f t="shared" si="9"/>
        <v>2</v>
      </c>
      <c r="H281" s="10">
        <f>_xlfn.MAXIFS(รายชื่อจบส.!$L:$L,รายชื่อจบส.!$A:$A,$B281)</f>
        <v>8</v>
      </c>
    </row>
    <row r="282" spans="1:8" ht="17.5" thickBot="1" x14ac:dyDescent="0.65">
      <c r="A282" s="4" t="s">
        <v>4486</v>
      </c>
      <c r="B282" s="5" t="s">
        <v>3052</v>
      </c>
      <c r="C282" s="5" t="s">
        <v>4606</v>
      </c>
      <c r="D282" s="10">
        <f>COUNTIF(รายชื่อจบส.!$A:$A,$B282)</f>
        <v>5</v>
      </c>
      <c r="E282" s="10">
        <f>COUNTIFS(รายชื่อจบส.!$A:$A,$B282,รายชื่อจบส.!$I:$I,"ผ่าน")</f>
        <v>4</v>
      </c>
      <c r="F282" s="10">
        <f t="shared" si="8"/>
        <v>-1</v>
      </c>
      <c r="G282" s="10">
        <f t="shared" si="9"/>
        <v>0</v>
      </c>
      <c r="H282" s="10">
        <f>_xlfn.MAXIFS(รายชื่อจบส.!$L:$L,รายชื่อจบส.!$A:$A,$B282)</f>
        <v>6</v>
      </c>
    </row>
    <row r="283" spans="1:8" ht="17.5" thickBot="1" x14ac:dyDescent="0.65">
      <c r="A283" s="4" t="s">
        <v>4486</v>
      </c>
      <c r="B283" s="5" t="s">
        <v>3053</v>
      </c>
      <c r="C283" s="5" t="s">
        <v>4607</v>
      </c>
      <c r="D283" s="10">
        <f>COUNTIF(รายชื่อจบส.!$A:$A,$B283)</f>
        <v>6</v>
      </c>
      <c r="E283" s="10">
        <f>COUNTIFS(รายชื่อจบส.!$A:$A,$B283,รายชื่อจบส.!$I:$I,"ผ่าน")</f>
        <v>6</v>
      </c>
      <c r="F283" s="10">
        <f t="shared" si="8"/>
        <v>0</v>
      </c>
      <c r="G283" s="10">
        <f t="shared" si="9"/>
        <v>3</v>
      </c>
      <c r="H283" s="10">
        <f>_xlfn.MAXIFS(รายชื่อจบส.!$L:$L,รายชื่อจบส.!$A:$A,$B283)</f>
        <v>7</v>
      </c>
    </row>
    <row r="284" spans="1:8" ht="17.5" thickBot="1" x14ac:dyDescent="0.65">
      <c r="A284" s="4" t="s">
        <v>4486</v>
      </c>
      <c r="B284" s="5" t="s">
        <v>3054</v>
      </c>
      <c r="C284" s="5" t="s">
        <v>4608</v>
      </c>
      <c r="D284" s="10">
        <f>COUNTIF(รายชื่อจบส.!$A:$A,$B284)</f>
        <v>3</v>
      </c>
      <c r="E284" s="10">
        <f>COUNTIFS(รายชื่อจบส.!$A:$A,$B284,รายชื่อจบส.!$I:$I,"ผ่าน")</f>
        <v>2</v>
      </c>
      <c r="F284" s="10">
        <f t="shared" si="8"/>
        <v>-1</v>
      </c>
      <c r="G284" s="10">
        <f t="shared" si="9"/>
        <v>0</v>
      </c>
      <c r="H284" s="10">
        <f>_xlfn.MAXIFS(รายชื่อจบส.!$L:$L,รายชื่อจบส.!$A:$A,$B284)</f>
        <v>6</v>
      </c>
    </row>
    <row r="285" spans="1:8" ht="17.5" thickBot="1" x14ac:dyDescent="0.65">
      <c r="A285" s="4" t="s">
        <v>4486</v>
      </c>
      <c r="B285" s="5" t="s">
        <v>3055</v>
      </c>
      <c r="C285" s="5" t="s">
        <v>4609</v>
      </c>
      <c r="D285" s="10">
        <f>COUNTIF(รายชื่อจบส.!$A:$A,$B285)</f>
        <v>6</v>
      </c>
      <c r="E285" s="10">
        <f>COUNTIFS(รายชื่อจบส.!$A:$A,$B285,รายชื่อจบส.!$I:$I,"ผ่าน")</f>
        <v>6</v>
      </c>
      <c r="F285" s="10">
        <f t="shared" si="8"/>
        <v>0</v>
      </c>
      <c r="G285" s="10">
        <f t="shared" si="9"/>
        <v>2</v>
      </c>
      <c r="H285" s="10">
        <f>_xlfn.MAXIFS(รายชื่อจบส.!$L:$L,รายชื่อจบส.!$A:$A,$B285)</f>
        <v>8</v>
      </c>
    </row>
    <row r="286" spans="1:8" ht="17.5" thickBot="1" x14ac:dyDescent="0.65">
      <c r="A286" s="4" t="s">
        <v>4486</v>
      </c>
      <c r="B286" s="5" t="s">
        <v>3056</v>
      </c>
      <c r="C286" s="5" t="s">
        <v>4610</v>
      </c>
      <c r="D286" s="10">
        <f>COUNTIF(รายชื่อจบส.!$A:$A,$B286)</f>
        <v>6</v>
      </c>
      <c r="E286" s="10">
        <f>COUNTIFS(รายชื่อจบส.!$A:$A,$B286,รายชื่อจบส.!$I:$I,"ผ่าน")</f>
        <v>4</v>
      </c>
      <c r="F286" s="10">
        <f t="shared" si="8"/>
        <v>-2</v>
      </c>
      <c r="G286" s="10">
        <f t="shared" si="9"/>
        <v>0</v>
      </c>
      <c r="H286" s="10">
        <f>_xlfn.MAXIFS(รายชื่อจบส.!$L:$L,รายชื่อจบส.!$A:$A,$B286)</f>
        <v>8</v>
      </c>
    </row>
    <row r="287" spans="1:8" ht="17.5" thickBot="1" x14ac:dyDescent="0.65">
      <c r="A287" s="4" t="s">
        <v>4486</v>
      </c>
      <c r="B287" s="5" t="s">
        <v>4611</v>
      </c>
      <c r="C287" s="5" t="s">
        <v>4612</v>
      </c>
      <c r="D287" s="10">
        <f>COUNTIF(รายชื่อจบส.!$A:$A,$B287)</f>
        <v>1</v>
      </c>
      <c r="E287" s="10">
        <f>COUNTIFS(รายชื่อจบส.!$A:$A,$B287,รายชื่อจบส.!$I:$I,"ผ่าน")</f>
        <v>1</v>
      </c>
      <c r="F287" s="10">
        <f t="shared" si="8"/>
        <v>0</v>
      </c>
      <c r="G287" s="10">
        <f t="shared" si="9"/>
        <v>2</v>
      </c>
      <c r="H287" s="10">
        <f>_xlfn.MAXIFS(รายชื่อจบส.!$L:$L,รายชื่อจบส.!$A:$A,$B287)</f>
        <v>8</v>
      </c>
    </row>
    <row r="288" spans="1:8" ht="17.5" thickBot="1" x14ac:dyDescent="0.65">
      <c r="A288" s="4" t="s">
        <v>4486</v>
      </c>
      <c r="B288" s="5" t="s">
        <v>3009</v>
      </c>
      <c r="C288" s="5" t="s">
        <v>4613</v>
      </c>
      <c r="D288" s="10">
        <f>COUNTIF(รายชื่อจบส.!$A:$A,$B288)</f>
        <v>2</v>
      </c>
      <c r="E288" s="10">
        <f>COUNTIFS(รายชื่อจบส.!$A:$A,$B288,รายชื่อจบส.!$I:$I,"ผ่าน")</f>
        <v>2</v>
      </c>
      <c r="F288" s="10">
        <f t="shared" si="8"/>
        <v>0</v>
      </c>
      <c r="G288" s="10">
        <f t="shared" si="9"/>
        <v>2</v>
      </c>
      <c r="H288" s="10">
        <f>_xlfn.MAXIFS(รายชื่อจบส.!$L:$L,รายชื่อจบส.!$A:$A,$B288)</f>
        <v>8</v>
      </c>
    </row>
  </sheetData>
  <autoFilter ref="B1:H288" xr:uid="{8F298D6A-2018-4A2B-837A-4A9F9F1C597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09067-691B-4DCA-9FD5-DB78D7645B9B}">
  <dimension ref="A1:L3"/>
  <sheetViews>
    <sheetView workbookViewId="0">
      <selection activeCell="F10" sqref="F10"/>
    </sheetView>
  </sheetViews>
  <sheetFormatPr defaultRowHeight="14.5" x14ac:dyDescent="0.35"/>
  <cols>
    <col min="1" max="1" width="10.26953125" bestFit="1" customWidth="1"/>
    <col min="2" max="2" width="7.36328125" bestFit="1" customWidth="1"/>
    <col min="3" max="3" width="32.26953125" bestFit="1" customWidth="1"/>
    <col min="4" max="4" width="5.6328125" bestFit="1" customWidth="1"/>
    <col min="5" max="5" width="7.08984375" bestFit="1" customWidth="1"/>
    <col min="6" max="6" width="11.6328125" bestFit="1" customWidth="1"/>
    <col min="7" max="7" width="16.36328125" bestFit="1" customWidth="1"/>
    <col min="8" max="8" width="8.1796875" bestFit="1" customWidth="1"/>
    <col min="9" max="9" width="9.6328125" bestFit="1" customWidth="1"/>
    <col min="10" max="10" width="7.81640625" bestFit="1" customWidth="1"/>
    <col min="11" max="12" width="11" bestFit="1" customWidth="1"/>
  </cols>
  <sheetData>
    <row r="1" spans="1:12" x14ac:dyDescent="0.35">
      <c r="A1" t="s">
        <v>4618</v>
      </c>
      <c r="B1" t="s">
        <v>4619</v>
      </c>
      <c r="C1" t="s">
        <v>3100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3098</v>
      </c>
      <c r="J1" t="s">
        <v>3097</v>
      </c>
      <c r="K1" t="s">
        <v>3099</v>
      </c>
      <c r="L1" t="s">
        <v>3101</v>
      </c>
    </row>
    <row r="2" spans="1:12" x14ac:dyDescent="0.35">
      <c r="A2" t="s">
        <v>2837</v>
      </c>
      <c r="B2" t="s">
        <v>4298</v>
      </c>
      <c r="C2" t="s">
        <v>2695</v>
      </c>
      <c r="D2" t="s">
        <v>4752</v>
      </c>
      <c r="E2" t="s">
        <v>2700</v>
      </c>
      <c r="F2" t="s">
        <v>2701</v>
      </c>
      <c r="G2" t="s">
        <v>2702</v>
      </c>
      <c r="H2" t="s">
        <v>4331</v>
      </c>
      <c r="I2" t="s">
        <v>3075</v>
      </c>
      <c r="J2" t="s">
        <v>3087</v>
      </c>
      <c r="K2" t="s">
        <v>4220</v>
      </c>
      <c r="L2" t="s">
        <v>3075</v>
      </c>
    </row>
    <row r="3" spans="1:12" x14ac:dyDescent="0.35">
      <c r="A3" t="s">
        <v>2857</v>
      </c>
      <c r="B3" t="s">
        <v>4298</v>
      </c>
      <c r="C3" t="s">
        <v>5301</v>
      </c>
      <c r="D3" t="s">
        <v>4752</v>
      </c>
      <c r="E3" t="s">
        <v>5302</v>
      </c>
      <c r="F3" t="s">
        <v>5303</v>
      </c>
      <c r="G3" t="s">
        <v>5304</v>
      </c>
      <c r="H3" t="s">
        <v>4357</v>
      </c>
      <c r="I3" t="s">
        <v>3075</v>
      </c>
      <c r="J3" t="s">
        <v>689</v>
      </c>
      <c r="K3" t="s">
        <v>5305</v>
      </c>
      <c r="L3" t="s">
        <v>3075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รายชื่อจบส.</vt:lpstr>
      <vt:lpstr>จบส.-Score</vt:lpstr>
      <vt:lpstr>จบส.ไม่มี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Prayut Puttummarin</dc:creator>
  <cp:lastModifiedBy>Prayut Puttummarin</cp:lastModifiedBy>
  <cp:lastPrinted>2026-04-20T01:03:48Z</cp:lastPrinted>
  <dcterms:created xsi:type="dcterms:W3CDTF">2026-04-16T02:27:20Z</dcterms:created>
  <dcterms:modified xsi:type="dcterms:W3CDTF">2026-10-12T01:45:52Z</dcterms:modified>
</cp:coreProperties>
</file>