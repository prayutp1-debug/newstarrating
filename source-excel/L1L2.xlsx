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I\รายงานการจัดระดับ\newstarrating\source-excel\"/>
    </mc:Choice>
  </mc:AlternateContent>
  <xr:revisionPtr revIDLastSave="0" documentId="13_ncr:1_{6169ADF2-B945-4DFE-94E6-C7DF70F09953}" xr6:coauthVersionLast="36" xr6:coauthVersionMax="36" xr10:uidLastSave="{00000000-0000-0000-0000-000000000000}"/>
  <bookViews>
    <workbookView xWindow="0" yWindow="0" windowWidth="19200" windowHeight="8130" activeTab="1" xr2:uid="{00000000-000D-0000-FFFF-FFFF00000000}"/>
  </bookViews>
  <sheets>
    <sheet name="L1L2" sheetId="7" r:id="rId1"/>
    <sheet name="Score" sheetId="9" r:id="rId2"/>
    <sheet name="Sheet1" sheetId="10" r:id="rId3"/>
    <sheet name="ข้อมูลกิจการ" sheetId="8" state="hidden" r:id="rId4"/>
  </sheets>
  <externalReferences>
    <externalReference r:id="rId5"/>
    <externalReference r:id="rId6"/>
  </externalReferences>
  <definedNames>
    <definedName name="_xlnm._FilterDatabase" localSheetId="0" hidden="1">L1L2!$A$4:$Q$952</definedName>
    <definedName name="_xlnm._FilterDatabase" localSheetId="1" hidden="1">Score!$A$1:$I$289</definedName>
    <definedName name="_xlnm._FilterDatabase" localSheetId="2" hidden="1">Sheet1!$A$1:$F$291</definedName>
    <definedName name="_xlnm.Database">[1]ข้อมูล!$B$11:$H$11</definedName>
    <definedName name="Datalist">OFFSET('[2]Data-CPAC'!$A$1,0,0,COUNTA('[2]Data-CPAC'!$A:$A),COUNTA('[2]Data-CPAC'!$1:$1))</definedName>
    <definedName name="DAYS">[1]ข้อมูล!$J$12:$L$198</definedName>
    <definedName name="_xlnm.Extract">[1]ข้อมูล!$B$12:$H$48</definedName>
    <definedName name="Summary">[1]ข้อมูล!$BD$3</definedName>
  </definedNames>
  <calcPr calcId="191029"/>
</workbook>
</file>

<file path=xl/calcChain.xml><?xml version="1.0" encoding="utf-8"?>
<calcChain xmlns="http://schemas.openxmlformats.org/spreadsheetml/2006/main">
  <c r="E254" i="9" l="1"/>
  <c r="D254" i="9"/>
  <c r="E253" i="9"/>
  <c r="D253" i="9"/>
  <c r="E252" i="9"/>
  <c r="D252" i="9"/>
  <c r="E251" i="9"/>
  <c r="D251" i="9"/>
  <c r="D242" i="9"/>
  <c r="D241" i="9"/>
  <c r="D240" i="9"/>
  <c r="D239" i="9"/>
  <c r="E212" i="9"/>
  <c r="D212" i="9"/>
  <c r="E190" i="9"/>
  <c r="D190" i="9"/>
  <c r="E170" i="9"/>
  <c r="D170" i="9"/>
  <c r="E154" i="9"/>
  <c r="E153" i="9"/>
  <c r="E152" i="9"/>
  <c r="E151" i="9"/>
  <c r="E150" i="9"/>
  <c r="E149" i="9"/>
  <c r="E148" i="9"/>
  <c r="E147" i="9"/>
  <c r="E144" i="9"/>
  <c r="E142" i="9"/>
  <c r="E141" i="9"/>
  <c r="E140" i="9"/>
  <c r="D138" i="9"/>
  <c r="E138" i="9"/>
  <c r="E123" i="9"/>
  <c r="D123" i="9"/>
  <c r="E122" i="9"/>
  <c r="D122" i="9"/>
  <c r="E116" i="9"/>
  <c r="D116" i="9"/>
  <c r="E115" i="9"/>
  <c r="D115" i="9"/>
  <c r="E114" i="9"/>
  <c r="D114" i="9"/>
  <c r="E113" i="9"/>
  <c r="D113" i="9"/>
  <c r="E112" i="9"/>
  <c r="D112" i="9"/>
  <c r="E111" i="9"/>
  <c r="D111" i="9"/>
  <c r="E99" i="9"/>
  <c r="D99" i="9"/>
  <c r="E98" i="9"/>
  <c r="D98" i="9"/>
  <c r="E94" i="9"/>
  <c r="D94" i="9"/>
  <c r="E93" i="9"/>
  <c r="D93" i="9"/>
  <c r="E92" i="9"/>
  <c r="D92" i="9"/>
  <c r="E65" i="9"/>
  <c r="E64" i="9"/>
  <c r="E44" i="9"/>
  <c r="D44" i="9"/>
  <c r="E42" i="9"/>
  <c r="D42" i="9"/>
  <c r="E41" i="9"/>
  <c r="D41" i="9"/>
  <c r="D28" i="9"/>
  <c r="D27" i="9"/>
  <c r="D29" i="9"/>
  <c r="I262" i="9" l="1"/>
  <c r="H262" i="9"/>
  <c r="E262" i="9"/>
  <c r="D262" i="9"/>
  <c r="I289" i="9"/>
  <c r="H289" i="9"/>
  <c r="E289" i="9"/>
  <c r="D289" i="9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" i="10"/>
  <c r="I12" i="9"/>
  <c r="I13" i="9"/>
  <c r="I14" i="9"/>
  <c r="I22" i="9"/>
  <c r="I27" i="9"/>
  <c r="I28" i="9"/>
  <c r="I29" i="9"/>
  <c r="I30" i="9"/>
  <c r="I69" i="9"/>
  <c r="I70" i="9"/>
  <c r="I71" i="9"/>
  <c r="I72" i="9"/>
  <c r="I73" i="9"/>
  <c r="I74" i="9"/>
  <c r="I80" i="9"/>
  <c r="I85" i="9"/>
  <c r="I86" i="9"/>
  <c r="I87" i="9"/>
  <c r="I88" i="9"/>
  <c r="I92" i="9"/>
  <c r="I93" i="9"/>
  <c r="I94" i="9"/>
  <c r="I125" i="9"/>
  <c r="I126" i="9"/>
  <c r="I130" i="9"/>
  <c r="I131" i="9"/>
  <c r="I132" i="9"/>
  <c r="I133" i="9"/>
  <c r="I134" i="9"/>
  <c r="I135" i="9"/>
  <c r="I156" i="9"/>
  <c r="I157" i="9"/>
  <c r="I166" i="9"/>
  <c r="I167" i="9"/>
  <c r="I173" i="9"/>
  <c r="I178" i="9"/>
  <c r="I179" i="9"/>
  <c r="I180" i="9"/>
  <c r="I181" i="9"/>
  <c r="I182" i="9"/>
  <c r="I187" i="9"/>
  <c r="I188" i="9"/>
  <c r="I192" i="9"/>
  <c r="I193" i="9"/>
  <c r="I197" i="9"/>
  <c r="I198" i="9"/>
  <c r="I204" i="9"/>
  <c r="I205" i="9"/>
  <c r="I206" i="9"/>
  <c r="I209" i="9"/>
  <c r="I213" i="9"/>
  <c r="I217" i="9"/>
  <c r="I218" i="9"/>
  <c r="I219" i="9"/>
  <c r="I220" i="9"/>
  <c r="I228" i="9"/>
  <c r="I233" i="9"/>
  <c r="I234" i="9"/>
  <c r="I237" i="9"/>
  <c r="I248" i="9"/>
  <c r="I250" i="9"/>
  <c r="I251" i="9"/>
  <c r="I252" i="9"/>
  <c r="I253" i="9"/>
  <c r="I254" i="9"/>
  <c r="I265" i="9"/>
  <c r="I266" i="9"/>
  <c r="I269" i="9"/>
  <c r="I278" i="9"/>
  <c r="I279" i="9"/>
  <c r="I15" i="9"/>
  <c r="I16" i="9"/>
  <c r="I17" i="9"/>
  <c r="I18" i="9"/>
  <c r="I19" i="9"/>
  <c r="I20" i="9"/>
  <c r="I21" i="9"/>
  <c r="I34" i="9"/>
  <c r="I35" i="9"/>
  <c r="I36" i="9"/>
  <c r="I59" i="9"/>
  <c r="I58" i="9"/>
  <c r="I46" i="9"/>
  <c r="I110" i="9"/>
  <c r="I111" i="9"/>
  <c r="I112" i="9"/>
  <c r="I113" i="9"/>
  <c r="I114" i="9"/>
  <c r="I115" i="9"/>
  <c r="I116" i="9"/>
  <c r="I117" i="9"/>
  <c r="I118" i="9"/>
  <c r="I122" i="9"/>
  <c r="I123" i="9"/>
  <c r="I124" i="9"/>
  <c r="I127" i="9"/>
  <c r="I137" i="9"/>
  <c r="I138" i="9"/>
  <c r="I189" i="9"/>
  <c r="I190" i="9"/>
  <c r="I202" i="9"/>
  <c r="I223" i="9"/>
  <c r="I239" i="9"/>
  <c r="I240" i="9"/>
  <c r="I241" i="9"/>
  <c r="I242" i="9"/>
  <c r="I247" i="9"/>
  <c r="I256" i="9"/>
  <c r="I263" i="9"/>
  <c r="I264" i="9"/>
  <c r="I10" i="9"/>
  <c r="I31" i="9"/>
  <c r="I140" i="9"/>
  <c r="I177" i="9"/>
  <c r="I23" i="9"/>
  <c r="I41" i="9"/>
  <c r="I42" i="9"/>
  <c r="I43" i="9"/>
  <c r="I44" i="9"/>
  <c r="I56" i="9"/>
  <c r="I57" i="9"/>
  <c r="I61" i="9"/>
  <c r="I62" i="9"/>
  <c r="I63" i="9"/>
  <c r="I64" i="9"/>
  <c r="I65" i="9"/>
  <c r="I81" i="9"/>
  <c r="I82" i="9"/>
  <c r="I83" i="9"/>
  <c r="I128" i="9"/>
  <c r="I129" i="9"/>
  <c r="I196" i="9"/>
  <c r="I255" i="9"/>
  <c r="I267" i="9"/>
  <c r="I60" i="9"/>
  <c r="I33" i="9"/>
  <c r="I40" i="9"/>
  <c r="I84" i="9"/>
  <c r="I95" i="9"/>
  <c r="I96" i="9"/>
  <c r="I97" i="9"/>
  <c r="I98" i="9"/>
  <c r="I99" i="9"/>
  <c r="I100" i="9"/>
  <c r="I101" i="9"/>
  <c r="I108" i="9"/>
  <c r="I120" i="9"/>
  <c r="I121" i="9"/>
  <c r="I136" i="9"/>
  <c r="I141" i="9"/>
  <c r="I142" i="9"/>
  <c r="I143" i="9"/>
  <c r="I144" i="9"/>
  <c r="I146" i="9"/>
  <c r="I147" i="9"/>
  <c r="I148" i="9"/>
  <c r="I149" i="9"/>
  <c r="I150" i="9"/>
  <c r="I151" i="9"/>
  <c r="I152" i="9"/>
  <c r="I153" i="9"/>
  <c r="I154" i="9"/>
  <c r="I155" i="9"/>
  <c r="I158" i="9"/>
  <c r="I195" i="9"/>
  <c r="I211" i="9"/>
  <c r="I212" i="9"/>
  <c r="I214" i="9"/>
  <c r="I215" i="9"/>
  <c r="I230" i="9"/>
  <c r="I231" i="9"/>
  <c r="I232" i="9"/>
  <c r="I260" i="9"/>
  <c r="I261" i="9"/>
  <c r="I2" i="9"/>
  <c r="I3" i="9"/>
  <c r="I4" i="9"/>
  <c r="I5" i="9"/>
  <c r="I6" i="9"/>
  <c r="I7" i="9"/>
  <c r="I8" i="9"/>
  <c r="I9" i="9"/>
  <c r="I24" i="9"/>
  <c r="I25" i="9"/>
  <c r="I26" i="9"/>
  <c r="I32" i="9"/>
  <c r="I37" i="9"/>
  <c r="I38" i="9"/>
  <c r="I39" i="9"/>
  <c r="I45" i="9"/>
  <c r="I47" i="9"/>
  <c r="I48" i="9"/>
  <c r="I49" i="9"/>
  <c r="I50" i="9"/>
  <c r="I51" i="9"/>
  <c r="I52" i="9"/>
  <c r="I53" i="9"/>
  <c r="I54" i="9"/>
  <c r="I55" i="9"/>
  <c r="I66" i="9"/>
  <c r="I67" i="9"/>
  <c r="I68" i="9"/>
  <c r="I75" i="9"/>
  <c r="I76" i="9"/>
  <c r="I77" i="9"/>
  <c r="I78" i="9"/>
  <c r="I79" i="9"/>
  <c r="I89" i="9"/>
  <c r="I90" i="9"/>
  <c r="I91" i="9"/>
  <c r="I102" i="9"/>
  <c r="I103" i="9"/>
  <c r="I104" i="9"/>
  <c r="I105" i="9"/>
  <c r="I106" i="9"/>
  <c r="I107" i="9"/>
  <c r="I109" i="9"/>
  <c r="I119" i="9"/>
  <c r="I139" i="9"/>
  <c r="I145" i="9"/>
  <c r="I159" i="9"/>
  <c r="I160" i="9"/>
  <c r="I161" i="9"/>
  <c r="I162" i="9"/>
  <c r="I163" i="9"/>
  <c r="I164" i="9"/>
  <c r="I165" i="9"/>
  <c r="I168" i="9"/>
  <c r="I169" i="9"/>
  <c r="I170" i="9"/>
  <c r="I171" i="9"/>
  <c r="I172" i="9"/>
  <c r="I174" i="9"/>
  <c r="I175" i="9"/>
  <c r="I176" i="9"/>
  <c r="I183" i="9"/>
  <c r="I184" i="9"/>
  <c r="I186" i="9"/>
  <c r="I191" i="9"/>
  <c r="I194" i="9"/>
  <c r="I199" i="9"/>
  <c r="I200" i="9"/>
  <c r="I201" i="9"/>
  <c r="I203" i="9"/>
  <c r="I207" i="9"/>
  <c r="I208" i="9"/>
  <c r="I210" i="9"/>
  <c r="I185" i="9"/>
  <c r="I216" i="9"/>
  <c r="I221" i="9"/>
  <c r="I222" i="9"/>
  <c r="I224" i="9"/>
  <c r="I225" i="9"/>
  <c r="I226" i="9"/>
  <c r="I227" i="9"/>
  <c r="I229" i="9"/>
  <c r="I235" i="9"/>
  <c r="I236" i="9"/>
  <c r="I238" i="9"/>
  <c r="I243" i="9"/>
  <c r="I244" i="9"/>
  <c r="I245" i="9"/>
  <c r="I246" i="9"/>
  <c r="I249" i="9"/>
  <c r="I257" i="9"/>
  <c r="I258" i="9"/>
  <c r="I259" i="9"/>
  <c r="I268" i="9"/>
  <c r="I270" i="9"/>
  <c r="I271" i="9"/>
  <c r="I272" i="9"/>
  <c r="I273" i="9"/>
  <c r="I274" i="9"/>
  <c r="I275" i="9"/>
  <c r="I276" i="9"/>
  <c r="I277" i="9"/>
  <c r="I280" i="9"/>
  <c r="I281" i="9"/>
  <c r="I282" i="9"/>
  <c r="I283" i="9"/>
  <c r="I284" i="9"/>
  <c r="I285" i="9"/>
  <c r="I286" i="9"/>
  <c r="I287" i="9"/>
  <c r="I288" i="9"/>
  <c r="I11" i="9"/>
  <c r="G262" i="9" l="1"/>
  <c r="F262" i="9"/>
  <c r="F289" i="9"/>
  <c r="G289" i="9"/>
  <c r="H29" i="9" l="1"/>
  <c r="H30" i="9"/>
  <c r="H69" i="9"/>
  <c r="H70" i="9"/>
  <c r="H71" i="9"/>
  <c r="H72" i="9"/>
  <c r="H73" i="9"/>
  <c r="H74" i="9"/>
  <c r="H80" i="9"/>
  <c r="H85" i="9"/>
  <c r="H86" i="9"/>
  <c r="H87" i="9"/>
  <c r="H88" i="9"/>
  <c r="H92" i="9"/>
  <c r="H93" i="9"/>
  <c r="H94" i="9"/>
  <c r="H125" i="9"/>
  <c r="H126" i="9"/>
  <c r="H130" i="9"/>
  <c r="H131" i="9"/>
  <c r="H132" i="9"/>
  <c r="H133" i="9"/>
  <c r="H134" i="9"/>
  <c r="H135" i="9"/>
  <c r="H156" i="9"/>
  <c r="H157" i="9"/>
  <c r="H166" i="9"/>
  <c r="H167" i="9"/>
  <c r="H173" i="9"/>
  <c r="H178" i="9"/>
  <c r="H179" i="9"/>
  <c r="H180" i="9"/>
  <c r="H181" i="9"/>
  <c r="H182" i="9"/>
  <c r="H187" i="9"/>
  <c r="H188" i="9"/>
  <c r="H192" i="9"/>
  <c r="H193" i="9"/>
  <c r="H197" i="9"/>
  <c r="H198" i="9"/>
  <c r="H204" i="9"/>
  <c r="H205" i="9"/>
  <c r="H206" i="9"/>
  <c r="H209" i="9"/>
  <c r="H213" i="9"/>
  <c r="H217" i="9"/>
  <c r="H218" i="9"/>
  <c r="H219" i="9"/>
  <c r="H220" i="9"/>
  <c r="H228" i="9"/>
  <c r="H233" i="9"/>
  <c r="H234" i="9"/>
  <c r="H237" i="9"/>
  <c r="H248" i="9"/>
  <c r="H250" i="9"/>
  <c r="H251" i="9"/>
  <c r="H252" i="9"/>
  <c r="H253" i="9"/>
  <c r="H254" i="9"/>
  <c r="H265" i="9"/>
  <c r="H266" i="9"/>
  <c r="H269" i="9"/>
  <c r="H278" i="9"/>
  <c r="H279" i="9"/>
  <c r="H15" i="9"/>
  <c r="H16" i="9"/>
  <c r="H17" i="9"/>
  <c r="H18" i="9"/>
  <c r="H19" i="9"/>
  <c r="H20" i="9"/>
  <c r="H21" i="9"/>
  <c r="H34" i="9"/>
  <c r="H35" i="9"/>
  <c r="H36" i="9"/>
  <c r="H59" i="9"/>
  <c r="H58" i="9"/>
  <c r="H46" i="9"/>
  <c r="H110" i="9"/>
  <c r="H111" i="9"/>
  <c r="H112" i="9"/>
  <c r="H113" i="9"/>
  <c r="H114" i="9"/>
  <c r="H115" i="9"/>
  <c r="H116" i="9"/>
  <c r="H117" i="9"/>
  <c r="H118" i="9"/>
  <c r="H122" i="9"/>
  <c r="H123" i="9"/>
  <c r="H124" i="9"/>
  <c r="H127" i="9"/>
  <c r="H137" i="9"/>
  <c r="H138" i="9"/>
  <c r="H189" i="9"/>
  <c r="H190" i="9"/>
  <c r="H202" i="9"/>
  <c r="H223" i="9"/>
  <c r="H239" i="9"/>
  <c r="H240" i="9"/>
  <c r="H241" i="9"/>
  <c r="H242" i="9"/>
  <c r="H247" i="9"/>
  <c r="H256" i="9"/>
  <c r="H263" i="9"/>
  <c r="H264" i="9"/>
  <c r="H10" i="9"/>
  <c r="H31" i="9"/>
  <c r="H140" i="9"/>
  <c r="H177" i="9"/>
  <c r="H23" i="9"/>
  <c r="H41" i="9"/>
  <c r="H42" i="9"/>
  <c r="H43" i="9"/>
  <c r="H44" i="9"/>
  <c r="H56" i="9"/>
  <c r="H57" i="9"/>
  <c r="H61" i="9"/>
  <c r="H62" i="9"/>
  <c r="H63" i="9"/>
  <c r="H64" i="9"/>
  <c r="H65" i="9"/>
  <c r="H81" i="9"/>
  <c r="H82" i="9"/>
  <c r="H83" i="9"/>
  <c r="H128" i="9"/>
  <c r="H129" i="9"/>
  <c r="H196" i="9"/>
  <c r="H255" i="9"/>
  <c r="H267" i="9"/>
  <c r="H60" i="9"/>
  <c r="H33" i="9"/>
  <c r="H40" i="9"/>
  <c r="H84" i="9"/>
  <c r="H95" i="9"/>
  <c r="H96" i="9"/>
  <c r="H97" i="9"/>
  <c r="H98" i="9"/>
  <c r="H99" i="9"/>
  <c r="H100" i="9"/>
  <c r="H101" i="9"/>
  <c r="H108" i="9"/>
  <c r="H120" i="9"/>
  <c r="H121" i="9"/>
  <c r="H136" i="9"/>
  <c r="H141" i="9"/>
  <c r="H142" i="9"/>
  <c r="H143" i="9"/>
  <c r="H144" i="9"/>
  <c r="H146" i="9"/>
  <c r="H147" i="9"/>
  <c r="H148" i="9"/>
  <c r="H149" i="9"/>
  <c r="H150" i="9"/>
  <c r="H151" i="9"/>
  <c r="H152" i="9"/>
  <c r="H153" i="9"/>
  <c r="H154" i="9"/>
  <c r="H155" i="9"/>
  <c r="H158" i="9"/>
  <c r="H195" i="9"/>
  <c r="H211" i="9"/>
  <c r="H212" i="9"/>
  <c r="H214" i="9"/>
  <c r="H215" i="9"/>
  <c r="H230" i="9"/>
  <c r="H231" i="9"/>
  <c r="H232" i="9"/>
  <c r="H260" i="9"/>
  <c r="H261" i="9"/>
  <c r="H2" i="9"/>
  <c r="H3" i="9"/>
  <c r="H4" i="9"/>
  <c r="H5" i="9"/>
  <c r="H6" i="9"/>
  <c r="H7" i="9"/>
  <c r="H8" i="9"/>
  <c r="H9" i="9"/>
  <c r="H24" i="9"/>
  <c r="H25" i="9"/>
  <c r="H26" i="9"/>
  <c r="H32" i="9"/>
  <c r="H37" i="9"/>
  <c r="H38" i="9"/>
  <c r="H39" i="9"/>
  <c r="H45" i="9"/>
  <c r="H47" i="9"/>
  <c r="H48" i="9"/>
  <c r="H49" i="9"/>
  <c r="H50" i="9"/>
  <c r="H51" i="9"/>
  <c r="H52" i="9"/>
  <c r="H53" i="9"/>
  <c r="H54" i="9"/>
  <c r="H55" i="9"/>
  <c r="H66" i="9"/>
  <c r="H67" i="9"/>
  <c r="H68" i="9"/>
  <c r="H75" i="9"/>
  <c r="H76" i="9"/>
  <c r="H77" i="9"/>
  <c r="H78" i="9"/>
  <c r="H79" i="9"/>
  <c r="H89" i="9"/>
  <c r="H90" i="9"/>
  <c r="H91" i="9"/>
  <c r="H102" i="9"/>
  <c r="H103" i="9"/>
  <c r="H104" i="9"/>
  <c r="H105" i="9"/>
  <c r="H106" i="9"/>
  <c r="H107" i="9"/>
  <c r="H109" i="9"/>
  <c r="H119" i="9"/>
  <c r="H139" i="9"/>
  <c r="H145" i="9"/>
  <c r="H159" i="9"/>
  <c r="H160" i="9"/>
  <c r="H161" i="9"/>
  <c r="H162" i="9"/>
  <c r="H163" i="9"/>
  <c r="H164" i="9"/>
  <c r="H165" i="9"/>
  <c r="H168" i="9"/>
  <c r="H169" i="9"/>
  <c r="H170" i="9"/>
  <c r="H171" i="9"/>
  <c r="H172" i="9"/>
  <c r="H174" i="9"/>
  <c r="H175" i="9"/>
  <c r="H176" i="9"/>
  <c r="H183" i="9"/>
  <c r="H184" i="9"/>
  <c r="H186" i="9"/>
  <c r="H191" i="9"/>
  <c r="H194" i="9"/>
  <c r="H199" i="9"/>
  <c r="H200" i="9"/>
  <c r="H201" i="9"/>
  <c r="H203" i="9"/>
  <c r="H207" i="9"/>
  <c r="H208" i="9"/>
  <c r="H210" i="9"/>
  <c r="H185" i="9"/>
  <c r="H216" i="9"/>
  <c r="H221" i="9"/>
  <c r="H222" i="9"/>
  <c r="H224" i="9"/>
  <c r="H225" i="9"/>
  <c r="H226" i="9"/>
  <c r="H227" i="9"/>
  <c r="H229" i="9"/>
  <c r="H235" i="9"/>
  <c r="H236" i="9"/>
  <c r="H238" i="9"/>
  <c r="H243" i="9"/>
  <c r="H244" i="9"/>
  <c r="H245" i="9"/>
  <c r="H246" i="9"/>
  <c r="H249" i="9"/>
  <c r="H257" i="9"/>
  <c r="H258" i="9"/>
  <c r="H259" i="9"/>
  <c r="H268" i="9"/>
  <c r="H270" i="9"/>
  <c r="H271" i="9"/>
  <c r="H272" i="9"/>
  <c r="H273" i="9"/>
  <c r="H274" i="9"/>
  <c r="H275" i="9"/>
  <c r="H276" i="9"/>
  <c r="H277" i="9"/>
  <c r="H280" i="9"/>
  <c r="H281" i="9"/>
  <c r="H282" i="9"/>
  <c r="H283" i="9"/>
  <c r="H284" i="9"/>
  <c r="H285" i="9"/>
  <c r="H286" i="9"/>
  <c r="H287" i="9"/>
  <c r="H288" i="9"/>
  <c r="H12" i="9"/>
  <c r="H13" i="9"/>
  <c r="H14" i="9"/>
  <c r="H22" i="9"/>
  <c r="H27" i="9"/>
  <c r="H28" i="9"/>
  <c r="H11" i="9"/>
  <c r="D12" i="9" l="1"/>
  <c r="F12" i="9" s="1"/>
  <c r="E12" i="9"/>
  <c r="G12" i="9" s="1"/>
  <c r="D13" i="9"/>
  <c r="F13" i="9" s="1"/>
  <c r="E13" i="9"/>
  <c r="G13" i="9" s="1"/>
  <c r="D14" i="9"/>
  <c r="F14" i="9" s="1"/>
  <c r="E14" i="9"/>
  <c r="G14" i="9" s="1"/>
  <c r="D22" i="9"/>
  <c r="F22" i="9" s="1"/>
  <c r="E22" i="9"/>
  <c r="G22" i="9" s="1"/>
  <c r="F27" i="9"/>
  <c r="E27" i="9"/>
  <c r="G27" i="9" s="1"/>
  <c r="F28" i="9"/>
  <c r="E28" i="9"/>
  <c r="G28" i="9" s="1"/>
  <c r="F29" i="9"/>
  <c r="E29" i="9"/>
  <c r="G29" i="9" s="1"/>
  <c r="D30" i="9"/>
  <c r="F30" i="9" s="1"/>
  <c r="E30" i="9"/>
  <c r="G30" i="9" s="1"/>
  <c r="D69" i="9"/>
  <c r="F69" i="9" s="1"/>
  <c r="E69" i="9"/>
  <c r="G69" i="9" s="1"/>
  <c r="D70" i="9"/>
  <c r="F70" i="9" s="1"/>
  <c r="E70" i="9"/>
  <c r="G70" i="9" s="1"/>
  <c r="D71" i="9"/>
  <c r="F71" i="9" s="1"/>
  <c r="E71" i="9"/>
  <c r="G71" i="9" s="1"/>
  <c r="D72" i="9"/>
  <c r="F72" i="9" s="1"/>
  <c r="E72" i="9"/>
  <c r="G72" i="9" s="1"/>
  <c r="D73" i="9"/>
  <c r="F73" i="9" s="1"/>
  <c r="E73" i="9"/>
  <c r="G73" i="9" s="1"/>
  <c r="D74" i="9"/>
  <c r="F74" i="9" s="1"/>
  <c r="E74" i="9"/>
  <c r="G74" i="9" s="1"/>
  <c r="D80" i="9"/>
  <c r="F80" i="9" s="1"/>
  <c r="E80" i="9"/>
  <c r="G80" i="9" s="1"/>
  <c r="D85" i="9"/>
  <c r="F85" i="9" s="1"/>
  <c r="E85" i="9"/>
  <c r="G85" i="9" s="1"/>
  <c r="D86" i="9"/>
  <c r="F86" i="9" s="1"/>
  <c r="E86" i="9"/>
  <c r="G86" i="9" s="1"/>
  <c r="D87" i="9"/>
  <c r="F87" i="9" s="1"/>
  <c r="E87" i="9"/>
  <c r="G87" i="9" s="1"/>
  <c r="D88" i="9"/>
  <c r="F88" i="9" s="1"/>
  <c r="E88" i="9"/>
  <c r="G88" i="9" s="1"/>
  <c r="F92" i="9"/>
  <c r="G92" i="9"/>
  <c r="F93" i="9"/>
  <c r="G93" i="9"/>
  <c r="F94" i="9"/>
  <c r="G94" i="9"/>
  <c r="D125" i="9"/>
  <c r="F125" i="9" s="1"/>
  <c r="E125" i="9"/>
  <c r="G125" i="9" s="1"/>
  <c r="D126" i="9"/>
  <c r="F126" i="9" s="1"/>
  <c r="E126" i="9"/>
  <c r="G126" i="9" s="1"/>
  <c r="D130" i="9"/>
  <c r="F130" i="9" s="1"/>
  <c r="E130" i="9"/>
  <c r="G130" i="9" s="1"/>
  <c r="D131" i="9"/>
  <c r="F131" i="9" s="1"/>
  <c r="E131" i="9"/>
  <c r="G131" i="9" s="1"/>
  <c r="D132" i="9"/>
  <c r="F132" i="9" s="1"/>
  <c r="E132" i="9"/>
  <c r="G132" i="9" s="1"/>
  <c r="D133" i="9"/>
  <c r="F133" i="9" s="1"/>
  <c r="E133" i="9"/>
  <c r="G133" i="9" s="1"/>
  <c r="D134" i="9"/>
  <c r="F134" i="9" s="1"/>
  <c r="E134" i="9"/>
  <c r="G134" i="9" s="1"/>
  <c r="D135" i="9"/>
  <c r="F135" i="9" s="1"/>
  <c r="E135" i="9"/>
  <c r="G135" i="9" s="1"/>
  <c r="D156" i="9"/>
  <c r="F156" i="9" s="1"/>
  <c r="E156" i="9"/>
  <c r="G156" i="9" s="1"/>
  <c r="D157" i="9"/>
  <c r="F157" i="9" s="1"/>
  <c r="E157" i="9"/>
  <c r="G157" i="9" s="1"/>
  <c r="D166" i="9"/>
  <c r="F166" i="9" s="1"/>
  <c r="E166" i="9"/>
  <c r="G166" i="9" s="1"/>
  <c r="D167" i="9"/>
  <c r="F167" i="9" s="1"/>
  <c r="E167" i="9"/>
  <c r="G167" i="9" s="1"/>
  <c r="D173" i="9"/>
  <c r="F173" i="9" s="1"/>
  <c r="E173" i="9"/>
  <c r="G173" i="9" s="1"/>
  <c r="D178" i="9"/>
  <c r="F178" i="9" s="1"/>
  <c r="E178" i="9"/>
  <c r="G178" i="9" s="1"/>
  <c r="D179" i="9"/>
  <c r="F179" i="9" s="1"/>
  <c r="E179" i="9"/>
  <c r="G179" i="9" s="1"/>
  <c r="D180" i="9"/>
  <c r="F180" i="9" s="1"/>
  <c r="E180" i="9"/>
  <c r="G180" i="9" s="1"/>
  <c r="D181" i="9"/>
  <c r="F181" i="9" s="1"/>
  <c r="E181" i="9"/>
  <c r="G181" i="9" s="1"/>
  <c r="D182" i="9"/>
  <c r="F182" i="9" s="1"/>
  <c r="E182" i="9"/>
  <c r="G182" i="9" s="1"/>
  <c r="D187" i="9"/>
  <c r="F187" i="9" s="1"/>
  <c r="E187" i="9"/>
  <c r="G187" i="9" s="1"/>
  <c r="D188" i="9"/>
  <c r="F188" i="9" s="1"/>
  <c r="E188" i="9"/>
  <c r="G188" i="9" s="1"/>
  <c r="D192" i="9"/>
  <c r="F192" i="9" s="1"/>
  <c r="E192" i="9"/>
  <c r="G192" i="9" s="1"/>
  <c r="D193" i="9"/>
  <c r="F193" i="9" s="1"/>
  <c r="E193" i="9"/>
  <c r="G193" i="9" s="1"/>
  <c r="D197" i="9"/>
  <c r="F197" i="9" s="1"/>
  <c r="E197" i="9"/>
  <c r="G197" i="9" s="1"/>
  <c r="D198" i="9"/>
  <c r="F198" i="9" s="1"/>
  <c r="E198" i="9"/>
  <c r="G198" i="9" s="1"/>
  <c r="D204" i="9"/>
  <c r="F204" i="9" s="1"/>
  <c r="E204" i="9"/>
  <c r="G204" i="9" s="1"/>
  <c r="D205" i="9"/>
  <c r="F205" i="9" s="1"/>
  <c r="E205" i="9"/>
  <c r="G205" i="9" s="1"/>
  <c r="D206" i="9"/>
  <c r="F206" i="9" s="1"/>
  <c r="E206" i="9"/>
  <c r="G206" i="9" s="1"/>
  <c r="D209" i="9"/>
  <c r="F209" i="9" s="1"/>
  <c r="E209" i="9"/>
  <c r="G209" i="9" s="1"/>
  <c r="D213" i="9"/>
  <c r="F213" i="9" s="1"/>
  <c r="E213" i="9"/>
  <c r="G213" i="9" s="1"/>
  <c r="D217" i="9"/>
  <c r="F217" i="9" s="1"/>
  <c r="E217" i="9"/>
  <c r="G217" i="9" s="1"/>
  <c r="D218" i="9"/>
  <c r="F218" i="9" s="1"/>
  <c r="E218" i="9"/>
  <c r="G218" i="9" s="1"/>
  <c r="D219" i="9"/>
  <c r="F219" i="9" s="1"/>
  <c r="E219" i="9"/>
  <c r="G219" i="9" s="1"/>
  <c r="D220" i="9"/>
  <c r="F220" i="9" s="1"/>
  <c r="E220" i="9"/>
  <c r="G220" i="9" s="1"/>
  <c r="D228" i="9"/>
  <c r="F228" i="9" s="1"/>
  <c r="E228" i="9"/>
  <c r="G228" i="9" s="1"/>
  <c r="D233" i="9"/>
  <c r="F233" i="9" s="1"/>
  <c r="E233" i="9"/>
  <c r="G233" i="9" s="1"/>
  <c r="D234" i="9"/>
  <c r="F234" i="9" s="1"/>
  <c r="E234" i="9"/>
  <c r="G234" i="9" s="1"/>
  <c r="D237" i="9"/>
  <c r="F237" i="9" s="1"/>
  <c r="E237" i="9"/>
  <c r="G237" i="9" s="1"/>
  <c r="D248" i="9"/>
  <c r="F248" i="9" s="1"/>
  <c r="E248" i="9"/>
  <c r="G248" i="9" s="1"/>
  <c r="D250" i="9"/>
  <c r="F250" i="9" s="1"/>
  <c r="E250" i="9"/>
  <c r="G250" i="9" s="1"/>
  <c r="F251" i="9"/>
  <c r="G251" i="9"/>
  <c r="F252" i="9"/>
  <c r="G252" i="9"/>
  <c r="F253" i="9"/>
  <c r="G253" i="9"/>
  <c r="F254" i="9"/>
  <c r="G254" i="9"/>
  <c r="D265" i="9"/>
  <c r="F265" i="9" s="1"/>
  <c r="E265" i="9"/>
  <c r="G265" i="9" s="1"/>
  <c r="D266" i="9"/>
  <c r="F266" i="9" s="1"/>
  <c r="E266" i="9"/>
  <c r="G266" i="9" s="1"/>
  <c r="D269" i="9"/>
  <c r="F269" i="9" s="1"/>
  <c r="E269" i="9"/>
  <c r="G269" i="9" s="1"/>
  <c r="D278" i="9"/>
  <c r="F278" i="9" s="1"/>
  <c r="E278" i="9"/>
  <c r="G278" i="9" s="1"/>
  <c r="D279" i="9"/>
  <c r="F279" i="9" s="1"/>
  <c r="E279" i="9"/>
  <c r="G279" i="9" s="1"/>
  <c r="D15" i="9"/>
  <c r="F15" i="9" s="1"/>
  <c r="E15" i="9"/>
  <c r="G15" i="9" s="1"/>
  <c r="D16" i="9"/>
  <c r="F16" i="9" s="1"/>
  <c r="E16" i="9"/>
  <c r="G16" i="9" s="1"/>
  <c r="D17" i="9"/>
  <c r="F17" i="9" s="1"/>
  <c r="E17" i="9"/>
  <c r="G17" i="9" s="1"/>
  <c r="D18" i="9"/>
  <c r="F18" i="9" s="1"/>
  <c r="E18" i="9"/>
  <c r="G18" i="9" s="1"/>
  <c r="D19" i="9"/>
  <c r="F19" i="9" s="1"/>
  <c r="E19" i="9"/>
  <c r="G19" i="9" s="1"/>
  <c r="D20" i="9"/>
  <c r="F20" i="9" s="1"/>
  <c r="E20" i="9"/>
  <c r="G20" i="9" s="1"/>
  <c r="D21" i="9"/>
  <c r="F21" i="9" s="1"/>
  <c r="E21" i="9"/>
  <c r="G21" i="9" s="1"/>
  <c r="D34" i="9"/>
  <c r="F34" i="9" s="1"/>
  <c r="E34" i="9"/>
  <c r="G34" i="9" s="1"/>
  <c r="D35" i="9"/>
  <c r="F35" i="9" s="1"/>
  <c r="E35" i="9"/>
  <c r="G35" i="9" s="1"/>
  <c r="D36" i="9"/>
  <c r="F36" i="9" s="1"/>
  <c r="E36" i="9"/>
  <c r="G36" i="9" s="1"/>
  <c r="D59" i="9"/>
  <c r="F59" i="9" s="1"/>
  <c r="E59" i="9"/>
  <c r="G59" i="9" s="1"/>
  <c r="D58" i="9"/>
  <c r="F58" i="9" s="1"/>
  <c r="E58" i="9"/>
  <c r="G58" i="9" s="1"/>
  <c r="D46" i="9"/>
  <c r="F46" i="9" s="1"/>
  <c r="E46" i="9"/>
  <c r="G46" i="9" s="1"/>
  <c r="D110" i="9"/>
  <c r="F110" i="9" s="1"/>
  <c r="E110" i="9"/>
  <c r="G110" i="9" s="1"/>
  <c r="F111" i="9"/>
  <c r="G111" i="9"/>
  <c r="F112" i="9"/>
  <c r="G112" i="9"/>
  <c r="F113" i="9"/>
  <c r="G113" i="9"/>
  <c r="F114" i="9"/>
  <c r="G114" i="9"/>
  <c r="F115" i="9"/>
  <c r="G115" i="9"/>
  <c r="F116" i="9"/>
  <c r="G116" i="9"/>
  <c r="D117" i="9"/>
  <c r="F117" i="9" s="1"/>
  <c r="E117" i="9"/>
  <c r="G117" i="9" s="1"/>
  <c r="D118" i="9"/>
  <c r="F118" i="9" s="1"/>
  <c r="E118" i="9"/>
  <c r="G118" i="9" s="1"/>
  <c r="F122" i="9"/>
  <c r="G122" i="9"/>
  <c r="F123" i="9"/>
  <c r="G123" i="9"/>
  <c r="D124" i="9"/>
  <c r="F124" i="9" s="1"/>
  <c r="E124" i="9"/>
  <c r="G124" i="9" s="1"/>
  <c r="D127" i="9"/>
  <c r="F127" i="9" s="1"/>
  <c r="E127" i="9"/>
  <c r="G127" i="9" s="1"/>
  <c r="D137" i="9"/>
  <c r="F137" i="9" s="1"/>
  <c r="E137" i="9"/>
  <c r="G137" i="9" s="1"/>
  <c r="F138" i="9"/>
  <c r="G138" i="9"/>
  <c r="D189" i="9"/>
  <c r="F189" i="9" s="1"/>
  <c r="E189" i="9"/>
  <c r="G189" i="9" s="1"/>
  <c r="F190" i="9"/>
  <c r="G190" i="9"/>
  <c r="D202" i="9"/>
  <c r="F202" i="9" s="1"/>
  <c r="E202" i="9"/>
  <c r="G202" i="9" s="1"/>
  <c r="D223" i="9"/>
  <c r="F223" i="9" s="1"/>
  <c r="E223" i="9"/>
  <c r="G223" i="9" s="1"/>
  <c r="F239" i="9"/>
  <c r="E239" i="9"/>
  <c r="G239" i="9" s="1"/>
  <c r="F240" i="9"/>
  <c r="E240" i="9"/>
  <c r="G240" i="9" s="1"/>
  <c r="F241" i="9"/>
  <c r="E241" i="9"/>
  <c r="G241" i="9" s="1"/>
  <c r="F242" i="9"/>
  <c r="E242" i="9"/>
  <c r="G242" i="9" s="1"/>
  <c r="D247" i="9"/>
  <c r="F247" i="9" s="1"/>
  <c r="E247" i="9"/>
  <c r="G247" i="9" s="1"/>
  <c r="D256" i="9"/>
  <c r="F256" i="9" s="1"/>
  <c r="E256" i="9"/>
  <c r="G256" i="9" s="1"/>
  <c r="D263" i="9"/>
  <c r="F263" i="9" s="1"/>
  <c r="E263" i="9"/>
  <c r="G263" i="9" s="1"/>
  <c r="D264" i="9"/>
  <c r="F264" i="9" s="1"/>
  <c r="E264" i="9"/>
  <c r="G264" i="9" s="1"/>
  <c r="D10" i="9"/>
  <c r="F10" i="9" s="1"/>
  <c r="E10" i="9"/>
  <c r="G10" i="9" s="1"/>
  <c r="D31" i="9"/>
  <c r="F31" i="9" s="1"/>
  <c r="E31" i="9"/>
  <c r="G31" i="9" s="1"/>
  <c r="D140" i="9"/>
  <c r="F140" i="9" s="1"/>
  <c r="G140" i="9"/>
  <c r="D177" i="9"/>
  <c r="F177" i="9" s="1"/>
  <c r="E177" i="9"/>
  <c r="G177" i="9" s="1"/>
  <c r="D23" i="9"/>
  <c r="F23" i="9" s="1"/>
  <c r="E23" i="9"/>
  <c r="G23" i="9" s="1"/>
  <c r="F41" i="9"/>
  <c r="G41" i="9"/>
  <c r="F42" i="9"/>
  <c r="G42" i="9"/>
  <c r="D43" i="9"/>
  <c r="F43" i="9" s="1"/>
  <c r="E43" i="9"/>
  <c r="G43" i="9" s="1"/>
  <c r="F44" i="9"/>
  <c r="G44" i="9"/>
  <c r="D56" i="9"/>
  <c r="F56" i="9" s="1"/>
  <c r="E56" i="9"/>
  <c r="G56" i="9" s="1"/>
  <c r="D57" i="9"/>
  <c r="F57" i="9" s="1"/>
  <c r="E57" i="9"/>
  <c r="G57" i="9" s="1"/>
  <c r="D61" i="9"/>
  <c r="F61" i="9" s="1"/>
  <c r="E61" i="9"/>
  <c r="G61" i="9" s="1"/>
  <c r="D62" i="9"/>
  <c r="F62" i="9" s="1"/>
  <c r="E62" i="9"/>
  <c r="G62" i="9" s="1"/>
  <c r="D63" i="9"/>
  <c r="F63" i="9" s="1"/>
  <c r="E63" i="9"/>
  <c r="G63" i="9" s="1"/>
  <c r="D64" i="9"/>
  <c r="F64" i="9" s="1"/>
  <c r="G64" i="9"/>
  <c r="D65" i="9"/>
  <c r="F65" i="9" s="1"/>
  <c r="G65" i="9"/>
  <c r="D81" i="9"/>
  <c r="F81" i="9" s="1"/>
  <c r="E81" i="9"/>
  <c r="G81" i="9" s="1"/>
  <c r="D82" i="9"/>
  <c r="F82" i="9" s="1"/>
  <c r="E82" i="9"/>
  <c r="G82" i="9" s="1"/>
  <c r="D83" i="9"/>
  <c r="F83" i="9" s="1"/>
  <c r="E83" i="9"/>
  <c r="G83" i="9" s="1"/>
  <c r="D128" i="9"/>
  <c r="F128" i="9" s="1"/>
  <c r="E128" i="9"/>
  <c r="G128" i="9" s="1"/>
  <c r="D129" i="9"/>
  <c r="F129" i="9" s="1"/>
  <c r="E129" i="9"/>
  <c r="G129" i="9" s="1"/>
  <c r="D196" i="9"/>
  <c r="F196" i="9" s="1"/>
  <c r="E196" i="9"/>
  <c r="G196" i="9" s="1"/>
  <c r="D255" i="9"/>
  <c r="F255" i="9" s="1"/>
  <c r="E255" i="9"/>
  <c r="G255" i="9" s="1"/>
  <c r="D267" i="9"/>
  <c r="F267" i="9" s="1"/>
  <c r="E267" i="9"/>
  <c r="G267" i="9" s="1"/>
  <c r="D60" i="9"/>
  <c r="F60" i="9" s="1"/>
  <c r="E60" i="9"/>
  <c r="G60" i="9" s="1"/>
  <c r="D33" i="9"/>
  <c r="F33" i="9" s="1"/>
  <c r="E33" i="9"/>
  <c r="G33" i="9" s="1"/>
  <c r="D40" i="9"/>
  <c r="F40" i="9" s="1"/>
  <c r="E40" i="9"/>
  <c r="G40" i="9" s="1"/>
  <c r="D84" i="9"/>
  <c r="F84" i="9" s="1"/>
  <c r="E84" i="9"/>
  <c r="G84" i="9" s="1"/>
  <c r="D95" i="9"/>
  <c r="F95" i="9" s="1"/>
  <c r="E95" i="9"/>
  <c r="G95" i="9" s="1"/>
  <c r="D96" i="9"/>
  <c r="F96" i="9" s="1"/>
  <c r="E96" i="9"/>
  <c r="G96" i="9" s="1"/>
  <c r="D97" i="9"/>
  <c r="F97" i="9" s="1"/>
  <c r="E97" i="9"/>
  <c r="G97" i="9" s="1"/>
  <c r="F98" i="9"/>
  <c r="G98" i="9"/>
  <c r="F99" i="9"/>
  <c r="G99" i="9"/>
  <c r="D100" i="9"/>
  <c r="F100" i="9" s="1"/>
  <c r="E100" i="9"/>
  <c r="G100" i="9" s="1"/>
  <c r="D101" i="9"/>
  <c r="F101" i="9" s="1"/>
  <c r="E101" i="9"/>
  <c r="G101" i="9" s="1"/>
  <c r="D108" i="9"/>
  <c r="F108" i="9" s="1"/>
  <c r="E108" i="9"/>
  <c r="G108" i="9" s="1"/>
  <c r="D120" i="9"/>
  <c r="F120" i="9" s="1"/>
  <c r="E120" i="9"/>
  <c r="G120" i="9" s="1"/>
  <c r="D121" i="9"/>
  <c r="F121" i="9" s="1"/>
  <c r="E121" i="9"/>
  <c r="G121" i="9" s="1"/>
  <c r="D136" i="9"/>
  <c r="F136" i="9" s="1"/>
  <c r="E136" i="9"/>
  <c r="G136" i="9" s="1"/>
  <c r="D141" i="9"/>
  <c r="F141" i="9" s="1"/>
  <c r="G141" i="9"/>
  <c r="D142" i="9"/>
  <c r="F142" i="9" s="1"/>
  <c r="G142" i="9"/>
  <c r="D143" i="9"/>
  <c r="F143" i="9" s="1"/>
  <c r="E143" i="9"/>
  <c r="G143" i="9" s="1"/>
  <c r="D144" i="9"/>
  <c r="F144" i="9" s="1"/>
  <c r="G144" i="9"/>
  <c r="D146" i="9"/>
  <c r="F146" i="9" s="1"/>
  <c r="E146" i="9"/>
  <c r="G146" i="9" s="1"/>
  <c r="D147" i="9"/>
  <c r="F147" i="9" s="1"/>
  <c r="G147" i="9"/>
  <c r="D148" i="9"/>
  <c r="F148" i="9" s="1"/>
  <c r="G148" i="9"/>
  <c r="D149" i="9"/>
  <c r="F149" i="9" s="1"/>
  <c r="G149" i="9"/>
  <c r="D150" i="9"/>
  <c r="F150" i="9" s="1"/>
  <c r="G150" i="9"/>
  <c r="D151" i="9"/>
  <c r="F151" i="9" s="1"/>
  <c r="G151" i="9"/>
  <c r="D152" i="9"/>
  <c r="F152" i="9" s="1"/>
  <c r="G152" i="9"/>
  <c r="D153" i="9"/>
  <c r="F153" i="9" s="1"/>
  <c r="G153" i="9"/>
  <c r="D154" i="9"/>
  <c r="F154" i="9" s="1"/>
  <c r="G154" i="9"/>
  <c r="D155" i="9"/>
  <c r="F155" i="9" s="1"/>
  <c r="E155" i="9"/>
  <c r="G155" i="9" s="1"/>
  <c r="D158" i="9"/>
  <c r="F158" i="9" s="1"/>
  <c r="E158" i="9"/>
  <c r="G158" i="9" s="1"/>
  <c r="D195" i="9"/>
  <c r="F195" i="9" s="1"/>
  <c r="E195" i="9"/>
  <c r="G195" i="9" s="1"/>
  <c r="D211" i="9"/>
  <c r="F211" i="9" s="1"/>
  <c r="E211" i="9"/>
  <c r="G211" i="9" s="1"/>
  <c r="F212" i="9"/>
  <c r="G212" i="9"/>
  <c r="D214" i="9"/>
  <c r="F214" i="9" s="1"/>
  <c r="E214" i="9"/>
  <c r="G214" i="9" s="1"/>
  <c r="D215" i="9"/>
  <c r="F215" i="9" s="1"/>
  <c r="E215" i="9"/>
  <c r="G215" i="9" s="1"/>
  <c r="D230" i="9"/>
  <c r="F230" i="9" s="1"/>
  <c r="E230" i="9"/>
  <c r="G230" i="9" s="1"/>
  <c r="D231" i="9"/>
  <c r="F231" i="9" s="1"/>
  <c r="E231" i="9"/>
  <c r="G231" i="9" s="1"/>
  <c r="D232" i="9"/>
  <c r="F232" i="9" s="1"/>
  <c r="E232" i="9"/>
  <c r="G232" i="9" s="1"/>
  <c r="D260" i="9"/>
  <c r="F260" i="9" s="1"/>
  <c r="E260" i="9"/>
  <c r="G260" i="9" s="1"/>
  <c r="D261" i="9"/>
  <c r="F261" i="9" s="1"/>
  <c r="E261" i="9"/>
  <c r="G261" i="9" s="1"/>
  <c r="D2" i="9"/>
  <c r="F2" i="9" s="1"/>
  <c r="E2" i="9"/>
  <c r="G2" i="9" s="1"/>
  <c r="D3" i="9"/>
  <c r="F3" i="9" s="1"/>
  <c r="E3" i="9"/>
  <c r="G3" i="9" s="1"/>
  <c r="D4" i="9"/>
  <c r="F4" i="9" s="1"/>
  <c r="E4" i="9"/>
  <c r="G4" i="9" s="1"/>
  <c r="D5" i="9"/>
  <c r="F5" i="9" s="1"/>
  <c r="E5" i="9"/>
  <c r="G5" i="9" s="1"/>
  <c r="D6" i="9"/>
  <c r="F6" i="9" s="1"/>
  <c r="E6" i="9"/>
  <c r="G6" i="9" s="1"/>
  <c r="D7" i="9"/>
  <c r="F7" i="9" s="1"/>
  <c r="E7" i="9"/>
  <c r="G7" i="9" s="1"/>
  <c r="D8" i="9"/>
  <c r="F8" i="9" s="1"/>
  <c r="E8" i="9"/>
  <c r="G8" i="9" s="1"/>
  <c r="D9" i="9"/>
  <c r="F9" i="9" s="1"/>
  <c r="E9" i="9"/>
  <c r="G9" i="9" s="1"/>
  <c r="D24" i="9"/>
  <c r="F24" i="9" s="1"/>
  <c r="E24" i="9"/>
  <c r="G24" i="9" s="1"/>
  <c r="D25" i="9"/>
  <c r="F25" i="9" s="1"/>
  <c r="E25" i="9"/>
  <c r="G25" i="9" s="1"/>
  <c r="D26" i="9"/>
  <c r="F26" i="9" s="1"/>
  <c r="E26" i="9"/>
  <c r="G26" i="9" s="1"/>
  <c r="D32" i="9"/>
  <c r="F32" i="9" s="1"/>
  <c r="E32" i="9"/>
  <c r="G32" i="9" s="1"/>
  <c r="D37" i="9"/>
  <c r="F37" i="9" s="1"/>
  <c r="E37" i="9"/>
  <c r="G37" i="9" s="1"/>
  <c r="D38" i="9"/>
  <c r="F38" i="9" s="1"/>
  <c r="E38" i="9"/>
  <c r="G38" i="9" s="1"/>
  <c r="D39" i="9"/>
  <c r="F39" i="9" s="1"/>
  <c r="E39" i="9"/>
  <c r="G39" i="9" s="1"/>
  <c r="D45" i="9"/>
  <c r="F45" i="9" s="1"/>
  <c r="E45" i="9"/>
  <c r="G45" i="9" s="1"/>
  <c r="D47" i="9"/>
  <c r="F47" i="9" s="1"/>
  <c r="E47" i="9"/>
  <c r="G47" i="9" s="1"/>
  <c r="D48" i="9"/>
  <c r="F48" i="9" s="1"/>
  <c r="E48" i="9"/>
  <c r="G48" i="9" s="1"/>
  <c r="D49" i="9"/>
  <c r="F49" i="9" s="1"/>
  <c r="E49" i="9"/>
  <c r="G49" i="9" s="1"/>
  <c r="D50" i="9"/>
  <c r="F50" i="9" s="1"/>
  <c r="E50" i="9"/>
  <c r="G50" i="9" s="1"/>
  <c r="D51" i="9"/>
  <c r="F51" i="9" s="1"/>
  <c r="E51" i="9"/>
  <c r="G51" i="9" s="1"/>
  <c r="D52" i="9"/>
  <c r="F52" i="9" s="1"/>
  <c r="E52" i="9"/>
  <c r="G52" i="9" s="1"/>
  <c r="D53" i="9"/>
  <c r="F53" i="9" s="1"/>
  <c r="E53" i="9"/>
  <c r="G53" i="9" s="1"/>
  <c r="D54" i="9"/>
  <c r="F54" i="9" s="1"/>
  <c r="E54" i="9"/>
  <c r="G54" i="9" s="1"/>
  <c r="D55" i="9"/>
  <c r="F55" i="9" s="1"/>
  <c r="E55" i="9"/>
  <c r="G55" i="9" s="1"/>
  <c r="D66" i="9"/>
  <c r="F66" i="9" s="1"/>
  <c r="E66" i="9"/>
  <c r="G66" i="9" s="1"/>
  <c r="D67" i="9"/>
  <c r="F67" i="9" s="1"/>
  <c r="E67" i="9"/>
  <c r="G67" i="9" s="1"/>
  <c r="D68" i="9"/>
  <c r="F68" i="9" s="1"/>
  <c r="E68" i="9"/>
  <c r="G68" i="9" s="1"/>
  <c r="D75" i="9"/>
  <c r="F75" i="9" s="1"/>
  <c r="E75" i="9"/>
  <c r="G75" i="9" s="1"/>
  <c r="D76" i="9"/>
  <c r="F76" i="9" s="1"/>
  <c r="E76" i="9"/>
  <c r="G76" i="9" s="1"/>
  <c r="D77" i="9"/>
  <c r="F77" i="9" s="1"/>
  <c r="E77" i="9"/>
  <c r="G77" i="9" s="1"/>
  <c r="D78" i="9"/>
  <c r="F78" i="9" s="1"/>
  <c r="E78" i="9"/>
  <c r="G78" i="9" s="1"/>
  <c r="D79" i="9"/>
  <c r="F79" i="9" s="1"/>
  <c r="E79" i="9"/>
  <c r="G79" i="9" s="1"/>
  <c r="D89" i="9"/>
  <c r="F89" i="9" s="1"/>
  <c r="E89" i="9"/>
  <c r="G89" i="9" s="1"/>
  <c r="D90" i="9"/>
  <c r="F90" i="9" s="1"/>
  <c r="E90" i="9"/>
  <c r="G90" i="9" s="1"/>
  <c r="D91" i="9"/>
  <c r="F91" i="9" s="1"/>
  <c r="E91" i="9"/>
  <c r="G91" i="9" s="1"/>
  <c r="D102" i="9"/>
  <c r="F102" i="9" s="1"/>
  <c r="E102" i="9"/>
  <c r="G102" i="9" s="1"/>
  <c r="D103" i="9"/>
  <c r="F103" i="9" s="1"/>
  <c r="E103" i="9"/>
  <c r="G103" i="9" s="1"/>
  <c r="D104" i="9"/>
  <c r="F104" i="9" s="1"/>
  <c r="E104" i="9"/>
  <c r="G104" i="9" s="1"/>
  <c r="D105" i="9"/>
  <c r="F105" i="9" s="1"/>
  <c r="E105" i="9"/>
  <c r="G105" i="9" s="1"/>
  <c r="D106" i="9"/>
  <c r="F106" i="9" s="1"/>
  <c r="E106" i="9"/>
  <c r="G106" i="9" s="1"/>
  <c r="D107" i="9"/>
  <c r="F107" i="9" s="1"/>
  <c r="E107" i="9"/>
  <c r="G107" i="9" s="1"/>
  <c r="D109" i="9"/>
  <c r="F109" i="9" s="1"/>
  <c r="E109" i="9"/>
  <c r="G109" i="9" s="1"/>
  <c r="D119" i="9"/>
  <c r="F119" i="9" s="1"/>
  <c r="E119" i="9"/>
  <c r="G119" i="9" s="1"/>
  <c r="D139" i="9"/>
  <c r="F139" i="9" s="1"/>
  <c r="E139" i="9"/>
  <c r="G139" i="9" s="1"/>
  <c r="D145" i="9"/>
  <c r="F145" i="9" s="1"/>
  <c r="E145" i="9"/>
  <c r="G145" i="9" s="1"/>
  <c r="D159" i="9"/>
  <c r="F159" i="9" s="1"/>
  <c r="E159" i="9"/>
  <c r="G159" i="9" s="1"/>
  <c r="D160" i="9"/>
  <c r="F160" i="9" s="1"/>
  <c r="E160" i="9"/>
  <c r="G160" i="9" s="1"/>
  <c r="D161" i="9"/>
  <c r="F161" i="9" s="1"/>
  <c r="E161" i="9"/>
  <c r="G161" i="9" s="1"/>
  <c r="D162" i="9"/>
  <c r="F162" i="9" s="1"/>
  <c r="E162" i="9"/>
  <c r="G162" i="9" s="1"/>
  <c r="D163" i="9"/>
  <c r="F163" i="9" s="1"/>
  <c r="E163" i="9"/>
  <c r="G163" i="9" s="1"/>
  <c r="D164" i="9"/>
  <c r="F164" i="9" s="1"/>
  <c r="E164" i="9"/>
  <c r="G164" i="9" s="1"/>
  <c r="D165" i="9"/>
  <c r="F165" i="9" s="1"/>
  <c r="E165" i="9"/>
  <c r="G165" i="9" s="1"/>
  <c r="D168" i="9"/>
  <c r="F168" i="9" s="1"/>
  <c r="E168" i="9"/>
  <c r="G168" i="9" s="1"/>
  <c r="D169" i="9"/>
  <c r="F169" i="9" s="1"/>
  <c r="E169" i="9"/>
  <c r="G169" i="9" s="1"/>
  <c r="F170" i="9"/>
  <c r="G170" i="9"/>
  <c r="D171" i="9"/>
  <c r="F171" i="9" s="1"/>
  <c r="E171" i="9"/>
  <c r="G171" i="9" s="1"/>
  <c r="D172" i="9"/>
  <c r="F172" i="9" s="1"/>
  <c r="E172" i="9"/>
  <c r="G172" i="9" s="1"/>
  <c r="D174" i="9"/>
  <c r="F174" i="9" s="1"/>
  <c r="E174" i="9"/>
  <c r="G174" i="9" s="1"/>
  <c r="D175" i="9"/>
  <c r="F175" i="9" s="1"/>
  <c r="E175" i="9"/>
  <c r="G175" i="9" s="1"/>
  <c r="D176" i="9"/>
  <c r="F176" i="9" s="1"/>
  <c r="E176" i="9"/>
  <c r="G176" i="9" s="1"/>
  <c r="D183" i="9"/>
  <c r="F183" i="9" s="1"/>
  <c r="E183" i="9"/>
  <c r="G183" i="9" s="1"/>
  <c r="D184" i="9"/>
  <c r="F184" i="9" s="1"/>
  <c r="E184" i="9"/>
  <c r="G184" i="9" s="1"/>
  <c r="D186" i="9"/>
  <c r="F186" i="9" s="1"/>
  <c r="E186" i="9"/>
  <c r="G186" i="9" s="1"/>
  <c r="D191" i="9"/>
  <c r="F191" i="9" s="1"/>
  <c r="E191" i="9"/>
  <c r="G191" i="9" s="1"/>
  <c r="D194" i="9"/>
  <c r="F194" i="9" s="1"/>
  <c r="E194" i="9"/>
  <c r="G194" i="9" s="1"/>
  <c r="D199" i="9"/>
  <c r="F199" i="9" s="1"/>
  <c r="E199" i="9"/>
  <c r="G199" i="9" s="1"/>
  <c r="D200" i="9"/>
  <c r="F200" i="9" s="1"/>
  <c r="E200" i="9"/>
  <c r="G200" i="9" s="1"/>
  <c r="D201" i="9"/>
  <c r="F201" i="9" s="1"/>
  <c r="E201" i="9"/>
  <c r="G201" i="9" s="1"/>
  <c r="D203" i="9"/>
  <c r="F203" i="9" s="1"/>
  <c r="E203" i="9"/>
  <c r="G203" i="9" s="1"/>
  <c r="D207" i="9"/>
  <c r="F207" i="9" s="1"/>
  <c r="E207" i="9"/>
  <c r="G207" i="9" s="1"/>
  <c r="D208" i="9"/>
  <c r="F208" i="9" s="1"/>
  <c r="E208" i="9"/>
  <c r="G208" i="9" s="1"/>
  <c r="D210" i="9"/>
  <c r="F210" i="9" s="1"/>
  <c r="E210" i="9"/>
  <c r="G210" i="9" s="1"/>
  <c r="D185" i="9"/>
  <c r="F185" i="9" s="1"/>
  <c r="E185" i="9"/>
  <c r="G185" i="9" s="1"/>
  <c r="D216" i="9"/>
  <c r="F216" i="9" s="1"/>
  <c r="E216" i="9"/>
  <c r="G216" i="9" s="1"/>
  <c r="D221" i="9"/>
  <c r="F221" i="9" s="1"/>
  <c r="E221" i="9"/>
  <c r="G221" i="9" s="1"/>
  <c r="D222" i="9"/>
  <c r="F222" i="9" s="1"/>
  <c r="E222" i="9"/>
  <c r="G222" i="9" s="1"/>
  <c r="D224" i="9"/>
  <c r="F224" i="9" s="1"/>
  <c r="E224" i="9"/>
  <c r="G224" i="9" s="1"/>
  <c r="D225" i="9"/>
  <c r="F225" i="9" s="1"/>
  <c r="E225" i="9"/>
  <c r="G225" i="9" s="1"/>
  <c r="D226" i="9"/>
  <c r="F226" i="9" s="1"/>
  <c r="E226" i="9"/>
  <c r="G226" i="9" s="1"/>
  <c r="D227" i="9"/>
  <c r="F227" i="9" s="1"/>
  <c r="E227" i="9"/>
  <c r="G227" i="9" s="1"/>
  <c r="D229" i="9"/>
  <c r="F229" i="9" s="1"/>
  <c r="E229" i="9"/>
  <c r="G229" i="9" s="1"/>
  <c r="D235" i="9"/>
  <c r="F235" i="9" s="1"/>
  <c r="E235" i="9"/>
  <c r="G235" i="9" s="1"/>
  <c r="D236" i="9"/>
  <c r="F236" i="9" s="1"/>
  <c r="E236" i="9"/>
  <c r="G236" i="9" s="1"/>
  <c r="D238" i="9"/>
  <c r="F238" i="9" s="1"/>
  <c r="E238" i="9"/>
  <c r="G238" i="9" s="1"/>
  <c r="D243" i="9"/>
  <c r="F243" i="9" s="1"/>
  <c r="E243" i="9"/>
  <c r="G243" i="9" s="1"/>
  <c r="D244" i="9"/>
  <c r="F244" i="9" s="1"/>
  <c r="E244" i="9"/>
  <c r="G244" i="9" s="1"/>
  <c r="D245" i="9"/>
  <c r="F245" i="9" s="1"/>
  <c r="E245" i="9"/>
  <c r="G245" i="9" s="1"/>
  <c r="D246" i="9"/>
  <c r="F246" i="9" s="1"/>
  <c r="E246" i="9"/>
  <c r="G246" i="9" s="1"/>
  <c r="D249" i="9"/>
  <c r="F249" i="9" s="1"/>
  <c r="E249" i="9"/>
  <c r="G249" i="9" s="1"/>
  <c r="D257" i="9"/>
  <c r="F257" i="9" s="1"/>
  <c r="E257" i="9"/>
  <c r="G257" i="9" s="1"/>
  <c r="D258" i="9"/>
  <c r="F258" i="9" s="1"/>
  <c r="E258" i="9"/>
  <c r="G258" i="9" s="1"/>
  <c r="D259" i="9"/>
  <c r="F259" i="9" s="1"/>
  <c r="E259" i="9"/>
  <c r="G259" i="9" s="1"/>
  <c r="D268" i="9"/>
  <c r="F268" i="9" s="1"/>
  <c r="E268" i="9"/>
  <c r="G268" i="9" s="1"/>
  <c r="D270" i="9"/>
  <c r="F270" i="9" s="1"/>
  <c r="E270" i="9"/>
  <c r="G270" i="9" s="1"/>
  <c r="D271" i="9"/>
  <c r="F271" i="9" s="1"/>
  <c r="E271" i="9"/>
  <c r="G271" i="9" s="1"/>
  <c r="D272" i="9"/>
  <c r="F272" i="9" s="1"/>
  <c r="E272" i="9"/>
  <c r="G272" i="9" s="1"/>
  <c r="D273" i="9"/>
  <c r="F273" i="9" s="1"/>
  <c r="E273" i="9"/>
  <c r="G273" i="9" s="1"/>
  <c r="D274" i="9"/>
  <c r="F274" i="9" s="1"/>
  <c r="E274" i="9"/>
  <c r="G274" i="9" s="1"/>
  <c r="D275" i="9"/>
  <c r="F275" i="9" s="1"/>
  <c r="E275" i="9"/>
  <c r="G275" i="9" s="1"/>
  <c r="D276" i="9"/>
  <c r="F276" i="9" s="1"/>
  <c r="E276" i="9"/>
  <c r="G276" i="9" s="1"/>
  <c r="D277" i="9"/>
  <c r="F277" i="9" s="1"/>
  <c r="E277" i="9"/>
  <c r="G277" i="9" s="1"/>
  <c r="D280" i="9"/>
  <c r="F280" i="9" s="1"/>
  <c r="E280" i="9"/>
  <c r="G280" i="9" s="1"/>
  <c r="D281" i="9"/>
  <c r="F281" i="9" s="1"/>
  <c r="E281" i="9"/>
  <c r="G281" i="9" s="1"/>
  <c r="D282" i="9"/>
  <c r="F282" i="9" s="1"/>
  <c r="E282" i="9"/>
  <c r="G282" i="9" s="1"/>
  <c r="D283" i="9"/>
  <c r="F283" i="9" s="1"/>
  <c r="E283" i="9"/>
  <c r="G283" i="9" s="1"/>
  <c r="D284" i="9"/>
  <c r="F284" i="9" s="1"/>
  <c r="E284" i="9"/>
  <c r="G284" i="9" s="1"/>
  <c r="D285" i="9"/>
  <c r="F285" i="9" s="1"/>
  <c r="E285" i="9"/>
  <c r="G285" i="9" s="1"/>
  <c r="D286" i="9"/>
  <c r="F286" i="9" s="1"/>
  <c r="E286" i="9"/>
  <c r="G286" i="9" s="1"/>
  <c r="D287" i="9"/>
  <c r="F287" i="9" s="1"/>
  <c r="E287" i="9"/>
  <c r="G287" i="9" s="1"/>
  <c r="D288" i="9"/>
  <c r="F288" i="9" s="1"/>
  <c r="E288" i="9"/>
  <c r="G288" i="9" s="1"/>
  <c r="E11" i="9"/>
  <c r="G11" i="9" s="1"/>
  <c r="D11" i="9"/>
  <c r="F11" i="9" s="1"/>
  <c r="A276" i="8" l="1"/>
  <c r="A275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" i="8"/>
</calcChain>
</file>

<file path=xl/sharedStrings.xml><?xml version="1.0" encoding="utf-8"?>
<sst xmlns="http://schemas.openxmlformats.org/spreadsheetml/2006/main" count="19190" uniqueCount="3547">
  <si>
    <t>รหัสพนักงาน</t>
  </si>
  <si>
    <t>โรงงาน</t>
  </si>
  <si>
    <t>ตำแหน่ง</t>
  </si>
  <si>
    <t>หลักสูตรอบรม</t>
  </si>
  <si>
    <t>FR002 : บจก.สหชัยธุรกิจก่อสร้าง 1993</t>
  </si>
  <si>
    <t>FC046 : วังม่วง</t>
  </si>
  <si>
    <t>ทดสอบทฤษฎีระดับพื้นฐานพนักงานผลิต(L1)</t>
  </si>
  <si>
    <t>ผ่าน</t>
  </si>
  <si>
    <t>พนักงานผลิต</t>
  </si>
  <si>
    <t>FC095 : มวกเหล็ก</t>
  </si>
  <si>
    <t>FC139 : คลอง 11</t>
  </si>
  <si>
    <t>FC175 : พัฒนานิคม</t>
  </si>
  <si>
    <t>FR003 : บจก.ศุภภัณฑ์คอนกรีต</t>
  </si>
  <si>
    <t>FR004 : หจก.งามยิ่งเจริญคอนกรีต</t>
  </si>
  <si>
    <t>FC015 : บ้านหมี่</t>
  </si>
  <si>
    <t>ผู้จัดการโรงงาน</t>
  </si>
  <si>
    <t>FC197 : สรรคบุรี</t>
  </si>
  <si>
    <t>FR005 : บจก.นิธิศพันธ์</t>
  </si>
  <si>
    <t>FC013 : ลำนารายณ์</t>
  </si>
  <si>
    <t>FR006 : หจก.ท.ทวีทรัพย์คอนกรีต</t>
  </si>
  <si>
    <t>FC088 : บางน้ำเปรี้ยว</t>
  </si>
  <si>
    <t>FC309 : บางน้ำเปรี้ยว 2</t>
  </si>
  <si>
    <t>FR008 : บจก.นิติมงคลคอนกรีต</t>
  </si>
  <si>
    <t>FC065 : บ้านนา</t>
  </si>
  <si>
    <t>FR010 : บจก.บี.เอ.ซี.คอนกรีต</t>
  </si>
  <si>
    <t>FC068 : บ้านอำเภอ</t>
  </si>
  <si>
    <t>FC169 : มาบประชัน</t>
  </si>
  <si>
    <t>FC273 : สัตหีบ 2</t>
  </si>
  <si>
    <t>FR012 : บจก.หนองใหญ่คอนกรีต</t>
  </si>
  <si>
    <t>FC071 : ปลวกแดง</t>
  </si>
  <si>
    <t>FC256 : บ้านบึง2</t>
  </si>
  <si>
    <t>FC272 : หนองใหญ่ 2</t>
  </si>
  <si>
    <t>FC300 : หนองไผ่แก้ว</t>
  </si>
  <si>
    <t>FC332 : วังจันทร์</t>
  </si>
  <si>
    <t>FR014 : หจก.บุญทวีคอนกรีต</t>
  </si>
  <si>
    <t>FC017 : สอยดาว</t>
  </si>
  <si>
    <t>FC308 : วังสมบูรณ์</t>
  </si>
  <si>
    <t>FR015 : หจก.บุญทวีพนมคอนกรีต</t>
  </si>
  <si>
    <t>FC056 : พนมสารคาม</t>
  </si>
  <si>
    <t>FR016 : หจก.เกาะช้างคอนกรีต</t>
  </si>
  <si>
    <t>FC043 : เกาะช้าง</t>
  </si>
  <si>
    <t>FR017 : บจก.ต.แสงพัฒนาคอนกรีต</t>
  </si>
  <si>
    <t>FC142 : บางปลาม้า</t>
  </si>
  <si>
    <t>FC249 : ด่านช้าง 2</t>
  </si>
  <si>
    <t>FR019 : บจก.กอวัฒนาคอนกรีต</t>
  </si>
  <si>
    <t>FC070 : ท่ามะกา</t>
  </si>
  <si>
    <t>FR021 : หจก.ศิริภัณฑ์บางสะพานคอนกรีต</t>
  </si>
  <si>
    <t>FC035 : บางสะพาน</t>
  </si>
  <si>
    <t>FR023 : บจก.เจริญภัณฑ์ผลิตคอนกรีต(สาขาที่ 2)</t>
  </si>
  <si>
    <t>FC045 : ขาณุวรลักษบุรี</t>
  </si>
  <si>
    <t>FC289 : คลองขลุง 2</t>
  </si>
  <si>
    <t>FR024 : บจก.เจริญภัณฑ์ผลิตคอนกรีตผสมเสร็จ (นครสวรรค์)</t>
  </si>
  <si>
    <t>FC255 : หนองบัว</t>
  </si>
  <si>
    <t>FR025 : บจก.วีคอนกรีต</t>
  </si>
  <si>
    <t>FC036 : เพชรบูรณ์</t>
  </si>
  <si>
    <t>ไม่ผ่าน</t>
  </si>
  <si>
    <t>FC051 : หล่มสัก</t>
  </si>
  <si>
    <t>FC053 : หนองไผ่</t>
  </si>
  <si>
    <t>FC259 : วังชมภู</t>
  </si>
  <si>
    <t>FC278 : เขาค้อ</t>
  </si>
  <si>
    <t>FR026 : หจก.ศรีเทพคอนกรีตผสมเสร็จ</t>
  </si>
  <si>
    <t>FC025 : ศรีเทพ</t>
  </si>
  <si>
    <t>FR027 : บจก.รุ่งวิชัยคอนกรีต</t>
  </si>
  <si>
    <t>FC094 : บางระกำ</t>
  </si>
  <si>
    <t>FC250 : ลานกระบือ</t>
  </si>
  <si>
    <t>FR029 : หจก.สุเกียวคอนกรีต</t>
  </si>
  <si>
    <t>FC057 : ปัว</t>
  </si>
  <si>
    <t>FR032 : บจก.เม็งรายคอนกรีต</t>
  </si>
  <si>
    <t>FC048 : แม่สาย</t>
  </si>
  <si>
    <t>FC049 : แม่จัน</t>
  </si>
  <si>
    <t>FC204 : เชียงแสน</t>
  </si>
  <si>
    <t>FC146 : ฝาง 2</t>
  </si>
  <si>
    <t>FC276 : ไชยปราการ</t>
  </si>
  <si>
    <t>FC322 : ฝาง-สันทราย</t>
  </si>
  <si>
    <t>FR034 : หจก.ทวิภัณฑ์ฮอดคอนกรีต</t>
  </si>
  <si>
    <t>FR035 : หจก.เจตนะธรรมค้าไม้</t>
  </si>
  <si>
    <t>FR036 : หจก.อังครงค์รักษ์พาณิชย์</t>
  </si>
  <si>
    <t>FR038 : หจก.ซีเมนต์ทอง 2543</t>
  </si>
  <si>
    <t>FR039 : หจก.ผาน้ำเที่ยง</t>
  </si>
  <si>
    <t>FR040 : หจก.ภูเวียงคอนกรีต</t>
  </si>
  <si>
    <t>FR045 : บจก.คูย่งฮวด (1995)</t>
  </si>
  <si>
    <t>FR046 : บจก.เจ.เค.คอนกรีต</t>
  </si>
  <si>
    <t>FR047 : หจก.เค.ที.เอส.ผลิตภัณฑ์คอนกรีต</t>
  </si>
  <si>
    <t>FR048 : หจก.ที.เอส.วาย.คอนกรีตผสมเสร็จ</t>
  </si>
  <si>
    <t>FR051 : บจก.คอนกรีตรุ่งโรจน์</t>
  </si>
  <si>
    <t>FR053 : บจก.ไชยาคอนกรีต</t>
  </si>
  <si>
    <t>FC029 : ไชยา</t>
  </si>
  <si>
    <t>FR054 : บจก.เชี่ยวหลานคอนกรีต</t>
  </si>
  <si>
    <t>FC040 : เชี่ยวหลาน</t>
  </si>
  <si>
    <t>FC006 : ขนอม</t>
  </si>
  <si>
    <t>FR061 : บจก.พีระวัฒน์คอนกรีต</t>
  </si>
  <si>
    <t>FC072 : สิงหนคร</t>
  </si>
  <si>
    <t>FR063 : บจก.เจริญสหกิจหัวไทร</t>
  </si>
  <si>
    <t>FC212 : หัวไทร 2</t>
  </si>
  <si>
    <t>FR066 : หจก.บางไผ่แชมเปี้ยนคอนกรีต</t>
  </si>
  <si>
    <t>FC101 : โพทะเล</t>
  </si>
  <si>
    <t>FR069 : บจก.สตูลผลิตภัณฑ์คอนกรีต</t>
  </si>
  <si>
    <t>FC082 : สตูล</t>
  </si>
  <si>
    <t>FC210 : ละงู</t>
  </si>
  <si>
    <t>FR070 : หจก.พังงาซีแพค</t>
  </si>
  <si>
    <t>FC098 : ทับปุด</t>
  </si>
  <si>
    <t>FC221 : พังงา</t>
  </si>
  <si>
    <t>FC270 : ทุ่งมะพร้าว</t>
  </si>
  <si>
    <t>FR074 : บจก.ปัตตานีคอนกรีต</t>
  </si>
  <si>
    <t>FC127 : ปัตตานี</t>
  </si>
  <si>
    <t>FR076 : หจก.ส.พงษ์เจริญคอนกรีตผสมเสร็จ</t>
  </si>
  <si>
    <t>FC121 : คลองลาน</t>
  </si>
  <si>
    <t>FR082 : บจก.เบญจพลชัยคอนกรีต</t>
  </si>
  <si>
    <t>FC137 : ห้วยมงคล</t>
  </si>
  <si>
    <t>FR083 : บจก.วรวิทย์คอนกรีต</t>
  </si>
  <si>
    <t>FC138 : หันตรา</t>
  </si>
  <si>
    <t>FR084 : บจก.บุษยา คอนกรีต อำนาจเจริญ</t>
  </si>
  <si>
    <t>FR089 : หจก.บรรจงกิจคอนกรีต</t>
  </si>
  <si>
    <t>FC130 : วชิรบารมี</t>
  </si>
  <si>
    <t>FR091 : หจก.คณฑาทองการโยธา</t>
  </si>
  <si>
    <t>FC118 : บ้านไร่</t>
  </si>
  <si>
    <t>FC178 : บ้านไร่ 2</t>
  </si>
  <si>
    <t>FC129 : ทุ่งใหญ่</t>
  </si>
  <si>
    <t>FC253 : นาสาร</t>
  </si>
  <si>
    <t>FR094 : บจก.ทวีสินคอนกรีต</t>
  </si>
  <si>
    <t>FR100 : บจก.เอส.เอส.พี.(072) คอนสตรัคชั่น</t>
  </si>
  <si>
    <t>31EC : FC คลองด่าน</t>
  </si>
  <si>
    <t>FR101 : บจก.กิจเจริญชัย ธุรกิจคอนกรีต</t>
  </si>
  <si>
    <t>FR102 : บจก.กฤษฎ์ศุภณัฐ</t>
  </si>
  <si>
    <t>FC105 : นิคมพัฒนา</t>
  </si>
  <si>
    <t>FR107 : บริษัทวังทอง เซอร์วิส จำกัด</t>
  </si>
  <si>
    <t>FC148 : พรานกระต่าย</t>
  </si>
  <si>
    <t>31ED : FC หลวงแพ่ง</t>
  </si>
  <si>
    <t>FR113 : หจก.มังกรทองคอนกรีต</t>
  </si>
  <si>
    <t>FC153 : ทับคล้อ</t>
  </si>
  <si>
    <t>FC154 : ตะพานหิน</t>
  </si>
  <si>
    <t>FR118 : หจก.พิชัยอุปกรณ์ก่อสร้าง</t>
  </si>
  <si>
    <t>FC162 : สุไหงโกลก</t>
  </si>
  <si>
    <t>FR120 : หจก.สามแยกวิเชียรคอนกรีตผสมเสร็จ</t>
  </si>
  <si>
    <t>FC165 : วิเชียรบุรี</t>
  </si>
  <si>
    <t>FR123 : หจก.จักรภัทรคอนกรีต</t>
  </si>
  <si>
    <t>FC172 : งาว</t>
  </si>
  <si>
    <t>FR125 : บจก.ดวงแสงทอง</t>
  </si>
  <si>
    <t>FC174 : เชียงของ</t>
  </si>
  <si>
    <t>FR129 : บจก.ซี.แอล.คอนกรีต</t>
  </si>
  <si>
    <t>FC176 : บางตะเคียน</t>
  </si>
  <si>
    <t>FC201 : ศรีประจันต์</t>
  </si>
  <si>
    <t>FC248 : สองพี่น้อง</t>
  </si>
  <si>
    <t>FR130 : หจก.พลังเพชร</t>
  </si>
  <si>
    <t>FR136 : หจก.ณัฐชูพงศ์คอนกรีต</t>
  </si>
  <si>
    <t>FC187 : นครไทย</t>
  </si>
  <si>
    <t>FR137 : หจก.เอส พี เค คอนกรีต</t>
  </si>
  <si>
    <t>FR138 : หจก.ขุนคลังคอนกรีต</t>
  </si>
  <si>
    <t>FR140 : หจก.นราธิวาสทักษิณคอนกรีต</t>
  </si>
  <si>
    <t>FR141 : บจก.ซีแมทคอนกรีต</t>
  </si>
  <si>
    <t>FC194 : พาน</t>
  </si>
  <si>
    <t>FC265 : เทิง</t>
  </si>
  <si>
    <t>FC280 : ป่าแดด</t>
  </si>
  <si>
    <t>FR144 : หจก.ชื่นชูไพรคอนกรีต</t>
  </si>
  <si>
    <t>FC205 : แม่สะเรียง</t>
  </si>
  <si>
    <t>FR148 : หจก.ไทยสมบูรณ์ บิ๊กโฮม คอนกรีต</t>
  </si>
  <si>
    <t>FC207 : กงไกรลาศ</t>
  </si>
  <si>
    <t>FR149 : บจก.อุตรดิตถ์พิชัย</t>
  </si>
  <si>
    <t>FC208 : พรหมพิราม</t>
  </si>
  <si>
    <t>FR150 : หจก.ดวงแสงทองคอนกรีต</t>
  </si>
  <si>
    <t>FC209 : บ้านหมอ</t>
  </si>
  <si>
    <t>FR155 : บจก.หยกซีแพค</t>
  </si>
  <si>
    <t>FC213 : สิชล</t>
  </si>
  <si>
    <t>FR156 : หจก.บุญพลกิจ คอนกรีต</t>
  </si>
  <si>
    <t>FC216 : พร้าว</t>
  </si>
  <si>
    <t>FR159 : บจก.ชุมพรไถ่เชียงคอนกรีต</t>
  </si>
  <si>
    <t>FR160 : หจก.เชียงคำคอนกรีต(2011)</t>
  </si>
  <si>
    <t>FC219 : เชียงคำ</t>
  </si>
  <si>
    <t>FR165 : หจก.พัฒนกิจคอนกรีต</t>
  </si>
  <si>
    <t>FR168 : บจก.พี.เอส.ดี.คอนกรีตโปรดักส์</t>
  </si>
  <si>
    <t>FC228 : พนัสนิคม</t>
  </si>
  <si>
    <t>FR169 : บจก.พีระวัฒน์คอนกรีต สะเดา</t>
  </si>
  <si>
    <t>FC227 : สะเดา</t>
  </si>
  <si>
    <t>FR171 : หจก. โนนคูณ คอนกรีตผสมเสร็จ</t>
  </si>
  <si>
    <t>FR175 : บจก.ว.บัญชา คอนสตรัคชั่น</t>
  </si>
  <si>
    <t>FC236 : ทับสะแก</t>
  </si>
  <si>
    <t>FR177 : บจก.เจริญสหกิจหนองหงส์</t>
  </si>
  <si>
    <t>FC310 : ชะอวด 2</t>
  </si>
  <si>
    <t>FR179 : หจก.จรูญคอนกรีต</t>
  </si>
  <si>
    <t>FC240 : ทรัพย์ไพรวัลย์</t>
  </si>
  <si>
    <t>FR182 : บจก.ซี.ซี.คอนกรีต</t>
  </si>
  <si>
    <t>ZZP6 : FC เมืองเลย2 (Type N)</t>
  </si>
  <si>
    <t>FR187 : หจก.เพาเวอร์ แลนด์ คอนกรีต</t>
  </si>
  <si>
    <t>31EF : FC นพวงศ์</t>
  </si>
  <si>
    <t>FR191 : หจก.ว.รามฤทธิรงค์ เอ็นจิเนียริ่ง</t>
  </si>
  <si>
    <t>FR192 : หจก.สมจินตนาวงษ์เจริญ คอนกรีต</t>
  </si>
  <si>
    <t>FC331 : FC หนองกุงศรี</t>
  </si>
  <si>
    <t>FR193 : บจก.ตึกน้ำเงินคอนกรีต</t>
  </si>
  <si>
    <t>FC261 : ลาดยาว</t>
  </si>
  <si>
    <t>FC293 : บรรพตพิสัย</t>
  </si>
  <si>
    <t>FC303 : ตาคลี</t>
  </si>
  <si>
    <t>FC333 : นครสวรรค์ ไบโอคอมเพล็ก</t>
  </si>
  <si>
    <t>FR198 : หจก.โปรพัฒน์คอนกรีต</t>
  </si>
  <si>
    <t>FR202 : บจก.พุนพินมาตรฐานคอนกรีต</t>
  </si>
  <si>
    <t>3168 : FC หนองขรี</t>
  </si>
  <si>
    <t>FR204 : หจก.ยูทีพี ผลิตภัณฑ์คอนกรีต</t>
  </si>
  <si>
    <t>FR208 : หจก.พี ดี คอนกรีต</t>
  </si>
  <si>
    <t>FC306 : แจ้ห่ม</t>
  </si>
  <si>
    <t>FR211 : บจก.คอนกรีตซีแพคระนอง</t>
  </si>
  <si>
    <t>FC282 : ระนอง</t>
  </si>
  <si>
    <t>FR212 : หจก.จำลองชัยคอนกรีต</t>
  </si>
  <si>
    <t>FR214 : บจก.นาซ่า ซีแพค ภูกระดึง</t>
  </si>
  <si>
    <t>FR215 : บริษัท ไถ่เชียงคอนกรีต จำกัด</t>
  </si>
  <si>
    <t>FC287 : มาบอำมฤต</t>
  </si>
  <si>
    <t>FR216 : หจก.เจริญศิลป์เคหะละหานทราย</t>
  </si>
  <si>
    <t>FC291 : FC ละหานทราย</t>
  </si>
  <si>
    <t>FR218 : บจก.ปัญญามาตรฐานคอนกรีต (2015)</t>
  </si>
  <si>
    <t>FC295 : บางสวรรค์ 3</t>
  </si>
  <si>
    <t>FR219 : หจก.บิ๊ก.เอส.คอนกรีต</t>
  </si>
  <si>
    <t>FR221 : หจก.ทองคอนส์ซัพพลาย</t>
  </si>
  <si>
    <t>FC297 : ลี้ 2</t>
  </si>
  <si>
    <t>FR223 : บจก.คูย่งฮวด อุดรธานี</t>
  </si>
  <si>
    <t>31P2 : FC อุดรธานี (Type N)</t>
  </si>
  <si>
    <t>FR225 : บจก.บางแสนมหานคร ผลิตภัณฑ์คอนกรีต</t>
  </si>
  <si>
    <t>31IH : บางแสน 1(FC Type X)</t>
  </si>
  <si>
    <t>FR226 : บจก.เมโทรพาวเวอร์คอนกรีต</t>
  </si>
  <si>
    <t>FR228 : บจก.เคแพคคอนกรีต 2004</t>
  </si>
  <si>
    <t>FR242 : บจก.สิริพัฒน์ บิวดิ้ง</t>
  </si>
  <si>
    <t>ZZP9 : FC นครพนม3 (Type N)</t>
  </si>
  <si>
    <t>FR245 : บจก.สมยงคอนกรีต</t>
  </si>
  <si>
    <t>FR248 : บจก.อีสต์บลู</t>
  </si>
  <si>
    <t>FC323 : ตาพระยา</t>
  </si>
  <si>
    <t>FR249 : บจก.จำลองชัยโฮมเซ็นเตอร์</t>
  </si>
  <si>
    <t>FR285 : หจก.ที เอ็น ดับเบิ้ลยู เชียงดาวก่อสร</t>
  </si>
  <si>
    <t>FC348 : เชียงดาว</t>
  </si>
  <si>
    <t>FR286 : บจก.กนกนภาคอนกรีต</t>
  </si>
  <si>
    <t>FR292 : หจก.หงษ์ทองสว่างคอนกรีต</t>
  </si>
  <si>
    <t>FR293 : บจก.ประทุมศิริ ซีเมนต์</t>
  </si>
  <si>
    <t>FR295 : หจก.เกษมชัยพานิช</t>
  </si>
  <si>
    <t>FC360 : วังเหนือ</t>
  </si>
  <si>
    <t>FR296 : บจก.เมโทรพาวเวอร์โพนสวรรค์</t>
  </si>
  <si>
    <t>FR305 : หจก.เจเอ็นเพาเวอร์ คอนกรีต</t>
  </si>
  <si>
    <t>FC368 : แม่ฮ่องสอน (Type M)</t>
  </si>
  <si>
    <t>จำนวนหลักสูตรที่ผ่าน</t>
  </si>
  <si>
    <t>กิจการ</t>
  </si>
  <si>
    <t>DEPTNAMET</t>
  </si>
  <si>
    <t>FCPLNO</t>
  </si>
  <si>
    <t>NAMET</t>
  </si>
  <si>
    <t>FC139</t>
  </si>
  <si>
    <t>คลอง 11</t>
  </si>
  <si>
    <t>FC092</t>
  </si>
  <si>
    <t>อู่ทอง</t>
  </si>
  <si>
    <t>FC236</t>
  </si>
  <si>
    <t>ทับสะแก</t>
  </si>
  <si>
    <t>FC158</t>
  </si>
  <si>
    <t>แก่งกระจาน</t>
  </si>
  <si>
    <t>FC142</t>
  </si>
  <si>
    <t>บางปลาม้า</t>
  </si>
  <si>
    <t>FC176</t>
  </si>
  <si>
    <t>บางตะเคียน</t>
  </si>
  <si>
    <t>FC197</t>
  </si>
  <si>
    <t>สรรคบุรี</t>
  </si>
  <si>
    <t>FC070</t>
  </si>
  <si>
    <t>ท่ามะกา</t>
  </si>
  <si>
    <t>FC009</t>
  </si>
  <si>
    <t>ประจวบคีรีขันธ์</t>
  </si>
  <si>
    <t>FC137</t>
  </si>
  <si>
    <t>ห้วยมงคล</t>
  </si>
  <si>
    <t>FC035</t>
  </si>
  <si>
    <t>บางสะพาน</t>
  </si>
  <si>
    <t>FC069</t>
  </si>
  <si>
    <t>จอมบึง</t>
  </si>
  <si>
    <t>FC248</t>
  </si>
  <si>
    <t>สองพี่น้อง</t>
  </si>
  <si>
    <t>FC249</t>
  </si>
  <si>
    <t>ด่านช้าง 2</t>
  </si>
  <si>
    <t>FC138</t>
  </si>
  <si>
    <t>หันตรา</t>
  </si>
  <si>
    <t>FC093</t>
  </si>
  <si>
    <t>สามชุก</t>
  </si>
  <si>
    <t>FC299</t>
  </si>
  <si>
    <t xml:space="preserve">เนินพระปรางค์ </t>
  </si>
  <si>
    <t>FC047</t>
  </si>
  <si>
    <t>กาญจนบุรี</t>
  </si>
  <si>
    <t>FC201</t>
  </si>
  <si>
    <t>ศรีประจันต์</t>
  </si>
  <si>
    <t>FC254</t>
  </si>
  <si>
    <t xml:space="preserve">พนมทวน </t>
  </si>
  <si>
    <t>FC214</t>
  </si>
  <si>
    <t>สระกระโจม</t>
  </si>
  <si>
    <t>FC071</t>
  </si>
  <si>
    <t>ปลวกแดง</t>
  </si>
  <si>
    <t>FC087</t>
  </si>
  <si>
    <t>บ้านค่าย</t>
  </si>
  <si>
    <t>FC169</t>
  </si>
  <si>
    <t>มาบประชัน</t>
  </si>
  <si>
    <t>FC175</t>
  </si>
  <si>
    <t>พัฒนานิคม</t>
  </si>
  <si>
    <t>FC256</t>
  </si>
  <si>
    <t>บ้านบึง2</t>
  </si>
  <si>
    <t>FC309</t>
  </si>
  <si>
    <t>บางน้ำเปรี้ยว 2</t>
  </si>
  <si>
    <t>FC332</t>
  </si>
  <si>
    <t>วังจันทร์</t>
  </si>
  <si>
    <t>FC017</t>
  </si>
  <si>
    <t>สอยดาว</t>
  </si>
  <si>
    <t>FC215</t>
  </si>
  <si>
    <t xml:space="preserve">ดาวเรือง 2 </t>
  </si>
  <si>
    <t>FC273</t>
  </si>
  <si>
    <t>สัตหีบ 2</t>
  </si>
  <si>
    <t>FC323</t>
  </si>
  <si>
    <t>ตาพระยา</t>
  </si>
  <si>
    <t>FC013</t>
  </si>
  <si>
    <t>ลำนารายณ์</t>
  </si>
  <si>
    <t>FC308</t>
  </si>
  <si>
    <t>วังสมบูรณ์</t>
  </si>
  <si>
    <t>FC229</t>
  </si>
  <si>
    <t>ศาลาลำดวน</t>
  </si>
  <si>
    <t>FC088</t>
  </si>
  <si>
    <t>บางน้ำเปรี้ยว</t>
  </si>
  <si>
    <t>FC086</t>
  </si>
  <si>
    <t>บ้านฉาง</t>
  </si>
  <si>
    <t>FC065</t>
  </si>
  <si>
    <t>บ้านนา</t>
  </si>
  <si>
    <t>FC272</t>
  </si>
  <si>
    <t>หนองใหญ่ 2</t>
  </si>
  <si>
    <t>FC068</t>
  </si>
  <si>
    <t>บ้านอำเภอ</t>
  </si>
  <si>
    <t>FC341</t>
  </si>
  <si>
    <t>นิคมอุตสาหกรรม CPGC</t>
  </si>
  <si>
    <t>FC209</t>
  </si>
  <si>
    <t>บ้านหมอ</t>
  </si>
  <si>
    <t>FC015</t>
  </si>
  <si>
    <t>บ้านหมี่</t>
  </si>
  <si>
    <t>FC342</t>
  </si>
  <si>
    <t>พนัสนิคม-เกาะโพธิ์ (Atsite)</t>
  </si>
  <si>
    <t>FC150</t>
  </si>
  <si>
    <t>แหลมแม่พิมพ์</t>
  </si>
  <si>
    <t>FC117</t>
  </si>
  <si>
    <t>บ้านอำเภอ2</t>
  </si>
  <si>
    <t>FC056</t>
  </si>
  <si>
    <t>พนมสารคาม</t>
  </si>
  <si>
    <t>FC034</t>
  </si>
  <si>
    <t>แกลง</t>
  </si>
  <si>
    <t>FC228</t>
  </si>
  <si>
    <t>พนัสนิคม</t>
  </si>
  <si>
    <t>FC105</t>
  </si>
  <si>
    <t>นิคมพัฒนา</t>
  </si>
  <si>
    <t>FC095</t>
  </si>
  <si>
    <t>มวกเหล็ก</t>
  </si>
  <si>
    <t>FC046</t>
  </si>
  <si>
    <t>วังม่วง</t>
  </si>
  <si>
    <t>FC043</t>
  </si>
  <si>
    <t>เกาะช้าง</t>
  </si>
  <si>
    <t>FC300</t>
  </si>
  <si>
    <t>หนองไผ่แก้ว</t>
  </si>
  <si>
    <t>FC190</t>
  </si>
  <si>
    <t>นราธิวาส</t>
  </si>
  <si>
    <t>FC221</t>
  </si>
  <si>
    <t>พังงา</t>
  </si>
  <si>
    <t>FC287</t>
  </si>
  <si>
    <t>มาบอำมฤต</t>
  </si>
  <si>
    <t>FC343</t>
  </si>
  <si>
    <t>เจ้าฟ้า แมริออท</t>
  </si>
  <si>
    <t>FC366</t>
  </si>
  <si>
    <t>จุฬาภรณ์</t>
  </si>
  <si>
    <t>FC006</t>
  </si>
  <si>
    <t>ขนอม</t>
  </si>
  <si>
    <t>FC040</t>
  </si>
  <si>
    <t>เชี่ยวหลาน</t>
  </si>
  <si>
    <t>FC098</t>
  </si>
  <si>
    <t>ทับปุด</t>
  </si>
  <si>
    <t>FC127</t>
  </si>
  <si>
    <t>ปัตตานี</t>
  </si>
  <si>
    <t>FC257</t>
  </si>
  <si>
    <t>เคียนซา</t>
  </si>
  <si>
    <t>FC340</t>
  </si>
  <si>
    <t>M เกาะยาวใหญ่</t>
  </si>
  <si>
    <t>FC356</t>
  </si>
  <si>
    <t>นาสาร 2</t>
  </si>
  <si>
    <t>FC072</t>
  </si>
  <si>
    <t>สิงหนคร</t>
  </si>
  <si>
    <t>FC262</t>
  </si>
  <si>
    <t>คีรีรัฐ</t>
  </si>
  <si>
    <t>FC295</t>
  </si>
  <si>
    <t>บางสวรรค์ 3</t>
  </si>
  <si>
    <t>FC310</t>
  </si>
  <si>
    <t>ชะอวด 2</t>
  </si>
  <si>
    <t>FC058</t>
  </si>
  <si>
    <t>หัวไทร</t>
  </si>
  <si>
    <t>FC076</t>
  </si>
  <si>
    <t>ท่าแซะ</t>
  </si>
  <si>
    <t>FC213</t>
  </si>
  <si>
    <t>สิชล</t>
  </si>
  <si>
    <t>FC218</t>
  </si>
  <si>
    <t>บ่อล้อ</t>
  </si>
  <si>
    <t>FC227</t>
  </si>
  <si>
    <t>สะเดา</t>
  </si>
  <si>
    <t>FC082</t>
  </si>
  <si>
    <t>สตูล</t>
  </si>
  <si>
    <t>FC162</t>
  </si>
  <si>
    <t>สุไหงโกลก</t>
  </si>
  <si>
    <t>FC199</t>
  </si>
  <si>
    <t>นราธิวาส 2</t>
  </si>
  <si>
    <t>FC212</t>
  </si>
  <si>
    <t>หัวไทร 2</t>
  </si>
  <si>
    <t>FC238</t>
  </si>
  <si>
    <t>ชะอวด</t>
  </si>
  <si>
    <t>FC270</t>
  </si>
  <si>
    <t>ทุ่งมะพร้าว</t>
  </si>
  <si>
    <t>FC028</t>
  </si>
  <si>
    <t>เกาะลันตาใหญ่</t>
  </si>
  <si>
    <t>FC210</t>
  </si>
  <si>
    <t>ละงู</t>
  </si>
  <si>
    <t>FC282</t>
  </si>
  <si>
    <t>ระนอง</t>
  </si>
  <si>
    <t>FC029</t>
  </si>
  <si>
    <t>ไชยา</t>
  </si>
  <si>
    <t>FC129</t>
  </si>
  <si>
    <t>ทุ่งใหญ่</t>
  </si>
  <si>
    <t>FC253</t>
  </si>
  <si>
    <t>นาสาร</t>
  </si>
  <si>
    <t>FC027</t>
  </si>
  <si>
    <t>ระโนด</t>
  </si>
  <si>
    <t>FC115</t>
  </si>
  <si>
    <t>เกาะพงัน</t>
  </si>
  <si>
    <t>FC166</t>
  </si>
  <si>
    <t>บ่อทอง (จ.ปัตตานี)</t>
  </si>
  <si>
    <t>FC153</t>
  </si>
  <si>
    <t>ทับคล้อ</t>
  </si>
  <si>
    <t>FC164</t>
  </si>
  <si>
    <t>จอมทอง</t>
  </si>
  <si>
    <t>FC172</t>
  </si>
  <si>
    <t>งาว</t>
  </si>
  <si>
    <t>FC187</t>
  </si>
  <si>
    <t>นครไทย</t>
  </si>
  <si>
    <t>FC194</t>
  </si>
  <si>
    <t>พาน</t>
  </si>
  <si>
    <t>FC204</t>
  </si>
  <si>
    <t>เชียงแสน</t>
  </si>
  <si>
    <t>FC207</t>
  </si>
  <si>
    <t>กงไกรลาศ</t>
  </si>
  <si>
    <t>FC293</t>
  </si>
  <si>
    <t>บรรพตพิสัย</t>
  </si>
  <si>
    <t>FC303</t>
  </si>
  <si>
    <t>ตาคลี</t>
  </si>
  <si>
    <t>FC049</t>
  </si>
  <si>
    <t>แม่จัน</t>
  </si>
  <si>
    <t>FC195</t>
  </si>
  <si>
    <t>เวียงป่าเป้า</t>
  </si>
  <si>
    <t>FC219</t>
  </si>
  <si>
    <t>เชียงคำ</t>
  </si>
  <si>
    <t>FC246</t>
  </si>
  <si>
    <t>ชนแดน</t>
  </si>
  <si>
    <t>FC306</t>
  </si>
  <si>
    <t>แจ้ห่ม</t>
  </si>
  <si>
    <t>FC368</t>
  </si>
  <si>
    <t>แม่ฮ่องสอน (Type M)</t>
  </si>
  <si>
    <t>FC051</t>
  </si>
  <si>
    <t>หล่มสัก</t>
  </si>
  <si>
    <t>FC053</t>
  </si>
  <si>
    <t>หนองไผ่</t>
  </si>
  <si>
    <t>FC121</t>
  </si>
  <si>
    <t>คลองลาน</t>
  </si>
  <si>
    <t>FC148</t>
  </si>
  <si>
    <t>พรานกระต่าย</t>
  </si>
  <si>
    <t>FC167</t>
  </si>
  <si>
    <t>พิชัย</t>
  </si>
  <si>
    <t>FC240</t>
  </si>
  <si>
    <t>ทรัพย์ไพรวัลย์</t>
  </si>
  <si>
    <t>FC247</t>
  </si>
  <si>
    <t>แม่สรวย</t>
  </si>
  <si>
    <t>FC261</t>
  </si>
  <si>
    <t>ลาดยาว</t>
  </si>
  <si>
    <t>FC276</t>
  </si>
  <si>
    <t>ไชยปราการ</t>
  </si>
  <si>
    <t>FC278</t>
  </si>
  <si>
    <t>เขาค้อ</t>
  </si>
  <si>
    <t>FC322</t>
  </si>
  <si>
    <t>ฝาง-สันทราย</t>
  </si>
  <si>
    <t>FC360</t>
  </si>
  <si>
    <t>วังเหนือ</t>
  </si>
  <si>
    <t>FC025</t>
  </si>
  <si>
    <t>ศรีเทพ</t>
  </si>
  <si>
    <t>FC165</t>
  </si>
  <si>
    <t>วิเชียรบุรี</t>
  </si>
  <si>
    <t>FC205</t>
  </si>
  <si>
    <t>แม่สะเรียง</t>
  </si>
  <si>
    <t>FC230</t>
  </si>
  <si>
    <t>ทุ่งเสลี่ยม</t>
  </si>
  <si>
    <t>FC234</t>
  </si>
  <si>
    <t>บึงสามัคคี</t>
  </si>
  <si>
    <t>FC259</t>
  </si>
  <si>
    <t>วังชมภู</t>
  </si>
  <si>
    <t>FC333</t>
  </si>
  <si>
    <t>นครสวรรค์ ไบโอคอมเพล็ก</t>
  </si>
  <si>
    <t>FC357</t>
  </si>
  <si>
    <t>ปง (FC Type M)</t>
  </si>
  <si>
    <t>FC037</t>
  </si>
  <si>
    <t>เถิน</t>
  </si>
  <si>
    <t>FC094</t>
  </si>
  <si>
    <t>บางระกำ</t>
  </si>
  <si>
    <t>FC118</t>
  </si>
  <si>
    <t>บ้านไร่</t>
  </si>
  <si>
    <t>FC178</t>
  </si>
  <si>
    <t>บ้านไร่ 2</t>
  </si>
  <si>
    <t>FC208</t>
  </si>
  <si>
    <t>พรหมพิราม</t>
  </si>
  <si>
    <t>FC216</t>
  </si>
  <si>
    <t>พร้าว</t>
  </si>
  <si>
    <t>FC373</t>
  </si>
  <si>
    <t>เนินมะปราง (Type M)</t>
  </si>
  <si>
    <t>FC057</t>
  </si>
  <si>
    <t>ปัว</t>
  </si>
  <si>
    <t>FC174</t>
  </si>
  <si>
    <t>เชียงของ</t>
  </si>
  <si>
    <t>FC250</t>
  </si>
  <si>
    <t>ลานกระบือ</t>
  </si>
  <si>
    <t>FC255</t>
  </si>
  <si>
    <t>หนองบัว</t>
  </si>
  <si>
    <t>FC265</t>
  </si>
  <si>
    <t>เทิง</t>
  </si>
  <si>
    <t>FC348</t>
  </si>
  <si>
    <t>เชียงดาว</t>
  </si>
  <si>
    <t>FC349</t>
  </si>
  <si>
    <t>ชุมแสง</t>
  </si>
  <si>
    <t>FC036</t>
  </si>
  <si>
    <t>เพชรบูรณ์</t>
  </si>
  <si>
    <t>FC130</t>
  </si>
  <si>
    <t>วชิรบารมี</t>
  </si>
  <si>
    <t>FC146</t>
  </si>
  <si>
    <t>ฝาง 2</t>
  </si>
  <si>
    <t>FC280</t>
  </si>
  <si>
    <t>ป่าแดด</t>
  </si>
  <si>
    <t>FC347</t>
  </si>
  <si>
    <t>ชาติตระการ(FC Type M)</t>
  </si>
  <si>
    <t>FC362</t>
  </si>
  <si>
    <t>เชียงม่วน (FC Type M)</t>
  </si>
  <si>
    <t>FC007</t>
  </si>
  <si>
    <t>ฮอด</t>
  </si>
  <si>
    <t>FC045</t>
  </si>
  <si>
    <t>ขาณุวรลักษบุรี</t>
  </si>
  <si>
    <t>FC048</t>
  </si>
  <si>
    <t>แม่สาย</t>
  </si>
  <si>
    <t>FC067</t>
  </si>
  <si>
    <t>ท่าตะโก</t>
  </si>
  <si>
    <t>FC101</t>
  </si>
  <si>
    <t>โพทะเล</t>
  </si>
  <si>
    <t>FC154</t>
  </si>
  <si>
    <t>ตะพานหิน</t>
  </si>
  <si>
    <t>FC211</t>
  </si>
  <si>
    <t>สากเหล็ก</t>
  </si>
  <si>
    <t>FC289</t>
  </si>
  <si>
    <t>คลองขลุง 2</t>
  </si>
  <si>
    <t>FC297</t>
  </si>
  <si>
    <t>ลี้ 2</t>
  </si>
  <si>
    <t>FC371</t>
  </si>
  <si>
    <t>แม่ใจ (Type M)</t>
  </si>
  <si>
    <t>FC331</t>
  </si>
  <si>
    <t>FC หนองกุงศรี</t>
  </si>
  <si>
    <t>FC338</t>
  </si>
  <si>
    <t>เซกา-บึงโขงหลง</t>
  </si>
  <si>
    <t>FC041</t>
  </si>
  <si>
    <t>ศรีสะเกษ</t>
  </si>
  <si>
    <t>FC089</t>
  </si>
  <si>
    <t>ท่าบ่อ</t>
  </si>
  <si>
    <t>FC157</t>
  </si>
  <si>
    <t>จักราช</t>
  </si>
  <si>
    <t>FC243</t>
  </si>
  <si>
    <t>สีชมพู</t>
  </si>
  <si>
    <t>FC260</t>
  </si>
  <si>
    <t>ศรีธาตุ</t>
  </si>
  <si>
    <t>FC286</t>
  </si>
  <si>
    <t>ภูกระดึง</t>
  </si>
  <si>
    <t>FC288</t>
  </si>
  <si>
    <t>ยางตลาด</t>
  </si>
  <si>
    <t>FC314</t>
  </si>
  <si>
    <t>ท่าอุเทน</t>
  </si>
  <si>
    <t>FC345</t>
  </si>
  <si>
    <t>สังขะ</t>
  </si>
  <si>
    <t>FC346</t>
  </si>
  <si>
    <t>โนนสะอาด</t>
  </si>
  <si>
    <t>FC018</t>
  </si>
  <si>
    <t>บึงกาฬ</t>
  </si>
  <si>
    <t>FC081</t>
  </si>
  <si>
    <t>ปราสาท</t>
  </si>
  <si>
    <t>FC147</t>
  </si>
  <si>
    <t>ลำปลายมาศ</t>
  </si>
  <si>
    <t>FC222</t>
  </si>
  <si>
    <t>เขมราฐ</t>
  </si>
  <si>
    <t>FC242</t>
  </si>
  <si>
    <t>ภูเรือ</t>
  </si>
  <si>
    <t>FC269</t>
  </si>
  <si>
    <t>ไพรบึง</t>
  </si>
  <si>
    <t>FC290</t>
  </si>
  <si>
    <t>น้ำยืน</t>
  </si>
  <si>
    <t>FC315</t>
  </si>
  <si>
    <t>กู่แก้ว</t>
  </si>
  <si>
    <t>FC318</t>
  </si>
  <si>
    <t>อากาศอำนวย</t>
  </si>
  <si>
    <t>FC320</t>
  </si>
  <si>
    <t>ประทาย</t>
  </si>
  <si>
    <t>FC358</t>
  </si>
  <si>
    <t>โพนพิสัย</t>
  </si>
  <si>
    <t>FC063</t>
  </si>
  <si>
    <t>ปากช่อง 2</t>
  </si>
  <si>
    <t>FC144</t>
  </si>
  <si>
    <t>ชุมพวง</t>
  </si>
  <si>
    <t>FC179</t>
  </si>
  <si>
    <t>บำเหน็จณรงค์</t>
  </si>
  <si>
    <t>FC189</t>
  </si>
  <si>
    <t>ตระการพืชผล</t>
  </si>
  <si>
    <t>FC225</t>
  </si>
  <si>
    <t>ศรีวิไล</t>
  </si>
  <si>
    <t>FC231</t>
  </si>
  <si>
    <t>โนนคูณ</t>
  </si>
  <si>
    <t>FC267</t>
  </si>
  <si>
    <t>พรเจริญ</t>
  </si>
  <si>
    <t>FC285</t>
  </si>
  <si>
    <t>ปทุมราชวงศา</t>
  </si>
  <si>
    <t>FC301</t>
  </si>
  <si>
    <t>FC ขุขันธ์</t>
  </si>
  <si>
    <t>FC313</t>
  </si>
  <si>
    <t>วาปีปทุม</t>
  </si>
  <si>
    <t>FC326</t>
  </si>
  <si>
    <t>หนองหิน</t>
  </si>
  <si>
    <t>FC330</t>
  </si>
  <si>
    <t>ศรีสงคราม</t>
  </si>
  <si>
    <t>FC334</t>
  </si>
  <si>
    <t>บ้านม่วง</t>
  </si>
  <si>
    <t>FC339</t>
  </si>
  <si>
    <t>คง</t>
  </si>
  <si>
    <t>FC359</t>
  </si>
  <si>
    <t>เสิงสาง</t>
  </si>
  <si>
    <t>FC090</t>
  </si>
  <si>
    <t>สุรินทร์</t>
  </si>
  <si>
    <t>FC113</t>
  </si>
  <si>
    <t>ท่าตูม</t>
  </si>
  <si>
    <t>FC141</t>
  </si>
  <si>
    <t>กาฬสินธุ์</t>
  </si>
  <si>
    <t>FC233</t>
  </si>
  <si>
    <t>หนองหาน</t>
  </si>
  <si>
    <t>FC241</t>
  </si>
  <si>
    <t>โนนสัง</t>
  </si>
  <si>
    <t>FC324</t>
  </si>
  <si>
    <t>นาเชือก</t>
  </si>
  <si>
    <t>FC335</t>
  </si>
  <si>
    <t>พนมไพร 2</t>
  </si>
  <si>
    <t>FC350</t>
  </si>
  <si>
    <t xml:space="preserve">เกษตรวิสัย </t>
  </si>
  <si>
    <t>FC001</t>
  </si>
  <si>
    <t>ชุมแพ</t>
  </si>
  <si>
    <t>FC136</t>
  </si>
  <si>
    <t>อำนาจเจริญ</t>
  </si>
  <si>
    <t>FC188</t>
  </si>
  <si>
    <t>เลิงนกทา</t>
  </si>
  <si>
    <t>FC193</t>
  </si>
  <si>
    <t>สมเด็จ</t>
  </si>
  <si>
    <t>FC232</t>
  </si>
  <si>
    <t>บ้านผือ</t>
  </si>
  <si>
    <t>FC258</t>
  </si>
  <si>
    <t>บ้านแพง</t>
  </si>
  <si>
    <t>FC264</t>
  </si>
  <si>
    <t>บ้านดุง</t>
  </si>
  <si>
    <t>FC268</t>
  </si>
  <si>
    <t>อุทุมพรพิสัย</t>
  </si>
  <si>
    <t>FC296</t>
  </si>
  <si>
    <t>ปากชม</t>
  </si>
  <si>
    <t>FC321</t>
  </si>
  <si>
    <t>แวงน้อย</t>
  </si>
  <si>
    <t>FC336</t>
  </si>
  <si>
    <t>สังคม</t>
  </si>
  <si>
    <t>FC344</t>
  </si>
  <si>
    <t xml:space="preserve">FC ปะคำ </t>
  </si>
  <si>
    <t>FC354</t>
  </si>
  <si>
    <t>ด่านขุนทด</t>
  </si>
  <si>
    <t>FC114</t>
  </si>
  <si>
    <t>สีดา</t>
  </si>
  <si>
    <t>FC160</t>
  </si>
  <si>
    <t>ปากช่อง 3</t>
  </si>
  <si>
    <t>FC181</t>
  </si>
  <si>
    <t>อำนาจเจริญ 2</t>
  </si>
  <si>
    <t>FC226</t>
  </si>
  <si>
    <t>แวงใหญ่</t>
  </si>
  <si>
    <t>FC266</t>
  </si>
  <si>
    <t>บัวใหญ่</t>
  </si>
  <si>
    <t>FC274</t>
  </si>
  <si>
    <t>บ้านแท่น</t>
  </si>
  <si>
    <t>FC283</t>
  </si>
  <si>
    <t>หนองสองห้อง</t>
  </si>
  <si>
    <t>FC292</t>
  </si>
  <si>
    <t>สุวรรณภูมิ</t>
  </si>
  <si>
    <t>FC305</t>
  </si>
  <si>
    <t>วังสามหมอ</t>
  </si>
  <si>
    <t>FC337</t>
  </si>
  <si>
    <t>M เชียงคาน</t>
  </si>
  <si>
    <t>FC361</t>
  </si>
  <si>
    <t>โพนสวรรค์</t>
  </si>
  <si>
    <t>FC363</t>
  </si>
  <si>
    <t>ศรีบุญเรือง</t>
  </si>
  <si>
    <t>FC367</t>
  </si>
  <si>
    <t>ขุขันธ์ 2</t>
  </si>
  <si>
    <t>FC014</t>
  </si>
  <si>
    <t>แก้งคร้อ</t>
  </si>
  <si>
    <t>FC031</t>
  </si>
  <si>
    <t>สีคิ้ว</t>
  </si>
  <si>
    <t>FC239</t>
  </si>
  <si>
    <t>หนองบัวแดง</t>
  </si>
  <si>
    <t>FC325</t>
  </si>
  <si>
    <t>เพ็ญ</t>
  </si>
  <si>
    <t>FC351</t>
  </si>
  <si>
    <t>โพนทอง</t>
  </si>
  <si>
    <t>FC352</t>
  </si>
  <si>
    <t>หนองคาย</t>
  </si>
  <si>
    <t>FC353</t>
  </si>
  <si>
    <t>นากลาง</t>
  </si>
  <si>
    <t>FC002</t>
  </si>
  <si>
    <t>กันทรลักษ์</t>
  </si>
  <si>
    <t>FC050</t>
  </si>
  <si>
    <t>พิมาย 2</t>
  </si>
  <si>
    <t>FC143</t>
  </si>
  <si>
    <t>ธาตุพนม</t>
  </si>
  <si>
    <t>FC156</t>
  </si>
  <si>
    <t>มัญจาคีรี</t>
  </si>
  <si>
    <t>FC192</t>
  </si>
  <si>
    <t>วานรนิวาส</t>
  </si>
  <si>
    <t>FC245</t>
  </si>
  <si>
    <t>สุรินทร์ 2</t>
  </si>
  <si>
    <t>FC291</t>
  </si>
  <si>
    <t>FC ละหานทราย</t>
  </si>
  <si>
    <t>FC329</t>
  </si>
  <si>
    <t>พยัคฆภูมิพิสัย</t>
  </si>
  <si>
    <t>31ED</t>
  </si>
  <si>
    <t>FC หลวงแพ่ง</t>
  </si>
  <si>
    <t>31EF</t>
  </si>
  <si>
    <t>FC นพวงศ์</t>
  </si>
  <si>
    <t>31EC</t>
  </si>
  <si>
    <t>FC คลองด่าน</t>
  </si>
  <si>
    <t>31IH</t>
  </si>
  <si>
    <t>บางแสน 1(FC Type X)</t>
  </si>
  <si>
    <t>3166</t>
  </si>
  <si>
    <t>FC ผาหลวงคอนกรีต 2</t>
  </si>
  <si>
    <t>3153</t>
  </si>
  <si>
    <t>FC เจ้าฟ้า 88</t>
  </si>
  <si>
    <t>3154</t>
  </si>
  <si>
    <t>FC ท่าศาลา-ศิริภัณฑ์</t>
  </si>
  <si>
    <t>3165</t>
  </si>
  <si>
    <t>FC ผาหลวงคอนกรีต</t>
  </si>
  <si>
    <t>3164</t>
  </si>
  <si>
    <t>FC ปากน้ำชุมพร</t>
  </si>
  <si>
    <t>ZZ5A</t>
  </si>
  <si>
    <t>FC ทุ่งตะโก</t>
  </si>
  <si>
    <t>3168</t>
  </si>
  <si>
    <t>FC หนองขรี</t>
  </si>
  <si>
    <t>19AP</t>
  </si>
  <si>
    <t>FC Co-Area แพร่-ร้องกวาง(Type N)</t>
  </si>
  <si>
    <t>ZZU3</t>
  </si>
  <si>
    <t>FC Co-Area แม่สอด-ท่าสายลวด(Type X)</t>
  </si>
  <si>
    <t>14EH</t>
  </si>
  <si>
    <t>FC อุดร-มิตรภาพ3 (Type N)</t>
  </si>
  <si>
    <t>ZZP6</t>
  </si>
  <si>
    <t>FC เมืองเลย2 (Type N)</t>
  </si>
  <si>
    <t>ZZP1</t>
  </si>
  <si>
    <t>FC เขื่อนอุบลรัตน์ (Type N)</t>
  </si>
  <si>
    <t>ZZS6</t>
  </si>
  <si>
    <t>FC อุบลชยางกูร (Type N)</t>
  </si>
  <si>
    <t>31P2</t>
  </si>
  <si>
    <t>FC อุดรธานี (Type N)</t>
  </si>
  <si>
    <t>ZZP4</t>
  </si>
  <si>
    <t>FC ขอนแก่น2 (Type N)</t>
  </si>
  <si>
    <t>ZZP3</t>
  </si>
  <si>
    <t>FC ขอนแก่น1 (Type N)</t>
  </si>
  <si>
    <t>ZZS2</t>
  </si>
  <si>
    <t>FC โนนศิลา (Type N)</t>
  </si>
  <si>
    <t>ZZP8</t>
  </si>
  <si>
    <t>FC หนองเรือ (Type N)</t>
  </si>
  <si>
    <t>ZZS3</t>
  </si>
  <si>
    <t>FC  เกษตรผล อุดร 2 (Type N)</t>
  </si>
  <si>
    <t>14IU</t>
  </si>
  <si>
    <t xml:space="preserve">FC พล (Type N) </t>
  </si>
  <si>
    <t>ZZS1</t>
  </si>
  <si>
    <t>FC ภูเวียง (Type N)</t>
  </si>
  <si>
    <t>ZZP2</t>
  </si>
  <si>
    <t>FC น้ำพอง (Type N)</t>
  </si>
  <si>
    <t>ZZS5</t>
  </si>
  <si>
    <t xml:space="preserve">FC อุดร - นิคมสงเคราะห์  (Type N) </t>
  </si>
  <si>
    <t>ZZS4</t>
  </si>
  <si>
    <t xml:space="preserve">FC อุดร - นาข่า  (Type N) </t>
  </si>
  <si>
    <t>ZZP9</t>
  </si>
  <si>
    <t>FC นครพนม3 (Type N)</t>
  </si>
  <si>
    <t>14EI</t>
  </si>
  <si>
    <t>น้ำพองมิตรภาพ (Type N)</t>
  </si>
  <si>
    <t>ZZP5</t>
  </si>
  <si>
    <t>FC ท่าพระ (Type N)</t>
  </si>
  <si>
    <t>กรุงเทพ</t>
  </si>
  <si>
    <t>ตะวันตก</t>
  </si>
  <si>
    <t>ตะวันออก</t>
  </si>
  <si>
    <t>ใต้</t>
  </si>
  <si>
    <t>เหนือ</t>
  </si>
  <si>
    <t>อีสาน</t>
  </si>
  <si>
    <t xml:space="preserve">FC254 : พนมทวน </t>
  </si>
  <si>
    <t>FC307</t>
  </si>
  <si>
    <t>มาบประชัน 2</t>
  </si>
  <si>
    <t>3167</t>
  </si>
  <si>
    <t xml:space="preserve">FC เจ้าฟ้าภูเก็ต </t>
  </si>
  <si>
    <t xml:space="preserve">FC344 : FC ปะคำ </t>
  </si>
  <si>
    <t>FR252 : หจก.นาซ่า คอนกรีต</t>
  </si>
  <si>
    <t>FR172 : หจก.ส.ปราณี(คอนกรีต)</t>
  </si>
  <si>
    <t>FR316 : หจก.เก้ามังกร คอนสตรัคชั่น</t>
  </si>
  <si>
    <t>FR139 : หจก.เนรมิตวัสดุ(สำนักงานใหญ่)</t>
  </si>
  <si>
    <t>FR299 : หจก.พงษ์ศราคอนกรีต</t>
  </si>
  <si>
    <t>FC364 : แม่แจ่ม (Type M)</t>
  </si>
  <si>
    <t>FR055 : บจก.ขนอมคอนกรีต 2000</t>
  </si>
  <si>
    <t>FC347 : ชาติตระการ(FC Type M)</t>
  </si>
  <si>
    <t>FR310 : หจก.กิจเจริญคอนกรีต(2558)</t>
  </si>
  <si>
    <t>FC373 : เนินมะปราง (Type M)</t>
  </si>
  <si>
    <t>FC031 : FC สีคิ้ว</t>
  </si>
  <si>
    <t>FC050 : FC พิมาย 2</t>
  </si>
  <si>
    <t>FC114 : FC สีดา</t>
  </si>
  <si>
    <t>FC144 : FC ชุมพวง</t>
  </si>
  <si>
    <t>FC157 : FC จักราช</t>
  </si>
  <si>
    <t>FC266 : FC บัวใหญ่</t>
  </si>
  <si>
    <t>FC320 : FC ประทาย</t>
  </si>
  <si>
    <t>FC339 : FC คง</t>
  </si>
  <si>
    <t>FC014 : FC แก้งคร้อ</t>
  </si>
  <si>
    <t>FC274 : FC บ้านแท่น</t>
  </si>
  <si>
    <t>FC001 : FCชุมแพ</t>
  </si>
  <si>
    <t>FC243 : FCสีชมพู</t>
  </si>
  <si>
    <t>FC090 : FC สุรินทร์</t>
  </si>
  <si>
    <t>FC113 : FC ท่าตูม</t>
  </si>
  <si>
    <t>FC147 : FC ลำปลายมาศ</t>
  </si>
  <si>
    <t>FC245 : FC สุรินทร์ 2</t>
  </si>
  <si>
    <t>FC002 : FC กันทรลักษ์</t>
  </si>
  <si>
    <t>FC290 : FC น้ำยืน</t>
  </si>
  <si>
    <t>FC041 : FC ศรีสะเกษ</t>
  </si>
  <si>
    <t>FC022 : FC สว่างแดนดิน</t>
  </si>
  <si>
    <t>FC181 : FC อำนาจเจริญ 2</t>
  </si>
  <si>
    <t>FC285 : FC ปทุมราชวงศา</t>
  </si>
  <si>
    <t>FC141 : FCกาฬสินธุ์</t>
  </si>
  <si>
    <t>FC193 : FCสมเด็จ</t>
  </si>
  <si>
    <t>FC288 : FC ยางตลาด</t>
  </si>
  <si>
    <t>FC143 : FC ธาตุพนม</t>
  </si>
  <si>
    <t>FC179 : FC บำเหน็จณรงค์</t>
  </si>
  <si>
    <t>FC192 : FC วานรนิวาส</t>
  </si>
  <si>
    <t>FC188 : FC เลิงนกทา</t>
  </si>
  <si>
    <t>FC189 : FC ตระการพืชผล</t>
  </si>
  <si>
    <t>FC222 : FC เขมราฐ</t>
  </si>
  <si>
    <t>FC225 : FC ศรีวิไล</t>
  </si>
  <si>
    <t>FC231 : FC โนนคูณ</t>
  </si>
  <si>
    <t>FC232 : FC บ้านผือ</t>
  </si>
  <si>
    <t>FC242 : FC ภูเรือ</t>
  </si>
  <si>
    <t>FC258 : FC บ้านแพง</t>
  </si>
  <si>
    <t>FC260 : FC ศรีธาตุ</t>
  </si>
  <si>
    <t>FC305 : FC วังสามหมอ</t>
  </si>
  <si>
    <t>FC267 : FC พรเจริญ</t>
  </si>
  <si>
    <t>FC268 : FC อุทุมพรพิสัย</t>
  </si>
  <si>
    <t>FC283 : FCหนองสองห้อง</t>
  </si>
  <si>
    <t>FC313 : FCวาปีปทุม</t>
  </si>
  <si>
    <t>FC286 : FC ภูกระดึง</t>
  </si>
  <si>
    <t>FC292 : FCสุวรรณภูมิ</t>
  </si>
  <si>
    <t>FC296 : FC ปากชม</t>
  </si>
  <si>
    <t>FC314 : FC ท่าอุเทน</t>
  </si>
  <si>
    <t>FC321 : FCแวงน้อย</t>
  </si>
  <si>
    <t>FC324 : FCนาเชือก</t>
  </si>
  <si>
    <t>FC325 : FC เพ็ญ</t>
  </si>
  <si>
    <t>FC379 : FC หนองบัวลำภู</t>
  </si>
  <si>
    <t>FR255 : บจก.จงเจริญ คอนกรีต</t>
  </si>
  <si>
    <t>FC329 : FCพยัคฆภูมิพิสัย</t>
  </si>
  <si>
    <t>FC351 : FCโพนทอง</t>
  </si>
  <si>
    <t>FC354 : FC ด่านขุนทด</t>
  </si>
  <si>
    <t>FC358 : FC โพนพิสัย</t>
  </si>
  <si>
    <t>FC359 : FC เสิงสาง</t>
  </si>
  <si>
    <t>FC361 : FC โพนสวรรค์</t>
  </si>
  <si>
    <t>FC376 : FC จัตุรัส</t>
  </si>
  <si>
    <t>FR315 : บจก.สบปราบรุ่งเรืองคอนกรีต</t>
  </si>
  <si>
    <t>FC374 : ลำปาง-สบปราบ</t>
  </si>
  <si>
    <t>FR314 : บจก.นอร์ทเทิร์น แมททีเรียล แอนด์ คอนกรีต</t>
  </si>
  <si>
    <t>19FE : ลำปาง-แม่ทะ(ผาลาด)(FC Co-Area Type X)</t>
  </si>
  <si>
    <t>FC382 : หนองบัว 2</t>
  </si>
  <si>
    <t>FR002024</t>
  </si>
  <si>
    <t>FR002030</t>
  </si>
  <si>
    <t>FR002018</t>
  </si>
  <si>
    <t>FR002032</t>
  </si>
  <si>
    <t>FR002033</t>
  </si>
  <si>
    <t>FR002034</t>
  </si>
  <si>
    <t>FR002035</t>
  </si>
  <si>
    <t>FR002027</t>
  </si>
  <si>
    <t>FR002031</t>
  </si>
  <si>
    <t>FR003006</t>
  </si>
  <si>
    <t>FR003007</t>
  </si>
  <si>
    <t>FR004005</t>
  </si>
  <si>
    <t>FR004006</t>
  </si>
  <si>
    <t>FR005003</t>
  </si>
  <si>
    <t>FR006002</t>
  </si>
  <si>
    <t>FR006009</t>
  </si>
  <si>
    <t>FR006008</t>
  </si>
  <si>
    <t>FR006011</t>
  </si>
  <si>
    <t>FR008005</t>
  </si>
  <si>
    <t>FR010002</t>
  </si>
  <si>
    <t>FR010005</t>
  </si>
  <si>
    <t>FR010007</t>
  </si>
  <si>
    <t>FR010023</t>
  </si>
  <si>
    <t>FR010045</t>
  </si>
  <si>
    <t>FR010039</t>
  </si>
  <si>
    <t>FR012008</t>
  </si>
  <si>
    <t>FR012007</t>
  </si>
  <si>
    <t>FR012009</t>
  </si>
  <si>
    <t>FR012028</t>
  </si>
  <si>
    <t>FR012027</t>
  </si>
  <si>
    <t>FR014009</t>
  </si>
  <si>
    <t>FR014008</t>
  </si>
  <si>
    <t>FR014010</t>
  </si>
  <si>
    <t>FR015008</t>
  </si>
  <si>
    <t>FR017014</t>
  </si>
  <si>
    <t>FR017013</t>
  </si>
  <si>
    <t>FR017015</t>
  </si>
  <si>
    <t>FR017009</t>
  </si>
  <si>
    <t>FR019002</t>
  </si>
  <si>
    <t>FR021006</t>
  </si>
  <si>
    <t>FR023005</t>
  </si>
  <si>
    <t>FR023010</t>
  </si>
  <si>
    <t>FR023016</t>
  </si>
  <si>
    <t>FR024018</t>
  </si>
  <si>
    <t>FR024020</t>
  </si>
  <si>
    <t>FR024021</t>
  </si>
  <si>
    <t>FR025030</t>
  </si>
  <si>
    <t>FR025012</t>
  </si>
  <si>
    <t>FR025027</t>
  </si>
  <si>
    <t>FR025024</t>
  </si>
  <si>
    <t>FR025021</t>
  </si>
  <si>
    <t>FR025029</t>
  </si>
  <si>
    <t>FR025022</t>
  </si>
  <si>
    <t>FR025028</t>
  </si>
  <si>
    <t>FR026020</t>
  </si>
  <si>
    <t>FR027018</t>
  </si>
  <si>
    <t>FR027010</t>
  </si>
  <si>
    <t>FR027008</t>
  </si>
  <si>
    <t>FR032008</t>
  </si>
  <si>
    <t>FR032003</t>
  </si>
  <si>
    <t>FR032013</t>
  </si>
  <si>
    <t>FR033018</t>
  </si>
  <si>
    <t>FR033016</t>
  </si>
  <si>
    <t>FR035011</t>
  </si>
  <si>
    <t>FR036046</t>
  </si>
  <si>
    <t>FR036050</t>
  </si>
  <si>
    <t>FR036043</t>
  </si>
  <si>
    <t>FR036037</t>
  </si>
  <si>
    <t>FR036044</t>
  </si>
  <si>
    <t>FR036049</t>
  </si>
  <si>
    <t>FR036012</t>
  </si>
  <si>
    <t>FR036047</t>
  </si>
  <si>
    <t>FR036048</t>
  </si>
  <si>
    <t>FR036031</t>
  </si>
  <si>
    <t>FR036036</t>
  </si>
  <si>
    <t>FR036002</t>
  </si>
  <si>
    <t>FR036033</t>
  </si>
  <si>
    <t>FR036041</t>
  </si>
  <si>
    <t>FR036028</t>
  </si>
  <si>
    <t>FR036030</t>
  </si>
  <si>
    <t>FR036026</t>
  </si>
  <si>
    <t>FR036035</t>
  </si>
  <si>
    <t>FR036051</t>
  </si>
  <si>
    <t>FR036052</t>
  </si>
  <si>
    <t>FR036054</t>
  </si>
  <si>
    <t>FR038008</t>
  </si>
  <si>
    <t>FR038002</t>
  </si>
  <si>
    <t>FR039003</t>
  </si>
  <si>
    <t>FR039005</t>
  </si>
  <si>
    <t>FR040002</t>
  </si>
  <si>
    <t>FR045006</t>
  </si>
  <si>
    <t>FR045007</t>
  </si>
  <si>
    <t>FR045020</t>
  </si>
  <si>
    <t>FR045014</t>
  </si>
  <si>
    <t>FR045018</t>
  </si>
  <si>
    <t>FR045016</t>
  </si>
  <si>
    <t>FR045017</t>
  </si>
  <si>
    <t>FR045010</t>
  </si>
  <si>
    <t>FR047012</t>
  </si>
  <si>
    <t>FR047011</t>
  </si>
  <si>
    <t>FR047013</t>
  </si>
  <si>
    <t>FR047014</t>
  </si>
  <si>
    <t>FR048004</t>
  </si>
  <si>
    <t>FR053002</t>
  </si>
  <si>
    <t>FR055003</t>
  </si>
  <si>
    <t>FR063001</t>
  </si>
  <si>
    <t>FR066009</t>
  </si>
  <si>
    <t>FR069008</t>
  </si>
  <si>
    <t>FR069009</t>
  </si>
  <si>
    <t>FR069011</t>
  </si>
  <si>
    <t>FR069010</t>
  </si>
  <si>
    <t>FR070009</t>
  </si>
  <si>
    <t>FR070010</t>
  </si>
  <si>
    <t>FR070008</t>
  </si>
  <si>
    <t>FR074007</t>
  </si>
  <si>
    <t>FR074008</t>
  </si>
  <si>
    <t>FR076003</t>
  </si>
  <si>
    <t>FR076004</t>
  </si>
  <si>
    <t>FR083003</t>
  </si>
  <si>
    <t>FR084009</t>
  </si>
  <si>
    <t>FR084013</t>
  </si>
  <si>
    <t>FR084014</t>
  </si>
  <si>
    <t>FR084018</t>
  </si>
  <si>
    <t>FR084019</t>
  </si>
  <si>
    <t>FR084017</t>
  </si>
  <si>
    <t>FR091011</t>
  </si>
  <si>
    <t>FR091004</t>
  </si>
  <si>
    <t>FR093009</t>
  </si>
  <si>
    <t>FR093008</t>
  </si>
  <si>
    <t>FR093007</t>
  </si>
  <si>
    <t>FR094002</t>
  </si>
  <si>
    <t>FR094003</t>
  </si>
  <si>
    <t>FR094006</t>
  </si>
  <si>
    <t>FR094022</t>
  </si>
  <si>
    <t>FR094005</t>
  </si>
  <si>
    <t>FR094021</t>
  </si>
  <si>
    <t>FR094020</t>
  </si>
  <si>
    <t>FR094023</t>
  </si>
  <si>
    <t>FR100002</t>
  </si>
  <si>
    <t>FR101011</t>
  </si>
  <si>
    <t>FR101032</t>
  </si>
  <si>
    <t>FR102004</t>
  </si>
  <si>
    <t>FR107010</t>
  </si>
  <si>
    <t>FR107009</t>
  </si>
  <si>
    <t>FR109004</t>
  </si>
  <si>
    <t>FR113020</t>
  </si>
  <si>
    <t>FR113015</t>
  </si>
  <si>
    <t>FR113023</t>
  </si>
  <si>
    <t>FR113006</t>
  </si>
  <si>
    <t>FR118005</t>
  </si>
  <si>
    <t>FR120017</t>
  </si>
  <si>
    <t>FR123005</t>
  </si>
  <si>
    <t>FR123006</t>
  </si>
  <si>
    <t>FR125006</t>
  </si>
  <si>
    <t>FR125004</t>
  </si>
  <si>
    <t>FR129015</t>
  </si>
  <si>
    <t>FR129016</t>
  </si>
  <si>
    <t>FR129007</t>
  </si>
  <si>
    <t>FR129022</t>
  </si>
  <si>
    <t>FR129002</t>
  </si>
  <si>
    <t>FR129003</t>
  </si>
  <si>
    <t>FR129004</t>
  </si>
  <si>
    <t>FR129021</t>
  </si>
  <si>
    <t>FR129020</t>
  </si>
  <si>
    <t>FR136004</t>
  </si>
  <si>
    <t>FR137001</t>
  </si>
  <si>
    <t>FR137003</t>
  </si>
  <si>
    <t>FR137004</t>
  </si>
  <si>
    <t>FR138001</t>
  </si>
  <si>
    <t>FR138008</t>
  </si>
  <si>
    <t>FR138003</t>
  </si>
  <si>
    <t>FR139006</t>
  </si>
  <si>
    <t>FR139007</t>
  </si>
  <si>
    <t>FR139011</t>
  </si>
  <si>
    <t>FR139002</t>
  </si>
  <si>
    <t>FR139004</t>
  </si>
  <si>
    <t>FR139009</t>
  </si>
  <si>
    <t>FR139008</t>
  </si>
  <si>
    <t>FR140009</t>
  </si>
  <si>
    <t>FR141041</t>
  </si>
  <si>
    <t>FR141049</t>
  </si>
  <si>
    <t>FR141035</t>
  </si>
  <si>
    <t>FR141028</t>
  </si>
  <si>
    <t>FR141039</t>
  </si>
  <si>
    <t>FR144003</t>
  </si>
  <si>
    <t>FR148005</t>
  </si>
  <si>
    <t>FR149005</t>
  </si>
  <si>
    <t>FR149007</t>
  </si>
  <si>
    <t>FR149004</t>
  </si>
  <si>
    <t>FR150008</t>
  </si>
  <si>
    <t>FR155005</t>
  </si>
  <si>
    <t>FR156005</t>
  </si>
  <si>
    <t>FR156012</t>
  </si>
  <si>
    <t>FR156013</t>
  </si>
  <si>
    <t>FR159001</t>
  </si>
  <si>
    <t>FR159002</t>
  </si>
  <si>
    <t>FR160004</t>
  </si>
  <si>
    <t>FR165002</t>
  </si>
  <si>
    <t>FR168006</t>
  </si>
  <si>
    <t>FR169003</t>
  </si>
  <si>
    <t>FR171001</t>
  </si>
  <si>
    <t>FR171002</t>
  </si>
  <si>
    <t>FR175002</t>
  </si>
  <si>
    <t>FR177002</t>
  </si>
  <si>
    <t>FR177003</t>
  </si>
  <si>
    <t>FR182004</t>
  </si>
  <si>
    <t>FR182006</t>
  </si>
  <si>
    <t>FR182008</t>
  </si>
  <si>
    <t>FR182005</t>
  </si>
  <si>
    <t>FR187002</t>
  </si>
  <si>
    <t>FR187003</t>
  </si>
  <si>
    <t>FR191002</t>
  </si>
  <si>
    <t>FR191003</t>
  </si>
  <si>
    <t>FR192001</t>
  </si>
  <si>
    <t>FR192003</t>
  </si>
  <si>
    <t>FR192002</t>
  </si>
  <si>
    <t>FR192004</t>
  </si>
  <si>
    <t>FR192005</t>
  </si>
  <si>
    <t>FR192008</t>
  </si>
  <si>
    <t>FR193027</t>
  </si>
  <si>
    <t>FR193001</t>
  </si>
  <si>
    <t>FR193028</t>
  </si>
  <si>
    <t>FR193007</t>
  </si>
  <si>
    <t>FR193019</t>
  </si>
  <si>
    <t>FR198002</t>
  </si>
  <si>
    <t>FR204004</t>
  </si>
  <si>
    <t>FR208004</t>
  </si>
  <si>
    <t>FR208002</t>
  </si>
  <si>
    <t>FR211004</t>
  </si>
  <si>
    <t>FR214001</t>
  </si>
  <si>
    <t>FR214002</t>
  </si>
  <si>
    <t>FR215002</t>
  </si>
  <si>
    <t>FR215003</t>
  </si>
  <si>
    <t>FR216003</t>
  </si>
  <si>
    <t>FR216002</t>
  </si>
  <si>
    <t>FR216005</t>
  </si>
  <si>
    <t>FR216006</t>
  </si>
  <si>
    <t>FR217006</t>
  </si>
  <si>
    <t>FR217015</t>
  </si>
  <si>
    <t>FR218001</t>
  </si>
  <si>
    <t>FR218002</t>
  </si>
  <si>
    <t>FR219001</t>
  </si>
  <si>
    <t>FR219002</t>
  </si>
  <si>
    <t>FR223002</t>
  </si>
  <si>
    <t>FR223004</t>
  </si>
  <si>
    <t>FR223005</t>
  </si>
  <si>
    <t>FR223003</t>
  </si>
  <si>
    <t>FR225014</t>
  </si>
  <si>
    <t>FR225015</t>
  </si>
  <si>
    <t>FR226005</t>
  </si>
  <si>
    <t>FR226004</t>
  </si>
  <si>
    <t>FR226002</t>
  </si>
  <si>
    <t>FR228003</t>
  </si>
  <si>
    <t>FR228004</t>
  </si>
  <si>
    <t>FR228021</t>
  </si>
  <si>
    <t>FR228006</t>
  </si>
  <si>
    <t>FR228007</t>
  </si>
  <si>
    <t>FR228012</t>
  </si>
  <si>
    <t>FR228013</t>
  </si>
  <si>
    <t>FR228018</t>
  </si>
  <si>
    <t>FR228019</t>
  </si>
  <si>
    <t>FR228025</t>
  </si>
  <si>
    <t>FR228009</t>
  </si>
  <si>
    <t>FR228010</t>
  </si>
  <si>
    <t>FR242001</t>
  </si>
  <si>
    <t>FR242003</t>
  </si>
  <si>
    <t>FR242004</t>
  </si>
  <si>
    <t>FR245001</t>
  </si>
  <si>
    <t>FR248010</t>
  </si>
  <si>
    <t>FR248011</t>
  </si>
  <si>
    <t>FR248009</t>
  </si>
  <si>
    <t>FR249001</t>
  </si>
  <si>
    <t>FR249002</t>
  </si>
  <si>
    <t>FR251002</t>
  </si>
  <si>
    <t>FR251003</t>
  </si>
  <si>
    <t>FR251001</t>
  </si>
  <si>
    <t>FR252001</t>
  </si>
  <si>
    <t>FR255002</t>
  </si>
  <si>
    <t>FR284001</t>
  </si>
  <si>
    <t>FR284004</t>
  </si>
  <si>
    <t>FR285003</t>
  </si>
  <si>
    <t>FR286015</t>
  </si>
  <si>
    <t>FR287003</t>
  </si>
  <si>
    <t>FR287001</t>
  </si>
  <si>
    <t>FR287002</t>
  </si>
  <si>
    <t>FR292003</t>
  </si>
  <si>
    <t>FR293001</t>
  </si>
  <si>
    <t>FR293002</t>
  </si>
  <si>
    <t>FR295001</t>
  </si>
  <si>
    <t>FR295005</t>
  </si>
  <si>
    <t>FR295004</t>
  </si>
  <si>
    <t>FR295002</t>
  </si>
  <si>
    <t>FR296002</t>
  </si>
  <si>
    <t>FR299001</t>
  </si>
  <si>
    <t>FR299003</t>
  </si>
  <si>
    <t>FR305003</t>
  </si>
  <si>
    <t>FR308001</t>
  </si>
  <si>
    <t>FR308000</t>
  </si>
  <si>
    <t>FR308002</t>
  </si>
  <si>
    <t>FR310005</t>
  </si>
  <si>
    <t>FR310011</t>
  </si>
  <si>
    <t>FR314001</t>
  </si>
  <si>
    <t>FR315002</t>
  </si>
  <si>
    <t>FR315001</t>
  </si>
  <si>
    <t>FR315004</t>
  </si>
  <si>
    <t>FR316001</t>
  </si>
  <si>
    <t>ชื่อ - นามสกุล</t>
  </si>
  <si>
    <t>Franchisee</t>
  </si>
  <si>
    <t>อายุงาน (ปี)</t>
  </si>
  <si>
    <t>7</t>
  </si>
  <si>
    <t>1</t>
  </si>
  <si>
    <t>พ.บริการงานผลิต(QC)</t>
  </si>
  <si>
    <t>พ.บริการผลิต(โยธา)</t>
  </si>
  <si>
    <t>10</t>
  </si>
  <si>
    <t>FC111 : ดาวเรือง</t>
  </si>
  <si>
    <t>9</t>
  </si>
  <si>
    <t>6</t>
  </si>
  <si>
    <t>2</t>
  </si>
  <si>
    <t>5</t>
  </si>
  <si>
    <t>8</t>
  </si>
  <si>
    <t>4</t>
  </si>
  <si>
    <t>FR014004</t>
  </si>
  <si>
    <t>FR023017</t>
  </si>
  <si>
    <t>พ.บริการผลิต(Operator)</t>
  </si>
  <si>
    <t>FR023015</t>
  </si>
  <si>
    <t>FR026023</t>
  </si>
  <si>
    <t>FR027014</t>
  </si>
  <si>
    <t>FR027013</t>
  </si>
  <si>
    <t>FR027017</t>
  </si>
  <si>
    <t>3</t>
  </si>
  <si>
    <t>FR045019</t>
  </si>
  <si>
    <t>FR061005</t>
  </si>
  <si>
    <t>FR066006</t>
  </si>
  <si>
    <t>FR069007</t>
  </si>
  <si>
    <t>FR074009</t>
  </si>
  <si>
    <t>FC166 : บ่อทอง (จ.ปัตตานี)</t>
  </si>
  <si>
    <t xml:space="preserve">FC370 : FC เสนางคนิคม </t>
  </si>
  <si>
    <t>FR091009</t>
  </si>
  <si>
    <t xml:space="preserve">FR093 : บจก.ปัญญามาตรฐานคอนกรีต </t>
  </si>
  <si>
    <t>FR093001</t>
  </si>
  <si>
    <t>FR113022</t>
  </si>
  <si>
    <t>FR120016</t>
  </si>
  <si>
    <t>FC199 : นราธิวาส 2</t>
  </si>
  <si>
    <t>FR168007</t>
  </si>
  <si>
    <t>FC388 : หมอนนาง</t>
  </si>
  <si>
    <t>FR168009</t>
  </si>
  <si>
    <t>FR182007</t>
  </si>
  <si>
    <t>FR193025</t>
  </si>
  <si>
    <t>FR223001</t>
  </si>
  <si>
    <t>FR248003</t>
  </si>
  <si>
    <t xml:space="preserve">FC350 : FCเกษตรวิสัย </t>
  </si>
  <si>
    <t>FR287 : หจก.สยาม เค  กรุ๊ป</t>
  </si>
  <si>
    <t>FR308 : บจก.เทพนว</t>
  </si>
  <si>
    <t>FC372 : พญาเม็งราย (Type M)</t>
  </si>
  <si>
    <t>FC389</t>
  </si>
  <si>
    <t>FC388</t>
  </si>
  <si>
    <t>FC369</t>
  </si>
  <si>
    <t>FC376</t>
  </si>
  <si>
    <t>FC375</t>
  </si>
  <si>
    <t>FC383</t>
  </si>
  <si>
    <t>FC387</t>
  </si>
  <si>
    <t>FC378</t>
  </si>
  <si>
    <t>FC370</t>
  </si>
  <si>
    <t>FC377</t>
  </si>
  <si>
    <t>FC380</t>
  </si>
  <si>
    <t>FC379</t>
  </si>
  <si>
    <t>14H3</t>
  </si>
  <si>
    <t>FC386</t>
  </si>
  <si>
    <t>FC022</t>
  </si>
  <si>
    <t>FC381</t>
  </si>
  <si>
    <t>FC364</t>
  </si>
  <si>
    <t>FC372</t>
  </si>
  <si>
    <t>FC374</t>
  </si>
  <si>
    <t>FC382</t>
  </si>
  <si>
    <t>ZZTA</t>
  </si>
  <si>
    <t>19FJ</t>
  </si>
  <si>
    <t>19FD</t>
  </si>
  <si>
    <t>19FE</t>
  </si>
  <si>
    <t>FC390</t>
  </si>
  <si>
    <t>FC395</t>
  </si>
  <si>
    <t>FC391</t>
  </si>
  <si>
    <t>FC393</t>
  </si>
  <si>
    <t>บจก.เจเอ็นเจพี ซิเมนต์</t>
  </si>
  <si>
    <t>บจก.เอส.เอส.พี.(072) คอนสตรัคชั่น</t>
  </si>
  <si>
    <t>คลองด่าน</t>
  </si>
  <si>
    <t>หจก.เพาเวอร์ แลนด์ คอนกรีต</t>
  </si>
  <si>
    <t>บจก.สหชัยธุรกิจก่อสร้าง 1993</t>
  </si>
  <si>
    <t>โคกสำโรง</t>
  </si>
  <si>
    <t>บจก.นิธิศพันธ์</t>
  </si>
  <si>
    <t>บจก.ศุภภัณฑ์คอนกรีต</t>
  </si>
  <si>
    <t>หจก.ดวงแสงทองคอนกรีต</t>
  </si>
  <si>
    <t>บ้านหมอ 2</t>
  </si>
  <si>
    <t>บจก.บี.เอ.ซี.คอนกรีต</t>
  </si>
  <si>
    <t>บ้านอำเภอ 1</t>
  </si>
  <si>
    <t>บ้านอำเภอ 2</t>
  </si>
  <si>
    <t>มาบประชัน 1</t>
  </si>
  <si>
    <t>บจก.พี.เอส.ดี.คอนกรีตโปรดักส์</t>
  </si>
  <si>
    <t>หมอนนาง</t>
  </si>
  <si>
    <t>บจก.หนองใหญ่คอนกรีต</t>
  </si>
  <si>
    <t>บ้านบึง 2</t>
  </si>
  <si>
    <t>หจก.ท.ทวีทรัพย์คอนกรีต</t>
  </si>
  <si>
    <t>บางน้ำเปรี้ยว 1</t>
  </si>
  <si>
    <t>บจก.นิติมงคลคอนกรีต</t>
  </si>
  <si>
    <t>หจก.บุญทวีพนมคอนกรีต</t>
  </si>
  <si>
    <t>หจก.บุญทวีคอนกรีต</t>
  </si>
  <si>
    <t>บจก.กฤษฎ์ศุภณัฐ</t>
  </si>
  <si>
    <t>หจก.เกาะช้างคอนกรีต</t>
  </si>
  <si>
    <t>บจก.บางแสนมหานคร ผลิตภัณฑ์คอนกรีต</t>
  </si>
  <si>
    <t>บางแสน 1</t>
  </si>
  <si>
    <t>บจก.อีสต์บลู</t>
  </si>
  <si>
    <t>บจก.เคแพคคอนกรีต 2004</t>
  </si>
  <si>
    <t>หจก.งามยิ่งเจริญคอนกรีต</t>
  </si>
  <si>
    <t>บจก.วรวิทย์คอนกรีต</t>
  </si>
  <si>
    <t>บจก.ต.แสงพัฒนาคอนกรีต</t>
  </si>
  <si>
    <t>บจก.ซี.แอล.คอนกรีต</t>
  </si>
  <si>
    <t>บจก.กอวัฒนาคอนกรีต</t>
  </si>
  <si>
    <t>พนมทวน</t>
  </si>
  <si>
    <t>บจก.ช.พรประสิทธิ์</t>
  </si>
  <si>
    <t>หจก.ร่อนทองชัย</t>
  </si>
  <si>
    <t>บจก.เบญจพลชัยคอนกรีต</t>
  </si>
  <si>
    <t>บจก.จิรดีผลิตภัณฑ์คอนกรีต</t>
  </si>
  <si>
    <t>บจก.ว.บัญชา คอนสตรัคชั่น</t>
  </si>
  <si>
    <t>หจก.ศิริภัณฑ์บางสะพานคอนกรีต</t>
  </si>
  <si>
    <t>หจก.เรืองชัยคอนกรีต</t>
  </si>
  <si>
    <t>หจก.บุญพลกิจ คอนกรีต</t>
  </si>
  <si>
    <t>หจก.ทวิภัณฑ์ฮอดคอนกรีต</t>
  </si>
  <si>
    <t>หจก.ชื่นชูไพรคอนกรีต</t>
  </si>
  <si>
    <t>หจก.ทองคอนส์ซัพพลาย</t>
  </si>
  <si>
    <t>ลี้แม่ตืน</t>
  </si>
  <si>
    <t>บจก.ซีแมทคอนกรีต</t>
  </si>
  <si>
    <t>บจก.ดวงแสงทอง</t>
  </si>
  <si>
    <t>บจก.เม็งรายคอนกรีต</t>
  </si>
  <si>
    <t>หจก.เชียงคำคอนกรีต(2011)</t>
  </si>
  <si>
    <t>หจก.สุเกียวคอนกรีต</t>
  </si>
  <si>
    <t>หจก.จักรภัทรคอนกรีต</t>
  </si>
  <si>
    <t>หจก.ส.พงษ์เจริญคอนกรีตผสมเสร็จ</t>
  </si>
  <si>
    <t>หจก.ม.บุญทำพานิช</t>
  </si>
  <si>
    <t>หจก.บรรจงกิจคอนกรีต</t>
  </si>
  <si>
    <t>บจก.วังทองเซอร์วิส</t>
  </si>
  <si>
    <t>บจก.รุ่งวิชัยคอนกรีต</t>
  </si>
  <si>
    <t>หจก.ไทยสมบูรณ์ บิ๊กโฮม คอนกรีต</t>
  </si>
  <si>
    <t>บจก.เจริญภัณฑ์ผลิตคอนกรีต</t>
  </si>
  <si>
    <t>หนองบัว 2</t>
  </si>
  <si>
    <t>หจก.คณฑาทองการโยธา</t>
  </si>
  <si>
    <t>บ้านไร่ 1</t>
  </si>
  <si>
    <t>หจก.ศรีเทพคอนกรีตผสมเสร็จ</t>
  </si>
  <si>
    <t>บจก.ตึกน้ำเงินคอนกรีต</t>
  </si>
  <si>
    <t>หจก.มังกรทองคอนกรีต</t>
  </si>
  <si>
    <t>หจก.ณัฐชูพงศ์คอนกรีต</t>
  </si>
  <si>
    <t>บจก.วีคอนกรีต</t>
  </si>
  <si>
    <t>หจก.จรูญคอนกรีต</t>
  </si>
  <si>
    <t xml:space="preserve">หจก.ที เอ็น ดับเบิ้ลยู เชียงดาวก่อสร้าง </t>
  </si>
  <si>
    <t>หจก.เกษมชัยพานิช</t>
  </si>
  <si>
    <t>หจก.ปงคอนกรีต</t>
  </si>
  <si>
    <t xml:space="preserve">หจก.ชุมพลวัสดุก่อสร้าง </t>
  </si>
  <si>
    <t>หจก.เจเอ็นเพาเวอร์ คอนกรีต</t>
  </si>
  <si>
    <t>หจก.ดับเบิ้ลยูซี คอนกรีต</t>
  </si>
  <si>
    <t xml:space="preserve">หจก.กิจเจริญคอนกรีต(2558)
</t>
  </si>
  <si>
    <t>หจก.พงษ์ศราคอนกรีต</t>
  </si>
  <si>
    <t>หจก.เอ็นพี วัสดุก่อสร้าง</t>
  </si>
  <si>
    <t>ลำปาง-สบปราบ</t>
  </si>
  <si>
    <t>บจก.เทพนว</t>
  </si>
  <si>
    <t>หจก.พี ดี คอนกรีต</t>
  </si>
  <si>
    <t>บจก.เอ็น.ดี.พี.เอ็นจิเนียริ่ง</t>
  </si>
  <si>
    <t>หจก.เจริญพัฒนา</t>
  </si>
  <si>
    <t>หจก.เจตนะธรรมค้าไม้</t>
  </si>
  <si>
    <t>หจก.อังครงค์รักษ์พาณิชย์</t>
  </si>
  <si>
    <t>หจก.ผาน้ำเที่ยง</t>
  </si>
  <si>
    <t>หจก.ภูเวียงคอนกรีต</t>
  </si>
  <si>
    <t>หจก.ซีเมนต์ทอง 2543</t>
  </si>
  <si>
    <t>หจก.พลังเพชร (2009)</t>
  </si>
  <si>
    <t>บจก.แซ่หวัง(ปักกิ่ง)คอนกรีต</t>
  </si>
  <si>
    <t>หจก.จำลองชัยคอนกรีต</t>
  </si>
  <si>
    <t>บจก.เจ.เค.คอนกรีต</t>
  </si>
  <si>
    <t>บจก.คูย่งฮวด (1995)</t>
  </si>
  <si>
    <t>สุรินทร์ 1</t>
  </si>
  <si>
    <t>บจก.คูย่งฮวด อุดรธานี</t>
  </si>
  <si>
    <t>หจก.เค.ที.เอส.ผลิตภัณฑ์คอนกรีต</t>
  </si>
  <si>
    <t>น้ำพอง</t>
  </si>
  <si>
    <t>ขอนแก่น 1</t>
  </si>
  <si>
    <t>ขอนแก่น 2</t>
  </si>
  <si>
    <t>ท่าพระ</t>
  </si>
  <si>
    <t>หจก.เจริญศิลป์เคหะละหานทราย</t>
  </si>
  <si>
    <t>ละหานทราย</t>
  </si>
  <si>
    <t>หจก.เนรมิตวัสดุก่อสร้าง</t>
  </si>
  <si>
    <t>บจก.บุษยาคอนกรีต อำนาจเจริญ</t>
  </si>
  <si>
    <t>อำนาจเจริญ 1</t>
  </si>
  <si>
    <t>เสนางคนิคม M</t>
  </si>
  <si>
    <t>หจก.พัฒนกิจคอนกรีต</t>
  </si>
  <si>
    <t>หจก.เอส พี เค คอนกรีต</t>
  </si>
  <si>
    <t>หจก.ว.รามฤทธิรงค์ เอ็นจิเนียริ่ง</t>
  </si>
  <si>
    <t>หจก.สมจินตนาวงษ์เจริญ คอนกรีต</t>
  </si>
  <si>
    <t>หนองกุงศรี</t>
  </si>
  <si>
    <t>บจก.ซี.ซี.คอนกรีต</t>
  </si>
  <si>
    <t xml:space="preserve">ภูเรือ </t>
  </si>
  <si>
    <t>หจก.ส.ปราณี(คอนกรีต)</t>
  </si>
  <si>
    <t>หจก.นาซ่าคอนกรีต</t>
  </si>
  <si>
    <t>หนองบัวลำภู</t>
  </si>
  <si>
    <t>หจก.บิ๊ก.เอส.คอนกรีต</t>
  </si>
  <si>
    <t>หจก.ขุนคลังคอนกรีต</t>
  </si>
  <si>
    <t>บจก.เมโทรพาวเวอร์คอนกรีต</t>
  </si>
  <si>
    <t>บจก.สมยงคอนกรีต</t>
  </si>
  <si>
    <t>บจก.จำลองชัยโฮมเซ็นเตอร์</t>
  </si>
  <si>
    <t>บจก.สิริพัฒน์ บิวดิ้ง</t>
  </si>
  <si>
    <t>นครพนม 3</t>
  </si>
  <si>
    <t>หจก.สมพรพาณิชย์ คอนกรีต</t>
  </si>
  <si>
    <t>หจก.ชัยวัฒน์เซ่งฮะเซียง</t>
  </si>
  <si>
    <t>บจก.ประทุมศิริ ซิเมนต์</t>
  </si>
  <si>
    <t>หจก.หงษ์ทองสว่างคอนกรีต</t>
  </si>
  <si>
    <t>หจก.สยาม เค กรุ๊ป</t>
  </si>
  <si>
    <t>จัตุรัส</t>
  </si>
  <si>
    <t>หจก.เคพีอาร์ คอนกรีต</t>
  </si>
  <si>
    <t>บจก.เป เป้ คอนกรีต</t>
  </si>
  <si>
    <t>สว่างแดนดิน</t>
  </si>
  <si>
    <t>หจก.นครพัฒน์ คอนกรีต</t>
  </si>
  <si>
    <t>บจก.กนกนภาคอนกรีต</t>
  </si>
  <si>
    <t>บจก.ซีมิกซ์คอนกรีต</t>
  </si>
  <si>
    <t>บจก.ทวีสินคอนกรีต</t>
  </si>
  <si>
    <t>บจก.ไชยาคอนกรีต</t>
  </si>
  <si>
    <t>บจก.ชุมพรไถ่เชียงคอนกรีต</t>
  </si>
  <si>
    <t>บจก.คอนกรีตซีแพคระนอง</t>
  </si>
  <si>
    <t>บจก.ผาหลวงคอนกรีต</t>
  </si>
  <si>
    <t>หจก.ลิ้มปิพงษ์ค้าวัสดุก่อสร้างและคอนกรีต</t>
  </si>
  <si>
    <t>เกาะพะงัน</t>
  </si>
  <si>
    <t>บจก.พุนพินมาตรฐานคอนกรีต</t>
  </si>
  <si>
    <t>บจก.ปัญญามาตรฐานคอนกรีต</t>
  </si>
  <si>
    <t>หจก.ขนอมคอนกรีต 2000</t>
  </si>
  <si>
    <t>บจก.เจริญสหกิจหัวไทร</t>
  </si>
  <si>
    <t>ชะอวด 1</t>
  </si>
  <si>
    <t>บจก.ลันตามิกซ์คอน</t>
  </si>
  <si>
    <t>หจก.พังงาซีแพค</t>
  </si>
  <si>
    <t>บจก.สตูลผลิตภัณฑ์คอนกรีต</t>
  </si>
  <si>
    <t>บจก.พีระวัฒน์คอนกรีต</t>
  </si>
  <si>
    <t>บจก.โยธาวิทย์ โฮมเซ็นเตอร์</t>
  </si>
  <si>
    <t>ทุ่งตะโก</t>
  </si>
  <si>
    <t>หจก.นราธิวาสทักษิณคอนกรีต</t>
  </si>
  <si>
    <t>บจก.ปัตตานีคอนกรีต</t>
  </si>
  <si>
    <t>หจก.พิชัยอุปกรณ์ก่อสร้าง</t>
  </si>
  <si>
    <t>หจก.วี.วี.เอ็มคอนกรีต</t>
  </si>
  <si>
    <t>FR002005</t>
  </si>
  <si>
    <t>พนักงานบริการโรงงาน</t>
  </si>
  <si>
    <t>21</t>
  </si>
  <si>
    <t>FR002011</t>
  </si>
  <si>
    <t>11</t>
  </si>
  <si>
    <t>FR002008</t>
  </si>
  <si>
    <t>12</t>
  </si>
  <si>
    <t>FR003005</t>
  </si>
  <si>
    <t>16</t>
  </si>
  <si>
    <t>FR004004</t>
  </si>
  <si>
    <t>FR005002</t>
  </si>
  <si>
    <t>14</t>
  </si>
  <si>
    <t>FR006003</t>
  </si>
  <si>
    <t>FR006010</t>
  </si>
  <si>
    <t>พนักงานบริการงานรับจ่าย</t>
  </si>
  <si>
    <t>FR008001</t>
  </si>
  <si>
    <t>17</t>
  </si>
  <si>
    <t>FR008003</t>
  </si>
  <si>
    <t>29</t>
  </si>
  <si>
    <t>FR010006</t>
  </si>
  <si>
    <t>FR010017</t>
  </si>
  <si>
    <t>FC117 : บ้านอำเภอ2</t>
  </si>
  <si>
    <t>13</t>
  </si>
  <si>
    <t>FR012012</t>
  </si>
  <si>
    <t>19</t>
  </si>
  <si>
    <t>FR012001</t>
  </si>
  <si>
    <t>FR012011</t>
  </si>
  <si>
    <t>23</t>
  </si>
  <si>
    <t>FR012023</t>
  </si>
  <si>
    <t>18</t>
  </si>
  <si>
    <t>FR014002</t>
  </si>
  <si>
    <t>FR014001</t>
  </si>
  <si>
    <t>FR014003</t>
  </si>
  <si>
    <t>FR015003</t>
  </si>
  <si>
    <t>FR015004</t>
  </si>
  <si>
    <t>FR017003</t>
  </si>
  <si>
    <t>FC092 : อู่ทอง</t>
  </si>
  <si>
    <t>FR017004</t>
  </si>
  <si>
    <t>FR017005</t>
  </si>
  <si>
    <t>FR017008</t>
  </si>
  <si>
    <t>FR019001</t>
  </si>
  <si>
    <t>24</t>
  </si>
  <si>
    <t>FR019005</t>
  </si>
  <si>
    <t>FR020001</t>
  </si>
  <si>
    <t>FR020 : บจก.ช.พรประสิทธิ์</t>
  </si>
  <si>
    <t>FC069 : จอมบึง</t>
  </si>
  <si>
    <t>FR022002</t>
  </si>
  <si>
    <t>FR022 : หจก.ร่อนทองชัย</t>
  </si>
  <si>
    <t>FC009 : ประจวบคีรีขันธ์</t>
  </si>
  <si>
    <t>15</t>
  </si>
  <si>
    <t>FR023008</t>
  </si>
  <si>
    <t>FR023013</t>
  </si>
  <si>
    <t>FR023006</t>
  </si>
  <si>
    <t>FR024004</t>
  </si>
  <si>
    <t>FC067 : ท่าตะโก</t>
  </si>
  <si>
    <t>FR024007</t>
  </si>
  <si>
    <t>FR024005</t>
  </si>
  <si>
    <t>FR024006</t>
  </si>
  <si>
    <t>FR024001</t>
  </si>
  <si>
    <t>FR024002</t>
  </si>
  <si>
    <t>FR025015</t>
  </si>
  <si>
    <t>FR025006</t>
  </si>
  <si>
    <t>FR025007</t>
  </si>
  <si>
    <t>FR025011</t>
  </si>
  <si>
    <t>FR025013</t>
  </si>
  <si>
    <t>FR025014</t>
  </si>
  <si>
    <t>FR025026</t>
  </si>
  <si>
    <t>FR025008</t>
  </si>
  <si>
    <t>FR025018</t>
  </si>
  <si>
    <t>22</t>
  </si>
  <si>
    <t>FR032005</t>
  </si>
  <si>
    <t>FR032001</t>
  </si>
  <si>
    <t>FR032011</t>
  </si>
  <si>
    <t>FR033004</t>
  </si>
  <si>
    <t>FR033007</t>
  </si>
  <si>
    <t>FR034001</t>
  </si>
  <si>
    <t>FC007 : ฮอด</t>
  </si>
  <si>
    <t>20</t>
  </si>
  <si>
    <t>FR034004</t>
  </si>
  <si>
    <t>FR035001</t>
  </si>
  <si>
    <t>FR035007</t>
  </si>
  <si>
    <t>FR036019</t>
  </si>
  <si>
    <t>FR036022</t>
  </si>
  <si>
    <t>FR036023</t>
  </si>
  <si>
    <t>FR036024</t>
  </si>
  <si>
    <t>FR036001</t>
  </si>
  <si>
    <t>FR036003</t>
  </si>
  <si>
    <t>FR036006</t>
  </si>
  <si>
    <t>FR036013</t>
  </si>
  <si>
    <t>FR036008</t>
  </si>
  <si>
    <t>FR036055</t>
  </si>
  <si>
    <t>FR036015</t>
  </si>
  <si>
    <t>FR036016</t>
  </si>
  <si>
    <t>FR036056</t>
  </si>
  <si>
    <t>FR036057</t>
  </si>
  <si>
    <t>FR037002</t>
  </si>
  <si>
    <t>FC160 : FC ปากช่อง 3</t>
  </si>
  <si>
    <t>FR038001</t>
  </si>
  <si>
    <t>FR038003</t>
  </si>
  <si>
    <t>FR038006</t>
  </si>
  <si>
    <t>FR039001</t>
  </si>
  <si>
    <t>FR039002</t>
  </si>
  <si>
    <t>FR040001</t>
  </si>
  <si>
    <t>FR045001</t>
  </si>
  <si>
    <t>FR045002</t>
  </si>
  <si>
    <t>FR045004</t>
  </si>
  <si>
    <t>FC081 : FC ปราสาท</t>
  </si>
  <si>
    <t>FR046002</t>
  </si>
  <si>
    <t>FR047005</t>
  </si>
  <si>
    <t>FR048005</t>
  </si>
  <si>
    <t>FR048003</t>
  </si>
  <si>
    <t>FR053001</t>
  </si>
  <si>
    <t>FR053003</t>
  </si>
  <si>
    <t>FR055001</t>
  </si>
  <si>
    <t>FR055004</t>
  </si>
  <si>
    <t>FR057 : บจก.ลันตามิกซ์คอน</t>
  </si>
  <si>
    <t>FC028 : เกาะลันตาใหญ่</t>
  </si>
  <si>
    <t>FR057003</t>
  </si>
  <si>
    <t>FR057006</t>
  </si>
  <si>
    <t>FR057004</t>
  </si>
  <si>
    <t>FR061004</t>
  </si>
  <si>
    <t>FR062002</t>
  </si>
  <si>
    <t>FR062 : บจก.เจริญสหกิจระโนด</t>
  </si>
  <si>
    <t>FC027 : ระโนด</t>
  </si>
  <si>
    <t>FR063002</t>
  </si>
  <si>
    <t>FR070004</t>
  </si>
  <si>
    <t>FR070006</t>
  </si>
  <si>
    <t>FR071007</t>
  </si>
  <si>
    <t>FC089 : FC ท่าบ่อ</t>
  </si>
  <si>
    <t>FR073001</t>
  </si>
  <si>
    <t>FR073 : หจก.ลิ้มปิพงษ์ค้าวัสดุก่อสร้างและคอนกรีต</t>
  </si>
  <si>
    <t>FC115 : เกาะพงัน</t>
  </si>
  <si>
    <t>FR073002</t>
  </si>
  <si>
    <t>FR074001</t>
  </si>
  <si>
    <t>FR074002</t>
  </si>
  <si>
    <t>FR074003</t>
  </si>
  <si>
    <t>FR076001</t>
  </si>
  <si>
    <t>FR083001</t>
  </si>
  <si>
    <t>FR083002</t>
  </si>
  <si>
    <t>FR084006</t>
  </si>
  <si>
    <t>FC136 : FC อำนาจเจริญ</t>
  </si>
  <si>
    <t>FR084007</t>
  </si>
  <si>
    <t>FR084008</t>
  </si>
  <si>
    <t>FR089002</t>
  </si>
  <si>
    <t>FR089004</t>
  </si>
  <si>
    <t>FR091005</t>
  </si>
  <si>
    <t>FR091007</t>
  </si>
  <si>
    <t>FR093004</t>
  </si>
  <si>
    <t>FR093002</t>
  </si>
  <si>
    <t>FR094001</t>
  </si>
  <si>
    <t>FR100001</t>
  </si>
  <si>
    <t>FR100003</t>
  </si>
  <si>
    <t>FR101001</t>
  </si>
  <si>
    <t>FR102003</t>
  </si>
  <si>
    <t>FR109001</t>
  </si>
  <si>
    <t>FR109006</t>
  </si>
  <si>
    <t>FR113021</t>
  </si>
  <si>
    <t>FR113018</t>
  </si>
  <si>
    <t>FR115001</t>
  </si>
  <si>
    <t>FR115 : บจก.จิรดีผลิตภัณฑ์คอนกรีต</t>
  </si>
  <si>
    <t>FC158 : แก่งกระจาน</t>
  </si>
  <si>
    <t>FR115002</t>
  </si>
  <si>
    <t>FR118001</t>
  </si>
  <si>
    <t>FR121001</t>
  </si>
  <si>
    <t>FR121 : หจก.ม.บุญทำพานิช</t>
  </si>
  <si>
    <t>FC167 : พิชัย</t>
  </si>
  <si>
    <t>FR121003</t>
  </si>
  <si>
    <t>FR125002</t>
  </si>
  <si>
    <t>FR129005</t>
  </si>
  <si>
    <t>FR129009</t>
  </si>
  <si>
    <t>FR129001</t>
  </si>
  <si>
    <t>FR129010</t>
  </si>
  <si>
    <t>FR130001</t>
  </si>
  <si>
    <t>FR136005</t>
  </si>
  <si>
    <t>FR136003</t>
  </si>
  <si>
    <t>FR138009</t>
  </si>
  <si>
    <t>FR140008</t>
  </si>
  <si>
    <t>FR140010</t>
  </si>
  <si>
    <t>FR141014</t>
  </si>
  <si>
    <t>FC247 : แม่สรวย</t>
  </si>
  <si>
    <t>FR144001</t>
  </si>
  <si>
    <t>FR144002</t>
  </si>
  <si>
    <t>FR148001</t>
  </si>
  <si>
    <t>FR148002</t>
  </si>
  <si>
    <t>FR148004</t>
  </si>
  <si>
    <t>FR155001</t>
  </si>
  <si>
    <t>FR159003</t>
  </si>
  <si>
    <t>FR160002</t>
  </si>
  <si>
    <t>FR162001</t>
  </si>
  <si>
    <t>FR162 : บจก.ผาหลวงคอนกรีต</t>
  </si>
  <si>
    <t>3165 : FC ผาหลวงคอนกรีต</t>
  </si>
  <si>
    <t>FR162002</t>
  </si>
  <si>
    <t>FR162003</t>
  </si>
  <si>
    <t>3166 : FC ผาหลวงคอนกรีต 2</t>
  </si>
  <si>
    <t>FR165001</t>
  </si>
  <si>
    <t>FR167002</t>
  </si>
  <si>
    <t>FR167 : บจก.แซ่หวัง(ปักกิ่ง)คอนกรีต</t>
  </si>
  <si>
    <t>FC226 : FCแวงใหญ่</t>
  </si>
  <si>
    <t>FR167001</t>
  </si>
  <si>
    <t>FR168001</t>
  </si>
  <si>
    <t>FR168003</t>
  </si>
  <si>
    <t>FR169001</t>
  </si>
  <si>
    <t>FR169002</t>
  </si>
  <si>
    <t>FR169004</t>
  </si>
  <si>
    <t>FR177001</t>
  </si>
  <si>
    <t>FC238 : ชะอวด</t>
  </si>
  <si>
    <t>FR179007</t>
  </si>
  <si>
    <t>FR179001</t>
  </si>
  <si>
    <t>FR182001</t>
  </si>
  <si>
    <t>FR184001</t>
  </si>
  <si>
    <t>FR184 : หจก.ชนแดนคอนกรีตผสมเสร็จ</t>
  </si>
  <si>
    <t>FC246 : ชนแดน</t>
  </si>
  <si>
    <t>FR184002</t>
  </si>
  <si>
    <t>FR187001</t>
  </si>
  <si>
    <t>FR191001</t>
  </si>
  <si>
    <t>FR193004</t>
  </si>
  <si>
    <t>FR198001</t>
  </si>
  <si>
    <t>FR204006</t>
  </si>
  <si>
    <t>FR208001</t>
  </si>
  <si>
    <t>FR215004</t>
  </si>
  <si>
    <t>FR216001</t>
  </si>
  <si>
    <t>FR221001</t>
  </si>
  <si>
    <t>FR225010</t>
  </si>
  <si>
    <t>FR225001</t>
  </si>
  <si>
    <t>FR270001</t>
  </si>
  <si>
    <t>FR270 : หจก.ชัยวัฒน์เซ่งฮะเซียง</t>
  </si>
  <si>
    <t>FC335 : FCพนมไพร 2</t>
  </si>
  <si>
    <t>FR285002</t>
  </si>
  <si>
    <t>FR305002</t>
  </si>
  <si>
    <t>พนักงานทั่วไป</t>
  </si>
  <si>
    <t>ไตรภพ คำตุ้ม</t>
  </si>
  <si>
    <t>FR141042</t>
  </si>
  <si>
    <t>สิทธินนท์ กันจินะ</t>
  </si>
  <si>
    <t>อนุวัฒน์ กันจินะ</t>
  </si>
  <si>
    <t>FR141054</t>
  </si>
  <si>
    <t>พลวัต โกสุโท</t>
  </si>
  <si>
    <t>FC195 : เวียงป่าเป้า</t>
  </si>
  <si>
    <t>FR141048</t>
  </si>
  <si>
    <t>ขวัญชัย บุญทวี</t>
  </si>
  <si>
    <t>FR141044</t>
  </si>
  <si>
    <t>วิฑูรย์ มูลไชย</t>
  </si>
  <si>
    <t>FR141052</t>
  </si>
  <si>
    <t>โชคชัย คงวังทอง</t>
  </si>
  <si>
    <t>FR141051</t>
  </si>
  <si>
    <t>นพณัฐ อินชัย</t>
  </si>
  <si>
    <t>ภาณุวัฒน์ ธิโนชัย</t>
  </si>
  <si>
    <t>FR141053</t>
  </si>
  <si>
    <t>ศุภชัย บุตรศาสตร์</t>
  </si>
  <si>
    <t>ธีระพงศ์ ประเดิม</t>
  </si>
  <si>
    <t>วุฒิชัย เครือมา</t>
  </si>
  <si>
    <t>ประชา มนตรี</t>
  </si>
  <si>
    <t>ปรางทอง งามเนตร</t>
  </si>
  <si>
    <t>กฤษฎา หมื่นอาจ</t>
  </si>
  <si>
    <t>FR002036</t>
  </si>
  <si>
    <t>เอกรัตน์ ปลอดโปร่ง</t>
  </si>
  <si>
    <t>ฉัตรชัย ฟองลม</t>
  </si>
  <si>
    <t>ชัยวัฒน์ สามารถ</t>
  </si>
  <si>
    <t>FR002025</t>
  </si>
  <si>
    <t>ชาญวิทย์ วงษา</t>
  </si>
  <si>
    <t>สันติ นุงกระโทก</t>
  </si>
  <si>
    <t>บุญเกิด คำแสน</t>
  </si>
  <si>
    <t>สุทธิพงศ์ มหาวัง</t>
  </si>
  <si>
    <t>FR002037</t>
  </si>
  <si>
    <t>กลย์ ธาสถาน</t>
  </si>
  <si>
    <t>อริสมันต์ ศรีระดา</t>
  </si>
  <si>
    <t>กัมปนาท พุ่มบ้านเซ่า</t>
  </si>
  <si>
    <t>FR002029</t>
  </si>
  <si>
    <t>สุพกิจ เกตุยา</t>
  </si>
  <si>
    <t>ขจรศักดิ์ ผิวขำ</t>
  </si>
  <si>
    <t>สุวรรณ ลิตบุญ</t>
  </si>
  <si>
    <t>ยุทธนา  พิมพา</t>
  </si>
  <si>
    <t>FR002039</t>
  </si>
  <si>
    <t>FC390 : โคกสำโรง</t>
  </si>
  <si>
    <t>FR002038</t>
  </si>
  <si>
    <t>วิโรจน์ วรรรืทอง</t>
  </si>
  <si>
    <t>FR002041</t>
  </si>
  <si>
    <t>สรัญญู สีหาโหวด</t>
  </si>
  <si>
    <t>อภิชาติ เดชเสน</t>
  </si>
  <si>
    <t>ปณิธาน พันธ์แก้ว</t>
  </si>
  <si>
    <t>วงศ์วรรณรักษ์ ดวงอินทร์</t>
  </si>
  <si>
    <t>พงศกร นาคกุล</t>
  </si>
  <si>
    <t>FR004003</t>
  </si>
  <si>
    <t>โชคชัย งามวิจิตรอร่าม</t>
  </si>
  <si>
    <t>ชลธิดา ปึ่งประกายศรี</t>
  </si>
  <si>
    <t>FR004002</t>
  </si>
  <si>
    <t>รุจิภาส บุญยิ้ม</t>
  </si>
  <si>
    <t>ชัชวาลย์ น้อยใหญ่</t>
  </si>
  <si>
    <t>ทรงยศ เกษทอง</t>
  </si>
  <si>
    <t>เดียว เกตุวังแดง</t>
  </si>
  <si>
    <t>สุกัญญา พูลพิพัฒน์</t>
  </si>
  <si>
    <t>ศักดิ์ระพี พันธ์พงศ์</t>
  </si>
  <si>
    <t>จุฑารันต์ เลาะเนาะ</t>
  </si>
  <si>
    <t>ซอ พิว จอ จอ</t>
  </si>
  <si>
    <t>ริดวาล นะรอฮิม</t>
  </si>
  <si>
    <t>วุฒิพงษ์ แซ่เฮง</t>
  </si>
  <si>
    <t>เกรียงไกร ชื่นชม</t>
  </si>
  <si>
    <t>30</t>
  </si>
  <si>
    <t>นรภัทร บุญส่ง</t>
  </si>
  <si>
    <t>สุทธิพงษ์ พิมพา</t>
  </si>
  <si>
    <t>FR010028</t>
  </si>
  <si>
    <t>จักรกริช ชนะชัย</t>
  </si>
  <si>
    <t>กิตติศักดิ์ อุดมรัตน์</t>
  </si>
  <si>
    <t>สี หอมนาน</t>
  </si>
  <si>
    <t>คณาวุฒิ ประดิษฐสาร</t>
  </si>
  <si>
    <t>เอกชัย เริงพิทักษ์</t>
  </si>
  <si>
    <t>ใหม่ -</t>
  </si>
  <si>
    <t>ขวัญใจ  แซ่ตั้น</t>
  </si>
  <si>
    <t>อภิชาติ อ่อนบำรุง</t>
  </si>
  <si>
    <t>FR010030</t>
  </si>
  <si>
    <t>ยศวดี ตระกูล</t>
  </si>
  <si>
    <t xml:space="preserve">สุวัฒน์   มูลราทา  </t>
  </si>
  <si>
    <t>รุ่งโรจน์ กลิ่นเนียม</t>
  </si>
  <si>
    <t>เรวัตร ระวิโรจน์</t>
  </si>
  <si>
    <t>วัฒนากรณ์ ป้องอ้วน</t>
  </si>
  <si>
    <t>กิตติศักดิ์ พรมคนซื่อ</t>
  </si>
  <si>
    <t>FR012031</t>
  </si>
  <si>
    <t>พงศชา สำเนียง</t>
  </si>
  <si>
    <t>มงคล แสงอรุณธาราวัฒนา</t>
  </si>
  <si>
    <t>เศรษฐา ไชยบุปผา</t>
  </si>
  <si>
    <t>อู ล่า โทน</t>
  </si>
  <si>
    <t>สมบูรณ์ วิวาโค</t>
  </si>
  <si>
    <t>เอกลักษณ์ พลสงคราม</t>
  </si>
  <si>
    <t>วันชนะ บุบุ่น</t>
  </si>
  <si>
    <t>สมเกียรติ  แก้วเขียว</t>
  </si>
  <si>
    <t>อารยา แซ่ฉั่ว</t>
  </si>
  <si>
    <t>ธานินทร์ วิมลโนช</t>
  </si>
  <si>
    <t>โบรินทร์ วิมลโนช</t>
  </si>
  <si>
    <t>ทองเปีย สุขษาสาย</t>
  </si>
  <si>
    <t>สิทธิพงษ์ สุขหาญ</t>
  </si>
  <si>
    <t>จำรัส สุขษาสาย</t>
  </si>
  <si>
    <t>ศักดิ์ดา วงมหาเทพ</t>
  </si>
  <si>
    <t>ชัยณรงค์ เพ็งสะเกษ</t>
  </si>
  <si>
    <t>อภิชาติ วงมหาเทพ</t>
  </si>
  <si>
    <t>สุริยา ขจรภพ</t>
  </si>
  <si>
    <t>ทวี กลิ่นดอกแก้ว</t>
  </si>
  <si>
    <t>ประชุม อุ่นคำ</t>
  </si>
  <si>
    <t>อลงกรณ์ วงษ์วิจารณ์</t>
  </si>
  <si>
    <t>บัณฑูร บุญมี</t>
  </si>
  <si>
    <t>อัทธวัจน์ ต๊ะอินทร์</t>
  </si>
  <si>
    <t>วิทยา ศรีสว่าง</t>
  </si>
  <si>
    <t>FR017007</t>
  </si>
  <si>
    <t>สุนันท์ เทียรทอง</t>
  </si>
  <si>
    <t>นภาลัย ภูผา</t>
  </si>
  <si>
    <t>ยอดชาย น้ำพระทัย</t>
  </si>
  <si>
    <t>25</t>
  </si>
  <si>
    <t>ศรราม จินดากุลย์</t>
  </si>
  <si>
    <t>ชัยเดช เสากุล</t>
  </si>
  <si>
    <t>เริงราม ชุมแก้ว</t>
  </si>
  <si>
    <t xml:space="preserve">ชาติชาย         เครือเอม </t>
  </si>
  <si>
    <t>สมภพ พลโยธา</t>
  </si>
  <si>
    <t>บุญฤทธิ์ อินประภัก</t>
  </si>
  <si>
    <t>วัลลภ พลโยธา</t>
  </si>
  <si>
    <t>นพดล หลวงเครือ</t>
  </si>
  <si>
    <t>ประยุทธ สิงห์คำ</t>
  </si>
  <si>
    <t>วิโรจน์ เชื้อนุ่น</t>
  </si>
  <si>
    <t>พัฒนะ ทับแสง</t>
  </si>
  <si>
    <t>สนาม พูนศรี</t>
  </si>
  <si>
    <t>อุทิศ ทับทิมทอง</t>
  </si>
  <si>
    <t>มนตรี สุทธิ</t>
  </si>
  <si>
    <t>อัครเดช โมพา</t>
  </si>
  <si>
    <t>สุนทร พูลพงษ์</t>
  </si>
  <si>
    <t>FR024009</t>
  </si>
  <si>
    <t>มนัสอนุสรณ์ ถมเพชร</t>
  </si>
  <si>
    <t>กาจบัณฑิต เชื้อสีอ่อน</t>
  </si>
  <si>
    <t>ธีระพงษ์ ทาตระกูล</t>
  </si>
  <si>
    <t>โชติ สุขแจ่ม</t>
  </si>
  <si>
    <t>ศรายุทธ แป้นไพศาล</t>
  </si>
  <si>
    <t>ไพรัตน์ กำแพงนิล</t>
  </si>
  <si>
    <t>ธนพร เงินคำ</t>
  </si>
  <si>
    <t>นพกร เงินคำ</t>
  </si>
  <si>
    <t>ธวัช แสนแก้ว</t>
  </si>
  <si>
    <t>ธีระศักดิ์ ชุ่มเฟือย</t>
  </si>
  <si>
    <t>นฤทธิ์พงษ์ ทองสี</t>
  </si>
  <si>
    <t>FR025001</t>
  </si>
  <si>
    <t>ไพรัช   หมื่นสุรินทร์</t>
  </si>
  <si>
    <t>เล็ก  พานเทียน</t>
  </si>
  <si>
    <t>คนึง น้อยใส</t>
  </si>
  <si>
    <t>นรินทร์ณัฐ์ เพ็งสลุง</t>
  </si>
  <si>
    <t>อนุ ดีชู</t>
  </si>
  <si>
    <t>มานิต เหาะหา</t>
  </si>
  <si>
    <t>คณิศร นวลศรี</t>
  </si>
  <si>
    <t>ธนกฤต  ฉ่อยทะนงค์</t>
  </si>
  <si>
    <t>กิตติ คนมาก</t>
  </si>
  <si>
    <t>วินัย พรมสวย</t>
  </si>
  <si>
    <t>ประกาศิต ปันเงิน</t>
  </si>
  <si>
    <t>จักรกฤษณ์ จีเวิน</t>
  </si>
  <si>
    <t>FR025032</t>
  </si>
  <si>
    <t>สมศักดิ์ คำเผือก</t>
  </si>
  <si>
    <t>อานนท์   คำแก้ว</t>
  </si>
  <si>
    <t>นิรมล เมืองปรางค์</t>
  </si>
  <si>
    <t>วสุพล บุญศรี</t>
  </si>
  <si>
    <t>เฉลิมเกียรติ นันต๊ะ</t>
  </si>
  <si>
    <t>บุญเทียน ภูจอมขำ</t>
  </si>
  <si>
    <t>จิรพงศ์ แต่งโต๊ะ</t>
  </si>
  <si>
    <t>ธนพล คืดนอก</t>
  </si>
  <si>
    <t>ภคิน หม่อนถิ่น</t>
  </si>
  <si>
    <t>FR027019</t>
  </si>
  <si>
    <t>มนตรี ต่ายคง</t>
  </si>
  <si>
    <t>คุณากร ใจกันทะ</t>
  </si>
  <si>
    <t>ธีรพล มูลนาม</t>
  </si>
  <si>
    <t>วีระศักดิ์ อนุมาตร</t>
  </si>
  <si>
    <t>FR029006</t>
  </si>
  <si>
    <t>ยศภัทร  เนตรทิพย์</t>
  </si>
  <si>
    <t>FR029004</t>
  </si>
  <si>
    <t>บรรจบ เทพอาจ</t>
  </si>
  <si>
    <t>นพดล มนูวงค์</t>
  </si>
  <si>
    <t>จักรกฤษ พิณสุวรรณ</t>
  </si>
  <si>
    <t>ทินกร แก้วเงิน</t>
  </si>
  <si>
    <t>พิศิษฐ์ พิงคะสัน</t>
  </si>
  <si>
    <t>วีระ กล่ำรามัญ</t>
  </si>
  <si>
    <t>ประดิษฐ์  ซาวน่าน</t>
  </si>
  <si>
    <t>FR033 : หจก.เรืองชัยคอนกรีต สาขา0002</t>
  </si>
  <si>
    <t>เมือง  แสนคำ  (เมือง)</t>
  </si>
  <si>
    <t>ภูวดล วุฒิพงศ์(หนุ่ม)</t>
  </si>
  <si>
    <t>อารีย์ พงษ์ปวง (ลิน)</t>
  </si>
  <si>
    <t>จักรกฤษณ์ วังใจ  (ดุ๊ก)</t>
  </si>
  <si>
    <t>ตะวัน ศิริน้อย</t>
  </si>
  <si>
    <t>เพชร ทากาศ</t>
  </si>
  <si>
    <t>เอนกศักดิ์ อังสนิวัฒน์</t>
  </si>
  <si>
    <t>ปีชา เรืองฉาง</t>
  </si>
  <si>
    <t xml:space="preserve"> ศริตวรรธน์ ฐปนวัฒนานนณ์</t>
  </si>
  <si>
    <t>ชูศักดิ์  มีพิมาย</t>
  </si>
  <si>
    <t>นพคุณ ก้านพิมาย</t>
  </si>
  <si>
    <t>นฤเดช เพ็ชร์รุกขา</t>
  </si>
  <si>
    <t>อุทัย บุญทวีกลาง</t>
  </si>
  <si>
    <t>อภิรักษ์ ยิ่งแก้ว</t>
  </si>
  <si>
    <t>วุทธิพงษ์ พวงแก้ว</t>
  </si>
  <si>
    <t>พงษ์ทร ช่างโคตรพะเนา</t>
  </si>
  <si>
    <t>จรัล ทวีพันธ์</t>
  </si>
  <si>
    <t>ดนัย ชาธงชัย</t>
  </si>
  <si>
    <t>สมเด็จ สวัสดี</t>
  </si>
  <si>
    <t>จำนง  สูงเนิน</t>
  </si>
  <si>
    <t>กายสิทธ์  ชาตินอก</t>
  </si>
  <si>
    <t>สมพร จัดหิรัญ</t>
  </si>
  <si>
    <t>อาทิตย์ นาคสาม</t>
  </si>
  <si>
    <t>โสภณเดช พิมัยรัมย์</t>
  </si>
  <si>
    <t>วิชาญ ก้านพิมาย</t>
  </si>
  <si>
    <t>อุรุพงษ์ สุขกระโทก</t>
  </si>
  <si>
    <t>อุดม   (โหมด) ลัดดี</t>
  </si>
  <si>
    <t>ภูมินทร์ หมายเครื่องกลาง</t>
  </si>
  <si>
    <t>ปฏิธาน สูนย์รัมย์</t>
  </si>
  <si>
    <t>อาวร เจิมปุ</t>
  </si>
  <si>
    <t>กิติพล พิมพ์ปรุ</t>
  </si>
  <si>
    <t>สมพร เจิมปุ</t>
  </si>
  <si>
    <t>พีรยศ บัวจรูญ</t>
  </si>
  <si>
    <t>พรศักด์  ประจง</t>
  </si>
  <si>
    <t>วรวุธ ถือสูงเนิน</t>
  </si>
  <si>
    <t>พันธ์ณุการ คำแจ่ม</t>
  </si>
  <si>
    <t>ศุภสิน พาบุดดา</t>
  </si>
  <si>
    <t>อัมพร  ประสังเค</t>
  </si>
  <si>
    <t>อุดมศักดิ์ อันพิมพ์</t>
  </si>
  <si>
    <t>FR036070</t>
  </si>
  <si>
    <t>ธงชัย กาญจนสวน</t>
  </si>
  <si>
    <t>พจน์ศกร บุญหล่อ</t>
  </si>
  <si>
    <t>ปรีชา ลิ้มภักดีสวัสดิ์</t>
  </si>
  <si>
    <t>สุริโย สุริยคุปต์</t>
  </si>
  <si>
    <t>FR036059</t>
  </si>
  <si>
    <t>สุวรรณ โพธิ์ทอง</t>
  </si>
  <si>
    <t>FR036060</t>
  </si>
  <si>
    <t>FR036061</t>
  </si>
  <si>
    <t>วรพล โลมไธสง</t>
  </si>
  <si>
    <t>วินัย คู่พิมาย</t>
  </si>
  <si>
    <t>สุรัตน์ บุญทองหลาง</t>
  </si>
  <si>
    <t>สนั่น โพธิ์ทอง</t>
  </si>
  <si>
    <t>FR036062</t>
  </si>
  <si>
    <t>บัณฑิตย์ ศรอินทร์</t>
  </si>
  <si>
    <t>FC394 : FC โนนไทย-พระทองคำ</t>
  </si>
  <si>
    <t>FR036063</t>
  </si>
  <si>
    <t>ขวัญเมือง โสมนัส</t>
  </si>
  <si>
    <t>FR036067</t>
  </si>
  <si>
    <t>เกียรติศักดิ์ จำนงค์วงศ์</t>
  </si>
  <si>
    <t>FR036068</t>
  </si>
  <si>
    <t>จักรภัทร โบดขุนทด</t>
  </si>
  <si>
    <t>จักรพันธ์ ทองคำ</t>
  </si>
  <si>
    <t>FR037008</t>
  </si>
  <si>
    <t>อาละ  พม่า</t>
  </si>
  <si>
    <t>อนิรุจ ทองแสนคำ</t>
  </si>
  <si>
    <t>ประภาส พันธ์เนตร</t>
  </si>
  <si>
    <t>อาคม คำโนนกอก</t>
  </si>
  <si>
    <t>จรัญ ลาดี</t>
  </si>
  <si>
    <t>วิโรจน์ โม้แก้ว</t>
  </si>
  <si>
    <t>ภาณุมาส พันสนิท</t>
  </si>
  <si>
    <t>รัชฎาภรณ์ หมอกสิมมา</t>
  </si>
  <si>
    <t>วันชัย พนะโพธิ์</t>
  </si>
  <si>
    <t>โอวาท วิวาสุข</t>
  </si>
  <si>
    <t>พัชร จารัตน์</t>
  </si>
  <si>
    <t>จักกิช แสงนิล</t>
  </si>
  <si>
    <t>เจษฎา เชื้ออินทร์</t>
  </si>
  <si>
    <t>วัฒนพงษ์ เกษแก้ว</t>
  </si>
  <si>
    <t>บรรลุ แสงแก้ว</t>
  </si>
  <si>
    <t>ปราโมทย์ สายรัมย์</t>
  </si>
  <si>
    <t>เปี่ยมศักดิ์ แกล้วกล้า</t>
  </si>
  <si>
    <t>วิชิต ชนะนาน</t>
  </si>
  <si>
    <t>ปรีชา คุ้มแก้ว</t>
  </si>
  <si>
    <t>กิตติศักดิ์ นภาวัฒนดำรงค์</t>
  </si>
  <si>
    <t>สุพิษ การงานดี</t>
  </si>
  <si>
    <t>ชาลี หมุดทอง</t>
  </si>
  <si>
    <t>สยาม วิบูลกุล</t>
  </si>
  <si>
    <t>อภิเดช วิชา</t>
  </si>
  <si>
    <t>ภูรี ชุมแก้ว</t>
  </si>
  <si>
    <t>โกศล ขรรค์แก้ว</t>
  </si>
  <si>
    <t>อนุพงศ์ ธงศรี</t>
  </si>
  <si>
    <t>วิจิตร ศรีจู</t>
  </si>
  <si>
    <t>สุนันท์ ปิ่นสุวรรณ</t>
  </si>
  <si>
    <t>วชิราวุธ ศรีทองคง</t>
  </si>
  <si>
    <t>อดิศักดิ์ นกบิน</t>
  </si>
  <si>
    <t>สายันต์   ปานวัน</t>
  </si>
  <si>
    <t>FR054001</t>
  </si>
  <si>
    <t>อายุทธ จารุฐานันต์</t>
  </si>
  <si>
    <t>อภิชาติ ทำการเหมาะ</t>
  </si>
  <si>
    <t>ปริพัฒน์ ผิวสุข</t>
  </si>
  <si>
    <t>ธีรยุทธ หนูเชื้อ</t>
  </si>
  <si>
    <t>สมศักดิ์ คล่องดี</t>
  </si>
  <si>
    <t>ประสิทธิ์  ลู่เด็นบุตร</t>
  </si>
  <si>
    <t>ไตรรัตน์ วงศ์สัมพันธ์</t>
  </si>
  <si>
    <t>เมธิชัย จันวัฒนะ</t>
  </si>
  <si>
    <t>คำนึง จันทร์แก้ว</t>
  </si>
  <si>
    <t>ณรงค์ศักดิ์ คงเจริญ</t>
  </si>
  <si>
    <t>ชานนท์ พรหมแก้ว</t>
  </si>
  <si>
    <t>ยุตนัน ศรีปานรอด</t>
  </si>
  <si>
    <t>รัชกรณ์ ผ่านแสนเสา</t>
  </si>
  <si>
    <t>ธนาธร โพธิ์ศรี</t>
  </si>
  <si>
    <t>สมศักดิ์  บัวนุ่ม</t>
  </si>
  <si>
    <t>อนุศักดิ์ แคสนั่น</t>
  </si>
  <si>
    <t>วิชา โต๊ะลาวัล</t>
  </si>
  <si>
    <t>รุสดี มะสาลี</t>
  </si>
  <si>
    <t>มูสา แดงกุล</t>
  </si>
  <si>
    <t>Aung naing soe Nay</t>
  </si>
  <si>
    <t>ZAW GLI</t>
  </si>
  <si>
    <t>นิพันธ์ ประกอบสิน</t>
  </si>
  <si>
    <t>ชัยพฤกษ์ เพาะปลูก</t>
  </si>
  <si>
    <t>Zayar  lin</t>
  </si>
  <si>
    <t>สุนทร วันดี</t>
  </si>
  <si>
    <t>เศกศักดิ์   โชติวรรณ</t>
  </si>
  <si>
    <t>FR073004</t>
  </si>
  <si>
    <t>เกียรติศักดิ์ เกื้อสกุล</t>
  </si>
  <si>
    <t>ธงชัย   เพชรรัตน์</t>
  </si>
  <si>
    <t>มะแอ เจ๊ะหลี</t>
  </si>
  <si>
    <t>อภิเชษฐ์ ภาพประดิษฐ์</t>
  </si>
  <si>
    <t>อาดือนัน โอล่า</t>
  </si>
  <si>
    <t>อาซือมินฮ์  แลแร</t>
  </si>
  <si>
    <t>นิสุไลมาน  หะยีเตะ</t>
  </si>
  <si>
    <t>มะดาโอะ มานะ</t>
  </si>
  <si>
    <t>อารมณ์ วิวัฒน์พงษ์</t>
  </si>
  <si>
    <t>รพีพัทธ ก้อนจะลา</t>
  </si>
  <si>
    <t>ดำรงค์ กอสัมพันธ์</t>
  </si>
  <si>
    <t>สุวัฒน์ เจตนา</t>
  </si>
  <si>
    <t>สำราญ โทนสิงห์</t>
  </si>
  <si>
    <t>กฤษฏา งามฉวี</t>
  </si>
  <si>
    <t>FR083006</t>
  </si>
  <si>
    <t>กล้าณรงค์ อ่วมภักดี</t>
  </si>
  <si>
    <t>วิทยา มาริบุตร</t>
  </si>
  <si>
    <t>อเดช พันธมา</t>
  </si>
  <si>
    <t>สมคิด อาบุญงาม</t>
  </si>
  <si>
    <t>ชัยยา วิสาระพันธ์</t>
  </si>
  <si>
    <t>อาทิตย์ คำมุลตรี</t>
  </si>
  <si>
    <t>FR084016</t>
  </si>
  <si>
    <t>อดุลย์ กาเผือก</t>
  </si>
  <si>
    <t>ศักดิ์ชัย ศรีไชย</t>
  </si>
  <si>
    <t>จักรพงษ์ ทองโพธิ์ศรี</t>
  </si>
  <si>
    <t>ชินกร สืบเพชร</t>
  </si>
  <si>
    <t>สิริกัลยา เข็มม่วง</t>
  </si>
  <si>
    <t>วรชน กระต่ายเล็ก</t>
  </si>
  <si>
    <t>ชัยธนัตถ์ คนทา</t>
  </si>
  <si>
    <t>FR091012</t>
  </si>
  <si>
    <t>อุดม มรรคผล</t>
  </si>
  <si>
    <t>สุชาติ อ่อนศรี</t>
  </si>
  <si>
    <t>พิมาน ทองมี</t>
  </si>
  <si>
    <t>ธีระพล มยุเรศ</t>
  </si>
  <si>
    <t>วิมล ทับเงิน</t>
  </si>
  <si>
    <t>สายัณห์ รอดแก้ว</t>
  </si>
  <si>
    <t>ธวัชชัย เจริญสุข</t>
  </si>
  <si>
    <t>ศักยา   ศรีวัลลภ</t>
  </si>
  <si>
    <t>สราวุฒิ เพ็ชรสุข</t>
  </si>
  <si>
    <t>ผดุงพงษ์   สุขไกว</t>
  </si>
  <si>
    <t>สมพร รัตนะ</t>
  </si>
  <si>
    <t>อดิศักดิ์  ใสงาม</t>
  </si>
  <si>
    <t>ธนาธิป มลิทอง</t>
  </si>
  <si>
    <t>ธีรเดช สุดา</t>
  </si>
  <si>
    <t>FR094010</t>
  </si>
  <si>
    <t>บุญเลิศ  จันทร</t>
  </si>
  <si>
    <t>อรรคมณี ทองคำห่อ</t>
  </si>
  <si>
    <t>ฤทธิชัย พานวาวแวว</t>
  </si>
  <si>
    <t>พีระพล เขตบ้าน</t>
  </si>
  <si>
    <t>ทศพล เกื้ออนัน</t>
  </si>
  <si>
    <t>ธนพงษ์ มีกำปัง</t>
  </si>
  <si>
    <t>สุรชัย เหมือนศรีชัย</t>
  </si>
  <si>
    <t>FR094025</t>
  </si>
  <si>
    <t>สมดี ภาพิรมย์</t>
  </si>
  <si>
    <t xml:space="preserve">พีรพล   มีคอนไทย  </t>
  </si>
  <si>
    <t>ประภา           ศรีแก้ว</t>
  </si>
  <si>
    <t>เดชา ศรีแก้ว</t>
  </si>
  <si>
    <t>FR101015</t>
  </si>
  <si>
    <t>ดวงจันทร์ ศรีธรรมมา</t>
  </si>
  <si>
    <t>FR101016</t>
  </si>
  <si>
    <t>โชคชัย ไชยปัญญา</t>
  </si>
  <si>
    <t>FR101017</t>
  </si>
  <si>
    <t>เทอดพงษ์ ธนะชัย</t>
  </si>
  <si>
    <t>FR101021</t>
  </si>
  <si>
    <t>พลศักดิ์ คำมุงคุณ</t>
  </si>
  <si>
    <t>FR101027</t>
  </si>
  <si>
    <t>คันชิต คำกรฤาชา</t>
  </si>
  <si>
    <t>FR101031</t>
  </si>
  <si>
    <t>จิรวัฒน์ คำมุก</t>
  </si>
  <si>
    <t>วาสนา ศิลพจน์</t>
  </si>
  <si>
    <t>มานิตย์ สมบูรณถานะ</t>
  </si>
  <si>
    <t>อภิชาติ ลาน้อย</t>
  </si>
  <si>
    <t>ทวีศักดิ์ ขันทะสิกรรม</t>
  </si>
  <si>
    <t>มงคล อาจษาสิงห์</t>
  </si>
  <si>
    <t>สมหวัง ผิวอ่ำ</t>
  </si>
  <si>
    <t>ธัธชัย ปาละกาวงษ์</t>
  </si>
  <si>
    <t>นุกูล  พุทธมาตย์</t>
  </si>
  <si>
    <t>อรนุช ฉิมดี</t>
  </si>
  <si>
    <t>เมธา ศศิวิมลกาล</t>
  </si>
  <si>
    <t>พิเชษฐ กระสายแก้ว</t>
  </si>
  <si>
    <t>วิชิต สีเสาะ</t>
  </si>
  <si>
    <t>วิรัญญา พูลประสาท</t>
  </si>
  <si>
    <t>FR113026</t>
  </si>
  <si>
    <t>สุรินทร์ ละมุด</t>
  </si>
  <si>
    <t>ศรราม พูลประสาท</t>
  </si>
  <si>
    <t>จรูญ สมรูป</t>
  </si>
  <si>
    <t>FR115003</t>
  </si>
  <si>
    <t>สมโภชน์ วงศ์น้อย</t>
  </si>
  <si>
    <t>กำธร ชำนาญกิจ</t>
  </si>
  <si>
    <t>อนุศักดิ์ อาแวยา</t>
  </si>
  <si>
    <t>จิรัฎฐ์  วงศ์ธีรฤทธิ์</t>
  </si>
  <si>
    <t>เทพณรงค์ อุมประโคน</t>
  </si>
  <si>
    <t>สุทธิพงศ์ เผียดนอก</t>
  </si>
  <si>
    <t>FR120019</t>
  </si>
  <si>
    <t>พงษ์พัฒน์ บรรจงปรุ</t>
  </si>
  <si>
    <t>อาคม แข็งขยัน</t>
  </si>
  <si>
    <t>ประดิษฐ์ อัตชู</t>
  </si>
  <si>
    <t>FR121004</t>
  </si>
  <si>
    <t>นัฐพล แก้วเขียว</t>
  </si>
  <si>
    <t>ผ่องพรรณ โยกันทา</t>
  </si>
  <si>
    <t>อุเทน เมืองมูล</t>
  </si>
  <si>
    <t>FR123009</t>
  </si>
  <si>
    <t>FR123010</t>
  </si>
  <si>
    <t>วิทยา ถาน้อย</t>
  </si>
  <si>
    <t>คมสัน วงศ์ชัย</t>
  </si>
  <si>
    <t>ณัฐพร วงศ์ชัย</t>
  </si>
  <si>
    <t>กิตติพันธุ์ จันต๊ะคาด</t>
  </si>
  <si>
    <t>ศิรินภา หนูสาท</t>
  </si>
  <si>
    <t>ณิชารย์ ทุ่งเกษม</t>
  </si>
  <si>
    <t>อาวุธ เยาว์สกุล</t>
  </si>
  <si>
    <t>ธัชพล เทพประสิทธิ์</t>
  </si>
  <si>
    <t>พัฒน์พงษ์ สิงหาพันธ์</t>
  </si>
  <si>
    <t>จารุวรรณ ทองเพ็ชร์</t>
  </si>
  <si>
    <t>วรรณลักษ์ แซ่ล้อ</t>
  </si>
  <si>
    <t>นรายุทธ์ เทพเทวี</t>
  </si>
  <si>
    <t>สุทธิดา เทพเทวี</t>
  </si>
  <si>
    <t>ภาณุวัฒน์ แจ่มแจ้ง</t>
  </si>
  <si>
    <t>อาทิตย์ กุญชร</t>
  </si>
  <si>
    <t>อำไพ บัวเถื่อน</t>
  </si>
  <si>
    <t>FR129012</t>
  </si>
  <si>
    <t>ชาลี อาจหาญ</t>
  </si>
  <si>
    <t>วินัย พันธะ</t>
  </si>
  <si>
    <t>วิไลลักษณ์ ทานสละ</t>
  </si>
  <si>
    <t>อัครเดช ทรงพุฒิ</t>
  </si>
  <si>
    <t>ทวีศักดิ์ ชุมภู</t>
  </si>
  <si>
    <t>ชิต นาคพรม</t>
  </si>
  <si>
    <t>FR136006</t>
  </si>
  <si>
    <t>ิอิทธิกร กลิ่นเกตุ</t>
  </si>
  <si>
    <t>นุจนารถ   คุณสมบัติ</t>
  </si>
  <si>
    <t>วัฒนา วงษาเนาว์</t>
  </si>
  <si>
    <t>วรวัต ย่องเหล่ายุง</t>
  </si>
  <si>
    <t>สุนิสา สุทเทวี</t>
  </si>
  <si>
    <t>ยุพาภรณ์ นาคสุข</t>
  </si>
  <si>
    <t>สมบูรณ์ แดงอาจ</t>
  </si>
  <si>
    <t>อารีย์ เหมวัน</t>
  </si>
  <si>
    <t>จันทร์จิรา พิกุลทอง</t>
  </si>
  <si>
    <t>จิราภรณ์ เรืองแสน</t>
  </si>
  <si>
    <t>ธวัชชัย วงศ์พุธ</t>
  </si>
  <si>
    <t>สมชัย มารุตะพันธ์</t>
  </si>
  <si>
    <t>นันทวุฒิ พิกุลทอง</t>
  </si>
  <si>
    <t>อภิสิทธิ์ สิงห์จันทร์</t>
  </si>
  <si>
    <t>อธิวัฒน์ โพธิ์เจริญ</t>
  </si>
  <si>
    <t>มะรอปา เจะแว</t>
  </si>
  <si>
    <t>มัสรี เจะแว</t>
  </si>
  <si>
    <t>ฮาซัน สตาปอ</t>
  </si>
  <si>
    <t>อิสะมะแอ วาเตะ</t>
  </si>
  <si>
    <t>เสรี เตจ๊ะ</t>
  </si>
  <si>
    <t>FR141009</t>
  </si>
  <si>
    <t>อินสม อวนมาก</t>
  </si>
  <si>
    <t>FR141015</t>
  </si>
  <si>
    <t>เอกชัย แก้วแกม</t>
  </si>
  <si>
    <t>ณัฐพล ทาแก้ว</t>
  </si>
  <si>
    <t>นายมุนินทร์ นะดำ(ปุ้ย)</t>
  </si>
  <si>
    <t>ณรงค์ มะโนรัตน์</t>
  </si>
  <si>
    <t>เอ จ่ากือ</t>
  </si>
  <si>
    <t>กมลวรรณ พรมนิล</t>
  </si>
  <si>
    <t>จรินทรา  เวชประสิทธิ์</t>
  </si>
  <si>
    <t>สมบัติ บุญมา</t>
  </si>
  <si>
    <t>พลรัตน์ ธรรมดา</t>
  </si>
  <si>
    <t>พรภิรมย์ เจริญสุข</t>
  </si>
  <si>
    <t>เอกสิทธิ์ นาคแจ่ม</t>
  </si>
  <si>
    <t>ชาตรี เสือจุ้ย</t>
  </si>
  <si>
    <t>FR150011</t>
  </si>
  <si>
    <t>สมภพ เณรพรหม</t>
  </si>
  <si>
    <t>พนักงานบริการงานผลิต(QC Pool)</t>
  </si>
  <si>
    <t>ธัญยธรณ์ สุทธิประเสริฐ</t>
  </si>
  <si>
    <t>FR150010</t>
  </si>
  <si>
    <t>พรศักดิ์ โพธื์พูล</t>
  </si>
  <si>
    <t>FC389 : บ้านหมอ 2</t>
  </si>
  <si>
    <t>พิเชษฐ  ดำแก้ว</t>
  </si>
  <si>
    <t>นครินทร์ เมียนเพชร</t>
  </si>
  <si>
    <t>ธวัชขัย คำหนัก (Big)</t>
  </si>
  <si>
    <t>ศราวุธ แสงหน่อ (วุธ)</t>
  </si>
  <si>
    <t>วีรพล ราชวัตร(ท็อป)</t>
  </si>
  <si>
    <t>อธิป นิชวัฒน์</t>
  </si>
  <si>
    <t>พงษ์ชัย ลิ้มตระกูล</t>
  </si>
  <si>
    <t>ชัยวุฒิ ชูสีม่วง</t>
  </si>
  <si>
    <t>รุ่งโรจน์ วังหลวง</t>
  </si>
  <si>
    <t>วิชญะ ตันนิยม</t>
  </si>
  <si>
    <t>กฤศณัฏฐ์ รัศมีชัยศิลป์</t>
  </si>
  <si>
    <t>สมพิศ ไข่นุ่ม</t>
  </si>
  <si>
    <t>เจษฎา บุญน้อย</t>
  </si>
  <si>
    <t>มาซีเตาะ ซิโซะ</t>
  </si>
  <si>
    <t>อาภาพรรณ ตาดเดิม</t>
  </si>
  <si>
    <t>ฉัตรชัย สมจิตต์</t>
  </si>
  <si>
    <t>อมรเทพ แก่นทอง</t>
  </si>
  <si>
    <t>ณรงค์ศกดิ์ ตาดเดิม</t>
  </si>
  <si>
    <t>วิรัตน์ พานทอง</t>
  </si>
  <si>
    <t>ณัฐวุฒิ สุวรรณชาตรี</t>
  </si>
  <si>
    <t>นที รัตนสำเนียง</t>
  </si>
  <si>
    <t>เฉลิมชัย พงศ์ชนะ</t>
  </si>
  <si>
    <t>ยงยุตร์ จันทร์บุญ</t>
  </si>
  <si>
    <t>สุทธิรักษ์ วิเศษหมื่น</t>
  </si>
  <si>
    <t>ปฎิพัทธ์ สมมิตร</t>
  </si>
  <si>
    <t>FR175005</t>
  </si>
  <si>
    <t>วิลาสินี สีสุโย</t>
  </si>
  <si>
    <t>วัชระ จันทร์สง</t>
  </si>
  <si>
    <t>มานิต  หนูคง</t>
  </si>
  <si>
    <t>วสันต์ มิ้งวรรณ</t>
  </si>
  <si>
    <t>เสาวลักษณ์ ระสารักษ์</t>
  </si>
  <si>
    <t>FR179008</t>
  </si>
  <si>
    <t>พัชราภรณ์ ทองพิทักษ์</t>
  </si>
  <si>
    <t>วิเชียร ปีกน้อย</t>
  </si>
  <si>
    <t>อมรรักษ์ ศรีบุรินทร์</t>
  </si>
  <si>
    <t>กันตินันท์ ศรีบุรินทร์</t>
  </si>
  <si>
    <t>FR182010</t>
  </si>
  <si>
    <t>พัชญา ราชพัฒน์</t>
  </si>
  <si>
    <t>FC337 : FC (M) เชียงคาน</t>
  </si>
  <si>
    <t>กฤษดา หงษ์แก้ว</t>
  </si>
  <si>
    <t>อนุวัฒน์ ค่าแพง</t>
  </si>
  <si>
    <t>วันเฉลิม ยอยบุปผา</t>
  </si>
  <si>
    <t>กฤษดา ศรีแก้ว</t>
  </si>
  <si>
    <t>วัฒนา คำหอมกุล</t>
  </si>
  <si>
    <t>ไพรินทร์ ลาภจิตร</t>
  </si>
  <si>
    <t>สุเมธ แจ้งดี</t>
  </si>
  <si>
    <t>เอกชัย แผ้วเกษม</t>
  </si>
  <si>
    <t>ภูดนัย คำแก้ว</t>
  </si>
  <si>
    <t>สมโภช อ้วนดี</t>
  </si>
  <si>
    <t>FR191006</t>
  </si>
  <si>
    <t>กฤษฎา โสภาน้ำ</t>
  </si>
  <si>
    <t>FC386 : FC นาหว้า</t>
  </si>
  <si>
    <t>FR191005</t>
  </si>
  <si>
    <t>บุษบา  ยมจันทร์</t>
  </si>
  <si>
    <t>บุญเกิด  ธนะทรัพย์</t>
  </si>
  <si>
    <t>วิฟู ชัยสงค์</t>
  </si>
  <si>
    <t>มนตรี อาจภักดี</t>
  </si>
  <si>
    <t>วรวิทย์ เทียบโพธิ์</t>
  </si>
  <si>
    <t>คำภู สุนทรแต</t>
  </si>
  <si>
    <t>ศรายุทธ ชูนพรัตน์</t>
  </si>
  <si>
    <t>กฤษดา มูลพฤกษ์</t>
  </si>
  <si>
    <t>นราธิป อินทสิทธิ์</t>
  </si>
  <si>
    <t>ชัยวัฒน์ เจริญขำ</t>
  </si>
  <si>
    <t>จรัล   ทองแท้</t>
  </si>
  <si>
    <t>สุรชัย ศรีมงคลย์</t>
  </si>
  <si>
    <t>ธนาวุฒิ จรีวัฒน์</t>
  </si>
  <si>
    <t>นราวุธ สุขเสวี</t>
  </si>
  <si>
    <t>พงษ์ศักดิ์ ไชยพงษ์</t>
  </si>
  <si>
    <t>FR208007</t>
  </si>
  <si>
    <t>กิติศักดิ์  กิตยานุรักษ์</t>
  </si>
  <si>
    <t>อมรศักดิ์ สังวรจิต</t>
  </si>
  <si>
    <t>ปุณณดา ปิจจ๊ะ</t>
  </si>
  <si>
    <t>FR208008</t>
  </si>
  <si>
    <t>พนม กลิ้งจักร</t>
  </si>
  <si>
    <t>อนุชิต ปั้นซัง</t>
  </si>
  <si>
    <t>สุชิน ชัยวงค์</t>
  </si>
  <si>
    <t>สุวัฒน์ ทองจำปา</t>
  </si>
  <si>
    <t>ศรานนท์ คงอยู่</t>
  </si>
  <si>
    <t>โชคชัย พรหมเกตุ</t>
  </si>
  <si>
    <t>สุพรชัย พรหมเกตุ</t>
  </si>
  <si>
    <t>สด ยังวารี</t>
  </si>
  <si>
    <t>เมธา ปานใจนาม</t>
  </si>
  <si>
    <t>มนัส บานนางแย้ม</t>
  </si>
  <si>
    <t>โสภณ มีแสวง</t>
  </si>
  <si>
    <t>อาภารัตน์ สารี</t>
  </si>
  <si>
    <t>FR217014</t>
  </si>
  <si>
    <t>จตุพล นาดา</t>
  </si>
  <si>
    <t>พิทยา ยลพันธ์</t>
  </si>
  <si>
    <t>ไพบูลย์ ศรีโนนม่วง</t>
  </si>
  <si>
    <t>FR217011</t>
  </si>
  <si>
    <t>สนั่น วัฒน์สี</t>
  </si>
  <si>
    <t>FR217012</t>
  </si>
  <si>
    <t>คณิต อิศรวงษ์</t>
  </si>
  <si>
    <t>พรชัย ด้วงดำ</t>
  </si>
  <si>
    <t>สิทธิกร ฉลาดแย้ม</t>
  </si>
  <si>
    <t>ธีรศักดิ์ ยาดี</t>
  </si>
  <si>
    <t>วิโรจน์  ชุ่มมา</t>
  </si>
  <si>
    <t>กิตติพงษ์ กันทะสัก (JOB)</t>
  </si>
  <si>
    <t>กิติพงษ์ ปุริณะ</t>
  </si>
  <si>
    <t>นิรุธ มณีโชติ</t>
  </si>
  <si>
    <t>อานนท์ สาระสาร</t>
  </si>
  <si>
    <t>ปริพัฒน์ ไชโยแสง</t>
  </si>
  <si>
    <t>อภิสิทธิ์ ก้อนคำ</t>
  </si>
  <si>
    <t>นพศร อบรา</t>
  </si>
  <si>
    <t>FR225002</t>
  </si>
  <si>
    <t>พงษ์วณัฏฐ์ แย้มกลิ่น</t>
  </si>
  <si>
    <t>FR225012</t>
  </si>
  <si>
    <t>อนุชิต พวงนางแย้ม</t>
  </si>
  <si>
    <t>ไพรวัลย์ มัธยม</t>
  </si>
  <si>
    <t>นรากูล กรายไทยสงค์</t>
  </si>
  <si>
    <t>ยรรยง กุพันธ์</t>
  </si>
  <si>
    <t>ชูเกียรติ เกาะกิ่ง</t>
  </si>
  <si>
    <t>สุชิน คนหมั่น</t>
  </si>
  <si>
    <t>วินัย นนฤาชา</t>
  </si>
  <si>
    <t>FR228026</t>
  </si>
  <si>
    <t>ครรชิด คมขำ</t>
  </si>
  <si>
    <t>FR228017</t>
  </si>
  <si>
    <t>ทนง กเสิมสิน</t>
  </si>
  <si>
    <t>FR228024</t>
  </si>
  <si>
    <t>อภิชาติ เบ้ามี</t>
  </si>
  <si>
    <t>เฉลิมพล ภูธร</t>
  </si>
  <si>
    <t>FR228005</t>
  </si>
  <si>
    <t>ทองลี   วิสูงเร</t>
  </si>
  <si>
    <t>มนัส ร่มพุดซา</t>
  </si>
  <si>
    <t>ปภังกร ชุมดาวงษ์</t>
  </si>
  <si>
    <t>อมรเทพ ศิลปะ</t>
  </si>
  <si>
    <t>FR228008</t>
  </si>
  <si>
    <t>นพวัฒน์ ชินดร</t>
  </si>
  <si>
    <t>จิณรภัทร เจริญรัมย์</t>
  </si>
  <si>
    <t>ภูวนาท หาญอ่อนตา</t>
  </si>
  <si>
    <t>อภิชาติ ละดาพันธ์</t>
  </si>
  <si>
    <t>FR228014</t>
  </si>
  <si>
    <t>นที สำราญบำรุง</t>
  </si>
  <si>
    <t>ธวิทย์   มุ่งดี</t>
  </si>
  <si>
    <t>FR228020</t>
  </si>
  <si>
    <t>ณัฐพล แก้ววิเศษ</t>
  </si>
  <si>
    <t>ทศพร ผดุงโภคสุริย์</t>
  </si>
  <si>
    <t>ยุทธศิลป์ แสงคุรัง</t>
  </si>
  <si>
    <t>วัน เดินไพร</t>
  </si>
  <si>
    <t>FR228011</t>
  </si>
  <si>
    <t>วิจิตร คำมุงคุณ</t>
  </si>
  <si>
    <t>จิรชัย เอมโอษฐ์</t>
  </si>
  <si>
    <t>สนทะยา นาเจริญ</t>
  </si>
  <si>
    <t>สมชาย คำไข</t>
  </si>
  <si>
    <t>FR242002</t>
  </si>
  <si>
    <t>ประพจน์ จันทะนาม</t>
  </si>
  <si>
    <t>ศุภชัย แสนพยุหะ</t>
  </si>
  <si>
    <t>สัณหณัฐ กลึงเอียม</t>
  </si>
  <si>
    <t>นิกร พลสวัสดิ์</t>
  </si>
  <si>
    <t>สุธิพันธ์ มั่นจิตร</t>
  </si>
  <si>
    <t>วีรยุทธ วันเปรียงเถาว์</t>
  </si>
  <si>
    <t>สมชาย โสนทอง</t>
  </si>
  <si>
    <t>ปัญญา ปะระขา</t>
  </si>
  <si>
    <t>ภูสิทธิ์ ปะทานัง</t>
  </si>
  <si>
    <t>ธวัชชัย แก้วโยธา</t>
  </si>
  <si>
    <t>ทนงศักดิ์ แก้วโยธา</t>
  </si>
  <si>
    <t>สุวัฒน์ เหลาพร</t>
  </si>
  <si>
    <t>นิรันดร์ คำภูเวียง</t>
  </si>
  <si>
    <t>สดายุ วะมะพุทธา</t>
  </si>
  <si>
    <t>FR256002</t>
  </si>
  <si>
    <t>วีรยุทธ สัจมั่น</t>
  </si>
  <si>
    <t>FR256 : บจก.โยธาวิทย์ โฮมเซ็นเตอร์</t>
  </si>
  <si>
    <t>ZZ5A : FC ทุ่งตะโก</t>
  </si>
  <si>
    <t>FR256001</t>
  </si>
  <si>
    <t>วิชเยนทร์ สุขวิสุทธิ์</t>
  </si>
  <si>
    <t>สมบูรณ์ ลาพานิช</t>
  </si>
  <si>
    <t>FR270002</t>
  </si>
  <si>
    <t>ไชยา ชะโยรมย์</t>
  </si>
  <si>
    <t>FR272001</t>
  </si>
  <si>
    <t>หฤทธิ์ คูณแสง</t>
  </si>
  <si>
    <t>FR272 : หจก.สมพรพาณิชย์ คอนกรีต</t>
  </si>
  <si>
    <t>FC336 : FC สังคม</t>
  </si>
  <si>
    <t>ชัยพฤกษ์ เสนานุช</t>
  </si>
  <si>
    <t>FR284 : หจก.ซีเค 2024 คอนกรีต</t>
  </si>
  <si>
    <t>ณัฐชัย โทจำปา</t>
  </si>
  <si>
    <t>อำนาจ ชุมภู (เนิ่น)</t>
  </si>
  <si>
    <t>เกศณี ปัญญา(บึ๋ง)</t>
  </si>
  <si>
    <t>อุดม วงสีมี</t>
  </si>
  <si>
    <t>FR286019</t>
  </si>
  <si>
    <t>วีระ นามจันดา</t>
  </si>
  <si>
    <t>วีระศักดิ์ หร่ายขุนทด</t>
  </si>
  <si>
    <t>อิทธิพล หร่ายขุนทด</t>
  </si>
  <si>
    <t>สุวรรณ สีดำ</t>
  </si>
  <si>
    <t>FR289001</t>
  </si>
  <si>
    <t>วรุต สุคำ</t>
  </si>
  <si>
    <t>FR289 : หจก.ปงคอนกรีต</t>
  </si>
  <si>
    <t>FC357 : ปง (FC Type M)</t>
  </si>
  <si>
    <t>FR289000</t>
  </si>
  <si>
    <t>พีรพงศ์ ศูนย์กลาง</t>
  </si>
  <si>
    <t>FR290000</t>
  </si>
  <si>
    <t>ธาดา จิตเผือก</t>
  </si>
  <si>
    <t>FR290 : หจก.เอ็นพี วัสดุก่อสร้าง</t>
  </si>
  <si>
    <t>19AP : แพร่-ร้องกวาง(FC Co-Area Type X)</t>
  </si>
  <si>
    <t>FR290001</t>
  </si>
  <si>
    <t>อำนาจ ยวงอินเเปลง</t>
  </si>
  <si>
    <t>FR290002</t>
  </si>
  <si>
    <t>เจนณรงค์ ปันแก้ว</t>
  </si>
  <si>
    <t>FC403 : เวียงสา 2(Type M)</t>
  </si>
  <si>
    <t>FR292002</t>
  </si>
  <si>
    <t>เอกชัย โสภะสุนทร</t>
  </si>
  <si>
    <t>จารบุตร แสงชา</t>
  </si>
  <si>
    <t>กิตติพันธ์ ดีนอก</t>
  </si>
  <si>
    <t>ชูชาติ หนูตะกั่วนอก</t>
  </si>
  <si>
    <t>อำภา จิตรเกษม</t>
  </si>
  <si>
    <t>สุวัจน์ เต็มจิตต์</t>
  </si>
  <si>
    <t>FR295007</t>
  </si>
  <si>
    <t>อำภา จิตเกษม</t>
  </si>
  <si>
    <t>วีระ ใจดี</t>
  </si>
  <si>
    <t>วัชรกรณ์ คง</t>
  </si>
  <si>
    <t>สมพงษ์ อุณาพรหม</t>
  </si>
  <si>
    <t>FR297004</t>
  </si>
  <si>
    <t>สิทธิเดช วงศ์คำมา</t>
  </si>
  <si>
    <t>FR297 : หจก.ชุมพลวัสดุก่อสร้าง</t>
  </si>
  <si>
    <t>FC362 : เชียงม่วน (FC Type M)</t>
  </si>
  <si>
    <t>FR297000</t>
  </si>
  <si>
    <t>กาวีรัช น้ำสา</t>
  </si>
  <si>
    <t>FR298003</t>
  </si>
  <si>
    <t>วิชิต วุฒิโอสถ</t>
  </si>
  <si>
    <t>FR298 : หจก.เคพีอาร์ คอนกรีต</t>
  </si>
  <si>
    <t>FC363 : FC ศรีบุญเรือง</t>
  </si>
  <si>
    <t>ภูริวัฒน์ วรรณคำ</t>
  </si>
  <si>
    <t>นิพนธ์ อุนันต๊ะ</t>
  </si>
  <si>
    <t>ประดิษฐ์ สกุลลอย</t>
  </si>
  <si>
    <t>พงศ์พันธ์ เทพทวี</t>
  </si>
  <si>
    <t>FR307001</t>
  </si>
  <si>
    <t>ปาลิตา อุปะละ</t>
  </si>
  <si>
    <t>FR307 : หจก.ดับเบิ้ลยูซี คอนกรีต</t>
  </si>
  <si>
    <t>FC371 : แม่ใจ (Type M)</t>
  </si>
  <si>
    <t>FR307000</t>
  </si>
  <si>
    <t>ทัตพงษ์ ปาระหงษ์</t>
  </si>
  <si>
    <t>FR308003</t>
  </si>
  <si>
    <t>ชานนท์ สายยืด</t>
  </si>
  <si>
    <t>FR308005</t>
  </si>
  <si>
    <t>ณิชาภัทร ณินทิภัทร</t>
  </si>
  <si>
    <t>ทศพงศ์ ชาติคง</t>
  </si>
  <si>
    <t>วรากรณ์ หาทรัพย์</t>
  </si>
  <si>
    <t>พิมพ์ชนก ผู้น้อย</t>
  </si>
  <si>
    <t>FR308004</t>
  </si>
  <si>
    <t>นพฤทธิ์ เรือนสิทธิ์</t>
  </si>
  <si>
    <t>ทนุสรณ์ จันทร์แจ่ม</t>
  </si>
  <si>
    <t>อภิวัฒน์ บุญเสนอ</t>
  </si>
  <si>
    <t>FR313001</t>
  </si>
  <si>
    <t>นนธวัฒน์ รินฟอง</t>
  </si>
  <si>
    <t>FR313 : บจก.เอ วี เอ คอนสตรัคชั่น</t>
  </si>
  <si>
    <t>19FD : ลำปาง-เกาะคา(FC Co-Area Type X)</t>
  </si>
  <si>
    <t>FR313002</t>
  </si>
  <si>
    <t>เอกพัน นุฝิน</t>
  </si>
  <si>
    <t>จิรายุทธ เพชรเก่า</t>
  </si>
  <si>
    <t>FR314002</t>
  </si>
  <si>
    <t>นาย จำเนียร วงศ์ใจเเก้ว</t>
  </si>
  <si>
    <t>FR314004</t>
  </si>
  <si>
    <t>วุฒิชัย ต๊ะวัน</t>
  </si>
  <si>
    <t>อรรถพงษ์ ปินตา</t>
  </si>
  <si>
    <t>FR315005</t>
  </si>
  <si>
    <t>อรรถพล ปินตา</t>
  </si>
  <si>
    <t>ภัทรดล อินมะโน</t>
  </si>
  <si>
    <t>บุญฤทธิ์ เสนสม</t>
  </si>
  <si>
    <t>FR315006</t>
  </si>
  <si>
    <t>พัฒพงศ์ ฤทธิ์จรูญ</t>
  </si>
  <si>
    <t>FR324000</t>
  </si>
  <si>
    <t>ชนพัฒน์ จันทร์เเดง</t>
  </si>
  <si>
    <t>FR324 : บจก.เอ็น.ดี.พี.เอ็นจิเนียริ่ง</t>
  </si>
  <si>
    <t>19FJ : ลำปาง-ห้างฉัตร(FC Co-Area Type X)</t>
  </si>
  <si>
    <t>FR324001</t>
  </si>
  <si>
    <t>วชิระ ต๊ะวัง</t>
  </si>
  <si>
    <t>FR327 : หจก.โซ่ซีเมนต์</t>
  </si>
  <si>
    <t>FC391 : FC โซ่พิสัย</t>
  </si>
  <si>
    <t>FR327004</t>
  </si>
  <si>
    <t>FR327005</t>
  </si>
  <si>
    <t>FR327007</t>
  </si>
  <si>
    <t>ทัศนีย์ แพงสมสนุก</t>
  </si>
  <si>
    <t>FC111</t>
  </si>
  <si>
    <t>FC394</t>
  </si>
  <si>
    <t>FC403</t>
  </si>
  <si>
    <t>ทดสอบปฏิบัติ พนง.โยธา</t>
  </si>
  <si>
    <t>FR012032</t>
  </si>
  <si>
    <t>ศักดิ์สิทธิ์ อุดมโภชน์</t>
  </si>
  <si>
    <t>FC402 : หนองใหญ่ 3</t>
  </si>
  <si>
    <t>FR012033</t>
  </si>
  <si>
    <t>มาวิน เมียนมา</t>
  </si>
  <si>
    <t>FR012034</t>
  </si>
  <si>
    <t>จักรพงษ์  ประชุม</t>
  </si>
  <si>
    <t>FR027020</t>
  </si>
  <si>
    <t>ยศนนท์ สิงห์สอน</t>
  </si>
  <si>
    <t>FR029003</t>
  </si>
  <si>
    <t>พลวัฒน์ มีบุญ</t>
  </si>
  <si>
    <t>FR107007</t>
  </si>
  <si>
    <t>วันวิเศษ ทรายกิ่ง</t>
  </si>
  <si>
    <t>FR179002</t>
  </si>
  <si>
    <t>ประกาศ เพ็งกระจ่าง</t>
  </si>
  <si>
    <t>ไพรัช สุดเตาะ</t>
  </si>
  <si>
    <t>FR193031</t>
  </si>
  <si>
    <t>อดิเรก ปั้นแตง</t>
  </si>
  <si>
    <t>FR217 : หจก.ทรัพย์รุ่งเรืองวัสดุ</t>
  </si>
  <si>
    <t>FR251 : บจก.พีเอ็น คอนกรีต จำกัด</t>
  </si>
  <si>
    <t>FR290008</t>
  </si>
  <si>
    <t>เรือง ปันจันตา</t>
  </si>
  <si>
    <t>FR290003</t>
  </si>
  <si>
    <t>ณภัค ธรรมพิทักษ์</t>
  </si>
  <si>
    <t>FR310007</t>
  </si>
  <si>
    <t>ณัฐวิภา บุญทอด</t>
  </si>
  <si>
    <t>FR019010</t>
  </si>
  <si>
    <t>อำนาจ ชนะภัย</t>
  </si>
  <si>
    <t>FC397 : FC ท่าม่วง</t>
  </si>
  <si>
    <t>FR019011</t>
  </si>
  <si>
    <t>FR019012</t>
  </si>
  <si>
    <t>สุวิทย์ มิกี้</t>
  </si>
  <si>
    <t xml:space="preserve">FC369 : FC กาญจนบุรี 2 </t>
  </si>
  <si>
    <t>FR019013</t>
  </si>
  <si>
    <t>เนวืน ชื่นอารมย์</t>
  </si>
  <si>
    <t>FR019014</t>
  </si>
  <si>
    <t>สมปอง หงษ์อินทร์</t>
  </si>
  <si>
    <t>FR019015</t>
  </si>
  <si>
    <t>เนติพงษ์ สวยล้ำ</t>
  </si>
  <si>
    <t>FR019016</t>
  </si>
  <si>
    <t>เกดิษฐ์ แก้วอิน</t>
  </si>
  <si>
    <t>FR019017</t>
  </si>
  <si>
    <t>พิพัฒน์  สมพันธ์</t>
  </si>
  <si>
    <t>FR019018</t>
  </si>
  <si>
    <t>มานะ รุ่งสว่าง</t>
  </si>
  <si>
    <t>FR021008</t>
  </si>
  <si>
    <t>ชาตรี มณีสูง</t>
  </si>
  <si>
    <t>FR021009</t>
  </si>
  <si>
    <t>ศุภฤกษ์ สุขอุดม</t>
  </si>
  <si>
    <t>FR037009</t>
  </si>
  <si>
    <t>สมบัติ มิทยัพ</t>
  </si>
  <si>
    <t>FC063 : FC ปากช่อง 2</t>
  </si>
  <si>
    <t>FR037010</t>
  </si>
  <si>
    <t>ชัยชนะ จันทมาศ</t>
  </si>
  <si>
    <t>FR037011</t>
  </si>
  <si>
    <t>กันตินัน จีบุญมี</t>
  </si>
  <si>
    <t>FR082005</t>
  </si>
  <si>
    <t>จุติ จุโฑปะมา</t>
  </si>
  <si>
    <t>FR082006</t>
  </si>
  <si>
    <t>ตี๋อ้วน กระเหรี่ยง</t>
  </si>
  <si>
    <t>FR082007</t>
  </si>
  <si>
    <t>ภากร  ฑีฆะบุตร</t>
  </si>
  <si>
    <t>FR175007</t>
  </si>
  <si>
    <t>กิติพงษ์ เกตุเกี้ยว</t>
  </si>
  <si>
    <t>FR175008</t>
  </si>
  <si>
    <t>วิสาร คงชื้น</t>
  </si>
  <si>
    <t>หนองใหญ่ 3</t>
  </si>
  <si>
    <t>FC402</t>
  </si>
  <si>
    <t>FC397</t>
  </si>
  <si>
    <t>FR022001</t>
  </si>
  <si>
    <t xml:space="preserve">นพดล       นุชเจริญ            </t>
  </si>
  <si>
    <t>FR062001</t>
  </si>
  <si>
    <t>จตุรงค์ หนูคง</t>
  </si>
  <si>
    <t>ผู้แทนขาย</t>
  </si>
  <si>
    <t>26</t>
  </si>
  <si>
    <t>FR118006</t>
  </si>
  <si>
    <t>ศุภณัฐ ทองชมพูนุช</t>
  </si>
  <si>
    <t>3164 : FC ปากน้ำชุมพร (Type X )</t>
  </si>
  <si>
    <t>ไอรดา บัวชัย</t>
  </si>
  <si>
    <t>FR094004</t>
  </si>
  <si>
    <t>พงษ์พันธ์ โสชาติ</t>
  </si>
  <si>
    <t>FR094024</t>
  </si>
  <si>
    <t>FR182002</t>
  </si>
  <si>
    <t>วิรัตน์ วังคีรี</t>
  </si>
  <si>
    <t>FR182009</t>
  </si>
  <si>
    <t>ธีรวัฒน์ ชัยโชค</t>
  </si>
  <si>
    <t>FR192016</t>
  </si>
  <si>
    <t>สุภาวดี โพธิ์ศรี</t>
  </si>
  <si>
    <t>FR192006</t>
  </si>
  <si>
    <t>อภิชาติ เทียบโพธิ์</t>
  </si>
  <si>
    <t>FR192014</t>
  </si>
  <si>
    <t>FR192015</t>
  </si>
  <si>
    <t>สุพจน์ มาสุข</t>
  </si>
  <si>
    <t>FR192009</t>
  </si>
  <si>
    <t>FC375 : FC กระนวน</t>
  </si>
  <si>
    <t>FR192010</t>
  </si>
  <si>
    <t>สุรศักดิ์ อ้วนพิพิศ</t>
  </si>
  <si>
    <t>FR202004</t>
  </si>
  <si>
    <t>ชาญณรงค์ โกลาหล</t>
  </si>
  <si>
    <t>FR214003</t>
  </si>
  <si>
    <t>ปิยะ อุตกรรณ์</t>
  </si>
  <si>
    <t>FR219003</t>
  </si>
  <si>
    <t>ชุมพล แหวนเงิน</t>
  </si>
  <si>
    <t>FR252003</t>
  </si>
  <si>
    <t>FR252004</t>
  </si>
  <si>
    <t>FR281000</t>
  </si>
  <si>
    <t>วัชรินทร์ อินทร์สุวรรณ</t>
  </si>
  <si>
    <t>FR281 : บจก.ซีมิกซ์คอนกรีต</t>
  </si>
  <si>
    <t>FC395 : FC หนองคาย เลี่ยงเมือง</t>
  </si>
  <si>
    <t>FR281004</t>
  </si>
  <si>
    <t>สมาน จันทร์แดง</t>
  </si>
  <si>
    <t>FR281003</t>
  </si>
  <si>
    <t>ภูมินทร์ ศรีสุภักดิ์</t>
  </si>
  <si>
    <t>FR292004</t>
  </si>
  <si>
    <t>สุริยะ วงค์จันชมภู</t>
  </si>
  <si>
    <t>FR317000</t>
  </si>
  <si>
    <t>FR317 : บจก.เป เป้ คอนกรีต</t>
  </si>
  <si>
    <t>FC377 : FC (M) กุดจับ</t>
  </si>
  <si>
    <t>FR317001</t>
  </si>
  <si>
    <t>ไชยยันต์ จันทะสิม</t>
  </si>
  <si>
    <t>FR317003</t>
  </si>
  <si>
    <t>สมบัติ มืดหาญ</t>
  </si>
  <si>
    <t>FR317002</t>
  </si>
  <si>
    <t>เกรียงศักดิ์ ศาตราวุธ</t>
  </si>
  <si>
    <t>FR317005</t>
  </si>
  <si>
    <t>ศุภฤกษ์ ต้นไทร</t>
  </si>
  <si>
    <t>FR320 : หจก.นครพัฒน์ คอนกรีต</t>
  </si>
  <si>
    <t>FC380 : FC (M) สร้างคอม</t>
  </si>
  <si>
    <t>FR320001</t>
  </si>
  <si>
    <t>ภัคภัทร์    คะเลรัมย์</t>
  </si>
  <si>
    <t>FR320003</t>
  </si>
  <si>
    <t>เรไร จันทร์งาม</t>
  </si>
  <si>
    <t>FR026021</t>
  </si>
  <si>
    <t>สำราญ ราชนิช</t>
  </si>
  <si>
    <t>FR073005</t>
  </si>
  <si>
    <t>อานนท์ บาเหมบูงา</t>
  </si>
  <si>
    <t>FR073006</t>
  </si>
  <si>
    <t>สุธรรม ชุมทอง</t>
  </si>
  <si>
    <t>FR093012</t>
  </si>
  <si>
    <t>อภิสิทธิ์ ศิริคณินทร์</t>
  </si>
  <si>
    <t>FR140011</t>
  </si>
  <si>
    <t>เสฎฐวุฒิ รักษ์มณี</t>
  </si>
  <si>
    <t>FR202005</t>
  </si>
  <si>
    <t>หยาดรุ้ง แหยมกลัด</t>
  </si>
  <si>
    <t>FR202006</t>
  </si>
  <si>
    <t>พงษ์ฤทธิ์ เพชรรัตน์</t>
  </si>
  <si>
    <t>FR218004</t>
  </si>
  <si>
    <t>วิทยา วิเชียร</t>
  </si>
  <si>
    <t>FR220000</t>
  </si>
  <si>
    <t>ปกรณ์ คงนวล</t>
  </si>
  <si>
    <t>FR220 : บจก.ปัญญามาตรฐานคอนกรีต (2012)</t>
  </si>
  <si>
    <t>FC396 : เวียงสระ</t>
  </si>
  <si>
    <t>FC396</t>
  </si>
  <si>
    <t>FR220001</t>
  </si>
  <si>
    <t>ศรายุทธ ปานเดโช</t>
  </si>
  <si>
    <t>FR220002</t>
  </si>
  <si>
    <t>ธนากร เชื้อสุข</t>
  </si>
  <si>
    <t>FR298004</t>
  </si>
  <si>
    <t>อุเทน แก่นโนนสังข์</t>
  </si>
  <si>
    <t>FR008002</t>
  </si>
  <si>
    <t>ประภาส พิมพิพัฒน์</t>
  </si>
  <si>
    <t>31</t>
  </si>
  <si>
    <t>37</t>
  </si>
  <si>
    <t>FR138007</t>
  </si>
  <si>
    <t>สถิตย์ ทัพแสง</t>
  </si>
  <si>
    <t>FR255001</t>
  </si>
  <si>
    <t>พลากร สมศรีโย</t>
  </si>
  <si>
    <t>FC398</t>
  </si>
  <si>
    <t>FC400</t>
  </si>
  <si>
    <t>FC401</t>
  </si>
  <si>
    <t>FR002042</t>
  </si>
  <si>
    <t>นันทิวร วันนา</t>
  </si>
  <si>
    <t>0</t>
  </si>
  <si>
    <t>FR010046</t>
  </si>
  <si>
    <t>เอกพล  ศรีสิงห์</t>
  </si>
  <si>
    <t>FR010047</t>
  </si>
  <si>
    <t>FR010050</t>
  </si>
  <si>
    <t>FR010051</t>
  </si>
  <si>
    <t>ซาออ -</t>
  </si>
  <si>
    <t>FR010052</t>
  </si>
  <si>
    <t>ซู -</t>
  </si>
  <si>
    <t>FR010048</t>
  </si>
  <si>
    <t>นพดล จิกรธรากุล</t>
  </si>
  <si>
    <t>FR012013</t>
  </si>
  <si>
    <t>พงศกร ขาวขันธ์</t>
  </si>
  <si>
    <t>FR012035</t>
  </si>
  <si>
    <t>นัฐพล พานทอง</t>
  </si>
  <si>
    <t>FC401 : บ้านค่าย 2</t>
  </si>
  <si>
    <t>FR012036</t>
  </si>
  <si>
    <t>วุฒิพงษ์  วงศ์ใจ</t>
  </si>
  <si>
    <t>FR012039</t>
  </si>
  <si>
    <t>สัก -</t>
  </si>
  <si>
    <t>FR012037</t>
  </si>
  <si>
    <t>นิติพล  นามผล</t>
  </si>
  <si>
    <t>FR012040</t>
  </si>
  <si>
    <t>รัฐกร หมู่สำราญ</t>
  </si>
  <si>
    <t>FC406 : โรจนะหนองใหญ่</t>
  </si>
  <si>
    <t>FR012041</t>
  </si>
  <si>
    <t>ศิวนัฐ พร้อมขุนทด</t>
  </si>
  <si>
    <t>FR012042</t>
  </si>
  <si>
    <t>วุฒิพงษ์ ปลิื้มใจ</t>
  </si>
  <si>
    <t>FR012043</t>
  </si>
  <si>
    <t>อัญญาฤทธิ์ อินพรมภา</t>
  </si>
  <si>
    <t>FR016007</t>
  </si>
  <si>
    <t>พงศ์ศิริ ขันนาค</t>
  </si>
  <si>
    <t>FR016010</t>
  </si>
  <si>
    <t>รุ่งนภา สามิภักดิ์</t>
  </si>
  <si>
    <t>FR016008</t>
  </si>
  <si>
    <t>ณัฐวุฒิ ไกรสมุทร</t>
  </si>
  <si>
    <t>FR019020</t>
  </si>
  <si>
    <t>ทนงศักดฺิ์ สอนซี</t>
  </si>
  <si>
    <t>FR024022</t>
  </si>
  <si>
    <t>FR024024</t>
  </si>
  <si>
    <t>FR033022</t>
  </si>
  <si>
    <t>ชาละวัน   ประทุมวรรณโยธิน</t>
  </si>
  <si>
    <t>FR033023</t>
  </si>
  <si>
    <t>วัน  ลุงต๊ะ</t>
  </si>
  <si>
    <t>FR033024</t>
  </si>
  <si>
    <t>ชิชานนท์  สำแดงเดช</t>
  </si>
  <si>
    <t>FR036071</t>
  </si>
  <si>
    <t>FC409 : FC โนนสูง</t>
  </si>
  <si>
    <t>FR036072</t>
  </si>
  <si>
    <t>ชนาธิป บานกระโทก</t>
  </si>
  <si>
    <t>FR036073</t>
  </si>
  <si>
    <t>ศรอนันต์ สดชื่น</t>
  </si>
  <si>
    <t>FR036074</t>
  </si>
  <si>
    <t>ทรงภพ หอสูงเนิน</t>
  </si>
  <si>
    <t>FR036075</t>
  </si>
  <si>
    <t>ทองมาก วิชาตา</t>
  </si>
  <si>
    <t>FR036076</t>
  </si>
  <si>
    <t>เจตริน แสงแก้วพะเนา</t>
  </si>
  <si>
    <t>FR037 : หจก.เจริญพัฒนา คอนกรีต</t>
  </si>
  <si>
    <t>รัตนาภารณ์ ชาวสำราญ</t>
  </si>
  <si>
    <t>สรรพสิทธิ์ นพคุณ</t>
  </si>
  <si>
    <t>FR039004</t>
  </si>
  <si>
    <t>สาคร หลวงแพ่ง</t>
  </si>
  <si>
    <t>FR071 : หจก.ณัฐรวี คอนกรีต</t>
  </si>
  <si>
    <t>FR102007</t>
  </si>
  <si>
    <t>สุวรรณ ทุย</t>
  </si>
  <si>
    <t>FR120020</t>
  </si>
  <si>
    <t>อดิศักดิ์ ปิ่นทอง</t>
  </si>
  <si>
    <t>FR120021</t>
  </si>
  <si>
    <t>ณัฐพร แสงพา</t>
  </si>
  <si>
    <t>FR150014</t>
  </si>
  <si>
    <t>SAW MYINT LWIN MYANMAR</t>
  </si>
  <si>
    <t>FR150013</t>
  </si>
  <si>
    <t>SAW MI NAY SAW MYINT NAING</t>
  </si>
  <si>
    <t>พิมพิชญา แสนสี</t>
  </si>
  <si>
    <t>อนัญญา ศรีวิรัตน์</t>
  </si>
  <si>
    <t>FR193033</t>
  </si>
  <si>
    <t>กิตานันท์ สังขมงคล</t>
  </si>
  <si>
    <t>FR193035</t>
  </si>
  <si>
    <t>FR193036</t>
  </si>
  <si>
    <t>FR193037</t>
  </si>
  <si>
    <t>มณเทียร   เอี่ยมเฟื่อง</t>
  </si>
  <si>
    <t>FR193034</t>
  </si>
  <si>
    <t>FR212014</t>
  </si>
  <si>
    <t>เกศกชา อาภา</t>
  </si>
  <si>
    <t>FR212015</t>
  </si>
  <si>
    <t>อนุชา มีแวว</t>
  </si>
  <si>
    <t>FR212017</t>
  </si>
  <si>
    <t>ประพัฒน์ มาตย์นอก</t>
  </si>
  <si>
    <t>FR212016</t>
  </si>
  <si>
    <t>ก้องเกียรติ เวียนนอก</t>
  </si>
  <si>
    <t>FR212012</t>
  </si>
  <si>
    <t>สมยศ หอมเชย</t>
  </si>
  <si>
    <t>FR212013</t>
  </si>
  <si>
    <t>กฤษฎา สุทธิเจริญ</t>
  </si>
  <si>
    <t>FR245003</t>
  </si>
  <si>
    <t>ณรงค์  จั่นขุนทด</t>
  </si>
  <si>
    <t>FR252009</t>
  </si>
  <si>
    <t>บุญครอง แสงจันทร์</t>
  </si>
  <si>
    <t>FR252010</t>
  </si>
  <si>
    <t>เกรียงไกร สีหะพันธ์</t>
  </si>
  <si>
    <t>FR252006</t>
  </si>
  <si>
    <t>โกมินทร์ แก้วกงพาน</t>
  </si>
  <si>
    <t>FC326 : FC หนองหิน</t>
  </si>
  <si>
    <t>FR252007</t>
  </si>
  <si>
    <t>สุนิศา ทอกไข</t>
  </si>
  <si>
    <t>FR252008</t>
  </si>
  <si>
    <t>ณัฐชาติ สีละพล</t>
  </si>
  <si>
    <t>รุ่งเรือง เมืองแสง</t>
  </si>
  <si>
    <t>ศุภชัย ทาบุราณ</t>
  </si>
  <si>
    <t>FR286023</t>
  </si>
  <si>
    <t>ชาตรี บุญเพ็ชร์</t>
  </si>
  <si>
    <t>FR287004</t>
  </si>
  <si>
    <t>ปกรณ์ เวียงสงค์</t>
  </si>
  <si>
    <t>FC411 : FC ห้วยบง</t>
  </si>
  <si>
    <t>FR287005</t>
  </si>
  <si>
    <t>ศักดิ์ดา นอสูงเนิน</t>
  </si>
  <si>
    <t>FR287006</t>
  </si>
  <si>
    <t>บุญส่ง ก้ามสันเที๊ย</t>
  </si>
  <si>
    <t>FR298005</t>
  </si>
  <si>
    <t>อนันตศักดิ์ ยอดสุรินทร์</t>
  </si>
  <si>
    <t>FR305004</t>
  </si>
  <si>
    <t>ธนาธร วนาสร้อยแสง</t>
  </si>
  <si>
    <t>FC408 : ปาย  (Type M)</t>
  </si>
  <si>
    <t>ไชยันต์ จันทะสิม</t>
  </si>
  <si>
    <t>FR320004</t>
  </si>
  <si>
    <t>สายชล ตาลอินทร์</t>
  </si>
  <si>
    <t>FR342000</t>
  </si>
  <si>
    <t>วัฒน์ธกรณ์   ละครวงษ์</t>
  </si>
  <si>
    <t>FR342 : หจก.ธีระคอนกรีต</t>
  </si>
  <si>
    <t>FC407 : FC ยโสธร 3</t>
  </si>
  <si>
    <t>FR342001</t>
  </si>
  <si>
    <t>ภูวนาท ธรรมพันธ์</t>
  </si>
  <si>
    <t>FR342002</t>
  </si>
  <si>
    <t>พุทธชัย สิงห์มาตร</t>
  </si>
  <si>
    <t>เอาข้อมูลจาก BLUENET มาวาง ต้อง Pivot มาวางเพราะชื่อซ้ำ</t>
  </si>
  <si>
    <t>FC407</t>
  </si>
  <si>
    <t>FC406</t>
  </si>
  <si>
    <t>FC409</t>
  </si>
  <si>
    <t>FC411</t>
  </si>
  <si>
    <t>FC408</t>
  </si>
  <si>
    <t>นายนาย -</t>
  </si>
  <si>
    <t>FR010054</t>
  </si>
  <si>
    <t>นพวิชญ์  ศรีท้วม</t>
  </si>
  <si>
    <t>FR010055</t>
  </si>
  <si>
    <t>สำเริง สุขพินิจ</t>
  </si>
  <si>
    <t>FR010056</t>
  </si>
  <si>
    <t>พินิจ จิตรสาคร</t>
  </si>
  <si>
    <t>FR010058</t>
  </si>
  <si>
    <t>เย -</t>
  </si>
  <si>
    <t>FR012045</t>
  </si>
  <si>
    <t>ไฮ ฮิน</t>
  </si>
  <si>
    <t>FR012046</t>
  </si>
  <si>
    <t>ดำรงค์ โต้งกระโทก</t>
  </si>
  <si>
    <t>FR012047</t>
  </si>
  <si>
    <t>ศุภชัย แสงแก้ว</t>
  </si>
  <si>
    <t>FR012048</t>
  </si>
  <si>
    <t>พีระศักดิ์ พุดจีบ</t>
  </si>
  <si>
    <t>FR054008</t>
  </si>
  <si>
    <t>ณัฐพงษ์ พรหมทอง</t>
  </si>
  <si>
    <t>FR054007</t>
  </si>
  <si>
    <t>อิทธิฤทธิ์ คงช่วย</t>
  </si>
  <si>
    <t>FR211007</t>
  </si>
  <si>
    <t>จิระพงศ์ ศิริคง</t>
  </si>
  <si>
    <t>FR211008</t>
  </si>
  <si>
    <t>ณรงค์ชัย อ้องสุวรรณ</t>
  </si>
  <si>
    <t>FR336000</t>
  </si>
  <si>
    <t>ยศธน กตัญญู</t>
  </si>
  <si>
    <t>FR336 : บจก.ตราดคอนกรีต เรดดี้มิกซ์</t>
  </si>
  <si>
    <t>FC399 : ตราด</t>
  </si>
  <si>
    <t>FR336002</t>
  </si>
  <si>
    <t>ภูมิรัตน์ กลมลารัตน์</t>
  </si>
  <si>
    <t>FR336001</t>
  </si>
  <si>
    <t>พชรพล หิรัญ</t>
  </si>
  <si>
    <r>
      <t>ทดสอบ</t>
    </r>
    <r>
      <rPr>
        <b/>
        <sz val="16"/>
        <color rgb="FFFF0000"/>
        <rFont val="TH SarabunPSK"/>
        <family val="2"/>
      </rPr>
      <t>ปฏิบัติระดับพื้นฐาน</t>
    </r>
    <r>
      <rPr>
        <b/>
        <sz val="16"/>
        <color theme="1"/>
        <rFont val="TH SarabunPSK"/>
        <family val="2"/>
      </rPr>
      <t>พนักงานผลิต(L1)</t>
    </r>
  </si>
  <si>
    <r>
      <t>ทดสอบ</t>
    </r>
    <r>
      <rPr>
        <b/>
        <sz val="16"/>
        <color rgb="FFFF0000"/>
        <rFont val="TH SarabunPSK"/>
        <family val="2"/>
      </rPr>
      <t>ทฤษฎีระดับสามัญ</t>
    </r>
    <r>
      <rPr>
        <b/>
        <sz val="16"/>
        <color theme="1"/>
        <rFont val="TH SarabunPSK"/>
        <family val="2"/>
      </rPr>
      <t>พนักงานผลิต(L2)</t>
    </r>
  </si>
  <si>
    <r>
      <t>ทดสอบ</t>
    </r>
    <r>
      <rPr>
        <b/>
        <sz val="16"/>
        <color rgb="FFFF0000"/>
        <rFont val="TH SarabunPSK"/>
        <family val="2"/>
      </rPr>
      <t>ปฏิบัติระดับสามัญ</t>
    </r>
    <r>
      <rPr>
        <b/>
        <sz val="16"/>
        <color theme="1"/>
        <rFont val="TH SarabunPSK"/>
        <family val="2"/>
      </rPr>
      <t>พนักงานผลิต(L2)</t>
    </r>
  </si>
  <si>
    <t>FC399</t>
  </si>
  <si>
    <t>FR160006</t>
  </si>
  <si>
    <t>สาริน วงศ์สถาพรชัย</t>
  </si>
  <si>
    <t>FR045022</t>
  </si>
  <si>
    <t>พีรพงษ์ เสนาเงิน</t>
  </si>
  <si>
    <t>FC383 : FC ศีขรภูมิ</t>
  </si>
  <si>
    <t>FR045023</t>
  </si>
  <si>
    <t>ธนาธรณ์ ยอดศรีทอง</t>
  </si>
  <si>
    <t>FR045024</t>
  </si>
  <si>
    <t>เรนุวัตร ซุกแซก</t>
  </si>
  <si>
    <t>FR296004</t>
  </si>
  <si>
    <t>เกรียงไกร ยศบุญเรือง</t>
  </si>
  <si>
    <t>FR296005</t>
  </si>
  <si>
    <t>32</t>
  </si>
  <si>
    <t>27</t>
  </si>
  <si>
    <t>ภาณุพงษ์ สวยล้ำ</t>
  </si>
  <si>
    <t>FR039008</t>
  </si>
  <si>
    <t>ณัฐวุฒิ ตามตะรัมย์</t>
  </si>
  <si>
    <t>FR039009</t>
  </si>
  <si>
    <t>ศราวุธ ผลาผล</t>
  </si>
  <si>
    <t>FR039007</t>
  </si>
  <si>
    <t>อรรคพล แก้วมงคล</t>
  </si>
  <si>
    <t>FR046007</t>
  </si>
  <si>
    <t>ชญาณ์พัฒน์ ฐิตธัมมาวงศ์</t>
  </si>
  <si>
    <t>FR046008</t>
  </si>
  <si>
    <t>ธีรภัทร์ ลัดดาไสว</t>
  </si>
  <si>
    <t>FR046009</t>
  </si>
  <si>
    <t>เด่น กุลรัตน์</t>
  </si>
  <si>
    <t>FR047016</t>
  </si>
  <si>
    <t>บัวเรียน มะปรางก่ำ</t>
  </si>
  <si>
    <t>อนุชา คำซาว</t>
  </si>
  <si>
    <t>FR070011</t>
  </si>
  <si>
    <t>วิมลธญา ชื่นอารมย์</t>
  </si>
  <si>
    <t>FR070013</t>
  </si>
  <si>
    <t>อนุวัตน์ ช่วยบำรุง</t>
  </si>
  <si>
    <t>FR070014</t>
  </si>
  <si>
    <t>ฉลอง ประสมกิจ</t>
  </si>
  <si>
    <t>FR070015</t>
  </si>
  <si>
    <t>ประเวศ แตงเอี่ยม</t>
  </si>
  <si>
    <t>FR071006</t>
  </si>
  <si>
    <t>ธนัต บ้านชอง</t>
  </si>
  <si>
    <t>FR071011</t>
  </si>
  <si>
    <t>ไพรวัน เพียสุริวงษ์</t>
  </si>
  <si>
    <t>FR071010</t>
  </si>
  <si>
    <t>พีระวัฒน์ เศียรนอก</t>
  </si>
  <si>
    <t>FR084020</t>
  </si>
  <si>
    <t>เสกสรรค์ มงคล</t>
  </si>
  <si>
    <t>หาญพงษ์ สมจิตร</t>
  </si>
  <si>
    <t>FR084021</t>
  </si>
  <si>
    <t>ธนชิต ลีสี</t>
  </si>
  <si>
    <t>FR084022</t>
  </si>
  <si>
    <t>ภานุพงษ์ หมื่นสุข</t>
  </si>
  <si>
    <t>FC378 : FC อำนาจเจริญ 3 -น้ำปลีก</t>
  </si>
  <si>
    <t>FR084023</t>
  </si>
  <si>
    <t>ชัยมงคล อภัยพันธ์</t>
  </si>
  <si>
    <t>FR084024</t>
  </si>
  <si>
    <t>ธีรศักดิ์ ก้อนแก้ว</t>
  </si>
  <si>
    <t>FR084025</t>
  </si>
  <si>
    <t>นที ชำนาญเวช</t>
  </si>
  <si>
    <t>FC400 : FC ชานุมาน</t>
  </si>
  <si>
    <t>FR084026</t>
  </si>
  <si>
    <t>สุรทัศน์ ราชสาร</t>
  </si>
  <si>
    <t>FR084027</t>
  </si>
  <si>
    <t>ศราวุฒิ แก้วอาดิษฐ์</t>
  </si>
  <si>
    <t>FR130005</t>
  </si>
  <si>
    <t>สุทธิพงษ์ สมพงษ์</t>
  </si>
  <si>
    <t>FR130004</t>
  </si>
  <si>
    <t>บุญส่ง อุเทนสุด</t>
  </si>
  <si>
    <t>FR141056</t>
  </si>
  <si>
    <t>เมธี ถิ่นจันทร์ (เมิน)</t>
  </si>
  <si>
    <t>FR141059</t>
  </si>
  <si>
    <t>FC404 : แม่สรวย 2</t>
  </si>
  <si>
    <t>FR141057</t>
  </si>
  <si>
    <t>ธีรพันธุ์ จันทร์เต็ม</t>
  </si>
  <si>
    <t>FR141058</t>
  </si>
  <si>
    <t>สุรเดช แรงโสม</t>
  </si>
  <si>
    <t>FR168012</t>
  </si>
  <si>
    <t>ปวีณา สุกสนิท</t>
  </si>
  <si>
    <t>FR171004</t>
  </si>
  <si>
    <t>ธนศักดิ์ ภาษาพรม</t>
  </si>
  <si>
    <t>ภาณุวัฒน์ กิ่งคูณ</t>
  </si>
  <si>
    <t>FR172007</t>
  </si>
  <si>
    <t>คมสันต์ หาทอง</t>
  </si>
  <si>
    <t>FR172006</t>
  </si>
  <si>
    <t>สาคร ศรีสวัส</t>
  </si>
  <si>
    <t>FR172004</t>
  </si>
  <si>
    <t>เอกชัย พวงพิลา</t>
  </si>
  <si>
    <t>วรรชัย ไชยอินทร์</t>
  </si>
  <si>
    <t>FR204007</t>
  </si>
  <si>
    <t>มนตรี บรรเทา</t>
  </si>
  <si>
    <t>FR204008</t>
  </si>
  <si>
    <t>คฑาวุธ เงาศรี</t>
  </si>
  <si>
    <t>39</t>
  </si>
  <si>
    <t>FR272003</t>
  </si>
  <si>
    <t>อนุสสรา คูณแสง</t>
  </si>
  <si>
    <t>FR272002</t>
  </si>
  <si>
    <t>กิตติชัย แสงแก้ว</t>
  </si>
  <si>
    <t>FR281005</t>
  </si>
  <si>
    <t>ปฏิภาณ พิมพ์วาปี</t>
  </si>
  <si>
    <t>FC412 : FC หนองหาน-ทล.2350</t>
  </si>
  <si>
    <t>FR281008</t>
  </si>
  <si>
    <t>เกรียงไกร พุ่มไพรจิตร</t>
  </si>
  <si>
    <t>FR281006</t>
  </si>
  <si>
    <t>อภิชาติ ภูนาเถร</t>
  </si>
  <si>
    <t>FR316003</t>
  </si>
  <si>
    <t>ยศ อ่อนนอก</t>
  </si>
  <si>
    <t>FR341000</t>
  </si>
  <si>
    <t>FR341 : หจก.เจ นา อินเทอนิตี้</t>
  </si>
  <si>
    <t>FC405 : FC พังโคน 2</t>
  </si>
  <si>
    <t>FR341001</t>
  </si>
  <si>
    <t>ชัยศักดิ์ กิตติตันติกุล</t>
  </si>
  <si>
    <t>FR341002</t>
  </si>
  <si>
    <t>วิทยา เลี่ยมแสน</t>
  </si>
  <si>
    <t>FC404</t>
  </si>
  <si>
    <t>FC412</t>
  </si>
  <si>
    <t>FC405</t>
  </si>
  <si>
    <t>ทีมงาน</t>
  </si>
  <si>
    <t>หลวงแพ่ง</t>
  </si>
  <si>
    <t>1-Metro</t>
  </si>
  <si>
    <t>A</t>
  </si>
  <si>
    <t>สมชาติ</t>
  </si>
  <si>
    <t>นพวงศ์</t>
  </si>
  <si>
    <t>ปรีชา</t>
  </si>
  <si>
    <t>ประสิทธิ์</t>
  </si>
  <si>
    <t>2-East</t>
  </si>
  <si>
    <t>อดิเรก</t>
  </si>
  <si>
    <t>ดาวเรือง 1</t>
  </si>
  <si>
    <t>ชำนาญ</t>
  </si>
  <si>
    <t>ดำรงศิลป์</t>
  </si>
  <si>
    <t>บ้านค่าย 2</t>
  </si>
  <si>
    <t>โรจนะหนองใหญ่</t>
  </si>
  <si>
    <t>อภิชะยา</t>
  </si>
  <si>
    <t>บจก.ตราดคอนกรีต เรดดี้มิกซ์</t>
  </si>
  <si>
    <t>ตราด</t>
  </si>
  <si>
    <t>3-West</t>
  </si>
  <si>
    <t>สามารถ</t>
  </si>
  <si>
    <t>เอกพล</t>
  </si>
  <si>
    <t xml:space="preserve">กาญจนบุรี 2 </t>
  </si>
  <si>
    <t>ท่าม่วง</t>
  </si>
  <si>
    <t>4-North</t>
  </si>
  <si>
    <t>เสฎฐวุฒิ</t>
  </si>
  <si>
    <t>สงกรานต์</t>
  </si>
  <si>
    <t>แม่สรวย 2</t>
  </si>
  <si>
    <t>ชัยณรงค์</t>
  </si>
  <si>
    <t>พิเชษฐ์</t>
  </si>
  <si>
    <t>เศกสรรค์</t>
  </si>
  <si>
    <t>บจก.อุตรดิตถ์พิชัย</t>
  </si>
  <si>
    <t>วสันต์</t>
  </si>
  <si>
    <t>ไบโอคอมเพล็ก</t>
  </si>
  <si>
    <t>หจก.ซีเค 2024 คอนกรีต</t>
  </si>
  <si>
    <t>ชาติตระการ</t>
  </si>
  <si>
    <t>ปง</t>
  </si>
  <si>
    <t>เชียงม่วน</t>
  </si>
  <si>
    <t>แม่ฮ่องสอน</t>
  </si>
  <si>
    <t>ปาย</t>
  </si>
  <si>
    <t>แม่ใจ</t>
  </si>
  <si>
    <t>เนินมะปราง</t>
  </si>
  <si>
    <t>แม่แจ่ม</t>
  </si>
  <si>
    <t>แพร่-ร้องกวาง</t>
  </si>
  <si>
    <t>นพพร</t>
  </si>
  <si>
    <t>เวียงสา 2</t>
  </si>
  <si>
    <t>พญาเม็งราย</t>
  </si>
  <si>
    <t>บจก.นอร์ทเทิร์น แมททีเรียล แอนด์ คอนกรีต</t>
  </si>
  <si>
    <t>ลำปาง-เกาะคา</t>
  </si>
  <si>
    <t>ลำปาง-แม่ทะ</t>
  </si>
  <si>
    <t>ลำปาง-ห้างฉัตร</t>
  </si>
  <si>
    <t>5-NorthE</t>
  </si>
  <si>
    <t>อภิมุข</t>
  </si>
  <si>
    <t>โนนไทย-พระทองคำ</t>
  </si>
  <si>
    <t>โนนสูง</t>
  </si>
  <si>
    <t>บุญเพ็ง</t>
  </si>
  <si>
    <t>ภูเวียง</t>
  </si>
  <si>
    <t>นิพล</t>
  </si>
  <si>
    <t>ราชันย์</t>
  </si>
  <si>
    <t>พล</t>
  </si>
  <si>
    <t>พิกิจ</t>
  </si>
  <si>
    <t>ไชยยันต์</t>
  </si>
  <si>
    <t>ศีขรภูมิ</t>
  </si>
  <si>
    <t>วัชระนิรันดร์</t>
  </si>
  <si>
    <t>อุดรธานี</t>
  </si>
  <si>
    <t>สมาน</t>
  </si>
  <si>
    <t>หนองเรือ</t>
  </si>
  <si>
    <t xml:space="preserve">ปะคำ </t>
  </si>
  <si>
    <t>อำนาจเจริญ 3</t>
  </si>
  <si>
    <t>ชานุมาน</t>
  </si>
  <si>
    <t>บจก.กิจเจริญชัย ธุรกิจคอนกรีต</t>
  </si>
  <si>
    <t>วินัย</t>
  </si>
  <si>
    <t>โซ่พิสัย</t>
  </si>
  <si>
    <t>นาหว้า</t>
  </si>
  <si>
    <t>หจก.ณัฐรวี คอนกรีต</t>
  </si>
  <si>
    <t>สันทนา</t>
  </si>
  <si>
    <t>กระนวน</t>
  </si>
  <si>
    <t>เมืองเลย2</t>
  </si>
  <si>
    <t>เชียงคาน</t>
  </si>
  <si>
    <t>วังสะพุง</t>
  </si>
  <si>
    <t>หจก.ทรัพย์รุ่งเรืองวัสดุ</t>
  </si>
  <si>
    <t>บจก.พี เอ็น คอนกรีต</t>
  </si>
  <si>
    <t>วีระพงษ์</t>
  </si>
  <si>
    <t>บจก.จงเจริญ คอนกรีต</t>
  </si>
  <si>
    <t>ห้วยบง</t>
  </si>
  <si>
    <t>กุดจับ</t>
  </si>
  <si>
    <t>หจก.คอนกรีตรุ่งโรจน์</t>
  </si>
  <si>
    <t>สร้างคอม</t>
  </si>
  <si>
    <t>หจก.ธีระคอนกรีต</t>
  </si>
  <si>
    <t>ยโสธร 3</t>
  </si>
  <si>
    <t>หจก.เจ นา อินเทอนิตี้</t>
  </si>
  <si>
    <t>พังโคน 2</t>
  </si>
  <si>
    <t xml:space="preserve">อาจสามารถ </t>
  </si>
  <si>
    <t>หนองคาย เลี่ยงเมือง</t>
  </si>
  <si>
    <t>6-South</t>
  </si>
  <si>
    <t>ศักดิ์พุทธยา</t>
  </si>
  <si>
    <t>ปากน้ำชุมพร</t>
  </si>
  <si>
    <t>จุมพล</t>
  </si>
  <si>
    <t>ผาหลวงคอนกรีต 1</t>
  </si>
  <si>
    <t>ผาหลวงคอนกรีต 2</t>
  </si>
  <si>
    <t xml:space="preserve">หนองขรี </t>
  </si>
  <si>
    <t>ภัทรายุทธ</t>
  </si>
  <si>
    <t>เวียงสระ</t>
  </si>
  <si>
    <t>โกวิทย์</t>
  </si>
  <si>
    <t>ซักรีญา</t>
  </si>
  <si>
    <t>บ่อทอง</t>
  </si>
  <si>
    <t>บางม่วง</t>
  </si>
  <si>
    <t>FC413</t>
  </si>
  <si>
    <t>เขาหลักโกลเด้นฮิลล์</t>
  </si>
  <si>
    <t>หนองหาน-ทล.2350</t>
  </si>
  <si>
    <t>รหัสโรงงาน</t>
  </si>
  <si>
    <t>ชื่อโรงงาน</t>
  </si>
  <si>
    <t>หจก./บจก.</t>
  </si>
  <si>
    <t>FR038010</t>
  </si>
  <si>
    <t>FC156 : FC มัญจาคีรี</t>
  </si>
  <si>
    <t>36</t>
  </si>
  <si>
    <t>FR038012</t>
  </si>
  <si>
    <t>อิทธิพล พิมพ์บูลย์</t>
  </si>
  <si>
    <t>FR038011</t>
  </si>
  <si>
    <t>FR070016</t>
  </si>
  <si>
    <t>FR070017</t>
  </si>
  <si>
    <t>FC414 : ทับปุด 2</t>
  </si>
  <si>
    <t>FR109 : บจก.เจเอ็นเจพี ซิเมนต์</t>
  </si>
  <si>
    <t>FC214 : ดอนเจดีย์</t>
  </si>
  <si>
    <t>พรชัย จันทร์เหลือง</t>
  </si>
  <si>
    <t>อนุวัฒน์ แปลงดาริยา</t>
  </si>
  <si>
    <t>อิทธิกร กุศลธรรม</t>
  </si>
  <si>
    <t>สหรัฐ เขียวงาม</t>
  </si>
  <si>
    <t>FR191008</t>
  </si>
  <si>
    <t>สิทธิศักดิ์ โสภาน้ำ</t>
  </si>
  <si>
    <t>FC330 : FC ศรีสงคราม</t>
  </si>
  <si>
    <t>FR191010</t>
  </si>
  <si>
    <t>อพชิต อินทริง</t>
  </si>
  <si>
    <t>FR191009</t>
  </si>
  <si>
    <t>กรุงศรี งามนาศรี</t>
  </si>
  <si>
    <t>จักรกฤษณ์ อุสาพรหม</t>
  </si>
  <si>
    <t>FR191007</t>
  </si>
  <si>
    <t>ศริณญา อุ่มอาษา</t>
  </si>
  <si>
    <t>FR192017</t>
  </si>
  <si>
    <t>ฤทธิชัย ชาติไทยสง</t>
  </si>
  <si>
    <t>กาบแก้ว อุปคุคุณ</t>
  </si>
  <si>
    <t>วรุฒ เจนสำโรง</t>
  </si>
  <si>
    <t>FR221010</t>
  </si>
  <si>
    <t>ถิรศักดิ์ ปันสุภา</t>
  </si>
  <si>
    <t>FR221011</t>
  </si>
  <si>
    <t>อุดมศักดิ์ วังหอม</t>
  </si>
  <si>
    <t>FC393 : ลี้-แม่ตืน</t>
  </si>
  <si>
    <t>FR221013</t>
  </si>
  <si>
    <t>พะแม้ว อมฤตธารา</t>
  </si>
  <si>
    <t>FR273000</t>
  </si>
  <si>
    <t>อธิวัฒน์ ไขประภาย</t>
  </si>
  <si>
    <t>FR273 : หจก.ว่องเจริญคอนกรีต</t>
  </si>
  <si>
    <t>FC338 : FC เซกา-บึงโขงหลง</t>
  </si>
  <si>
    <t>FR273002</t>
  </si>
  <si>
    <t>ดำรงค์เกียรติ โชติผาด</t>
  </si>
  <si>
    <t>FR273001</t>
  </si>
  <si>
    <t>วิทยา คำภูษา</t>
  </si>
  <si>
    <t>FR286025</t>
  </si>
  <si>
    <t>สำเร็จ ใจมูล</t>
  </si>
  <si>
    <t>FR286034</t>
  </si>
  <si>
    <t>วิราช สุดาทิพย์</t>
  </si>
  <si>
    <t>FR286033</t>
  </si>
  <si>
    <t>อาทิตย์ ชินทวัน</t>
  </si>
  <si>
    <t>FR286032</t>
  </si>
  <si>
    <t>จักรี ศรีพล</t>
  </si>
  <si>
    <t>FR286027</t>
  </si>
  <si>
    <t>อภิญญา หงษ์พัน</t>
  </si>
  <si>
    <t xml:space="preserve">FC387 : FC อาจสามารถ </t>
  </si>
  <si>
    <t>FR286026</t>
  </si>
  <si>
    <t>ธีรพงษ์ พิพัฒน์พิศาลกุล</t>
  </si>
  <si>
    <t>FR286028</t>
  </si>
  <si>
    <t>ธีระศักดิ์ สิตวงศ์</t>
  </si>
  <si>
    <t>บุญเนตร อรปัญญา</t>
  </si>
  <si>
    <t>ยุภาภรณ์ ศรีจันโท</t>
  </si>
  <si>
    <t>ณัฐวัฒน์ พงศ์ภัทรดุษฎี</t>
  </si>
  <si>
    <t>FC414</t>
  </si>
  <si>
    <t>เปิด/ปิด</t>
  </si>
  <si>
    <t>ทับปุด 2</t>
  </si>
  <si>
    <t>FC บ้านแท่น</t>
  </si>
  <si>
    <t>สันติสุข โพธิราช</t>
  </si>
  <si>
    <t>FR101026</t>
  </si>
  <si>
    <t>ธวัชชัย เดือนกอง</t>
  </si>
  <si>
    <t>พรภิรมย์ ภูกิ่งเงิน</t>
  </si>
  <si>
    <t>ปกรณ์วิทย์ พ่อกว้าง</t>
  </si>
  <si>
    <t>FR101033</t>
  </si>
  <si>
    <t>เป็นกริช พ่อขันชาย</t>
  </si>
  <si>
    <t>เนติพล นครังสุ</t>
  </si>
  <si>
    <t>UPDATE</t>
  </si>
  <si>
    <t>FR004007</t>
  </si>
  <si>
    <t>นายอภินันท์ ชูชัย</t>
  </si>
  <si>
    <t>FR033027</t>
  </si>
  <si>
    <t>เอกชัย กันธะเสน</t>
  </si>
  <si>
    <t>พนักงาน QC ประจำศูนย์ทดสอบ</t>
  </si>
  <si>
    <t>FR097001</t>
  </si>
  <si>
    <t>ณัฐกิจ แสงศรี</t>
  </si>
  <si>
    <t>FR097 : หจก.วี.วี.เอ็มคอนกรีต</t>
  </si>
  <si>
    <t>FC398 : บางม่วง</t>
  </si>
  <si>
    <t>FR097007</t>
  </si>
  <si>
    <t>ริน ริน</t>
  </si>
  <si>
    <t>FR097006</t>
  </si>
  <si>
    <t>อิทถิเดช ษรีสุข</t>
  </si>
  <si>
    <t>FR097000</t>
  </si>
  <si>
    <t>ภัคพงศ์  สุรินทร์</t>
  </si>
  <si>
    <t>FC413 : เขาหลักโกลเด้นฮิลล์</t>
  </si>
  <si>
    <t>FR097008</t>
  </si>
  <si>
    <t>ปาย ปาย</t>
  </si>
  <si>
    <t>FR097009</t>
  </si>
  <si>
    <t>FR168013</t>
  </si>
  <si>
    <t>อนุชิต ธาราดล</t>
  </si>
  <si>
    <t>FR211003</t>
  </si>
  <si>
    <t>พิษณุ จุลเขตต์</t>
  </si>
  <si>
    <t xml:space="preserve">14IU : FC พล (Type X) </t>
  </si>
  <si>
    <t>ZZP2 : FC น้ำพอง (Type X)</t>
  </si>
  <si>
    <t>ZZP3 : FC ขอนแก่น1 (Type X)</t>
  </si>
  <si>
    <t>ZZP4 : FC ขอนแก่น2 (Type X)</t>
  </si>
  <si>
    <t>ZZP5 : FC ท่าพระ (Type X)</t>
  </si>
  <si>
    <t>ZZP8 : FC หนองเรือ (Type X)</t>
  </si>
  <si>
    <t>ZZTA : FC โนนสะอาด (Type X)</t>
  </si>
  <si>
    <t>14H3 : FC วังสะพุง (Type X)</t>
  </si>
  <si>
    <t>ไม่ต้องสอบ</t>
  </si>
  <si>
    <t>พญาเม็งราย (Type M)</t>
  </si>
  <si>
    <t>ลำปาง-ห้างฉัตร (Co-Area)</t>
  </si>
  <si>
    <t>ลำปาง-เกาะคา  (Co-Area)</t>
  </si>
  <si>
    <t>แม่ทะ-ผาลาด (Co-Area)</t>
  </si>
  <si>
    <t>ปาย (Type M)</t>
  </si>
  <si>
    <t>ร้องกวาง (Co-Area)</t>
  </si>
  <si>
    <t>เวียงสา2 M</t>
  </si>
  <si>
    <t>เชียงม่วน (M)</t>
  </si>
  <si>
    <t>M ชาติตระการ</t>
  </si>
  <si>
    <t>แม่แจ่ม (Type M)</t>
  </si>
  <si>
    <t>FC392</t>
  </si>
  <si>
    <t>สะเมิง (Type M)</t>
  </si>
  <si>
    <t>หัวไทร 1</t>
  </si>
  <si>
    <t>ปากน้ำชุมพร (N)</t>
  </si>
  <si>
    <t>ผาหลวงคอนกรีต (N)</t>
  </si>
  <si>
    <t>ผาหลวง 2(N)</t>
  </si>
  <si>
    <t>หนองขรี (N)</t>
  </si>
  <si>
    <t>15AQ</t>
  </si>
  <si>
    <t>กาญจนดิษฐ์ (Type X)</t>
  </si>
  <si>
    <t>หลวงแพ่ง (N)</t>
  </si>
  <si>
    <t>คลองด่าน (N)</t>
  </si>
  <si>
    <t>นพวงศ์(N)</t>
  </si>
  <si>
    <t xml:space="preserve">FC กาญจนบุรี 2 </t>
  </si>
  <si>
    <t>13O5</t>
  </si>
  <si>
    <t>ซิโนมา Type X</t>
  </si>
  <si>
    <t>13O6</t>
  </si>
  <si>
    <t>แปลงยาว Type X</t>
  </si>
  <si>
    <t>บางแสน1 (X)</t>
  </si>
  <si>
    <t>13O3</t>
  </si>
  <si>
    <t>บูรพา ท่าหลวง</t>
  </si>
  <si>
    <t>ดาวเรือง</t>
  </si>
  <si>
    <t>FC410</t>
  </si>
  <si>
    <t>บ้านบึง 3</t>
  </si>
  <si>
    <t>13O4</t>
  </si>
  <si>
    <t>วี.เอส.คอนกรีต (X)</t>
  </si>
  <si>
    <t>13O7</t>
  </si>
  <si>
    <t>วี.เอส.คอนกรีต2 (Type X)</t>
  </si>
  <si>
    <t>5-NorthEast</t>
  </si>
  <si>
    <t>อุบลรัตน์ (X2)</t>
  </si>
  <si>
    <t>น้ำพอง(X2)</t>
  </si>
  <si>
    <t>ขอนแก่น 1(X2)</t>
  </si>
  <si>
    <t>ขอนแก่น 2(X2)</t>
  </si>
  <si>
    <t>ท่าพระ(X2)</t>
  </si>
  <si>
    <t>หนองเรือ(X2)</t>
  </si>
  <si>
    <t>โนนสะอาดType X2</t>
  </si>
  <si>
    <t>M กุดจับ</t>
  </si>
  <si>
    <t>เกษตรวิสัย</t>
  </si>
  <si>
    <t xml:space="preserve">FC อาจสามารถ </t>
  </si>
  <si>
    <t>14H5</t>
  </si>
  <si>
    <t>อุดร-มิตรภาพ คูย่งฮวด Type N</t>
  </si>
  <si>
    <t>FC ศีขรภูมิ</t>
  </si>
  <si>
    <t>อุดรธานี Type N</t>
  </si>
  <si>
    <t>เมืองเลย 2 Type N</t>
  </si>
  <si>
    <t>14H4</t>
  </si>
  <si>
    <t xml:space="preserve">อุดร-สามพร้าว Type N </t>
  </si>
  <si>
    <t>FC หนองคาย เลี่ยงเมือง</t>
  </si>
  <si>
    <t>FC หนองหาน-ทล.2350</t>
  </si>
  <si>
    <t>อุดร-นาข่า Type N</t>
  </si>
  <si>
    <t>อุดร-นิคมสงเคราะห์ Type N</t>
  </si>
  <si>
    <t xml:space="preserve">เสนางคนิคม </t>
  </si>
  <si>
    <t>อำนาจเจริญ 3 -น้ำปลีก</t>
  </si>
  <si>
    <t>FC ชานุมาน</t>
  </si>
  <si>
    <t>นครพนม 3 (N)</t>
  </si>
  <si>
    <t>FC415</t>
  </si>
  <si>
    <t>ราษีไศล</t>
  </si>
  <si>
    <t>ปะคำ</t>
  </si>
  <si>
    <t>โนนศิลา (N)</t>
  </si>
  <si>
    <t>พล (X2)</t>
  </si>
  <si>
    <t>พนมไพร2</t>
  </si>
  <si>
    <t>14H8</t>
  </si>
  <si>
    <t>ร้อยเอ็ด 3 (N)</t>
  </si>
  <si>
    <t>M สร้างคอม</t>
  </si>
  <si>
    <t>วังสะพุง 2 (X2)</t>
  </si>
  <si>
    <t>FC โซ่พิสัย</t>
  </si>
  <si>
    <t>ภูเวียง (N)</t>
  </si>
  <si>
    <t>FC นาหว้า</t>
  </si>
  <si>
    <t>FC กระนวน</t>
  </si>
  <si>
    <t>จำนวน พนง.</t>
  </si>
  <si>
    <t>Score จำนวน พนง.</t>
  </si>
  <si>
    <t>Score (L1L2)</t>
  </si>
  <si>
    <t>FR051003</t>
  </si>
  <si>
    <t>ไพรัตน์ บรรณการกิจ</t>
  </si>
  <si>
    <t>FR051005</t>
  </si>
  <si>
    <t>วัฒนา อุตตะมี</t>
  </si>
  <si>
    <t>FR051004</t>
  </si>
  <si>
    <t>คฑาวุธ ศรีพรามณ์</t>
  </si>
  <si>
    <t>FR042004</t>
  </si>
  <si>
    <t>ทวีศักดิ์ ศิริเชษฐ์</t>
  </si>
  <si>
    <t>FR042 : หจก.เซ็นจูรี่บึงกาฬ</t>
  </si>
  <si>
    <t>FC018 : FC บึงกาฬ</t>
  </si>
  <si>
    <t>FR042005</t>
  </si>
  <si>
    <t>อัฉนัย อิงสา</t>
  </si>
  <si>
    <t>FR042003</t>
  </si>
  <si>
    <t>จิรัฏฐ์ แก้วนุช</t>
  </si>
  <si>
    <t>FR042002</t>
  </si>
  <si>
    <t>เอกชัย เมธีปฏิภาน</t>
  </si>
  <si>
    <t>FC บึงกาฬ</t>
  </si>
  <si>
    <t>หจก.เซ็นจูรี่บึงกาฬ</t>
  </si>
  <si>
    <t>M</t>
  </si>
  <si>
    <t>FR288002</t>
  </si>
  <si>
    <t>พัทธนันท์ เชาร์เฉียบ</t>
  </si>
  <si>
    <t>FR288 : บจก.รัตนเพาเวอร์</t>
  </si>
  <si>
    <t>FC299 : สองพี่น้อง 2</t>
  </si>
  <si>
    <t>พนักงานบริการงานทดสอบ</t>
  </si>
  <si>
    <t>FR288000</t>
  </si>
  <si>
    <t>ศรินภา หนูสาท</t>
  </si>
  <si>
    <t>FR288001</t>
  </si>
  <si>
    <t>สัญชัย ภู่มีศีล</t>
  </si>
  <si>
    <t>FR269000</t>
  </si>
  <si>
    <t>สุรพงษ์ เนินปัญญา</t>
  </si>
  <si>
    <t>FR269 : หจก.เนินปัญญา ก่อสร้าง</t>
  </si>
  <si>
    <t>FC334 : FC บ้านม่วง</t>
  </si>
  <si>
    <t>FR269002</t>
  </si>
  <si>
    <t>ธีรวัฒน์ ริเริ่ม</t>
  </si>
  <si>
    <t>FR269001</t>
  </si>
  <si>
    <t>ทรงยศ ชมพูพื้น</t>
  </si>
  <si>
    <t>หจก.เนินปัญญา ก่อสร้าง</t>
  </si>
  <si>
    <t>7 sep.</t>
  </si>
  <si>
    <t>สองพี่น้อง 2</t>
  </si>
  <si>
    <t>ดอนเจดีย์</t>
  </si>
  <si>
    <t>ทฤษฎีระดับพื้นฐาน(L1)</t>
  </si>
  <si>
    <t>ปฏิบัติระดับพื้นฐาน(L1)</t>
  </si>
  <si>
    <t>ทฤษฎีระดับสามัญ(L2)</t>
  </si>
  <si>
    <t>ปฏิบัติระดับสามัญ(L2)</t>
  </si>
  <si>
    <t>FR003001</t>
  </si>
  <si>
    <t>อุดมชัย รุชะดา</t>
  </si>
  <si>
    <t xml:space="preserve">FC215 : ดาวเรือง 2 </t>
  </si>
  <si>
    <t>C</t>
  </si>
  <si>
    <t>FR003002</t>
  </si>
  <si>
    <t>สุรศักดิ์ ฉิมทอง</t>
  </si>
  <si>
    <t>FR003003</t>
  </si>
  <si>
    <t>ธีระวุฒิ พูลทวี</t>
  </si>
  <si>
    <t>FR005006</t>
  </si>
  <si>
    <t>ราชัญ   หรบรรณ์</t>
  </si>
  <si>
    <t>FR010059</t>
  </si>
  <si>
    <t>ชัยวัฒน์ เมืองใหญ่</t>
  </si>
  <si>
    <t>FR012049</t>
  </si>
  <si>
    <t>สราวุธ แก้วงาม</t>
  </si>
  <si>
    <t>FR012050</t>
  </si>
  <si>
    <t>SOE  PAING</t>
  </si>
  <si>
    <t>FR012051</t>
  </si>
  <si>
    <t>ทักษิณ จันทะพล</t>
  </si>
  <si>
    <t>FR012052</t>
  </si>
  <si>
    <t>กษิดิศ เสมอภาค</t>
  </si>
  <si>
    <t>FR012053</t>
  </si>
  <si>
    <t>ราวีล ศรีรักษ์</t>
  </si>
  <si>
    <t>FR012054</t>
  </si>
  <si>
    <t>FR012055</t>
  </si>
  <si>
    <t>FC410 : บ้านบึง 3</t>
  </si>
  <si>
    <t>FR012056</t>
  </si>
  <si>
    <t>ชนะศึก วันเนาว์</t>
  </si>
  <si>
    <t>FR012057</t>
  </si>
  <si>
    <t>ธวัชชัย พุดจีบ</t>
  </si>
  <si>
    <t>FR012058</t>
  </si>
  <si>
    <t>พีรดนย์ เขียวม่วง</t>
  </si>
  <si>
    <t>FR012059</t>
  </si>
  <si>
    <t>จักรี บุตรงาม</t>
  </si>
  <si>
    <t>FR012060</t>
  </si>
  <si>
    <t>ซึม เรือน</t>
  </si>
  <si>
    <t>FR012061</t>
  </si>
  <si>
    <t>อาทิตย์ ถิ่นจันดา</t>
  </si>
  <si>
    <t>FR012062</t>
  </si>
  <si>
    <t>NAY WIN</t>
  </si>
  <si>
    <t>FR012063</t>
  </si>
  <si>
    <t>ภานุวัฒน์ เพชรเสนา</t>
  </si>
  <si>
    <t>FR012064</t>
  </si>
  <si>
    <t>บำรุงพงษ์ ขันดี</t>
  </si>
  <si>
    <t>FR012065</t>
  </si>
  <si>
    <t>ศุภกิตต์ มงคลศรี</t>
  </si>
  <si>
    <t>FR012066</t>
  </si>
  <si>
    <t>ทวีรัฐ บุญชาติ</t>
  </si>
  <si>
    <t>FR012067</t>
  </si>
  <si>
    <t>ณัฐพล อินลิน</t>
  </si>
  <si>
    <t>FR012068</t>
  </si>
  <si>
    <t>อัทธ์ ธัญรดาพสธร</t>
  </si>
  <si>
    <t>FR012069</t>
  </si>
  <si>
    <t>NAING MYO</t>
  </si>
  <si>
    <t>FR018001</t>
  </si>
  <si>
    <t>นพพล ลวรรณวงษ์</t>
  </si>
  <si>
    <t>FR018 : บจก.ซี.พี.เอส.คอนกรีต</t>
  </si>
  <si>
    <t>FC093 : สามชุก</t>
  </si>
  <si>
    <t>FR018004</t>
  </si>
  <si>
    <t>วีรศักดิ์ รอดห้อย</t>
  </si>
  <si>
    <t>FR018006</t>
  </si>
  <si>
    <t>วินัย คล้ายขำ</t>
  </si>
  <si>
    <t>FR018007</t>
  </si>
  <si>
    <t>ธวัชชัย ช่อผกา</t>
  </si>
  <si>
    <t>ภาณุพงศ์ สวยล้ำ</t>
  </si>
  <si>
    <t>FR023002</t>
  </si>
  <si>
    <t>ศรชัย เกิดศรี</t>
  </si>
  <si>
    <t>FC234 : บึงสามัคคี</t>
  </si>
  <si>
    <t>FR032019</t>
  </si>
  <si>
    <t>ตะวันวุฒฺิ ตุ่นหนิ้ว</t>
  </si>
  <si>
    <t>FR032020</t>
  </si>
  <si>
    <t>ปิยพงษ์ สุเตนัน</t>
  </si>
  <si>
    <t>FR032023</t>
  </si>
  <si>
    <t>แอ็ด สอนสุกอง</t>
  </si>
  <si>
    <t>FR033006</t>
  </si>
  <si>
    <t>ภูริเดช ขัติยะ(ไมท์)</t>
  </si>
  <si>
    <t>FR033026</t>
  </si>
  <si>
    <t>พรรณิภา (กิ๊ก) จ่องตาล</t>
  </si>
  <si>
    <t>P029 : หจก.เรืองชัยคอนกรีต</t>
  </si>
  <si>
    <t>P029</t>
  </si>
  <si>
    <t>FR033028</t>
  </si>
  <si>
    <t>ศรัณย์ คชวิน</t>
  </si>
  <si>
    <t>FR034006</t>
  </si>
  <si>
    <t>ประพันธ์ สายฟ้าเรือน(ไก่)</t>
  </si>
  <si>
    <t>FC164 : จอมทอง</t>
  </si>
  <si>
    <t>38</t>
  </si>
  <si>
    <t>FR034011</t>
  </si>
  <si>
    <t>นายสุภชัย คำหล้า (โหน่ง)</t>
  </si>
  <si>
    <t>FR034012</t>
  </si>
  <si>
    <t>ธีรพล เปลี่ยนพร้อม(กอล์ฟ)</t>
  </si>
  <si>
    <t>FC074 : FCภูเวียง</t>
  </si>
  <si>
    <t>FC074</t>
  </si>
  <si>
    <t>FR046004</t>
  </si>
  <si>
    <t>ขจรเกียรติ์ งามสุขเจริญ</t>
  </si>
  <si>
    <t>FC345 : FC สังขะ</t>
  </si>
  <si>
    <t>FR046005</t>
  </si>
  <si>
    <t>ปฏิภาณ งามสุขเจริญ</t>
  </si>
  <si>
    <t>FR046006</t>
  </si>
  <si>
    <t>มลิตร วิสัยเกต</t>
  </si>
  <si>
    <t>FR059001</t>
  </si>
  <si>
    <t>การันต์ เรือนเงิน</t>
  </si>
  <si>
    <t>FR059 : บจก.ทรัพย์อนันต์ คอนกรีต</t>
  </si>
  <si>
    <t>FC076 : ท่าแซะ</t>
  </si>
  <si>
    <t>FR059002</t>
  </si>
  <si>
    <t>ธนญชัย มีประสพ</t>
  </si>
  <si>
    <t>FR059003</t>
  </si>
  <si>
    <t>ไพโรจน์  นาคมุก</t>
  </si>
  <si>
    <t>FR129023</t>
  </si>
  <si>
    <t>FR129024</t>
  </si>
  <si>
    <t>FR129025</t>
  </si>
  <si>
    <t>ภาคภูมิ ชาวบ้านกร่าง</t>
  </si>
  <si>
    <t>FR129026</t>
  </si>
  <si>
    <t>สาวิตรี มั่นศิลป์</t>
  </si>
  <si>
    <t>FR140001</t>
  </si>
  <si>
    <t>FC190 : นราธิวาส</t>
  </si>
  <si>
    <t>FR141050</t>
  </si>
  <si>
    <t>สยาม ต่อมใจ</t>
  </si>
  <si>
    <t>FR141060</t>
  </si>
  <si>
    <t>มนภาส คำละนึก</t>
  </si>
  <si>
    <t>FR173001</t>
  </si>
  <si>
    <t>ธวัตชัย พิลาแสน</t>
  </si>
  <si>
    <t>FR173 : บจก.เมก้า โปร คอนกรีต</t>
  </si>
  <si>
    <t>FC233 : FC หนองหาน</t>
  </si>
  <si>
    <t>FR173002</t>
  </si>
  <si>
    <t>อนันต์ เสนคำ</t>
  </si>
  <si>
    <t>FR173003</t>
  </si>
  <si>
    <t>ภาสกร อ่างคำ</t>
  </si>
  <si>
    <t>FR201001</t>
  </si>
  <si>
    <t>สนทยา เหมียนบุตร</t>
  </si>
  <si>
    <t>FR201 : บจก.มังกรคอนกรีต</t>
  </si>
  <si>
    <t>3167 : FC เจ้าฟ้าภูเก็ต</t>
  </si>
  <si>
    <t>FR201003</t>
  </si>
  <si>
    <t>คริสต์มาส รักษาชัย</t>
  </si>
  <si>
    <t>FR201004</t>
  </si>
  <si>
    <t>กฤษดา ระเบียบดี</t>
  </si>
  <si>
    <t>3153 : FC เจ้าฟ้า 88</t>
  </si>
  <si>
    <t>FR201005</t>
  </si>
  <si>
    <t>ธีรพงศ์ วรรณมณีศิริ</t>
  </si>
  <si>
    <t>FR201009</t>
  </si>
  <si>
    <t>ศุภกิจ ทองรื่น</t>
  </si>
  <si>
    <t>FR201010</t>
  </si>
  <si>
    <t>สถาพร ศรีวิเชียร</t>
  </si>
  <si>
    <t>FR201011</t>
  </si>
  <si>
    <t>ศุภชัย เศวตฤทธิ์กุล</t>
  </si>
  <si>
    <t>FR201012</t>
  </si>
  <si>
    <t>ธานินทร์ ประเดิมพร</t>
  </si>
  <si>
    <t>FR221014</t>
  </si>
  <si>
    <t>พุทธิพงศ์ มูลอิทร์</t>
  </si>
  <si>
    <t>FR290005</t>
  </si>
  <si>
    <t>อภิรุทร์ อุทธวงศ์</t>
  </si>
  <si>
    <t>19FG : น่าน-ผาสิงห์(FC Co-Area Type X)</t>
  </si>
  <si>
    <t>19FG</t>
  </si>
  <si>
    <t>FR290006</t>
  </si>
  <si>
    <t>บรรณสิทธ์ สิงธนะ</t>
  </si>
  <si>
    <t>FR290007</t>
  </si>
  <si>
    <t>ศาสตราวุธ อุทธวงค์</t>
  </si>
  <si>
    <t>FR290009</t>
  </si>
  <si>
    <t>สุวนันท์ มูลคำ</t>
  </si>
  <si>
    <t>FR305005</t>
  </si>
  <si>
    <t>สมพงษ์ ป๋านมอย</t>
  </si>
  <si>
    <t>FR305006</t>
  </si>
  <si>
    <t>ทรงศักดิ์ บุญตันกัน</t>
  </si>
  <si>
    <t>FR324002</t>
  </si>
  <si>
    <t>ธนัช ใจอินทร์</t>
  </si>
  <si>
    <t>FR328001</t>
  </si>
  <si>
    <t>จันทร์ ละอองอ่อน</t>
  </si>
  <si>
    <t>FR328 : บจก.สิงโตทอง คอนกรีต</t>
  </si>
  <si>
    <t>FC392 : สะเมิง (Type M)</t>
  </si>
  <si>
    <t>รหัส</t>
  </si>
  <si>
    <t>FR109</t>
  </si>
  <si>
    <t>FR100</t>
  </si>
  <si>
    <t>บจก.เอส.เอส.พี (072) คอนสตรัคชั่น</t>
  </si>
  <si>
    <t>FR187</t>
  </si>
  <si>
    <t>FR002</t>
  </si>
  <si>
    <t>FR005</t>
  </si>
  <si>
    <t>FR003</t>
  </si>
  <si>
    <t>FR150</t>
  </si>
  <si>
    <t>FR010</t>
  </si>
  <si>
    <t>FR168</t>
  </si>
  <si>
    <t>FR012</t>
  </si>
  <si>
    <t>FR006</t>
  </si>
  <si>
    <t>FR008</t>
  </si>
  <si>
    <t>FR015</t>
  </si>
  <si>
    <t>FR014</t>
  </si>
  <si>
    <t>FR102</t>
  </si>
  <si>
    <t>FR016</t>
  </si>
  <si>
    <t>FR225</t>
  </si>
  <si>
    <t>FR333</t>
  </si>
  <si>
    <t>หจก.วี.เอส.อินดัสเตรียล ซัพพลาย</t>
  </si>
  <si>
    <t>วี.เอส.คอนกรีต</t>
  </si>
  <si>
    <t>วี.เอส.คอนกรีต2</t>
  </si>
  <si>
    <t>13O9</t>
  </si>
  <si>
    <t>วี.เอส.คอนกรีต 3 ลาดตะเคียน (Type X)</t>
  </si>
  <si>
    <t>FR248</t>
  </si>
  <si>
    <t>FR334</t>
  </si>
  <si>
    <t>บจก.บูรพาคอนกรีต แอนด์ คอนสตรัคชั่น</t>
  </si>
  <si>
    <t>FR344</t>
  </si>
  <si>
    <t>บจก.แปลงยาว คอนกรีต</t>
  </si>
  <si>
    <t>แปลงยาว</t>
  </si>
  <si>
    <t>FR340</t>
  </si>
  <si>
    <t>บจก.ซิโนมา หานดาน(ไทยแลนด์)</t>
  </si>
  <si>
    <t>ซิโนมา</t>
  </si>
  <si>
    <t>FR336</t>
  </si>
  <si>
    <t>FR004</t>
  </si>
  <si>
    <t>FR083</t>
  </si>
  <si>
    <t>FR017</t>
  </si>
  <si>
    <t>FR129</t>
  </si>
  <si>
    <t>FR019</t>
  </si>
  <si>
    <t>FR020</t>
  </si>
  <si>
    <t>FR022</t>
  </si>
  <si>
    <t>FR082</t>
  </si>
  <si>
    <t>FR115</t>
  </si>
  <si>
    <t>FR175</t>
  </si>
  <si>
    <t>FR021</t>
  </si>
  <si>
    <t>FR033</t>
  </si>
  <si>
    <t>FR156</t>
  </si>
  <si>
    <t>FR034</t>
  </si>
  <si>
    <t>FR144</t>
  </si>
  <si>
    <t>FR221</t>
  </si>
  <si>
    <t>FR141</t>
  </si>
  <si>
    <t>FR125</t>
  </si>
  <si>
    <t>FR032</t>
  </si>
  <si>
    <t>FR160</t>
  </si>
  <si>
    <t>FR029</t>
  </si>
  <si>
    <t>FR123</t>
  </si>
  <si>
    <t>FR076</t>
  </si>
  <si>
    <t>FR121</t>
  </si>
  <si>
    <t>FR149</t>
  </si>
  <si>
    <t>FR089</t>
  </si>
  <si>
    <t>FR107</t>
  </si>
  <si>
    <t>FR027</t>
  </si>
  <si>
    <t>FR148</t>
  </si>
  <si>
    <t>FR023</t>
  </si>
  <si>
    <t>FR091</t>
  </si>
  <si>
    <t>FR026</t>
  </si>
  <si>
    <t>FR193</t>
  </si>
  <si>
    <t>FR113</t>
  </si>
  <si>
    <t>FR136</t>
  </si>
  <si>
    <t>FR025</t>
  </si>
  <si>
    <t>FR179</t>
  </si>
  <si>
    <t>FR284</t>
  </si>
  <si>
    <t>FR285</t>
  </si>
  <si>
    <t>FR295</t>
  </si>
  <si>
    <t>FR289</t>
  </si>
  <si>
    <t>FR297</t>
  </si>
  <si>
    <t>FR305</t>
  </si>
  <si>
    <t>FR307</t>
  </si>
  <si>
    <t>FR310</t>
  </si>
  <si>
    <t>FR299</t>
  </si>
  <si>
    <t>FR290</t>
  </si>
  <si>
    <t>FR308</t>
  </si>
  <si>
    <t>FR314</t>
  </si>
  <si>
    <t>ลำปาง-แม่ทะ(ผาลาด)</t>
  </si>
  <si>
    <t>FR208</t>
  </si>
  <si>
    <t>FR324</t>
  </si>
  <si>
    <t>FR328</t>
  </si>
  <si>
    <t>หจก.สิงโตทอง คอนกรีต</t>
  </si>
  <si>
    <t>สะเมิง</t>
  </si>
  <si>
    <t>FR037</t>
  </si>
  <si>
    <t>FR035</t>
  </si>
  <si>
    <t>FR036</t>
  </si>
  <si>
    <t>FR039</t>
  </si>
  <si>
    <t>FR040</t>
  </si>
  <si>
    <t>FR038</t>
  </si>
  <si>
    <t>FR130</t>
  </si>
  <si>
    <t>FR212</t>
  </si>
  <si>
    <t xml:space="preserve">พล </t>
  </si>
  <si>
    <t>FR046</t>
  </si>
  <si>
    <t>FR045</t>
  </si>
  <si>
    <t>อุดร-มิตรภาพ คูย่งฮวด</t>
  </si>
  <si>
    <t>FR223</t>
  </si>
  <si>
    <t>FR047</t>
  </si>
  <si>
    <t>FR228</t>
  </si>
  <si>
    <t>เขื่อนอุบลรัตน์</t>
  </si>
  <si>
    <t>FR216</t>
  </si>
  <si>
    <t>FR139</t>
  </si>
  <si>
    <t>FR084</t>
  </si>
  <si>
    <t>เสนางคนิคม</t>
  </si>
  <si>
    <t>FR101</t>
  </si>
  <si>
    <t>FR165</t>
  </si>
  <si>
    <t>FR137</t>
  </si>
  <si>
    <t>FR191</t>
  </si>
  <si>
    <t>FR071</t>
  </si>
  <si>
    <t>FR192</t>
  </si>
  <si>
    <t>FR182</t>
  </si>
  <si>
    <t>FR172</t>
  </si>
  <si>
    <t>FR252</t>
  </si>
  <si>
    <t>FR219</t>
  </si>
  <si>
    <t>FR138</t>
  </si>
  <si>
    <t>FR339</t>
  </si>
  <si>
    <t>หจก.เอส อาร์ อาร์ คอนกรีต</t>
  </si>
  <si>
    <t>ร้อยเอ็ด3</t>
  </si>
  <si>
    <t>FR226</t>
  </si>
  <si>
    <t>FR251</t>
  </si>
  <si>
    <t>FR245</t>
  </si>
  <si>
    <t>FR167</t>
  </si>
  <si>
    <t>FR249</t>
  </si>
  <si>
    <t>FR242</t>
  </si>
  <si>
    <t>FR255</t>
  </si>
  <si>
    <t>FR269</t>
  </si>
  <si>
    <t>FR272</t>
  </si>
  <si>
    <t>FR263</t>
  </si>
  <si>
    <t>หจก.โนนศิลาดาวเงินคอนกรีต</t>
  </si>
  <si>
    <t>โนนศิลา</t>
  </si>
  <si>
    <t>FR270</t>
  </si>
  <si>
    <t>FR293</t>
  </si>
  <si>
    <t>FR292</t>
  </si>
  <si>
    <t>FR287</t>
  </si>
  <si>
    <t>FC385</t>
  </si>
  <si>
    <t>โนนไทย (At Site)</t>
  </si>
  <si>
    <t>FR298</t>
  </si>
  <si>
    <t>FR317</t>
  </si>
  <si>
    <t>FR051</t>
  </si>
  <si>
    <t>FR320</t>
  </si>
  <si>
    <t>FR342</t>
  </si>
  <si>
    <t>FR286</t>
  </si>
  <si>
    <t>FR281</t>
  </si>
  <si>
    <t xml:space="preserve">อุดร - นาข่า  </t>
  </si>
  <si>
    <t xml:space="preserve">อุดร - นิคมสงเคราะห์  </t>
  </si>
  <si>
    <t>อุดร-สามพร้าว</t>
  </si>
  <si>
    <t>FR094</t>
  </si>
  <si>
    <t>FR042</t>
  </si>
  <si>
    <t>FR053</t>
  </si>
  <si>
    <t>FR159</t>
  </si>
  <si>
    <t>FR211</t>
  </si>
  <si>
    <t>FR162</t>
  </si>
  <si>
    <t>FR073</t>
  </si>
  <si>
    <t>FR202</t>
  </si>
  <si>
    <t>FR093</t>
  </si>
  <si>
    <t>FR055</t>
  </si>
  <si>
    <t>FR063</t>
  </si>
  <si>
    <t>FR057</t>
  </si>
  <si>
    <t>FR070</t>
  </si>
  <si>
    <t>FR069</t>
  </si>
  <si>
    <t>FR061</t>
  </si>
  <si>
    <t>FR256</t>
  </si>
  <si>
    <t>FR312</t>
  </si>
  <si>
    <t>หจก.จุฑารัตน์คอนกรีต</t>
  </si>
  <si>
    <t>กาญจนดิษฐ์</t>
  </si>
  <si>
    <t>FR140</t>
  </si>
  <si>
    <t>FR074</t>
  </si>
  <si>
    <t>FR118</t>
  </si>
  <si>
    <t>FR097</t>
  </si>
  <si>
    <t>บจก./หจก.</t>
  </si>
  <si>
    <t>เปลี่ยนคน</t>
  </si>
  <si>
    <t>สะตูล 5 คน 2 โรงงาน</t>
  </si>
  <si>
    <t>ปากช่อง 5 คน 2 โรงงาน</t>
  </si>
  <si>
    <t>ขนอม 5 คน 2 โรงงาน</t>
  </si>
  <si>
    <t>บ้านหมอ 5 คน 2 โรงงาน</t>
  </si>
  <si>
    <t>ทับปุด 5 คน 2 โรงงาน เอาพนักงานพังงามา</t>
  </si>
  <si>
    <t>เอา พนง.ทับคล้อ</t>
  </si>
  <si>
    <t>เอา พนง.ตะพานหิน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</si>
</sst>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2"/>
      <name val="Calibri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6"/>
      <color rgb="FFFF0000"/>
      <name val="TH SarabunPSK"/>
      <family val="2"/>
    </font>
    <font>
      <b/>
      <sz val="16"/>
      <color theme="0"/>
      <name val="TH SarabunPSK"/>
      <family val="2"/>
    </font>
    <font>
      <b/>
      <sz val="10"/>
      <name val="SCG"/>
      <family val="3"/>
    </font>
    <font>
      <b/>
      <sz val="10"/>
      <color theme="1"/>
      <name val="SCG"/>
      <family val="3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9" fillId="0" borderId="0"/>
  </cellStyleXfs>
  <cellXfs count="71">
    <xf numFmtId="0" fontId="0" fillId="0" borderId="0" xfId="0"/>
    <xf numFmtId="0" fontId="20" fillId="0" borderId="10" xfId="0" applyFont="1" applyBorder="1" applyAlignment="1">
      <alignment horizontal="left"/>
    </xf>
    <xf numFmtId="0" fontId="20" fillId="0" borderId="10" xfId="0" applyFont="1" applyBorder="1"/>
    <xf numFmtId="0" fontId="20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/>
    </xf>
    <xf numFmtId="0" fontId="20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0" fontId="21" fillId="34" borderId="0" xfId="0" applyFont="1" applyFill="1" applyAlignment="1">
      <alignment horizontal="left"/>
    </xf>
    <xf numFmtId="0" fontId="21" fillId="34" borderId="0" xfId="0" applyFont="1" applyFill="1"/>
    <xf numFmtId="0" fontId="21" fillId="34" borderId="0" xfId="0" applyFont="1" applyFill="1" applyAlignment="1">
      <alignment horizontal="center"/>
    </xf>
    <xf numFmtId="0" fontId="23" fillId="36" borderId="10" xfId="0" applyFont="1" applyFill="1" applyBorder="1" applyAlignment="1">
      <alignment horizontal="center" vertical="center"/>
    </xf>
    <xf numFmtId="0" fontId="20" fillId="37" borderId="10" xfId="0" applyFont="1" applyFill="1" applyBorder="1"/>
    <xf numFmtId="0" fontId="23" fillId="38" borderId="0" xfId="0" applyFont="1" applyFill="1" applyAlignment="1">
      <alignment horizontal="center" vertical="center"/>
    </xf>
    <xf numFmtId="0" fontId="23" fillId="38" borderId="0" xfId="0" applyFont="1" applyFill="1" applyAlignment="1">
      <alignment horizontal="center"/>
    </xf>
    <xf numFmtId="0" fontId="20" fillId="35" borderId="10" xfId="0" applyFont="1" applyFill="1" applyBorder="1"/>
    <xf numFmtId="0" fontId="20" fillId="35" borderId="10" xfId="0" applyFont="1" applyFill="1" applyBorder="1" applyAlignment="1">
      <alignment horizontal="left"/>
    </xf>
    <xf numFmtId="0" fontId="20" fillId="35" borderId="10" xfId="0" applyFont="1" applyFill="1" applyBorder="1" applyAlignment="1">
      <alignment horizontal="left" vertical="center"/>
    </xf>
    <xf numFmtId="0" fontId="21" fillId="35" borderId="10" xfId="0" applyFont="1" applyFill="1" applyBorder="1" applyAlignment="1">
      <alignment horizontal="left"/>
    </xf>
    <xf numFmtId="0" fontId="24" fillId="33" borderId="14" xfId="0" applyFont="1" applyFill="1" applyBorder="1" applyAlignment="1">
      <alignment horizontal="center" vertical="center"/>
    </xf>
    <xf numFmtId="0" fontId="24" fillId="33" borderId="14" xfId="0" applyFont="1" applyFill="1" applyBorder="1" applyAlignment="1">
      <alignment horizontal="center" vertical="center" wrapText="1"/>
    </xf>
    <xf numFmtId="0" fontId="24" fillId="35" borderId="14" xfId="0" applyFont="1" applyFill="1" applyBorder="1" applyAlignment="1">
      <alignment horizontal="center"/>
    </xf>
    <xf numFmtId="0" fontId="24" fillId="35" borderId="14" xfId="0" applyFont="1" applyFill="1" applyBorder="1"/>
    <xf numFmtId="0" fontId="25" fillId="0" borderId="0" xfId="0" applyFont="1"/>
    <xf numFmtId="0" fontId="25" fillId="33" borderId="14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4" fillId="39" borderId="14" xfId="0" applyFont="1" applyFill="1" applyBorder="1" applyAlignment="1">
      <alignment horizontal="center"/>
    </xf>
    <xf numFmtId="0" fontId="24" fillId="39" borderId="14" xfId="0" applyFont="1" applyFill="1" applyBorder="1"/>
    <xf numFmtId="0" fontId="25" fillId="39" borderId="14" xfId="0" applyFont="1" applyFill="1" applyBorder="1" applyAlignment="1">
      <alignment horizontal="center"/>
    </xf>
    <xf numFmtId="0" fontId="0" fillId="39" borderId="0" xfId="0" applyFill="1" applyAlignment="1">
      <alignment horizontal="center"/>
    </xf>
    <xf numFmtId="0" fontId="25" fillId="39" borderId="0" xfId="0" applyFont="1" applyFill="1"/>
    <xf numFmtId="0" fontId="24" fillId="40" borderId="14" xfId="0" applyFont="1" applyFill="1" applyBorder="1" applyAlignment="1">
      <alignment horizontal="center"/>
    </xf>
    <xf numFmtId="0" fontId="24" fillId="40" borderId="14" xfId="0" applyFont="1" applyFill="1" applyBorder="1"/>
    <xf numFmtId="0" fontId="25" fillId="40" borderId="14" xfId="0" applyFont="1" applyFill="1" applyBorder="1" applyAlignment="1">
      <alignment horizontal="center"/>
    </xf>
    <xf numFmtId="0" fontId="0" fillId="40" borderId="0" xfId="0" applyFill="1" applyAlignment="1">
      <alignment horizontal="center"/>
    </xf>
    <xf numFmtId="0" fontId="25" fillId="40" borderId="0" xfId="0" applyFont="1" applyFill="1"/>
    <xf numFmtId="0" fontId="25" fillId="40" borderId="14" xfId="0" applyFont="1" applyFill="1" applyBorder="1" applyAlignment="1">
      <alignment horizontal="left"/>
    </xf>
    <xf numFmtId="0" fontId="25" fillId="40" borderId="14" xfId="0" applyFont="1" applyFill="1" applyBorder="1"/>
    <xf numFmtId="0" fontId="24" fillId="34" borderId="14" xfId="0" applyFont="1" applyFill="1" applyBorder="1" applyAlignment="1">
      <alignment horizontal="center"/>
    </xf>
    <xf numFmtId="0" fontId="24" fillId="34" borderId="14" xfId="0" applyFont="1" applyFill="1" applyBorder="1"/>
    <xf numFmtId="0" fontId="25" fillId="34" borderId="14" xfId="0" applyFont="1" applyFill="1" applyBorder="1" applyAlignment="1">
      <alignment horizontal="center"/>
    </xf>
    <xf numFmtId="0" fontId="0" fillId="34" borderId="0" xfId="0" applyFill="1" applyAlignment="1">
      <alignment horizontal="center"/>
    </xf>
    <xf numFmtId="0" fontId="25" fillId="34" borderId="0" xfId="0" applyFont="1" applyFill="1"/>
    <xf numFmtId="0" fontId="24" fillId="41" borderId="14" xfId="0" applyFont="1" applyFill="1" applyBorder="1" applyAlignment="1">
      <alignment horizontal="center"/>
    </xf>
    <xf numFmtId="0" fontId="24" fillId="41" borderId="14" xfId="0" applyFont="1" applyFill="1" applyBorder="1" applyAlignment="1">
      <alignment horizontal="left"/>
    </xf>
    <xf numFmtId="0" fontId="25" fillId="41" borderId="14" xfId="0" applyFont="1" applyFill="1" applyBorder="1" applyAlignment="1">
      <alignment horizontal="center"/>
    </xf>
    <xf numFmtId="0" fontId="0" fillId="41" borderId="0" xfId="0" applyFill="1" applyAlignment="1">
      <alignment horizontal="center"/>
    </xf>
    <xf numFmtId="0" fontId="25" fillId="41" borderId="0" xfId="0" applyFont="1" applyFill="1"/>
    <xf numFmtId="0" fontId="24" fillId="41" borderId="14" xfId="0" applyFont="1" applyFill="1" applyBorder="1"/>
    <xf numFmtId="0" fontId="25" fillId="41" borderId="14" xfId="0" applyFont="1" applyFill="1" applyBorder="1" applyAlignment="1">
      <alignment horizontal="left"/>
    </xf>
    <xf numFmtId="0" fontId="25" fillId="41" borderId="14" xfId="0" applyFont="1" applyFill="1" applyBorder="1"/>
    <xf numFmtId="0" fontId="20" fillId="41" borderId="10" xfId="0" applyFont="1" applyFill="1" applyBorder="1"/>
    <xf numFmtId="0" fontId="20" fillId="41" borderId="10" xfId="0" applyFont="1" applyFill="1" applyBorder="1" applyAlignment="1">
      <alignment horizontal="center"/>
    </xf>
    <xf numFmtId="0" fontId="20" fillId="41" borderId="10" xfId="0" applyFont="1" applyFill="1" applyBorder="1" applyAlignment="1">
      <alignment horizontal="left"/>
    </xf>
    <xf numFmtId="0" fontId="25" fillId="36" borderId="14" xfId="0" applyFont="1" applyFill="1" applyBorder="1" applyAlignment="1">
      <alignment horizontal="center"/>
    </xf>
    <xf numFmtId="0" fontId="20" fillId="39" borderId="10" xfId="0" applyFont="1" applyFill="1" applyBorder="1"/>
    <xf numFmtId="0" fontId="20" fillId="36" borderId="10" xfId="0" applyFont="1" applyFill="1" applyBorder="1"/>
    <xf numFmtId="0" fontId="20" fillId="36" borderId="10" xfId="0" applyFont="1" applyFill="1" applyBorder="1" applyAlignment="1">
      <alignment horizontal="left"/>
    </xf>
    <xf numFmtId="0" fontId="20" fillId="36" borderId="10" xfId="0" applyFont="1" applyFill="1" applyBorder="1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9 7" xfId="43" xr:uid="{00000000-0005-0000-0000-000026000000}"/>
    <cellStyle name="Normal 2" xfId="44" xr:uid="{033D5E1F-CD70-4278-8624-1CD661ED9E46}"/>
    <cellStyle name="Normal 48" xfId="42" xr:uid="{00000000-0005-0000-0000-000027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7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st_two\c\Surat\Job\Standard%20Deviation\S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pac.cementhai.co.th/Franchise/Franchise09/source/Documents%20and%20Settings/Cpac/Local%20Settings/Temporary%20Internet%20Files/Content.IE5/OVARQ1KD/Copy%20of%20aging%20franchise16-2-2010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ข้อมูล"/>
      <sheetName val="ANALYZE"/>
    </sheetNames>
    <sheetDataSet>
      <sheetData sheetId="0">
        <row r="3">
          <cell r="BD3" t="str">
            <v>ANALYSIS  OF  STRENGTH   RESULTS</v>
          </cell>
        </row>
        <row r="11">
          <cell r="B11" t="str">
            <v>CASTING</v>
          </cell>
          <cell r="C11" t="str">
            <v>X1</v>
          </cell>
          <cell r="D11" t="str">
            <v>X2</v>
          </cell>
          <cell r="E11" t="str">
            <v>X3</v>
          </cell>
          <cell r="F11" t="str">
            <v>MEAN</v>
          </cell>
          <cell r="G11" t="str">
            <v>XAVG</v>
          </cell>
          <cell r="H11" t="str">
            <v>XMOV</v>
          </cell>
        </row>
        <row r="12">
          <cell r="B12">
            <v>15797</v>
          </cell>
          <cell r="C12">
            <v>226</v>
          </cell>
          <cell r="D12">
            <v>228</v>
          </cell>
          <cell r="F12">
            <v>227</v>
          </cell>
          <cell r="G12">
            <v>227</v>
          </cell>
          <cell r="J12">
            <v>350</v>
          </cell>
          <cell r="K12">
            <v>350</v>
          </cell>
        </row>
        <row r="13">
          <cell r="B13">
            <v>15797</v>
          </cell>
          <cell r="C13">
            <v>201</v>
          </cell>
          <cell r="D13">
            <v>208</v>
          </cell>
          <cell r="F13">
            <v>204.5</v>
          </cell>
          <cell r="G13">
            <v>215.75</v>
          </cell>
          <cell r="J13">
            <v>328</v>
          </cell>
          <cell r="K13">
            <v>326</v>
          </cell>
        </row>
        <row r="14">
          <cell r="B14">
            <v>15797</v>
          </cell>
          <cell r="C14">
            <v>212</v>
          </cell>
          <cell r="D14">
            <v>228</v>
          </cell>
          <cell r="F14">
            <v>220</v>
          </cell>
          <cell r="G14">
            <v>217.16666666666666</v>
          </cell>
          <cell r="J14">
            <v>344</v>
          </cell>
          <cell r="K14">
            <v>343</v>
          </cell>
        </row>
        <row r="15">
          <cell r="B15">
            <v>15800</v>
          </cell>
          <cell r="C15">
            <v>275</v>
          </cell>
          <cell r="D15">
            <v>252</v>
          </cell>
          <cell r="F15">
            <v>263.5</v>
          </cell>
          <cell r="G15">
            <v>228.75</v>
          </cell>
          <cell r="J15">
            <v>356</v>
          </cell>
          <cell r="K15">
            <v>351</v>
          </cell>
        </row>
        <row r="16">
          <cell r="B16">
            <v>15801</v>
          </cell>
          <cell r="C16">
            <v>301</v>
          </cell>
          <cell r="D16">
            <v>283</v>
          </cell>
          <cell r="F16">
            <v>292</v>
          </cell>
          <cell r="G16">
            <v>241.4</v>
          </cell>
          <cell r="H16">
            <v>241.4</v>
          </cell>
          <cell r="J16">
            <v>356</v>
          </cell>
          <cell r="K16">
            <v>359</v>
          </cell>
        </row>
        <row r="17">
          <cell r="B17">
            <v>15801</v>
          </cell>
          <cell r="C17">
            <v>210</v>
          </cell>
          <cell r="D17">
            <v>219</v>
          </cell>
          <cell r="F17">
            <v>214.5</v>
          </cell>
          <cell r="G17">
            <v>236.91666666666666</v>
          </cell>
          <cell r="H17">
            <v>238.9</v>
          </cell>
          <cell r="J17">
            <v>292</v>
          </cell>
          <cell r="K17">
            <v>296</v>
          </cell>
        </row>
        <row r="18">
          <cell r="B18">
            <v>15803</v>
          </cell>
          <cell r="C18">
            <v>264</v>
          </cell>
          <cell r="D18">
            <v>261</v>
          </cell>
          <cell r="F18">
            <v>262.5</v>
          </cell>
          <cell r="G18">
            <v>240.57142857142858</v>
          </cell>
          <cell r="H18">
            <v>250.5</v>
          </cell>
          <cell r="J18">
            <v>381</v>
          </cell>
          <cell r="K18">
            <v>374</v>
          </cell>
        </row>
        <row r="19">
          <cell r="B19">
            <v>15803</v>
          </cell>
          <cell r="C19">
            <v>261</v>
          </cell>
          <cell r="D19">
            <v>252</v>
          </cell>
          <cell r="F19">
            <v>256.5</v>
          </cell>
          <cell r="G19">
            <v>242.5625</v>
          </cell>
          <cell r="H19">
            <v>257.8</v>
          </cell>
          <cell r="J19">
            <v>375</v>
          </cell>
          <cell r="K19">
            <v>383</v>
          </cell>
        </row>
        <row r="20">
          <cell r="B20" t="str">
            <v>08/40/43</v>
          </cell>
          <cell r="C20">
            <v>259</v>
          </cell>
          <cell r="D20">
            <v>259</v>
          </cell>
          <cell r="F20">
            <v>259</v>
          </cell>
          <cell r="G20">
            <v>244.38888888888889</v>
          </cell>
          <cell r="H20">
            <v>256.89999999999998</v>
          </cell>
          <cell r="J20">
            <v>396</v>
          </cell>
          <cell r="K20">
            <v>380</v>
          </cell>
        </row>
        <row r="21">
          <cell r="B21">
            <v>15807</v>
          </cell>
          <cell r="C21">
            <v>261</v>
          </cell>
          <cell r="D21">
            <v>246</v>
          </cell>
          <cell r="F21">
            <v>253.5</v>
          </cell>
          <cell r="G21">
            <v>245.3</v>
          </cell>
          <cell r="H21">
            <v>249.2</v>
          </cell>
          <cell r="J21">
            <v>401</v>
          </cell>
          <cell r="K21">
            <v>395</v>
          </cell>
        </row>
        <row r="22">
          <cell r="B22">
            <v>15807</v>
          </cell>
          <cell r="C22">
            <v>248</v>
          </cell>
          <cell r="D22">
            <v>236</v>
          </cell>
          <cell r="F22">
            <v>242</v>
          </cell>
          <cell r="G22">
            <v>245</v>
          </cell>
          <cell r="H22">
            <v>254.7</v>
          </cell>
          <cell r="J22">
            <v>384</v>
          </cell>
          <cell r="K22">
            <v>380</v>
          </cell>
        </row>
        <row r="23">
          <cell r="B23">
            <v>15811</v>
          </cell>
          <cell r="C23">
            <v>219</v>
          </cell>
          <cell r="D23">
            <v>213</v>
          </cell>
          <cell r="F23">
            <v>216</v>
          </cell>
          <cell r="G23">
            <v>242.58333333333334</v>
          </cell>
          <cell r="H23">
            <v>245.4</v>
          </cell>
          <cell r="J23">
            <v>368</v>
          </cell>
          <cell r="K23">
            <v>386</v>
          </cell>
        </row>
        <row r="24">
          <cell r="B24">
            <v>15817</v>
          </cell>
          <cell r="C24">
            <v>192</v>
          </cell>
          <cell r="D24">
            <v>199</v>
          </cell>
          <cell r="F24">
            <v>195.5</v>
          </cell>
          <cell r="G24">
            <v>238.96153846153845</v>
          </cell>
          <cell r="H24">
            <v>233.2</v>
          </cell>
          <cell r="J24">
            <v>316</v>
          </cell>
          <cell r="K24">
            <v>313</v>
          </cell>
        </row>
        <row r="25">
          <cell r="B25">
            <v>15818</v>
          </cell>
          <cell r="C25">
            <v>226</v>
          </cell>
          <cell r="D25">
            <v>233</v>
          </cell>
          <cell r="F25">
            <v>229.5</v>
          </cell>
          <cell r="G25">
            <v>238.28571428571428</v>
          </cell>
          <cell r="H25">
            <v>227.3</v>
          </cell>
          <cell r="J25">
            <v>348</v>
          </cell>
          <cell r="K25">
            <v>361</v>
          </cell>
        </row>
        <row r="26">
          <cell r="B26">
            <v>15820</v>
          </cell>
          <cell r="C26">
            <v>221</v>
          </cell>
          <cell r="D26">
            <v>226</v>
          </cell>
          <cell r="F26">
            <v>223.5</v>
          </cell>
          <cell r="G26">
            <v>237.3</v>
          </cell>
          <cell r="H26">
            <v>221.3</v>
          </cell>
          <cell r="J26">
            <v>323</v>
          </cell>
          <cell r="K26">
            <v>308</v>
          </cell>
        </row>
        <row r="27">
          <cell r="B27">
            <v>15820</v>
          </cell>
          <cell r="C27">
            <v>186</v>
          </cell>
          <cell r="D27">
            <v>188</v>
          </cell>
          <cell r="F27">
            <v>187</v>
          </cell>
          <cell r="G27">
            <v>234.15625</v>
          </cell>
          <cell r="H27">
            <v>210.3</v>
          </cell>
          <cell r="J27">
            <v>295</v>
          </cell>
          <cell r="K27">
            <v>308</v>
          </cell>
        </row>
        <row r="28">
          <cell r="B28">
            <v>15821</v>
          </cell>
          <cell r="C28">
            <v>221</v>
          </cell>
          <cell r="D28">
            <v>228</v>
          </cell>
          <cell r="F28">
            <v>224.5</v>
          </cell>
          <cell r="G28">
            <v>233.58823529411765</v>
          </cell>
          <cell r="H28">
            <v>212</v>
          </cell>
          <cell r="J28">
            <v>367</v>
          </cell>
          <cell r="K28">
            <v>351</v>
          </cell>
        </row>
        <row r="29">
          <cell r="B29">
            <v>15823</v>
          </cell>
          <cell r="C29">
            <v>252</v>
          </cell>
          <cell r="D29">
            <v>255</v>
          </cell>
          <cell r="F29">
            <v>253.5</v>
          </cell>
          <cell r="G29">
            <v>234.69444444444446</v>
          </cell>
          <cell r="H29">
            <v>223.6</v>
          </cell>
          <cell r="J29">
            <v>308</v>
          </cell>
          <cell r="K29">
            <v>326</v>
          </cell>
        </row>
        <row r="30">
          <cell r="B30">
            <v>15825</v>
          </cell>
          <cell r="C30">
            <v>325</v>
          </cell>
          <cell r="D30">
            <v>310</v>
          </cell>
          <cell r="F30">
            <v>317.5</v>
          </cell>
          <cell r="G30">
            <v>239.05263157894737</v>
          </cell>
          <cell r="H30">
            <v>241.2</v>
          </cell>
          <cell r="J30">
            <v>371</v>
          </cell>
          <cell r="K30">
            <v>379</v>
          </cell>
        </row>
        <row r="31">
          <cell r="F31" t="e">
            <v>#DIV/0!</v>
          </cell>
          <cell r="G31">
            <v>239.05263157894737</v>
          </cell>
          <cell r="H31" t="e">
            <v>#DIV/0!</v>
          </cell>
        </row>
        <row r="32">
          <cell r="F32" t="e">
            <v>#DIV/0!</v>
          </cell>
          <cell r="G32">
            <v>239.05263157894737</v>
          </cell>
          <cell r="H32" t="e">
            <v>#DIV/0!</v>
          </cell>
        </row>
        <row r="33">
          <cell r="F33" t="e">
            <v>#DIV/0!</v>
          </cell>
          <cell r="G33">
            <v>239.05263157894737</v>
          </cell>
          <cell r="H33" t="e">
            <v>#DIV/0!</v>
          </cell>
        </row>
        <row r="34">
          <cell r="F34" t="e">
            <v>#DIV/0!</v>
          </cell>
          <cell r="G34">
            <v>239.05263157894737</v>
          </cell>
          <cell r="H34" t="e">
            <v>#DIV/0!</v>
          </cell>
        </row>
        <row r="35">
          <cell r="F35" t="e">
            <v>#DIV/0!</v>
          </cell>
          <cell r="G35">
            <v>239.05263157894737</v>
          </cell>
          <cell r="H35" t="e">
            <v>#DIV/0!</v>
          </cell>
        </row>
        <row r="36">
          <cell r="F36" t="e">
            <v>#DIV/0!</v>
          </cell>
          <cell r="G36">
            <v>239.05263157894737</v>
          </cell>
          <cell r="H36" t="e">
            <v>#DIV/0!</v>
          </cell>
        </row>
        <row r="37">
          <cell r="F37" t="e">
            <v>#DIV/0!</v>
          </cell>
          <cell r="G37">
            <v>239.05263157894737</v>
          </cell>
          <cell r="H37" t="e">
            <v>#DIV/0!</v>
          </cell>
        </row>
        <row r="38">
          <cell r="F38" t="e">
            <v>#DIV/0!</v>
          </cell>
          <cell r="G38">
            <v>239.05263157894737</v>
          </cell>
          <cell r="H38" t="e">
            <v>#DIV/0!</v>
          </cell>
        </row>
        <row r="39">
          <cell r="F39" t="e">
            <v>#DIV/0!</v>
          </cell>
          <cell r="G39">
            <v>239.05263157894737</v>
          </cell>
          <cell r="H39" t="e">
            <v>#DIV/0!</v>
          </cell>
        </row>
        <row r="40">
          <cell r="F40" t="e">
            <v>#DIV/0!</v>
          </cell>
          <cell r="G40">
            <v>239.05263157894737</v>
          </cell>
          <cell r="H40" t="e">
            <v>#DIV/0!</v>
          </cell>
        </row>
        <row r="41">
          <cell r="F41" t="e">
            <v>#DIV/0!</v>
          </cell>
          <cell r="G41">
            <v>239.05263157894737</v>
          </cell>
          <cell r="H41" t="e">
            <v>#DIV/0!</v>
          </cell>
        </row>
        <row r="42">
          <cell r="F42" t="e">
            <v>#DIV/0!</v>
          </cell>
          <cell r="G42">
            <v>239.05263157894737</v>
          </cell>
          <cell r="H42" t="e">
            <v>#DIV/0!</v>
          </cell>
        </row>
        <row r="43">
          <cell r="F43" t="e">
            <v>#DIV/0!</v>
          </cell>
          <cell r="G43">
            <v>239.05263157894737</v>
          </cell>
          <cell r="H43" t="e">
            <v>#DIV/0!</v>
          </cell>
        </row>
        <row r="44">
          <cell r="F44" t="e">
            <v>#DIV/0!</v>
          </cell>
          <cell r="G44">
            <v>239.05263157894737</v>
          </cell>
          <cell r="H44" t="e">
            <v>#DIV/0!</v>
          </cell>
        </row>
        <row r="45">
          <cell r="F45" t="e">
            <v>#DIV/0!</v>
          </cell>
          <cell r="G45">
            <v>239.05263157894737</v>
          </cell>
          <cell r="H45" t="e">
            <v>#DIV/0!</v>
          </cell>
        </row>
        <row r="46">
          <cell r="F46" t="e">
            <v>#DIV/0!</v>
          </cell>
          <cell r="G46">
            <v>239.05263157894737</v>
          </cell>
          <cell r="H46" t="e">
            <v>#DIV/0!</v>
          </cell>
        </row>
        <row r="47">
          <cell r="F47" t="e">
            <v>#DIV/0!</v>
          </cell>
          <cell r="G47">
            <v>239.05263157894737</v>
          </cell>
          <cell r="H47" t="e">
            <v>#DIV/0!</v>
          </cell>
        </row>
        <row r="48">
          <cell r="F48" t="e">
            <v>#DIV/0!</v>
          </cell>
          <cell r="G48">
            <v>239.05263157894737</v>
          </cell>
          <cell r="H48" t="e">
            <v>#DIV/0!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ummary-CPAC by customer"/>
      <sheetName val="สถานะลูกหนี้ กท"/>
      <sheetName val="สถานะลูกหนี้ อส"/>
      <sheetName val="สถานะลูกหนี้ ตอ"/>
      <sheetName val="สถานะลูกหนี้ ตต"/>
      <sheetName val="สถานะลูกหนี้ ภน"/>
      <sheetName val="สำหรับทำตาม format ภาคอิสาน "/>
      <sheetName val="สถานะลูกหนี้ ภต"/>
      <sheetName val="Data-CPAC"/>
      <sheetName val="custo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Customer</v>
          </cell>
          <cell r="B1" t="str">
            <v>DocumentNo</v>
          </cell>
          <cell r="C1" t="str">
            <v>Doc.Date</v>
          </cell>
          <cell r="D1" t="str">
            <v>Net due dt</v>
          </cell>
          <cell r="E1" t="str">
            <v>Amt in loc.cur.</v>
          </cell>
          <cell r="F1" t="str">
            <v>Text</v>
          </cell>
          <cell r="G1" t="str">
            <v>Document Header Text</v>
          </cell>
          <cell r="H1" t="str">
            <v>ค่าเครื่องจักร/Royalty/Fee</v>
          </cell>
          <cell r="I1" t="str">
            <v>Name</v>
          </cell>
          <cell r="J1" t="str">
            <v>กิจการ</v>
          </cell>
          <cell r="K1" t="str">
            <v>Type Of Franchise</v>
          </cell>
          <cell r="L1" t="str">
            <v>วันที่เอกสาร</v>
          </cell>
          <cell r="M1" t="str">
            <v>วันที่ครบกำหนดชำระเงิน</v>
          </cell>
          <cell r="N1" t="str">
            <v>วันที่ปัจจุบัน</v>
          </cell>
          <cell r="O1" t="str">
            <v>วันที่เกินdue</v>
          </cell>
          <cell r="P1" t="str">
            <v>เกินกำหนดชำระเงิน</v>
          </cell>
          <cell r="Q1" t="str">
            <v>เกินกำหนดชำระ &gt; 12 ด.</v>
          </cell>
          <cell r="R1" t="str">
            <v>ครบกำหนดชำระเงิน/ยังไม่ครบกำหนดชำระเงิน</v>
          </cell>
          <cell r="S1" t="str">
            <v>due-sap</v>
          </cell>
          <cell r="T1" t="str">
            <v>diff due(สูตร-sap)</v>
          </cell>
          <cell r="U1" t="str">
            <v>year</v>
          </cell>
          <cell r="V1" t="str">
            <v>doc</v>
          </cell>
          <cell r="W1" t="str">
            <v>ประเภทของรายได้</v>
          </cell>
          <cell r="X1" t="str">
            <v>Remark</v>
          </cell>
          <cell r="Y1" t="str">
            <v>ชื่อโรงงาน</v>
          </cell>
        </row>
        <row r="2">
          <cell r="A2">
            <v>900470</v>
          </cell>
        </row>
        <row r="3">
          <cell r="A3">
            <v>900470</v>
          </cell>
        </row>
        <row r="4">
          <cell r="A4">
            <v>900470</v>
          </cell>
        </row>
        <row r="5">
          <cell r="A5">
            <v>900470</v>
          </cell>
        </row>
        <row r="6">
          <cell r="A6">
            <v>900470</v>
          </cell>
        </row>
        <row r="7">
          <cell r="A7">
            <v>900470</v>
          </cell>
        </row>
        <row r="8">
          <cell r="A8">
            <v>900470</v>
          </cell>
        </row>
        <row r="9">
          <cell r="A9">
            <v>900470</v>
          </cell>
        </row>
        <row r="10">
          <cell r="A10">
            <v>900470</v>
          </cell>
        </row>
        <row r="11">
          <cell r="A11">
            <v>900772</v>
          </cell>
        </row>
        <row r="12">
          <cell r="A12">
            <v>900772</v>
          </cell>
        </row>
        <row r="13">
          <cell r="A13">
            <v>900772</v>
          </cell>
        </row>
        <row r="14">
          <cell r="A14">
            <v>900772</v>
          </cell>
        </row>
        <row r="15">
          <cell r="A15">
            <v>900772</v>
          </cell>
        </row>
        <row r="16">
          <cell r="A16">
            <v>900772</v>
          </cell>
        </row>
        <row r="17">
          <cell r="A17">
            <v>900772</v>
          </cell>
        </row>
        <row r="18">
          <cell r="A18">
            <v>900772</v>
          </cell>
        </row>
        <row r="19">
          <cell r="A19">
            <v>900773</v>
          </cell>
        </row>
        <row r="20">
          <cell r="A20">
            <v>900773</v>
          </cell>
        </row>
        <row r="21">
          <cell r="A21">
            <v>900773</v>
          </cell>
        </row>
        <row r="22">
          <cell r="A22">
            <v>900773</v>
          </cell>
        </row>
        <row r="23">
          <cell r="A23">
            <v>900774</v>
          </cell>
        </row>
        <row r="24">
          <cell r="A24">
            <v>900774</v>
          </cell>
        </row>
        <row r="25">
          <cell r="A25">
            <v>900774</v>
          </cell>
        </row>
        <row r="26">
          <cell r="A26">
            <v>900775</v>
          </cell>
        </row>
        <row r="27">
          <cell r="A27">
            <v>900775</v>
          </cell>
        </row>
        <row r="28">
          <cell r="A28">
            <v>900775</v>
          </cell>
        </row>
        <row r="29">
          <cell r="A29">
            <v>900775</v>
          </cell>
        </row>
        <row r="30">
          <cell r="A30">
            <v>900775</v>
          </cell>
        </row>
        <row r="31">
          <cell r="A31">
            <v>900775</v>
          </cell>
        </row>
        <row r="32">
          <cell r="A32">
            <v>900775</v>
          </cell>
        </row>
        <row r="33">
          <cell r="A33">
            <v>900775</v>
          </cell>
        </row>
        <row r="34">
          <cell r="A34">
            <v>900775</v>
          </cell>
        </row>
        <row r="35">
          <cell r="A35">
            <v>900775</v>
          </cell>
        </row>
        <row r="36">
          <cell r="A36">
            <v>900776</v>
          </cell>
        </row>
        <row r="37">
          <cell r="A37">
            <v>900776</v>
          </cell>
        </row>
        <row r="38">
          <cell r="A38">
            <v>900776</v>
          </cell>
        </row>
        <row r="39">
          <cell r="A39">
            <v>900776</v>
          </cell>
        </row>
        <row r="40">
          <cell r="A40">
            <v>900776</v>
          </cell>
        </row>
        <row r="41">
          <cell r="A41">
            <v>900776</v>
          </cell>
        </row>
        <row r="42">
          <cell r="A42">
            <v>900776</v>
          </cell>
        </row>
        <row r="43">
          <cell r="A43">
            <v>900776</v>
          </cell>
        </row>
        <row r="44">
          <cell r="A44">
            <v>900776</v>
          </cell>
        </row>
        <row r="45">
          <cell r="A45">
            <v>900859</v>
          </cell>
        </row>
        <row r="46">
          <cell r="A46">
            <v>900859</v>
          </cell>
        </row>
        <row r="47">
          <cell r="A47">
            <v>900859</v>
          </cell>
        </row>
        <row r="48">
          <cell r="A48">
            <v>900859</v>
          </cell>
        </row>
        <row r="49">
          <cell r="A49">
            <v>900859</v>
          </cell>
        </row>
        <row r="50">
          <cell r="A50">
            <v>900859</v>
          </cell>
        </row>
        <row r="51">
          <cell r="A51">
            <v>900859</v>
          </cell>
        </row>
        <row r="52">
          <cell r="A52">
            <v>900859</v>
          </cell>
        </row>
        <row r="53">
          <cell r="A53">
            <v>900859</v>
          </cell>
        </row>
        <row r="54">
          <cell r="A54">
            <v>900859</v>
          </cell>
        </row>
        <row r="55">
          <cell r="A55">
            <v>900860</v>
          </cell>
        </row>
        <row r="56">
          <cell r="A56">
            <v>900860</v>
          </cell>
        </row>
        <row r="57">
          <cell r="A57">
            <v>900860</v>
          </cell>
        </row>
        <row r="58">
          <cell r="A58">
            <v>900860</v>
          </cell>
        </row>
        <row r="59">
          <cell r="A59">
            <v>900860</v>
          </cell>
        </row>
        <row r="60">
          <cell r="A60">
            <v>900860</v>
          </cell>
        </row>
        <row r="61">
          <cell r="A61">
            <v>900860</v>
          </cell>
        </row>
        <row r="62">
          <cell r="A62">
            <v>900861</v>
          </cell>
        </row>
        <row r="63">
          <cell r="A63">
            <v>900861</v>
          </cell>
        </row>
        <row r="64">
          <cell r="A64">
            <v>900861</v>
          </cell>
        </row>
        <row r="65">
          <cell r="A65">
            <v>900861</v>
          </cell>
        </row>
        <row r="66">
          <cell r="A66">
            <v>900862</v>
          </cell>
        </row>
        <row r="67">
          <cell r="A67">
            <v>900862</v>
          </cell>
        </row>
        <row r="68">
          <cell r="A68">
            <v>900862</v>
          </cell>
        </row>
        <row r="69">
          <cell r="A69">
            <v>900862</v>
          </cell>
        </row>
        <row r="70">
          <cell r="A70">
            <v>900862</v>
          </cell>
        </row>
        <row r="71">
          <cell r="A71">
            <v>900862</v>
          </cell>
        </row>
        <row r="72">
          <cell r="A72">
            <v>900862</v>
          </cell>
        </row>
        <row r="73">
          <cell r="A73">
            <v>900862</v>
          </cell>
        </row>
        <row r="74">
          <cell r="A74">
            <v>900862</v>
          </cell>
        </row>
        <row r="75">
          <cell r="A75">
            <v>900863</v>
          </cell>
        </row>
        <row r="76">
          <cell r="A76">
            <v>900863</v>
          </cell>
        </row>
        <row r="77">
          <cell r="A77">
            <v>900863</v>
          </cell>
        </row>
        <row r="78">
          <cell r="A78">
            <v>900863</v>
          </cell>
        </row>
        <row r="79">
          <cell r="A79">
            <v>900863</v>
          </cell>
        </row>
        <row r="80">
          <cell r="A80">
            <v>900863</v>
          </cell>
        </row>
        <row r="81">
          <cell r="A81">
            <v>900863</v>
          </cell>
        </row>
        <row r="82">
          <cell r="A82">
            <v>900863</v>
          </cell>
        </row>
        <row r="83">
          <cell r="A83">
            <v>900864</v>
          </cell>
        </row>
        <row r="84">
          <cell r="A84">
            <v>900864</v>
          </cell>
        </row>
        <row r="85">
          <cell r="A85">
            <v>900864</v>
          </cell>
        </row>
        <row r="86">
          <cell r="A86">
            <v>900864</v>
          </cell>
        </row>
        <row r="87">
          <cell r="A87">
            <v>900864</v>
          </cell>
        </row>
        <row r="88">
          <cell r="A88">
            <v>900864</v>
          </cell>
        </row>
        <row r="89">
          <cell r="A89">
            <v>900864</v>
          </cell>
        </row>
        <row r="90">
          <cell r="A90">
            <v>900864</v>
          </cell>
        </row>
        <row r="91">
          <cell r="A91">
            <v>900864</v>
          </cell>
        </row>
        <row r="92">
          <cell r="A92">
            <v>900864</v>
          </cell>
        </row>
        <row r="93">
          <cell r="A93">
            <v>900864</v>
          </cell>
        </row>
        <row r="94">
          <cell r="A94">
            <v>900864</v>
          </cell>
        </row>
        <row r="95">
          <cell r="A95">
            <v>900864</v>
          </cell>
        </row>
        <row r="96">
          <cell r="A96">
            <v>900864</v>
          </cell>
        </row>
        <row r="97">
          <cell r="A97">
            <v>900864</v>
          </cell>
        </row>
        <row r="98">
          <cell r="A98">
            <v>900864</v>
          </cell>
        </row>
        <row r="99">
          <cell r="A99">
            <v>900864</v>
          </cell>
        </row>
        <row r="100">
          <cell r="A100">
            <v>900864</v>
          </cell>
        </row>
        <row r="101">
          <cell r="A101">
            <v>900864</v>
          </cell>
        </row>
        <row r="102">
          <cell r="A102">
            <v>900864</v>
          </cell>
        </row>
        <row r="103">
          <cell r="A103">
            <v>900864</v>
          </cell>
        </row>
        <row r="104">
          <cell r="A104">
            <v>900864</v>
          </cell>
        </row>
        <row r="105">
          <cell r="A105">
            <v>900864</v>
          </cell>
        </row>
        <row r="106">
          <cell r="A106">
            <v>900864</v>
          </cell>
        </row>
        <row r="107">
          <cell r="A107">
            <v>900864</v>
          </cell>
        </row>
        <row r="108">
          <cell r="A108">
            <v>900864</v>
          </cell>
        </row>
        <row r="109">
          <cell r="A109">
            <v>900864</v>
          </cell>
        </row>
        <row r="110">
          <cell r="A110">
            <v>900864</v>
          </cell>
        </row>
        <row r="111">
          <cell r="A111">
            <v>900864</v>
          </cell>
        </row>
        <row r="112">
          <cell r="A112">
            <v>900864</v>
          </cell>
        </row>
        <row r="113">
          <cell r="A113">
            <v>900864</v>
          </cell>
        </row>
        <row r="114">
          <cell r="A114">
            <v>900865</v>
          </cell>
        </row>
        <row r="115">
          <cell r="A115">
            <v>900865</v>
          </cell>
        </row>
        <row r="116">
          <cell r="A116">
            <v>900865</v>
          </cell>
        </row>
        <row r="117">
          <cell r="A117">
            <v>900865</v>
          </cell>
        </row>
        <row r="118">
          <cell r="A118">
            <v>900865</v>
          </cell>
        </row>
        <row r="119">
          <cell r="A119">
            <v>900866</v>
          </cell>
        </row>
        <row r="120">
          <cell r="A120">
            <v>900866</v>
          </cell>
        </row>
        <row r="121">
          <cell r="A121">
            <v>900866</v>
          </cell>
        </row>
        <row r="122">
          <cell r="A122">
            <v>900866</v>
          </cell>
        </row>
        <row r="123">
          <cell r="A123">
            <v>900866</v>
          </cell>
        </row>
        <row r="124">
          <cell r="A124">
            <v>900866</v>
          </cell>
        </row>
        <row r="125">
          <cell r="A125">
            <v>900867</v>
          </cell>
        </row>
        <row r="126">
          <cell r="A126">
            <v>900867</v>
          </cell>
        </row>
        <row r="127">
          <cell r="A127">
            <v>900867</v>
          </cell>
        </row>
        <row r="128">
          <cell r="A128">
            <v>900867</v>
          </cell>
        </row>
        <row r="129">
          <cell r="A129">
            <v>900867</v>
          </cell>
        </row>
        <row r="130">
          <cell r="A130">
            <v>900867</v>
          </cell>
        </row>
        <row r="131">
          <cell r="A131">
            <v>900867</v>
          </cell>
        </row>
        <row r="132">
          <cell r="A132">
            <v>900867</v>
          </cell>
        </row>
        <row r="133">
          <cell r="A133">
            <v>900867</v>
          </cell>
        </row>
        <row r="134">
          <cell r="A134">
            <v>900867</v>
          </cell>
        </row>
        <row r="135">
          <cell r="A135">
            <v>900867</v>
          </cell>
        </row>
        <row r="136">
          <cell r="A136">
            <v>900868</v>
          </cell>
        </row>
        <row r="137">
          <cell r="A137">
            <v>900868</v>
          </cell>
        </row>
        <row r="138">
          <cell r="A138">
            <v>900868</v>
          </cell>
        </row>
        <row r="139">
          <cell r="A139">
            <v>900868</v>
          </cell>
        </row>
        <row r="140">
          <cell r="A140">
            <v>900872</v>
          </cell>
        </row>
        <row r="141">
          <cell r="A141">
            <v>900872</v>
          </cell>
        </row>
        <row r="142">
          <cell r="A142">
            <v>900872</v>
          </cell>
        </row>
        <row r="143">
          <cell r="A143">
            <v>900872</v>
          </cell>
        </row>
        <row r="144">
          <cell r="A144">
            <v>900872</v>
          </cell>
        </row>
        <row r="145">
          <cell r="A145">
            <v>900872</v>
          </cell>
        </row>
        <row r="146">
          <cell r="A146">
            <v>900872</v>
          </cell>
        </row>
        <row r="147">
          <cell r="A147">
            <v>900872</v>
          </cell>
        </row>
        <row r="148">
          <cell r="A148">
            <v>900872</v>
          </cell>
        </row>
        <row r="149">
          <cell r="A149">
            <v>900872</v>
          </cell>
        </row>
        <row r="150">
          <cell r="A150">
            <v>900872</v>
          </cell>
        </row>
        <row r="151">
          <cell r="A151">
            <v>900875</v>
          </cell>
        </row>
        <row r="152">
          <cell r="A152">
            <v>900875</v>
          </cell>
        </row>
        <row r="153">
          <cell r="A153">
            <v>900875</v>
          </cell>
        </row>
        <row r="154">
          <cell r="A154">
            <v>900875</v>
          </cell>
        </row>
        <row r="155">
          <cell r="A155">
            <v>900875</v>
          </cell>
        </row>
        <row r="156">
          <cell r="A156">
            <v>900875</v>
          </cell>
        </row>
        <row r="157">
          <cell r="A157">
            <v>900875</v>
          </cell>
        </row>
        <row r="158">
          <cell r="A158">
            <v>900875</v>
          </cell>
        </row>
        <row r="159">
          <cell r="A159">
            <v>900875</v>
          </cell>
        </row>
        <row r="160">
          <cell r="A160">
            <v>900878</v>
          </cell>
        </row>
        <row r="161">
          <cell r="A161">
            <v>900878</v>
          </cell>
        </row>
        <row r="162">
          <cell r="A162">
            <v>900889</v>
          </cell>
        </row>
        <row r="163">
          <cell r="A163">
            <v>900889</v>
          </cell>
        </row>
        <row r="164">
          <cell r="A164">
            <v>900895</v>
          </cell>
        </row>
        <row r="165">
          <cell r="A165">
            <v>900895</v>
          </cell>
        </row>
        <row r="166">
          <cell r="A166">
            <v>900895</v>
          </cell>
        </row>
        <row r="167">
          <cell r="A167">
            <v>900895</v>
          </cell>
        </row>
        <row r="168">
          <cell r="A168">
            <v>900895</v>
          </cell>
        </row>
        <row r="169">
          <cell r="A169">
            <v>900895</v>
          </cell>
        </row>
        <row r="170">
          <cell r="A170">
            <v>900895</v>
          </cell>
        </row>
        <row r="171">
          <cell r="A171">
            <v>900895</v>
          </cell>
        </row>
        <row r="172">
          <cell r="A172">
            <v>900895</v>
          </cell>
        </row>
        <row r="173">
          <cell r="A173">
            <v>900895</v>
          </cell>
        </row>
        <row r="174">
          <cell r="A174">
            <v>900895</v>
          </cell>
        </row>
        <row r="175">
          <cell r="A175">
            <v>900895</v>
          </cell>
        </row>
        <row r="176">
          <cell r="A176">
            <v>900895</v>
          </cell>
        </row>
        <row r="177">
          <cell r="A177">
            <v>900895</v>
          </cell>
        </row>
        <row r="178">
          <cell r="A178">
            <v>900895</v>
          </cell>
        </row>
        <row r="179">
          <cell r="A179">
            <v>900895</v>
          </cell>
        </row>
        <row r="180">
          <cell r="A180">
            <v>900895</v>
          </cell>
        </row>
        <row r="181">
          <cell r="A181">
            <v>900895</v>
          </cell>
        </row>
        <row r="182">
          <cell r="A182">
            <v>900895</v>
          </cell>
        </row>
        <row r="183">
          <cell r="A183">
            <v>900895</v>
          </cell>
        </row>
        <row r="184">
          <cell r="A184">
            <v>900895</v>
          </cell>
        </row>
        <row r="185">
          <cell r="A185">
            <v>900895</v>
          </cell>
        </row>
        <row r="186">
          <cell r="A186">
            <v>900895</v>
          </cell>
        </row>
        <row r="187">
          <cell r="A187">
            <v>900895</v>
          </cell>
        </row>
        <row r="188">
          <cell r="A188">
            <v>900895</v>
          </cell>
        </row>
        <row r="189">
          <cell r="A189">
            <v>900895</v>
          </cell>
        </row>
        <row r="190">
          <cell r="A190">
            <v>900895</v>
          </cell>
        </row>
        <row r="191">
          <cell r="A191">
            <v>900895</v>
          </cell>
        </row>
        <row r="192">
          <cell r="A192">
            <v>900895</v>
          </cell>
        </row>
        <row r="193">
          <cell r="A193">
            <v>900895</v>
          </cell>
        </row>
        <row r="194">
          <cell r="A194">
            <v>900895</v>
          </cell>
        </row>
        <row r="195">
          <cell r="A195">
            <v>900895</v>
          </cell>
        </row>
        <row r="196">
          <cell r="A196">
            <v>900895</v>
          </cell>
        </row>
        <row r="197">
          <cell r="A197">
            <v>900895</v>
          </cell>
        </row>
        <row r="198">
          <cell r="A198">
            <v>900895</v>
          </cell>
        </row>
        <row r="199">
          <cell r="A199">
            <v>900895</v>
          </cell>
        </row>
        <row r="200">
          <cell r="A200">
            <v>900895</v>
          </cell>
        </row>
        <row r="201">
          <cell r="A201">
            <v>900895</v>
          </cell>
        </row>
        <row r="202">
          <cell r="A202">
            <v>900895</v>
          </cell>
        </row>
        <row r="203">
          <cell r="A203">
            <v>900895</v>
          </cell>
        </row>
        <row r="204">
          <cell r="A204">
            <v>900895</v>
          </cell>
        </row>
        <row r="205">
          <cell r="A205">
            <v>900895</v>
          </cell>
        </row>
        <row r="206">
          <cell r="A206">
            <v>900895</v>
          </cell>
        </row>
        <row r="207">
          <cell r="A207">
            <v>900895</v>
          </cell>
        </row>
        <row r="208">
          <cell r="A208">
            <v>900895</v>
          </cell>
        </row>
        <row r="209">
          <cell r="A209">
            <v>900895</v>
          </cell>
        </row>
        <row r="210">
          <cell r="A210">
            <v>900895</v>
          </cell>
        </row>
        <row r="211">
          <cell r="A211">
            <v>900895</v>
          </cell>
        </row>
        <row r="212">
          <cell r="A212">
            <v>900895</v>
          </cell>
        </row>
        <row r="213">
          <cell r="A213">
            <v>900895</v>
          </cell>
        </row>
        <row r="214">
          <cell r="A214">
            <v>900895</v>
          </cell>
        </row>
        <row r="215">
          <cell r="A215">
            <v>900895</v>
          </cell>
        </row>
        <row r="216">
          <cell r="A216">
            <v>900895</v>
          </cell>
        </row>
        <row r="217">
          <cell r="A217">
            <v>900895</v>
          </cell>
        </row>
        <row r="218">
          <cell r="A218">
            <v>900895</v>
          </cell>
        </row>
        <row r="219">
          <cell r="A219">
            <v>900895</v>
          </cell>
        </row>
        <row r="220">
          <cell r="A220">
            <v>900902</v>
          </cell>
        </row>
        <row r="221">
          <cell r="A221">
            <v>900902</v>
          </cell>
        </row>
        <row r="222">
          <cell r="A222">
            <v>900902</v>
          </cell>
        </row>
        <row r="223">
          <cell r="A223">
            <v>900902</v>
          </cell>
        </row>
        <row r="224">
          <cell r="A224">
            <v>900902</v>
          </cell>
        </row>
        <row r="225">
          <cell r="A225">
            <v>900902</v>
          </cell>
        </row>
        <row r="226">
          <cell r="A226">
            <v>900902</v>
          </cell>
        </row>
        <row r="227">
          <cell r="A227">
            <v>900902</v>
          </cell>
        </row>
        <row r="228">
          <cell r="A228">
            <v>900902</v>
          </cell>
        </row>
        <row r="229">
          <cell r="A229">
            <v>900902</v>
          </cell>
        </row>
        <row r="230">
          <cell r="A230">
            <v>900902</v>
          </cell>
        </row>
        <row r="231">
          <cell r="A231">
            <v>900902</v>
          </cell>
        </row>
        <row r="232">
          <cell r="A232">
            <v>900902</v>
          </cell>
        </row>
        <row r="233">
          <cell r="A233">
            <v>900902</v>
          </cell>
        </row>
        <row r="234">
          <cell r="A234">
            <v>900902</v>
          </cell>
        </row>
        <row r="235">
          <cell r="A235">
            <v>900934</v>
          </cell>
        </row>
        <row r="236">
          <cell r="A236">
            <v>900934</v>
          </cell>
        </row>
        <row r="237">
          <cell r="A237">
            <v>900934</v>
          </cell>
        </row>
        <row r="238">
          <cell r="A238">
            <v>900934</v>
          </cell>
        </row>
        <row r="239">
          <cell r="A239">
            <v>900934</v>
          </cell>
        </row>
        <row r="240">
          <cell r="A240">
            <v>900934</v>
          </cell>
        </row>
        <row r="241">
          <cell r="A241">
            <v>900934</v>
          </cell>
        </row>
        <row r="242">
          <cell r="A242">
            <v>900934</v>
          </cell>
        </row>
        <row r="243">
          <cell r="A243">
            <v>900934</v>
          </cell>
        </row>
        <row r="244">
          <cell r="A244">
            <v>900934</v>
          </cell>
        </row>
        <row r="245">
          <cell r="A245">
            <v>900946</v>
          </cell>
        </row>
        <row r="246">
          <cell r="A246">
            <v>900946</v>
          </cell>
        </row>
        <row r="247">
          <cell r="A247">
            <v>900946</v>
          </cell>
        </row>
        <row r="248">
          <cell r="A248">
            <v>900946</v>
          </cell>
        </row>
        <row r="249">
          <cell r="A249">
            <v>900946</v>
          </cell>
        </row>
        <row r="250">
          <cell r="A250">
            <v>900946</v>
          </cell>
        </row>
        <row r="251">
          <cell r="A251">
            <v>900946</v>
          </cell>
        </row>
        <row r="252">
          <cell r="A252">
            <v>900946</v>
          </cell>
        </row>
        <row r="253">
          <cell r="A253">
            <v>900946</v>
          </cell>
        </row>
        <row r="254">
          <cell r="A254">
            <v>900946</v>
          </cell>
        </row>
        <row r="255">
          <cell r="A255">
            <v>900946</v>
          </cell>
        </row>
        <row r="256">
          <cell r="A256">
            <v>900946</v>
          </cell>
        </row>
        <row r="257">
          <cell r="A257">
            <v>900946</v>
          </cell>
        </row>
        <row r="258">
          <cell r="A258">
            <v>900998</v>
          </cell>
        </row>
        <row r="259">
          <cell r="A259">
            <v>900998</v>
          </cell>
        </row>
        <row r="260">
          <cell r="A260">
            <v>900998</v>
          </cell>
        </row>
        <row r="261">
          <cell r="A261">
            <v>900998</v>
          </cell>
        </row>
        <row r="262">
          <cell r="A262">
            <v>901000</v>
          </cell>
        </row>
        <row r="263">
          <cell r="A263">
            <v>901000</v>
          </cell>
        </row>
        <row r="264">
          <cell r="A264">
            <v>901000</v>
          </cell>
        </row>
        <row r="265">
          <cell r="A265">
            <v>901000</v>
          </cell>
        </row>
        <row r="266">
          <cell r="A266">
            <v>901000</v>
          </cell>
        </row>
        <row r="267">
          <cell r="A267">
            <v>901000</v>
          </cell>
        </row>
        <row r="268">
          <cell r="A268">
            <v>901000</v>
          </cell>
        </row>
        <row r="269">
          <cell r="A269">
            <v>901000</v>
          </cell>
        </row>
        <row r="270">
          <cell r="A270">
            <v>901000</v>
          </cell>
        </row>
        <row r="271">
          <cell r="A271">
            <v>901000</v>
          </cell>
        </row>
        <row r="272">
          <cell r="A272">
            <v>901000</v>
          </cell>
        </row>
        <row r="273">
          <cell r="A273">
            <v>901000</v>
          </cell>
        </row>
        <row r="274">
          <cell r="A274">
            <v>901000</v>
          </cell>
        </row>
        <row r="275">
          <cell r="A275">
            <v>901004</v>
          </cell>
        </row>
        <row r="276">
          <cell r="A276">
            <v>901004</v>
          </cell>
        </row>
        <row r="277">
          <cell r="A277">
            <v>901004</v>
          </cell>
        </row>
        <row r="278">
          <cell r="A278">
            <v>901004</v>
          </cell>
        </row>
        <row r="279">
          <cell r="A279">
            <v>901004</v>
          </cell>
        </row>
        <row r="280">
          <cell r="A280">
            <v>901004</v>
          </cell>
        </row>
        <row r="281">
          <cell r="A281">
            <v>901016</v>
          </cell>
        </row>
        <row r="282">
          <cell r="A282">
            <v>901016</v>
          </cell>
        </row>
        <row r="283">
          <cell r="A283">
            <v>901016</v>
          </cell>
        </row>
        <row r="284">
          <cell r="A284">
            <v>901016</v>
          </cell>
        </row>
        <row r="285">
          <cell r="A285">
            <v>901016</v>
          </cell>
        </row>
        <row r="286">
          <cell r="A286">
            <v>901016</v>
          </cell>
        </row>
        <row r="287">
          <cell r="A287">
            <v>901016</v>
          </cell>
        </row>
        <row r="288">
          <cell r="A288">
            <v>901016</v>
          </cell>
        </row>
        <row r="289">
          <cell r="A289">
            <v>901016</v>
          </cell>
        </row>
        <row r="290">
          <cell r="A290">
            <v>901019</v>
          </cell>
        </row>
        <row r="291">
          <cell r="A291">
            <v>901019</v>
          </cell>
        </row>
        <row r="292">
          <cell r="A292">
            <v>901019</v>
          </cell>
        </row>
        <row r="293">
          <cell r="A293">
            <v>901019</v>
          </cell>
        </row>
        <row r="294">
          <cell r="A294">
            <v>901019</v>
          </cell>
        </row>
        <row r="295">
          <cell r="A295">
            <v>901019</v>
          </cell>
        </row>
        <row r="296">
          <cell r="A296">
            <v>901019</v>
          </cell>
        </row>
        <row r="297">
          <cell r="A297">
            <v>901019</v>
          </cell>
        </row>
        <row r="298">
          <cell r="A298">
            <v>901019</v>
          </cell>
        </row>
        <row r="299">
          <cell r="A299">
            <v>901019</v>
          </cell>
        </row>
        <row r="300">
          <cell r="A300">
            <v>901019</v>
          </cell>
        </row>
        <row r="301">
          <cell r="A301">
            <v>901019</v>
          </cell>
        </row>
        <row r="302">
          <cell r="A302">
            <v>901019</v>
          </cell>
        </row>
        <row r="303">
          <cell r="A303">
            <v>901019</v>
          </cell>
        </row>
        <row r="304">
          <cell r="A304">
            <v>901019</v>
          </cell>
        </row>
        <row r="305">
          <cell r="A305">
            <v>901019</v>
          </cell>
        </row>
        <row r="306">
          <cell r="A306">
            <v>901019</v>
          </cell>
        </row>
        <row r="307">
          <cell r="A307">
            <v>901019</v>
          </cell>
        </row>
        <row r="308">
          <cell r="A308">
            <v>901019</v>
          </cell>
        </row>
        <row r="309">
          <cell r="A309">
            <v>901019</v>
          </cell>
        </row>
        <row r="310">
          <cell r="A310">
            <v>901019</v>
          </cell>
        </row>
        <row r="311">
          <cell r="A311">
            <v>901019</v>
          </cell>
        </row>
        <row r="312">
          <cell r="A312">
            <v>901019</v>
          </cell>
        </row>
        <row r="313">
          <cell r="A313">
            <v>901019</v>
          </cell>
        </row>
        <row r="314">
          <cell r="A314">
            <v>901019</v>
          </cell>
        </row>
        <row r="315">
          <cell r="A315">
            <v>901019</v>
          </cell>
        </row>
        <row r="316">
          <cell r="A316">
            <v>901019</v>
          </cell>
        </row>
        <row r="317">
          <cell r="A317">
            <v>901019</v>
          </cell>
        </row>
        <row r="318">
          <cell r="A318">
            <v>901019</v>
          </cell>
        </row>
        <row r="319">
          <cell r="A319">
            <v>901019</v>
          </cell>
        </row>
        <row r="320">
          <cell r="A320">
            <v>901019</v>
          </cell>
        </row>
        <row r="321">
          <cell r="A321">
            <v>901019</v>
          </cell>
        </row>
        <row r="322">
          <cell r="A322">
            <v>901019</v>
          </cell>
        </row>
        <row r="323">
          <cell r="A323">
            <v>901019</v>
          </cell>
        </row>
        <row r="324">
          <cell r="A324">
            <v>901019</v>
          </cell>
        </row>
        <row r="325">
          <cell r="A325">
            <v>901019</v>
          </cell>
        </row>
        <row r="326">
          <cell r="A326">
            <v>901019</v>
          </cell>
        </row>
        <row r="327">
          <cell r="A327">
            <v>901019</v>
          </cell>
        </row>
        <row r="328">
          <cell r="A328">
            <v>901019</v>
          </cell>
        </row>
        <row r="329">
          <cell r="A329">
            <v>901019</v>
          </cell>
        </row>
        <row r="330">
          <cell r="A330">
            <v>901019</v>
          </cell>
        </row>
        <row r="331">
          <cell r="A331">
            <v>901019</v>
          </cell>
        </row>
        <row r="332">
          <cell r="A332">
            <v>901019</v>
          </cell>
        </row>
        <row r="333">
          <cell r="A333">
            <v>901019</v>
          </cell>
        </row>
        <row r="334">
          <cell r="A334">
            <v>901019</v>
          </cell>
        </row>
        <row r="335">
          <cell r="A335">
            <v>901019</v>
          </cell>
        </row>
        <row r="336">
          <cell r="A336">
            <v>901019</v>
          </cell>
        </row>
        <row r="337">
          <cell r="A337">
            <v>901019</v>
          </cell>
        </row>
        <row r="338">
          <cell r="A338">
            <v>901019</v>
          </cell>
        </row>
        <row r="339">
          <cell r="A339">
            <v>901019</v>
          </cell>
        </row>
        <row r="340">
          <cell r="A340">
            <v>901019</v>
          </cell>
        </row>
        <row r="341">
          <cell r="A341">
            <v>901019</v>
          </cell>
        </row>
        <row r="342">
          <cell r="A342">
            <v>901019</v>
          </cell>
        </row>
        <row r="343">
          <cell r="A343">
            <v>901019</v>
          </cell>
        </row>
        <row r="344">
          <cell r="A344">
            <v>901019</v>
          </cell>
        </row>
        <row r="345">
          <cell r="A345">
            <v>901019</v>
          </cell>
        </row>
        <row r="346">
          <cell r="A346">
            <v>901019</v>
          </cell>
        </row>
        <row r="347">
          <cell r="A347">
            <v>901019</v>
          </cell>
        </row>
        <row r="348">
          <cell r="A348">
            <v>901019</v>
          </cell>
        </row>
        <row r="349">
          <cell r="A349">
            <v>901019</v>
          </cell>
        </row>
        <row r="350">
          <cell r="A350">
            <v>901019</v>
          </cell>
        </row>
        <row r="351">
          <cell r="A351">
            <v>901019</v>
          </cell>
        </row>
        <row r="352">
          <cell r="A352">
            <v>901019</v>
          </cell>
        </row>
        <row r="353">
          <cell r="A353">
            <v>901019</v>
          </cell>
        </row>
        <row r="354">
          <cell r="A354">
            <v>901019</v>
          </cell>
        </row>
        <row r="355">
          <cell r="A355">
            <v>901019</v>
          </cell>
        </row>
        <row r="356">
          <cell r="A356">
            <v>901019</v>
          </cell>
        </row>
        <row r="357">
          <cell r="A357">
            <v>901019</v>
          </cell>
        </row>
        <row r="358">
          <cell r="A358">
            <v>901019</v>
          </cell>
        </row>
        <row r="359">
          <cell r="A359">
            <v>901019</v>
          </cell>
        </row>
        <row r="360">
          <cell r="A360">
            <v>901019</v>
          </cell>
        </row>
        <row r="361">
          <cell r="A361">
            <v>901041</v>
          </cell>
        </row>
        <row r="362">
          <cell r="A362">
            <v>901041</v>
          </cell>
        </row>
        <row r="363">
          <cell r="A363">
            <v>901041</v>
          </cell>
        </row>
        <row r="364">
          <cell r="A364">
            <v>901041</v>
          </cell>
        </row>
        <row r="365">
          <cell r="A365">
            <v>901049</v>
          </cell>
        </row>
        <row r="366">
          <cell r="A366">
            <v>901049</v>
          </cell>
        </row>
        <row r="367">
          <cell r="A367">
            <v>901049</v>
          </cell>
        </row>
        <row r="368">
          <cell r="A368">
            <v>901049</v>
          </cell>
        </row>
        <row r="369">
          <cell r="A369">
            <v>901049</v>
          </cell>
        </row>
        <row r="370">
          <cell r="A370">
            <v>901049</v>
          </cell>
        </row>
        <row r="371">
          <cell r="A371">
            <v>901107</v>
          </cell>
        </row>
        <row r="372">
          <cell r="A372">
            <v>901107</v>
          </cell>
        </row>
        <row r="373">
          <cell r="A373">
            <v>901107</v>
          </cell>
        </row>
        <row r="374">
          <cell r="A374">
            <v>901107</v>
          </cell>
        </row>
        <row r="375">
          <cell r="A375">
            <v>901107</v>
          </cell>
        </row>
        <row r="376">
          <cell r="A376">
            <v>901107</v>
          </cell>
        </row>
        <row r="377">
          <cell r="A377">
            <v>901107</v>
          </cell>
        </row>
        <row r="378">
          <cell r="A378">
            <v>901107</v>
          </cell>
        </row>
        <row r="379">
          <cell r="A379">
            <v>901107</v>
          </cell>
        </row>
        <row r="380">
          <cell r="A380">
            <v>901107</v>
          </cell>
        </row>
        <row r="381">
          <cell r="A381">
            <v>901107</v>
          </cell>
        </row>
        <row r="382">
          <cell r="A382">
            <v>901107</v>
          </cell>
        </row>
        <row r="383">
          <cell r="A383">
            <v>901107</v>
          </cell>
        </row>
        <row r="384">
          <cell r="A384">
            <v>901107</v>
          </cell>
        </row>
        <row r="385">
          <cell r="A385">
            <v>901107</v>
          </cell>
        </row>
        <row r="386">
          <cell r="A386">
            <v>901107</v>
          </cell>
        </row>
        <row r="387">
          <cell r="A387">
            <v>901107</v>
          </cell>
        </row>
        <row r="388">
          <cell r="A388">
            <v>901107</v>
          </cell>
        </row>
        <row r="389">
          <cell r="A389">
            <v>901107</v>
          </cell>
        </row>
        <row r="390">
          <cell r="A390">
            <v>901107</v>
          </cell>
        </row>
        <row r="391">
          <cell r="A391">
            <v>901107</v>
          </cell>
        </row>
        <row r="392">
          <cell r="A392">
            <v>901107</v>
          </cell>
        </row>
        <row r="393">
          <cell r="A393">
            <v>901107</v>
          </cell>
        </row>
        <row r="394">
          <cell r="A394">
            <v>901107</v>
          </cell>
        </row>
        <row r="395">
          <cell r="A395">
            <v>901107</v>
          </cell>
        </row>
        <row r="396">
          <cell r="A396">
            <v>901107</v>
          </cell>
        </row>
        <row r="397">
          <cell r="A397">
            <v>901107</v>
          </cell>
        </row>
        <row r="398">
          <cell r="A398">
            <v>901107</v>
          </cell>
        </row>
        <row r="399">
          <cell r="A399">
            <v>901107</v>
          </cell>
        </row>
        <row r="400">
          <cell r="A400">
            <v>901128</v>
          </cell>
        </row>
        <row r="401">
          <cell r="A401">
            <v>901128</v>
          </cell>
        </row>
        <row r="402">
          <cell r="A402">
            <v>901128</v>
          </cell>
        </row>
        <row r="403">
          <cell r="A403">
            <v>901150</v>
          </cell>
        </row>
        <row r="404">
          <cell r="A404">
            <v>901150</v>
          </cell>
        </row>
        <row r="405">
          <cell r="A405">
            <v>901150</v>
          </cell>
        </row>
        <row r="406">
          <cell r="A406">
            <v>901162</v>
          </cell>
        </row>
        <row r="407">
          <cell r="A407">
            <v>901162</v>
          </cell>
        </row>
        <row r="408">
          <cell r="A408">
            <v>901162</v>
          </cell>
        </row>
        <row r="409">
          <cell r="A409">
            <v>901162</v>
          </cell>
        </row>
        <row r="410">
          <cell r="A410">
            <v>901162</v>
          </cell>
        </row>
        <row r="411">
          <cell r="A411">
            <v>901162</v>
          </cell>
        </row>
        <row r="412">
          <cell r="A412">
            <v>901162</v>
          </cell>
        </row>
        <row r="413">
          <cell r="A413">
            <v>901162</v>
          </cell>
        </row>
        <row r="414">
          <cell r="A414">
            <v>901162</v>
          </cell>
        </row>
        <row r="415">
          <cell r="A415">
            <v>901162</v>
          </cell>
        </row>
        <row r="416">
          <cell r="A416">
            <v>901162</v>
          </cell>
        </row>
        <row r="417">
          <cell r="A417">
            <v>901162</v>
          </cell>
        </row>
        <row r="418">
          <cell r="A418">
            <v>901162</v>
          </cell>
        </row>
        <row r="419">
          <cell r="A419">
            <v>901162</v>
          </cell>
        </row>
        <row r="420">
          <cell r="A420">
            <v>901162</v>
          </cell>
        </row>
        <row r="421">
          <cell r="A421">
            <v>901162</v>
          </cell>
        </row>
        <row r="422">
          <cell r="A422">
            <v>901162</v>
          </cell>
        </row>
        <row r="423">
          <cell r="A423">
            <v>901162</v>
          </cell>
        </row>
        <row r="424">
          <cell r="A424">
            <v>901202</v>
          </cell>
        </row>
        <row r="425">
          <cell r="A425">
            <v>901202</v>
          </cell>
        </row>
        <row r="426">
          <cell r="A426">
            <v>901202</v>
          </cell>
        </row>
        <row r="427">
          <cell r="A427">
            <v>901202</v>
          </cell>
        </row>
        <row r="428">
          <cell r="A428">
            <v>901202</v>
          </cell>
        </row>
        <row r="429">
          <cell r="A429">
            <v>901202</v>
          </cell>
        </row>
        <row r="430">
          <cell r="A430">
            <v>901202</v>
          </cell>
        </row>
        <row r="431">
          <cell r="A431">
            <v>901202</v>
          </cell>
        </row>
        <row r="432">
          <cell r="A432">
            <v>901243</v>
          </cell>
        </row>
        <row r="433">
          <cell r="A433">
            <v>901243</v>
          </cell>
        </row>
        <row r="434">
          <cell r="A434">
            <v>901243</v>
          </cell>
        </row>
        <row r="435">
          <cell r="A435">
            <v>901243</v>
          </cell>
        </row>
        <row r="436">
          <cell r="A436">
            <v>901243</v>
          </cell>
        </row>
        <row r="437">
          <cell r="A437">
            <v>901243</v>
          </cell>
        </row>
        <row r="438">
          <cell r="A438">
            <v>901243</v>
          </cell>
        </row>
        <row r="439">
          <cell r="A439">
            <v>901243</v>
          </cell>
        </row>
        <row r="440">
          <cell r="A440">
            <v>901244</v>
          </cell>
        </row>
        <row r="441">
          <cell r="A441">
            <v>901244</v>
          </cell>
        </row>
        <row r="442">
          <cell r="A442">
            <v>901244</v>
          </cell>
        </row>
        <row r="443">
          <cell r="A443">
            <v>901244</v>
          </cell>
        </row>
        <row r="444">
          <cell r="A444">
            <v>901244</v>
          </cell>
        </row>
        <row r="445">
          <cell r="A445">
            <v>901244</v>
          </cell>
        </row>
        <row r="446">
          <cell r="A446">
            <v>901244</v>
          </cell>
        </row>
        <row r="447">
          <cell r="A447">
            <v>901247</v>
          </cell>
        </row>
        <row r="448">
          <cell r="A448">
            <v>901247</v>
          </cell>
        </row>
        <row r="449">
          <cell r="A449">
            <v>901247</v>
          </cell>
        </row>
        <row r="450">
          <cell r="A450">
            <v>901247</v>
          </cell>
        </row>
        <row r="451">
          <cell r="A451">
            <v>901247</v>
          </cell>
        </row>
        <row r="452">
          <cell r="A452">
            <v>901247</v>
          </cell>
        </row>
        <row r="453">
          <cell r="A453">
            <v>901294</v>
          </cell>
        </row>
        <row r="454">
          <cell r="A454">
            <v>901294</v>
          </cell>
        </row>
        <row r="455">
          <cell r="A455">
            <v>901294</v>
          </cell>
        </row>
        <row r="456">
          <cell r="A456">
            <v>901294</v>
          </cell>
        </row>
        <row r="457">
          <cell r="A457">
            <v>901294</v>
          </cell>
        </row>
        <row r="458">
          <cell r="A458">
            <v>901294</v>
          </cell>
        </row>
        <row r="459">
          <cell r="A459">
            <v>901294</v>
          </cell>
        </row>
        <row r="460">
          <cell r="A460">
            <v>901294</v>
          </cell>
        </row>
        <row r="461">
          <cell r="A461">
            <v>901294</v>
          </cell>
        </row>
        <row r="462">
          <cell r="A462">
            <v>901303</v>
          </cell>
        </row>
        <row r="463">
          <cell r="A463">
            <v>901303</v>
          </cell>
        </row>
        <row r="464">
          <cell r="A464">
            <v>901303</v>
          </cell>
        </row>
        <row r="465">
          <cell r="A465">
            <v>901303</v>
          </cell>
        </row>
        <row r="466">
          <cell r="A466">
            <v>901303</v>
          </cell>
        </row>
        <row r="467">
          <cell r="A467">
            <v>901303</v>
          </cell>
        </row>
        <row r="468">
          <cell r="A468">
            <v>901341</v>
          </cell>
        </row>
        <row r="469">
          <cell r="A469">
            <v>901341</v>
          </cell>
        </row>
        <row r="470">
          <cell r="A470">
            <v>901341</v>
          </cell>
        </row>
        <row r="471">
          <cell r="A471">
            <v>901341</v>
          </cell>
        </row>
        <row r="472">
          <cell r="A472">
            <v>901341</v>
          </cell>
        </row>
        <row r="473">
          <cell r="A473">
            <v>901341</v>
          </cell>
        </row>
        <row r="474">
          <cell r="A474">
            <v>901341</v>
          </cell>
        </row>
        <row r="475">
          <cell r="A475">
            <v>901341</v>
          </cell>
        </row>
        <row r="476">
          <cell r="A476">
            <v>901341</v>
          </cell>
        </row>
        <row r="477">
          <cell r="A477">
            <v>901341</v>
          </cell>
        </row>
        <row r="478">
          <cell r="A478">
            <v>901341</v>
          </cell>
        </row>
        <row r="479">
          <cell r="A479">
            <v>901341</v>
          </cell>
        </row>
        <row r="480">
          <cell r="A480">
            <v>901341</v>
          </cell>
        </row>
        <row r="481">
          <cell r="A481">
            <v>901342</v>
          </cell>
        </row>
        <row r="482">
          <cell r="A482">
            <v>901342</v>
          </cell>
        </row>
        <row r="483">
          <cell r="A483">
            <v>901375</v>
          </cell>
        </row>
        <row r="484">
          <cell r="A484">
            <v>901375</v>
          </cell>
        </row>
        <row r="485">
          <cell r="A485">
            <v>901375</v>
          </cell>
        </row>
        <row r="486">
          <cell r="A486">
            <v>901375</v>
          </cell>
        </row>
        <row r="487">
          <cell r="A487">
            <v>901375</v>
          </cell>
        </row>
        <row r="488">
          <cell r="A488">
            <v>901375</v>
          </cell>
        </row>
        <row r="489">
          <cell r="A489">
            <v>901375</v>
          </cell>
        </row>
        <row r="490">
          <cell r="A490">
            <v>901375</v>
          </cell>
        </row>
        <row r="491">
          <cell r="A491">
            <v>901392</v>
          </cell>
        </row>
        <row r="492">
          <cell r="A492">
            <v>901392</v>
          </cell>
        </row>
        <row r="493">
          <cell r="A493">
            <v>901392</v>
          </cell>
        </row>
        <row r="494">
          <cell r="A494">
            <v>901392</v>
          </cell>
        </row>
        <row r="495">
          <cell r="A495">
            <v>901392</v>
          </cell>
        </row>
        <row r="496">
          <cell r="A496">
            <v>901587</v>
          </cell>
        </row>
        <row r="497">
          <cell r="A497">
            <v>901587</v>
          </cell>
        </row>
        <row r="498">
          <cell r="A498">
            <v>901587</v>
          </cell>
        </row>
        <row r="499">
          <cell r="A499">
            <v>901587</v>
          </cell>
        </row>
        <row r="500">
          <cell r="A500">
            <v>901587</v>
          </cell>
        </row>
        <row r="501">
          <cell r="A501">
            <v>901587</v>
          </cell>
        </row>
        <row r="502">
          <cell r="A502">
            <v>901587</v>
          </cell>
        </row>
        <row r="503">
          <cell r="A503">
            <v>901607</v>
          </cell>
        </row>
        <row r="504">
          <cell r="A504">
            <v>901607</v>
          </cell>
        </row>
        <row r="505">
          <cell r="A505">
            <v>901607</v>
          </cell>
        </row>
        <row r="506">
          <cell r="A506">
            <v>901607</v>
          </cell>
        </row>
        <row r="507">
          <cell r="A507">
            <v>901626</v>
          </cell>
        </row>
        <row r="508">
          <cell r="A508">
            <v>901626</v>
          </cell>
        </row>
        <row r="509">
          <cell r="A509">
            <v>901654</v>
          </cell>
        </row>
        <row r="510">
          <cell r="A510">
            <v>901654</v>
          </cell>
        </row>
        <row r="511">
          <cell r="A511">
            <v>901654</v>
          </cell>
        </row>
        <row r="512">
          <cell r="A512">
            <v>901694</v>
          </cell>
        </row>
        <row r="513">
          <cell r="A513">
            <v>901694</v>
          </cell>
        </row>
        <row r="514">
          <cell r="A514">
            <v>901694</v>
          </cell>
        </row>
        <row r="515">
          <cell r="A515">
            <v>901694</v>
          </cell>
        </row>
        <row r="516">
          <cell r="A516">
            <v>901694</v>
          </cell>
        </row>
        <row r="517">
          <cell r="A517">
            <v>901694</v>
          </cell>
        </row>
        <row r="518">
          <cell r="A518">
            <v>901694</v>
          </cell>
        </row>
        <row r="519">
          <cell r="A519">
            <v>901694</v>
          </cell>
        </row>
        <row r="520">
          <cell r="A520">
            <v>901694</v>
          </cell>
        </row>
        <row r="521">
          <cell r="A521">
            <v>901694</v>
          </cell>
        </row>
        <row r="522">
          <cell r="A522">
            <v>901694</v>
          </cell>
        </row>
        <row r="523">
          <cell r="A523">
            <v>901694</v>
          </cell>
        </row>
        <row r="524">
          <cell r="A524">
            <v>901694</v>
          </cell>
        </row>
        <row r="525">
          <cell r="A525">
            <v>901694</v>
          </cell>
        </row>
        <row r="526">
          <cell r="A526">
            <v>901694</v>
          </cell>
        </row>
        <row r="527">
          <cell r="A527">
            <v>901694</v>
          </cell>
        </row>
        <row r="528">
          <cell r="A528">
            <v>901694</v>
          </cell>
        </row>
        <row r="529">
          <cell r="A529">
            <v>901694</v>
          </cell>
        </row>
        <row r="530">
          <cell r="A530">
            <v>901694</v>
          </cell>
        </row>
        <row r="531">
          <cell r="A531">
            <v>901694</v>
          </cell>
        </row>
        <row r="532">
          <cell r="A532">
            <v>901694</v>
          </cell>
        </row>
        <row r="533">
          <cell r="A533">
            <v>901694</v>
          </cell>
        </row>
        <row r="534">
          <cell r="A534">
            <v>901694</v>
          </cell>
        </row>
        <row r="535">
          <cell r="A535">
            <v>901694</v>
          </cell>
        </row>
        <row r="536">
          <cell r="A536">
            <v>901694</v>
          </cell>
        </row>
        <row r="537">
          <cell r="A537">
            <v>901694</v>
          </cell>
        </row>
        <row r="538">
          <cell r="A538">
            <v>901694</v>
          </cell>
        </row>
        <row r="539">
          <cell r="A539">
            <v>901694</v>
          </cell>
        </row>
        <row r="540">
          <cell r="A540">
            <v>901694</v>
          </cell>
        </row>
        <row r="541">
          <cell r="A541">
            <v>901694</v>
          </cell>
        </row>
        <row r="542">
          <cell r="A542">
            <v>901694</v>
          </cell>
        </row>
        <row r="543">
          <cell r="A543">
            <v>901694</v>
          </cell>
        </row>
        <row r="544">
          <cell r="A544">
            <v>901694</v>
          </cell>
        </row>
        <row r="545">
          <cell r="A545">
            <v>901694</v>
          </cell>
        </row>
        <row r="546">
          <cell r="A546">
            <v>901694</v>
          </cell>
        </row>
        <row r="547">
          <cell r="A547">
            <v>901694</v>
          </cell>
        </row>
        <row r="548">
          <cell r="A548">
            <v>901694</v>
          </cell>
        </row>
        <row r="549">
          <cell r="A549">
            <v>901694</v>
          </cell>
        </row>
        <row r="550">
          <cell r="A550">
            <v>901694</v>
          </cell>
        </row>
        <row r="551">
          <cell r="A551">
            <v>901694</v>
          </cell>
        </row>
        <row r="552">
          <cell r="A552">
            <v>901694</v>
          </cell>
        </row>
        <row r="553">
          <cell r="A553">
            <v>901694</v>
          </cell>
        </row>
        <row r="554">
          <cell r="A554">
            <v>901694</v>
          </cell>
        </row>
        <row r="555">
          <cell r="A555">
            <v>901694</v>
          </cell>
        </row>
        <row r="556">
          <cell r="A556">
            <v>901694</v>
          </cell>
        </row>
        <row r="557">
          <cell r="A557">
            <v>901694</v>
          </cell>
        </row>
        <row r="558">
          <cell r="A558">
            <v>901694</v>
          </cell>
        </row>
        <row r="559">
          <cell r="A559">
            <v>901694</v>
          </cell>
        </row>
        <row r="560">
          <cell r="A560">
            <v>901694</v>
          </cell>
        </row>
        <row r="561">
          <cell r="A561">
            <v>901694</v>
          </cell>
        </row>
        <row r="562">
          <cell r="A562">
            <v>901694</v>
          </cell>
        </row>
        <row r="563">
          <cell r="A563">
            <v>901694</v>
          </cell>
        </row>
        <row r="564">
          <cell r="A564">
            <v>901694</v>
          </cell>
        </row>
        <row r="565">
          <cell r="A565">
            <v>901694</v>
          </cell>
        </row>
        <row r="566">
          <cell r="A566">
            <v>901694</v>
          </cell>
        </row>
        <row r="567">
          <cell r="A567">
            <v>901694</v>
          </cell>
        </row>
        <row r="568">
          <cell r="A568">
            <v>901694</v>
          </cell>
        </row>
        <row r="569">
          <cell r="A569">
            <v>901694</v>
          </cell>
        </row>
        <row r="570">
          <cell r="A570">
            <v>901694</v>
          </cell>
        </row>
        <row r="571">
          <cell r="A571">
            <v>901694</v>
          </cell>
        </row>
        <row r="572">
          <cell r="A572">
            <v>901694</v>
          </cell>
        </row>
        <row r="573">
          <cell r="A573">
            <v>901694</v>
          </cell>
        </row>
        <row r="574">
          <cell r="A574">
            <v>901694</v>
          </cell>
        </row>
        <row r="575">
          <cell r="A575">
            <v>901694</v>
          </cell>
        </row>
        <row r="576">
          <cell r="A576">
            <v>901694</v>
          </cell>
        </row>
        <row r="577">
          <cell r="A577">
            <v>901694</v>
          </cell>
        </row>
        <row r="578">
          <cell r="A578">
            <v>901694</v>
          </cell>
        </row>
        <row r="579">
          <cell r="A579">
            <v>901694</v>
          </cell>
        </row>
        <row r="580">
          <cell r="A580">
            <v>901694</v>
          </cell>
        </row>
        <row r="581">
          <cell r="A581">
            <v>901694</v>
          </cell>
        </row>
        <row r="582">
          <cell r="A582">
            <v>901694</v>
          </cell>
        </row>
        <row r="583">
          <cell r="A583">
            <v>901694</v>
          </cell>
        </row>
        <row r="584">
          <cell r="A584">
            <v>901694</v>
          </cell>
        </row>
        <row r="585">
          <cell r="A585">
            <v>901694</v>
          </cell>
        </row>
        <row r="586">
          <cell r="A586">
            <v>901694</v>
          </cell>
        </row>
        <row r="587">
          <cell r="A587">
            <v>901694</v>
          </cell>
        </row>
        <row r="588">
          <cell r="A588">
            <v>901694</v>
          </cell>
        </row>
        <row r="589">
          <cell r="A589">
            <v>901694</v>
          </cell>
        </row>
        <row r="590">
          <cell r="A590">
            <v>901694</v>
          </cell>
        </row>
        <row r="591">
          <cell r="A591">
            <v>901694</v>
          </cell>
        </row>
        <row r="592">
          <cell r="A592">
            <v>901694</v>
          </cell>
        </row>
        <row r="593">
          <cell r="A593">
            <v>901694</v>
          </cell>
        </row>
        <row r="594">
          <cell r="A594">
            <v>901694</v>
          </cell>
        </row>
        <row r="595">
          <cell r="A595">
            <v>901694</v>
          </cell>
        </row>
        <row r="596">
          <cell r="A596">
            <v>901694</v>
          </cell>
        </row>
        <row r="597">
          <cell r="A597">
            <v>901694</v>
          </cell>
        </row>
        <row r="598">
          <cell r="A598">
            <v>901694</v>
          </cell>
        </row>
        <row r="599">
          <cell r="A599">
            <v>901694</v>
          </cell>
        </row>
        <row r="600">
          <cell r="A600">
            <v>901694</v>
          </cell>
        </row>
        <row r="601">
          <cell r="A601">
            <v>901694</v>
          </cell>
        </row>
        <row r="602">
          <cell r="A602">
            <v>901694</v>
          </cell>
        </row>
        <row r="603">
          <cell r="A603">
            <v>901694</v>
          </cell>
        </row>
        <row r="604">
          <cell r="A604">
            <v>901694</v>
          </cell>
        </row>
        <row r="605">
          <cell r="A605">
            <v>901694</v>
          </cell>
        </row>
        <row r="606">
          <cell r="A606">
            <v>901694</v>
          </cell>
        </row>
        <row r="607">
          <cell r="A607">
            <v>901694</v>
          </cell>
        </row>
        <row r="608">
          <cell r="A608">
            <v>901694</v>
          </cell>
        </row>
        <row r="609">
          <cell r="A609">
            <v>901694</v>
          </cell>
        </row>
        <row r="610">
          <cell r="A610">
            <v>901694</v>
          </cell>
        </row>
        <row r="611">
          <cell r="A611">
            <v>901694</v>
          </cell>
        </row>
        <row r="612">
          <cell r="A612">
            <v>901694</v>
          </cell>
        </row>
        <row r="613">
          <cell r="A613">
            <v>901694</v>
          </cell>
        </row>
        <row r="614">
          <cell r="A614">
            <v>901694</v>
          </cell>
        </row>
        <row r="615">
          <cell r="A615">
            <v>901694</v>
          </cell>
        </row>
        <row r="616">
          <cell r="A616">
            <v>901717</v>
          </cell>
        </row>
        <row r="617">
          <cell r="A617">
            <v>901717</v>
          </cell>
        </row>
        <row r="618">
          <cell r="A618">
            <v>901717</v>
          </cell>
        </row>
        <row r="619">
          <cell r="A619">
            <v>901717</v>
          </cell>
        </row>
        <row r="620">
          <cell r="A620">
            <v>901717</v>
          </cell>
        </row>
        <row r="621">
          <cell r="A621">
            <v>901717</v>
          </cell>
        </row>
        <row r="622">
          <cell r="A622">
            <v>901717</v>
          </cell>
        </row>
        <row r="623">
          <cell r="A623">
            <v>901717</v>
          </cell>
        </row>
        <row r="624">
          <cell r="A624">
            <v>901717</v>
          </cell>
        </row>
        <row r="625">
          <cell r="A625">
            <v>901723</v>
          </cell>
        </row>
        <row r="626">
          <cell r="A626">
            <v>901723</v>
          </cell>
        </row>
        <row r="627">
          <cell r="A627">
            <v>901723</v>
          </cell>
        </row>
        <row r="628">
          <cell r="A628">
            <v>901723</v>
          </cell>
        </row>
        <row r="629">
          <cell r="A629">
            <v>901723</v>
          </cell>
        </row>
        <row r="630">
          <cell r="A630">
            <v>901723</v>
          </cell>
        </row>
        <row r="631">
          <cell r="A631">
            <v>901723</v>
          </cell>
        </row>
        <row r="632">
          <cell r="A632">
            <v>901723</v>
          </cell>
        </row>
        <row r="633">
          <cell r="A633">
            <v>901785</v>
          </cell>
        </row>
        <row r="634">
          <cell r="A634">
            <v>901785</v>
          </cell>
        </row>
        <row r="635">
          <cell r="A635">
            <v>901785</v>
          </cell>
        </row>
        <row r="636">
          <cell r="A636">
            <v>901786</v>
          </cell>
        </row>
        <row r="637">
          <cell r="A637">
            <v>901787</v>
          </cell>
        </row>
        <row r="638">
          <cell r="A638">
            <v>901787</v>
          </cell>
        </row>
        <row r="639">
          <cell r="A639">
            <v>901787</v>
          </cell>
        </row>
        <row r="640">
          <cell r="A640">
            <v>901787</v>
          </cell>
        </row>
        <row r="641">
          <cell r="A641">
            <v>901788</v>
          </cell>
        </row>
        <row r="642">
          <cell r="A642">
            <v>901788</v>
          </cell>
        </row>
        <row r="643">
          <cell r="A643">
            <v>901788</v>
          </cell>
        </row>
        <row r="644">
          <cell r="A644">
            <v>901788</v>
          </cell>
        </row>
        <row r="645">
          <cell r="A645">
            <v>901788</v>
          </cell>
        </row>
        <row r="646">
          <cell r="A646">
            <v>901900</v>
          </cell>
        </row>
        <row r="647">
          <cell r="A647">
            <v>901900</v>
          </cell>
        </row>
        <row r="648">
          <cell r="A648">
            <v>901900</v>
          </cell>
        </row>
        <row r="649">
          <cell r="A649">
            <v>901900</v>
          </cell>
        </row>
        <row r="650">
          <cell r="A650">
            <v>901900</v>
          </cell>
        </row>
        <row r="651">
          <cell r="A651">
            <v>901913</v>
          </cell>
        </row>
        <row r="652">
          <cell r="A652">
            <v>901913</v>
          </cell>
        </row>
        <row r="653">
          <cell r="A653">
            <v>901913</v>
          </cell>
        </row>
        <row r="654">
          <cell r="A654">
            <v>901913</v>
          </cell>
        </row>
        <row r="655">
          <cell r="A655">
            <v>901913</v>
          </cell>
        </row>
        <row r="656">
          <cell r="A656">
            <v>901913</v>
          </cell>
        </row>
        <row r="657">
          <cell r="A657">
            <v>901913</v>
          </cell>
        </row>
        <row r="658">
          <cell r="A658">
            <v>901918</v>
          </cell>
        </row>
        <row r="659">
          <cell r="A659">
            <v>901918</v>
          </cell>
        </row>
        <row r="660">
          <cell r="A660">
            <v>901918</v>
          </cell>
        </row>
        <row r="661">
          <cell r="A661">
            <v>901918</v>
          </cell>
        </row>
        <row r="662">
          <cell r="A662">
            <v>901918</v>
          </cell>
        </row>
        <row r="663">
          <cell r="A663">
            <v>901918</v>
          </cell>
        </row>
        <row r="664">
          <cell r="A664">
            <v>901918</v>
          </cell>
        </row>
        <row r="665">
          <cell r="A665">
            <v>901918</v>
          </cell>
        </row>
        <row r="666">
          <cell r="A666">
            <v>901923</v>
          </cell>
        </row>
        <row r="667">
          <cell r="A667">
            <v>901923</v>
          </cell>
        </row>
        <row r="668">
          <cell r="A668">
            <v>901923</v>
          </cell>
        </row>
        <row r="669">
          <cell r="A669">
            <v>901923</v>
          </cell>
        </row>
        <row r="670">
          <cell r="A670">
            <v>901923</v>
          </cell>
        </row>
        <row r="671">
          <cell r="A671">
            <v>901923</v>
          </cell>
        </row>
        <row r="672">
          <cell r="A672">
            <v>901923</v>
          </cell>
        </row>
        <row r="673">
          <cell r="A673">
            <v>901923</v>
          </cell>
        </row>
        <row r="674">
          <cell r="A674">
            <v>901923</v>
          </cell>
        </row>
        <row r="675">
          <cell r="A675">
            <v>901923</v>
          </cell>
        </row>
        <row r="676">
          <cell r="A676">
            <v>901923</v>
          </cell>
        </row>
        <row r="677">
          <cell r="A677">
            <v>901923</v>
          </cell>
        </row>
        <row r="678">
          <cell r="A678">
            <v>901925</v>
          </cell>
        </row>
        <row r="679">
          <cell r="A679">
            <v>901925</v>
          </cell>
        </row>
        <row r="680">
          <cell r="A680">
            <v>901925</v>
          </cell>
        </row>
        <row r="681">
          <cell r="A681">
            <v>901925</v>
          </cell>
        </row>
        <row r="682">
          <cell r="A682">
            <v>901925</v>
          </cell>
        </row>
        <row r="683">
          <cell r="A683">
            <v>901925</v>
          </cell>
        </row>
        <row r="684">
          <cell r="A684">
            <v>901925</v>
          </cell>
        </row>
        <row r="685">
          <cell r="A685">
            <v>901925</v>
          </cell>
        </row>
        <row r="686">
          <cell r="A686">
            <v>901925</v>
          </cell>
        </row>
        <row r="687">
          <cell r="A687">
            <v>901925</v>
          </cell>
        </row>
        <row r="688">
          <cell r="A688">
            <v>901925</v>
          </cell>
        </row>
        <row r="689">
          <cell r="A689">
            <v>901925</v>
          </cell>
        </row>
        <row r="690">
          <cell r="A690">
            <v>901925</v>
          </cell>
        </row>
        <row r="691">
          <cell r="A691">
            <v>901925</v>
          </cell>
        </row>
        <row r="692">
          <cell r="A692">
            <v>901937</v>
          </cell>
        </row>
        <row r="693">
          <cell r="A693">
            <v>901937</v>
          </cell>
        </row>
        <row r="694">
          <cell r="A694">
            <v>901937</v>
          </cell>
        </row>
        <row r="695">
          <cell r="A695">
            <v>901937</v>
          </cell>
        </row>
        <row r="696">
          <cell r="A696">
            <v>901937</v>
          </cell>
        </row>
        <row r="697">
          <cell r="A697">
            <v>901937</v>
          </cell>
        </row>
        <row r="698">
          <cell r="A698">
            <v>901947</v>
          </cell>
        </row>
        <row r="699">
          <cell r="A699">
            <v>901947</v>
          </cell>
        </row>
        <row r="700">
          <cell r="A700">
            <v>901947</v>
          </cell>
        </row>
        <row r="701">
          <cell r="A701">
            <v>901947</v>
          </cell>
        </row>
        <row r="702">
          <cell r="A702">
            <v>901976</v>
          </cell>
        </row>
        <row r="703">
          <cell r="A703">
            <v>901976</v>
          </cell>
        </row>
        <row r="704">
          <cell r="A704">
            <v>901976</v>
          </cell>
        </row>
        <row r="705">
          <cell r="A705">
            <v>901977</v>
          </cell>
        </row>
        <row r="706">
          <cell r="A706">
            <v>901977</v>
          </cell>
        </row>
        <row r="707">
          <cell r="A707">
            <v>901977</v>
          </cell>
        </row>
        <row r="708">
          <cell r="A708">
            <v>901977</v>
          </cell>
        </row>
        <row r="709">
          <cell r="A709">
            <v>901977</v>
          </cell>
        </row>
        <row r="710">
          <cell r="A710">
            <v>901977</v>
          </cell>
        </row>
        <row r="711">
          <cell r="A711">
            <v>901977</v>
          </cell>
        </row>
        <row r="712">
          <cell r="A712">
            <v>901977</v>
          </cell>
        </row>
        <row r="713">
          <cell r="A713">
            <v>901977</v>
          </cell>
        </row>
        <row r="714">
          <cell r="A714">
            <v>901977</v>
          </cell>
        </row>
        <row r="715">
          <cell r="A715">
            <v>901977</v>
          </cell>
        </row>
        <row r="716">
          <cell r="A716">
            <v>901977</v>
          </cell>
        </row>
        <row r="717">
          <cell r="A717">
            <v>901977</v>
          </cell>
        </row>
        <row r="718">
          <cell r="A718">
            <v>901977</v>
          </cell>
        </row>
        <row r="719">
          <cell r="A719">
            <v>901977</v>
          </cell>
        </row>
        <row r="720">
          <cell r="A720">
            <v>901977</v>
          </cell>
        </row>
        <row r="721">
          <cell r="A721">
            <v>901977</v>
          </cell>
        </row>
        <row r="722">
          <cell r="A722">
            <v>901977</v>
          </cell>
        </row>
        <row r="723">
          <cell r="A723">
            <v>901977</v>
          </cell>
        </row>
        <row r="724">
          <cell r="A724">
            <v>901977</v>
          </cell>
        </row>
        <row r="725">
          <cell r="A725">
            <v>901977</v>
          </cell>
        </row>
        <row r="726">
          <cell r="A726">
            <v>901977</v>
          </cell>
        </row>
        <row r="727">
          <cell r="A727">
            <v>901977</v>
          </cell>
        </row>
        <row r="728">
          <cell r="A728">
            <v>901977</v>
          </cell>
        </row>
        <row r="729">
          <cell r="A729">
            <v>901977</v>
          </cell>
        </row>
        <row r="730">
          <cell r="A730">
            <v>901977</v>
          </cell>
        </row>
        <row r="731">
          <cell r="A731">
            <v>901977</v>
          </cell>
        </row>
        <row r="732">
          <cell r="A732">
            <v>901977</v>
          </cell>
        </row>
        <row r="733">
          <cell r="A733">
            <v>901977</v>
          </cell>
        </row>
        <row r="734">
          <cell r="A734">
            <v>901977</v>
          </cell>
        </row>
        <row r="735">
          <cell r="A735">
            <v>901977</v>
          </cell>
        </row>
        <row r="736">
          <cell r="A736">
            <v>901977</v>
          </cell>
        </row>
        <row r="737">
          <cell r="A737">
            <v>901977</v>
          </cell>
        </row>
        <row r="738">
          <cell r="A738">
            <v>901977</v>
          </cell>
        </row>
        <row r="739">
          <cell r="A739">
            <v>901977</v>
          </cell>
        </row>
        <row r="740">
          <cell r="A740">
            <v>901977</v>
          </cell>
        </row>
        <row r="741">
          <cell r="A741">
            <v>901977</v>
          </cell>
        </row>
        <row r="742">
          <cell r="A742">
            <v>902019</v>
          </cell>
        </row>
        <row r="743">
          <cell r="A743">
            <v>902019</v>
          </cell>
        </row>
        <row r="744">
          <cell r="A744">
            <v>902019</v>
          </cell>
        </row>
        <row r="745">
          <cell r="A745">
            <v>902021</v>
          </cell>
        </row>
        <row r="746">
          <cell r="A746">
            <v>902021</v>
          </cell>
        </row>
        <row r="747">
          <cell r="A747">
            <v>902021</v>
          </cell>
        </row>
        <row r="748">
          <cell r="A748">
            <v>902021</v>
          </cell>
        </row>
        <row r="749">
          <cell r="A749">
            <v>902021</v>
          </cell>
        </row>
        <row r="750">
          <cell r="A750">
            <v>902021</v>
          </cell>
        </row>
        <row r="751">
          <cell r="A751">
            <v>902021</v>
          </cell>
        </row>
        <row r="752">
          <cell r="A752">
            <v>902022</v>
          </cell>
        </row>
        <row r="753">
          <cell r="A753">
            <v>902022</v>
          </cell>
        </row>
        <row r="754">
          <cell r="A754">
            <v>902022</v>
          </cell>
        </row>
        <row r="755">
          <cell r="A755">
            <v>902022</v>
          </cell>
        </row>
        <row r="756">
          <cell r="A756">
            <v>902034</v>
          </cell>
        </row>
        <row r="757">
          <cell r="A757">
            <v>902034</v>
          </cell>
        </row>
        <row r="758">
          <cell r="A758">
            <v>902034</v>
          </cell>
        </row>
        <row r="759">
          <cell r="A759">
            <v>902034</v>
          </cell>
        </row>
        <row r="760">
          <cell r="A760">
            <v>902034</v>
          </cell>
        </row>
        <row r="761">
          <cell r="A761">
            <v>902042</v>
          </cell>
        </row>
        <row r="762">
          <cell r="A762">
            <v>902042</v>
          </cell>
        </row>
        <row r="763">
          <cell r="A763">
            <v>902042</v>
          </cell>
        </row>
        <row r="764">
          <cell r="A764">
            <v>902042</v>
          </cell>
        </row>
        <row r="765">
          <cell r="A765">
            <v>902042</v>
          </cell>
        </row>
        <row r="766">
          <cell r="A766">
            <v>902042</v>
          </cell>
        </row>
        <row r="767">
          <cell r="A767">
            <v>902043</v>
          </cell>
        </row>
        <row r="768">
          <cell r="A768">
            <v>902043</v>
          </cell>
        </row>
        <row r="769">
          <cell r="A769">
            <v>902043</v>
          </cell>
        </row>
        <row r="770">
          <cell r="A770">
            <v>902054</v>
          </cell>
        </row>
        <row r="771">
          <cell r="A771">
            <v>902054</v>
          </cell>
        </row>
        <row r="772">
          <cell r="A772">
            <v>902054</v>
          </cell>
        </row>
        <row r="773">
          <cell r="A773">
            <v>902055</v>
          </cell>
        </row>
        <row r="774">
          <cell r="A774">
            <v>902055</v>
          </cell>
        </row>
        <row r="775">
          <cell r="A775">
            <v>902055</v>
          </cell>
        </row>
        <row r="776">
          <cell r="A776">
            <v>902064</v>
          </cell>
        </row>
        <row r="777">
          <cell r="A777">
            <v>902064</v>
          </cell>
        </row>
        <row r="778">
          <cell r="A778">
            <v>902064</v>
          </cell>
        </row>
        <row r="779">
          <cell r="A779">
            <v>902064</v>
          </cell>
        </row>
        <row r="780">
          <cell r="A780">
            <v>902064</v>
          </cell>
        </row>
        <row r="781">
          <cell r="A781">
            <v>902064</v>
          </cell>
        </row>
        <row r="782">
          <cell r="A782">
            <v>902064</v>
          </cell>
        </row>
        <row r="783">
          <cell r="A783">
            <v>902064</v>
          </cell>
        </row>
        <row r="784">
          <cell r="A784">
            <v>902064</v>
          </cell>
        </row>
        <row r="785">
          <cell r="A785">
            <v>902065</v>
          </cell>
        </row>
        <row r="786">
          <cell r="A786">
            <v>902065</v>
          </cell>
        </row>
        <row r="787">
          <cell r="A787">
            <v>902065</v>
          </cell>
        </row>
        <row r="788">
          <cell r="A788">
            <v>902065</v>
          </cell>
        </row>
        <row r="789">
          <cell r="A789">
            <v>902067</v>
          </cell>
        </row>
        <row r="790">
          <cell r="A790">
            <v>902067</v>
          </cell>
        </row>
        <row r="791">
          <cell r="A791">
            <v>902067</v>
          </cell>
        </row>
        <row r="792">
          <cell r="A792">
            <v>902067</v>
          </cell>
        </row>
        <row r="793">
          <cell r="A793">
            <v>902067</v>
          </cell>
        </row>
        <row r="794">
          <cell r="A794">
            <v>902074</v>
          </cell>
        </row>
        <row r="795">
          <cell r="A795">
            <v>902074</v>
          </cell>
        </row>
        <row r="796">
          <cell r="A796">
            <v>902074</v>
          </cell>
        </row>
        <row r="797">
          <cell r="A797">
            <v>902074</v>
          </cell>
        </row>
        <row r="798">
          <cell r="A798">
            <v>902074</v>
          </cell>
        </row>
        <row r="799">
          <cell r="A799">
            <v>902074</v>
          </cell>
        </row>
        <row r="800">
          <cell r="A800">
            <v>902074</v>
          </cell>
        </row>
        <row r="801">
          <cell r="A801">
            <v>902074</v>
          </cell>
        </row>
        <row r="802">
          <cell r="A802">
            <v>902074</v>
          </cell>
        </row>
        <row r="803">
          <cell r="A803">
            <v>902074</v>
          </cell>
        </row>
        <row r="804">
          <cell r="A804">
            <v>902074</v>
          </cell>
        </row>
        <row r="805">
          <cell r="A805">
            <v>902083</v>
          </cell>
        </row>
        <row r="806">
          <cell r="A806">
            <v>902083</v>
          </cell>
        </row>
        <row r="807">
          <cell r="A807">
            <v>902083</v>
          </cell>
        </row>
        <row r="808">
          <cell r="A808">
            <v>902083</v>
          </cell>
        </row>
        <row r="809">
          <cell r="A809">
            <v>902083</v>
          </cell>
        </row>
        <row r="810">
          <cell r="A810">
            <v>902089</v>
          </cell>
        </row>
        <row r="811">
          <cell r="A811">
            <v>902089</v>
          </cell>
        </row>
        <row r="812">
          <cell r="A812">
            <v>902089</v>
          </cell>
        </row>
        <row r="813">
          <cell r="A813">
            <v>902089</v>
          </cell>
        </row>
        <row r="814">
          <cell r="A814">
            <v>902089</v>
          </cell>
        </row>
        <row r="815">
          <cell r="A815">
            <v>902089</v>
          </cell>
        </row>
        <row r="816">
          <cell r="A816">
            <v>902093</v>
          </cell>
        </row>
        <row r="817">
          <cell r="A817">
            <v>902121</v>
          </cell>
        </row>
        <row r="818">
          <cell r="A818">
            <v>902121</v>
          </cell>
        </row>
        <row r="819">
          <cell r="A819">
            <v>902121</v>
          </cell>
        </row>
        <row r="820">
          <cell r="A820">
            <v>902121</v>
          </cell>
        </row>
        <row r="821">
          <cell r="A821">
            <v>902121</v>
          </cell>
        </row>
        <row r="822">
          <cell r="A822">
            <v>902121</v>
          </cell>
        </row>
        <row r="823">
          <cell r="A823">
            <v>902121</v>
          </cell>
        </row>
        <row r="824">
          <cell r="A824">
            <v>902121</v>
          </cell>
        </row>
        <row r="825">
          <cell r="A825">
            <v>902121</v>
          </cell>
        </row>
        <row r="826">
          <cell r="A826">
            <v>902121</v>
          </cell>
        </row>
        <row r="827">
          <cell r="A827">
            <v>902121</v>
          </cell>
        </row>
        <row r="828">
          <cell r="A828">
            <v>902121</v>
          </cell>
        </row>
        <row r="829">
          <cell r="A829">
            <v>902121</v>
          </cell>
        </row>
        <row r="830">
          <cell r="A830">
            <v>902121</v>
          </cell>
        </row>
        <row r="831">
          <cell r="A831">
            <v>902121</v>
          </cell>
        </row>
        <row r="832">
          <cell r="A832">
            <v>902121</v>
          </cell>
        </row>
        <row r="833">
          <cell r="A833">
            <v>902121</v>
          </cell>
        </row>
        <row r="834">
          <cell r="A834">
            <v>902121</v>
          </cell>
        </row>
        <row r="835">
          <cell r="A835">
            <v>902121</v>
          </cell>
        </row>
        <row r="836">
          <cell r="A836">
            <v>902121</v>
          </cell>
        </row>
        <row r="837">
          <cell r="A837">
            <v>902121</v>
          </cell>
        </row>
        <row r="838">
          <cell r="A838">
            <v>902121</v>
          </cell>
        </row>
        <row r="839">
          <cell r="A839">
            <v>902121</v>
          </cell>
        </row>
        <row r="840">
          <cell r="A840">
            <v>902121</v>
          </cell>
        </row>
        <row r="841">
          <cell r="A841">
            <v>902121</v>
          </cell>
        </row>
        <row r="842">
          <cell r="A842">
            <v>902121</v>
          </cell>
        </row>
        <row r="843">
          <cell r="A843">
            <v>902121</v>
          </cell>
        </row>
        <row r="844">
          <cell r="A844">
            <v>902121</v>
          </cell>
        </row>
        <row r="845">
          <cell r="A845">
            <v>902121</v>
          </cell>
        </row>
        <row r="846">
          <cell r="A846">
            <v>902121</v>
          </cell>
        </row>
        <row r="847">
          <cell r="A847">
            <v>902121</v>
          </cell>
        </row>
        <row r="848">
          <cell r="A848">
            <v>902121</v>
          </cell>
        </row>
        <row r="849">
          <cell r="A849">
            <v>902121</v>
          </cell>
        </row>
        <row r="850">
          <cell r="A850">
            <v>902121</v>
          </cell>
        </row>
        <row r="851">
          <cell r="A851">
            <v>902121</v>
          </cell>
        </row>
        <row r="852">
          <cell r="A852">
            <v>902123</v>
          </cell>
        </row>
        <row r="853">
          <cell r="A853">
            <v>902123</v>
          </cell>
        </row>
        <row r="854">
          <cell r="A854">
            <v>902123</v>
          </cell>
        </row>
        <row r="855">
          <cell r="A855">
            <v>902123</v>
          </cell>
        </row>
        <row r="856">
          <cell r="A856">
            <v>902129</v>
          </cell>
        </row>
        <row r="857">
          <cell r="A857">
            <v>902129</v>
          </cell>
        </row>
        <row r="858">
          <cell r="A858">
            <v>902132</v>
          </cell>
        </row>
        <row r="859">
          <cell r="A859">
            <v>902183</v>
          </cell>
        </row>
        <row r="860">
          <cell r="A860">
            <v>902183</v>
          </cell>
        </row>
        <row r="861">
          <cell r="A861">
            <v>902188</v>
          </cell>
        </row>
        <row r="862">
          <cell r="A862">
            <v>902188</v>
          </cell>
        </row>
        <row r="863">
          <cell r="A863">
            <v>902188</v>
          </cell>
        </row>
        <row r="864">
          <cell r="A864">
            <v>902188</v>
          </cell>
        </row>
        <row r="865">
          <cell r="A865">
            <v>902188</v>
          </cell>
        </row>
        <row r="866">
          <cell r="A866">
            <v>902188</v>
          </cell>
        </row>
        <row r="867">
          <cell r="A867">
            <v>902188</v>
          </cell>
        </row>
        <row r="868">
          <cell r="A868">
            <v>902188</v>
          </cell>
        </row>
        <row r="869">
          <cell r="A869">
            <v>902188</v>
          </cell>
        </row>
        <row r="870">
          <cell r="A870">
            <v>902188</v>
          </cell>
        </row>
        <row r="871">
          <cell r="A871">
            <v>902188</v>
          </cell>
        </row>
        <row r="872">
          <cell r="A872">
            <v>902188</v>
          </cell>
        </row>
        <row r="873">
          <cell r="A873">
            <v>902188</v>
          </cell>
        </row>
        <row r="874">
          <cell r="A874">
            <v>902188</v>
          </cell>
        </row>
        <row r="875">
          <cell r="A875">
            <v>902188</v>
          </cell>
        </row>
        <row r="876">
          <cell r="A876">
            <v>902188</v>
          </cell>
        </row>
        <row r="877">
          <cell r="A877">
            <v>902188</v>
          </cell>
        </row>
        <row r="878">
          <cell r="A878">
            <v>902188</v>
          </cell>
        </row>
        <row r="879">
          <cell r="A879">
            <v>902188</v>
          </cell>
        </row>
        <row r="880">
          <cell r="A880">
            <v>902188</v>
          </cell>
        </row>
        <row r="881">
          <cell r="A881">
            <v>902188</v>
          </cell>
        </row>
        <row r="882">
          <cell r="A882">
            <v>902188</v>
          </cell>
        </row>
        <row r="883">
          <cell r="A883">
            <v>902188</v>
          </cell>
        </row>
        <row r="884">
          <cell r="A884">
            <v>902188</v>
          </cell>
        </row>
        <row r="885">
          <cell r="A885">
            <v>902188</v>
          </cell>
        </row>
        <row r="886">
          <cell r="A886">
            <v>902188</v>
          </cell>
        </row>
        <row r="887">
          <cell r="A887">
            <v>902188</v>
          </cell>
        </row>
        <row r="888">
          <cell r="A888">
            <v>902188</v>
          </cell>
        </row>
        <row r="889">
          <cell r="A889">
            <v>902188</v>
          </cell>
        </row>
        <row r="890">
          <cell r="A890">
            <v>902188</v>
          </cell>
        </row>
        <row r="891">
          <cell r="A891">
            <v>902188</v>
          </cell>
        </row>
        <row r="892">
          <cell r="A892">
            <v>902188</v>
          </cell>
        </row>
        <row r="893">
          <cell r="A893">
            <v>902188</v>
          </cell>
        </row>
        <row r="894">
          <cell r="A894">
            <v>902188</v>
          </cell>
        </row>
        <row r="895">
          <cell r="A895">
            <v>902188</v>
          </cell>
        </row>
        <row r="896">
          <cell r="A896">
            <v>902188</v>
          </cell>
        </row>
        <row r="897">
          <cell r="A897">
            <v>902188</v>
          </cell>
        </row>
        <row r="898">
          <cell r="A898">
            <v>902188</v>
          </cell>
        </row>
        <row r="899">
          <cell r="A899">
            <v>902188</v>
          </cell>
        </row>
        <row r="900">
          <cell r="A900">
            <v>902188</v>
          </cell>
        </row>
        <row r="901">
          <cell r="A901">
            <v>902188</v>
          </cell>
        </row>
        <row r="902">
          <cell r="A902">
            <v>902188</v>
          </cell>
        </row>
        <row r="903">
          <cell r="A903">
            <v>902188</v>
          </cell>
        </row>
        <row r="904">
          <cell r="A904">
            <v>902188</v>
          </cell>
        </row>
        <row r="905">
          <cell r="A905">
            <v>902188</v>
          </cell>
        </row>
        <row r="906">
          <cell r="A906">
            <v>902188</v>
          </cell>
        </row>
        <row r="907">
          <cell r="A907">
            <v>902188</v>
          </cell>
        </row>
        <row r="908">
          <cell r="A908">
            <v>902188</v>
          </cell>
        </row>
        <row r="909">
          <cell r="A909">
            <v>902188</v>
          </cell>
        </row>
        <row r="910">
          <cell r="A910">
            <v>902188</v>
          </cell>
        </row>
        <row r="911">
          <cell r="A911">
            <v>902188</v>
          </cell>
        </row>
        <row r="912">
          <cell r="A912">
            <v>902188</v>
          </cell>
        </row>
        <row r="913">
          <cell r="A913">
            <v>902188</v>
          </cell>
        </row>
        <row r="914">
          <cell r="A914">
            <v>902188</v>
          </cell>
        </row>
        <row r="915">
          <cell r="A915">
            <v>902188</v>
          </cell>
        </row>
        <row r="916">
          <cell r="A916">
            <v>902188</v>
          </cell>
        </row>
        <row r="917">
          <cell r="A917">
            <v>902188</v>
          </cell>
        </row>
        <row r="918">
          <cell r="A918">
            <v>902188</v>
          </cell>
        </row>
        <row r="919">
          <cell r="A919">
            <v>902188</v>
          </cell>
        </row>
        <row r="920">
          <cell r="A920">
            <v>902188</v>
          </cell>
        </row>
        <row r="921">
          <cell r="A921">
            <v>902188</v>
          </cell>
        </row>
        <row r="922">
          <cell r="A922">
            <v>902188</v>
          </cell>
        </row>
        <row r="923">
          <cell r="A923">
            <v>902188</v>
          </cell>
        </row>
        <row r="924">
          <cell r="A924">
            <v>902188</v>
          </cell>
        </row>
        <row r="925">
          <cell r="A925">
            <v>902188</v>
          </cell>
        </row>
        <row r="926">
          <cell r="A926">
            <v>902195</v>
          </cell>
        </row>
        <row r="927">
          <cell r="A927">
            <v>902195</v>
          </cell>
        </row>
        <row r="928">
          <cell r="A928">
            <v>902195</v>
          </cell>
        </row>
        <row r="929">
          <cell r="A929">
            <v>902195</v>
          </cell>
        </row>
        <row r="930">
          <cell r="A930">
            <v>902195</v>
          </cell>
        </row>
        <row r="931">
          <cell r="A931">
            <v>902195</v>
          </cell>
        </row>
        <row r="932">
          <cell r="A932">
            <v>902195</v>
          </cell>
        </row>
        <row r="933">
          <cell r="A933">
            <v>902195</v>
          </cell>
        </row>
        <row r="934">
          <cell r="A934">
            <v>902195</v>
          </cell>
        </row>
        <row r="935">
          <cell r="A935">
            <v>902195</v>
          </cell>
        </row>
        <row r="936">
          <cell r="A936">
            <v>902195</v>
          </cell>
        </row>
        <row r="937">
          <cell r="A937">
            <v>902195</v>
          </cell>
        </row>
        <row r="938">
          <cell r="A938">
            <v>902195</v>
          </cell>
        </row>
        <row r="939">
          <cell r="A939">
            <v>902195</v>
          </cell>
        </row>
        <row r="940">
          <cell r="A940">
            <v>902195</v>
          </cell>
        </row>
        <row r="941">
          <cell r="A941">
            <v>902195</v>
          </cell>
        </row>
        <row r="942">
          <cell r="A942">
            <v>902195</v>
          </cell>
        </row>
        <row r="943">
          <cell r="A943">
            <v>902195</v>
          </cell>
        </row>
        <row r="944">
          <cell r="A944">
            <v>902195</v>
          </cell>
        </row>
        <row r="945">
          <cell r="A945">
            <v>902195</v>
          </cell>
        </row>
        <row r="946">
          <cell r="A946">
            <v>902195</v>
          </cell>
        </row>
        <row r="947">
          <cell r="A947">
            <v>902195</v>
          </cell>
        </row>
        <row r="948">
          <cell r="A948">
            <v>902195</v>
          </cell>
        </row>
        <row r="949">
          <cell r="A949">
            <v>902195</v>
          </cell>
        </row>
        <row r="950">
          <cell r="A950">
            <v>902195</v>
          </cell>
        </row>
        <row r="951">
          <cell r="A951">
            <v>902195</v>
          </cell>
        </row>
        <row r="952">
          <cell r="A952">
            <v>902195</v>
          </cell>
        </row>
        <row r="953">
          <cell r="A953">
            <v>902195</v>
          </cell>
        </row>
        <row r="954">
          <cell r="A954">
            <v>902195</v>
          </cell>
        </row>
        <row r="955">
          <cell r="A955">
            <v>902195</v>
          </cell>
        </row>
        <row r="956">
          <cell r="A956">
            <v>902195</v>
          </cell>
        </row>
        <row r="957">
          <cell r="A957">
            <v>902195</v>
          </cell>
        </row>
        <row r="958">
          <cell r="A958">
            <v>902195</v>
          </cell>
        </row>
        <row r="959">
          <cell r="A959">
            <v>902195</v>
          </cell>
        </row>
        <row r="960">
          <cell r="A960">
            <v>902195</v>
          </cell>
        </row>
        <row r="961">
          <cell r="A961">
            <v>902195</v>
          </cell>
        </row>
        <row r="962">
          <cell r="A962">
            <v>902195</v>
          </cell>
        </row>
        <row r="963">
          <cell r="A963">
            <v>902195</v>
          </cell>
        </row>
        <row r="964">
          <cell r="A964">
            <v>902195</v>
          </cell>
        </row>
        <row r="965">
          <cell r="A965">
            <v>902195</v>
          </cell>
        </row>
        <row r="966">
          <cell r="A966">
            <v>902195</v>
          </cell>
        </row>
        <row r="967">
          <cell r="A967">
            <v>902195</v>
          </cell>
        </row>
        <row r="968">
          <cell r="A968">
            <v>902195</v>
          </cell>
        </row>
        <row r="969">
          <cell r="A969">
            <v>902195</v>
          </cell>
        </row>
        <row r="970">
          <cell r="A970">
            <v>902195</v>
          </cell>
        </row>
        <row r="971">
          <cell r="A971">
            <v>902195</v>
          </cell>
        </row>
        <row r="972">
          <cell r="A972">
            <v>902195</v>
          </cell>
        </row>
        <row r="973">
          <cell r="A973">
            <v>902195</v>
          </cell>
        </row>
        <row r="974">
          <cell r="A974">
            <v>902195</v>
          </cell>
        </row>
        <row r="975">
          <cell r="A975">
            <v>902195</v>
          </cell>
        </row>
        <row r="976">
          <cell r="A976">
            <v>902195</v>
          </cell>
        </row>
        <row r="977">
          <cell r="A977">
            <v>902195</v>
          </cell>
        </row>
        <row r="978">
          <cell r="A978">
            <v>902195</v>
          </cell>
        </row>
        <row r="979">
          <cell r="A979">
            <v>902195</v>
          </cell>
        </row>
        <row r="980">
          <cell r="A980">
            <v>902195</v>
          </cell>
        </row>
        <row r="981">
          <cell r="A981">
            <v>902195</v>
          </cell>
        </row>
        <row r="982">
          <cell r="A982">
            <v>902195</v>
          </cell>
        </row>
        <row r="983">
          <cell r="A983">
            <v>902195</v>
          </cell>
        </row>
        <row r="984">
          <cell r="A984">
            <v>902195</v>
          </cell>
        </row>
        <row r="985">
          <cell r="A985">
            <v>902195</v>
          </cell>
        </row>
        <row r="986">
          <cell r="A986">
            <v>902195</v>
          </cell>
        </row>
        <row r="987">
          <cell r="A987">
            <v>902195</v>
          </cell>
        </row>
        <row r="988">
          <cell r="A988">
            <v>902195</v>
          </cell>
        </row>
        <row r="989">
          <cell r="A989">
            <v>902195</v>
          </cell>
        </row>
        <row r="990">
          <cell r="A990">
            <v>902195</v>
          </cell>
        </row>
        <row r="991">
          <cell r="A991">
            <v>902195</v>
          </cell>
        </row>
        <row r="992">
          <cell r="A992">
            <v>902195</v>
          </cell>
        </row>
        <row r="993">
          <cell r="A993">
            <v>902195</v>
          </cell>
        </row>
        <row r="994">
          <cell r="A994">
            <v>902195</v>
          </cell>
        </row>
        <row r="995">
          <cell r="A995">
            <v>902195</v>
          </cell>
        </row>
        <row r="996">
          <cell r="A996">
            <v>902195</v>
          </cell>
        </row>
        <row r="997">
          <cell r="A997">
            <v>902198</v>
          </cell>
        </row>
        <row r="998">
          <cell r="A998">
            <v>902198</v>
          </cell>
        </row>
        <row r="999">
          <cell r="A999">
            <v>902198</v>
          </cell>
        </row>
        <row r="1000">
          <cell r="A1000">
            <v>902198</v>
          </cell>
        </row>
        <row r="1001">
          <cell r="A1001">
            <v>902198</v>
          </cell>
        </row>
        <row r="1002">
          <cell r="A1002">
            <v>902198</v>
          </cell>
        </row>
        <row r="1003">
          <cell r="A1003">
            <v>902198</v>
          </cell>
        </row>
        <row r="1004">
          <cell r="A1004">
            <v>902198</v>
          </cell>
        </row>
        <row r="1005">
          <cell r="A1005">
            <v>902198</v>
          </cell>
        </row>
        <row r="1006">
          <cell r="A1006">
            <v>902198</v>
          </cell>
        </row>
        <row r="1007">
          <cell r="A1007">
            <v>902198</v>
          </cell>
        </row>
        <row r="1008">
          <cell r="A1008">
            <v>902199</v>
          </cell>
        </row>
        <row r="1009">
          <cell r="A1009">
            <v>902199</v>
          </cell>
        </row>
        <row r="1010">
          <cell r="A1010">
            <v>902199</v>
          </cell>
        </row>
        <row r="1011">
          <cell r="A1011">
            <v>902199</v>
          </cell>
        </row>
        <row r="1012">
          <cell r="A1012">
            <v>902199</v>
          </cell>
        </row>
        <row r="1013">
          <cell r="A1013">
            <v>902199</v>
          </cell>
        </row>
        <row r="1014">
          <cell r="A1014">
            <v>902199</v>
          </cell>
        </row>
        <row r="1015">
          <cell r="A1015">
            <v>902206</v>
          </cell>
        </row>
        <row r="1016">
          <cell r="A1016">
            <v>902206</v>
          </cell>
        </row>
        <row r="1017">
          <cell r="A1017">
            <v>902213</v>
          </cell>
        </row>
        <row r="1018">
          <cell r="A1018">
            <v>902213</v>
          </cell>
        </row>
        <row r="1019">
          <cell r="A1019">
            <v>902213</v>
          </cell>
        </row>
        <row r="1020">
          <cell r="A1020">
            <v>902213</v>
          </cell>
        </row>
        <row r="1021">
          <cell r="A1021">
            <v>902213</v>
          </cell>
        </row>
        <row r="1022">
          <cell r="A1022">
            <v>902213</v>
          </cell>
        </row>
        <row r="1023">
          <cell r="A1023">
            <v>902213</v>
          </cell>
        </row>
        <row r="1024">
          <cell r="A1024">
            <v>902213</v>
          </cell>
        </row>
        <row r="1025">
          <cell r="A1025">
            <v>902213</v>
          </cell>
        </row>
        <row r="1026">
          <cell r="A1026">
            <v>902213</v>
          </cell>
        </row>
        <row r="1027">
          <cell r="A1027">
            <v>902213</v>
          </cell>
        </row>
        <row r="1028">
          <cell r="A1028">
            <v>902213</v>
          </cell>
        </row>
        <row r="1029">
          <cell r="A1029">
            <v>902213</v>
          </cell>
        </row>
        <row r="1030">
          <cell r="A1030">
            <v>902213</v>
          </cell>
        </row>
        <row r="1031">
          <cell r="A1031">
            <v>902213</v>
          </cell>
        </row>
        <row r="1032">
          <cell r="A1032">
            <v>902213</v>
          </cell>
        </row>
        <row r="1033">
          <cell r="A1033">
            <v>902213</v>
          </cell>
        </row>
        <row r="1034">
          <cell r="A1034">
            <v>902213</v>
          </cell>
        </row>
        <row r="1035">
          <cell r="A1035">
            <v>902213</v>
          </cell>
        </row>
        <row r="1036">
          <cell r="A1036">
            <v>902213</v>
          </cell>
        </row>
        <row r="1037">
          <cell r="A1037">
            <v>902213</v>
          </cell>
        </row>
        <row r="1038">
          <cell r="A1038">
            <v>902213</v>
          </cell>
        </row>
        <row r="1039">
          <cell r="A1039">
            <v>902213</v>
          </cell>
        </row>
        <row r="1040">
          <cell r="A1040">
            <v>902213</v>
          </cell>
        </row>
        <row r="1041">
          <cell r="A1041">
            <v>902213</v>
          </cell>
        </row>
        <row r="1042">
          <cell r="A1042">
            <v>902213</v>
          </cell>
        </row>
        <row r="1043">
          <cell r="A1043">
            <v>902213</v>
          </cell>
        </row>
        <row r="1044">
          <cell r="A1044">
            <v>902213</v>
          </cell>
        </row>
        <row r="1045">
          <cell r="A1045">
            <v>902213</v>
          </cell>
        </row>
        <row r="1046">
          <cell r="A1046">
            <v>902213</v>
          </cell>
        </row>
        <row r="1047">
          <cell r="A1047">
            <v>902222</v>
          </cell>
        </row>
        <row r="1048">
          <cell r="A1048">
            <v>902222</v>
          </cell>
        </row>
        <row r="1049">
          <cell r="A1049">
            <v>902222</v>
          </cell>
        </row>
        <row r="1050">
          <cell r="A1050">
            <v>902222</v>
          </cell>
        </row>
        <row r="1051">
          <cell r="A1051">
            <v>902222</v>
          </cell>
        </row>
        <row r="1052">
          <cell r="A1052">
            <v>902222</v>
          </cell>
        </row>
        <row r="1053">
          <cell r="A1053">
            <v>902222</v>
          </cell>
        </row>
        <row r="1054">
          <cell r="A1054">
            <v>902224</v>
          </cell>
        </row>
        <row r="1055">
          <cell r="A1055">
            <v>902244</v>
          </cell>
        </row>
        <row r="1056">
          <cell r="A1056">
            <v>902244</v>
          </cell>
        </row>
        <row r="1057">
          <cell r="A1057">
            <v>902244</v>
          </cell>
        </row>
        <row r="1058">
          <cell r="A1058">
            <v>902248</v>
          </cell>
        </row>
        <row r="1059">
          <cell r="A1059">
            <v>902248</v>
          </cell>
        </row>
        <row r="1060">
          <cell r="A1060">
            <v>902248</v>
          </cell>
        </row>
        <row r="1061">
          <cell r="A1061">
            <v>902248</v>
          </cell>
        </row>
        <row r="1062">
          <cell r="A1062">
            <v>902248</v>
          </cell>
        </row>
        <row r="1063">
          <cell r="A1063">
            <v>902248</v>
          </cell>
        </row>
        <row r="1064">
          <cell r="A1064">
            <v>902248</v>
          </cell>
        </row>
        <row r="1065">
          <cell r="A1065">
            <v>902248</v>
          </cell>
        </row>
        <row r="1066">
          <cell r="A1066">
            <v>902248</v>
          </cell>
        </row>
        <row r="1067">
          <cell r="A1067">
            <v>902260</v>
          </cell>
        </row>
        <row r="1068">
          <cell r="A1068">
            <v>902260</v>
          </cell>
        </row>
        <row r="1069">
          <cell r="A1069">
            <v>902260</v>
          </cell>
        </row>
        <row r="1070">
          <cell r="A1070">
            <v>902260</v>
          </cell>
        </row>
        <row r="1071">
          <cell r="A1071">
            <v>902260</v>
          </cell>
        </row>
        <row r="1072">
          <cell r="A1072">
            <v>902260</v>
          </cell>
        </row>
        <row r="1073">
          <cell r="A1073">
            <v>902260</v>
          </cell>
        </row>
        <row r="1074">
          <cell r="A1074">
            <v>902262</v>
          </cell>
        </row>
        <row r="1075">
          <cell r="A1075">
            <v>902262</v>
          </cell>
        </row>
        <row r="1076">
          <cell r="A1076">
            <v>902263</v>
          </cell>
        </row>
        <row r="1077">
          <cell r="A1077">
            <v>902334</v>
          </cell>
        </row>
        <row r="1078">
          <cell r="A1078">
            <v>902334</v>
          </cell>
        </row>
        <row r="1079">
          <cell r="A1079">
            <v>902334</v>
          </cell>
        </row>
        <row r="1080">
          <cell r="A1080">
            <v>902334</v>
          </cell>
        </row>
        <row r="1081">
          <cell r="A1081">
            <v>902334</v>
          </cell>
        </row>
        <row r="1082">
          <cell r="A1082">
            <v>902334</v>
          </cell>
        </row>
        <row r="1083">
          <cell r="A1083">
            <v>902334</v>
          </cell>
        </row>
        <row r="1084">
          <cell r="A1084">
            <v>902334</v>
          </cell>
        </row>
        <row r="1085">
          <cell r="A1085">
            <v>902334</v>
          </cell>
        </row>
        <row r="1086">
          <cell r="A1086">
            <v>902334</v>
          </cell>
        </row>
        <row r="1087">
          <cell r="A1087">
            <v>902334</v>
          </cell>
        </row>
        <row r="1088">
          <cell r="A1088">
            <v>902334</v>
          </cell>
        </row>
        <row r="1089">
          <cell r="A1089">
            <v>902334</v>
          </cell>
        </row>
        <row r="1090">
          <cell r="A1090">
            <v>902334</v>
          </cell>
        </row>
        <row r="1091">
          <cell r="A1091">
            <v>902334</v>
          </cell>
        </row>
        <row r="1092">
          <cell r="A1092">
            <v>902334</v>
          </cell>
        </row>
        <row r="1093">
          <cell r="A1093">
            <v>902334</v>
          </cell>
        </row>
        <row r="1094">
          <cell r="A1094">
            <v>902334</v>
          </cell>
        </row>
        <row r="1095">
          <cell r="A1095">
            <v>902334</v>
          </cell>
        </row>
        <row r="1096">
          <cell r="A1096">
            <v>902334</v>
          </cell>
        </row>
        <row r="1097">
          <cell r="A1097">
            <v>902341</v>
          </cell>
        </row>
        <row r="1098">
          <cell r="A1098">
            <v>902341</v>
          </cell>
        </row>
        <row r="1099">
          <cell r="A1099">
            <v>902386</v>
          </cell>
        </row>
        <row r="1100">
          <cell r="A1100">
            <v>902386</v>
          </cell>
        </row>
        <row r="1101">
          <cell r="A1101">
            <v>902386</v>
          </cell>
        </row>
        <row r="1102">
          <cell r="A1102">
            <v>902386</v>
          </cell>
        </row>
        <row r="1103">
          <cell r="A1103">
            <v>902386</v>
          </cell>
        </row>
        <row r="1104">
          <cell r="A1104">
            <v>902386</v>
          </cell>
        </row>
        <row r="1105">
          <cell r="A1105">
            <v>902386</v>
          </cell>
        </row>
        <row r="1106">
          <cell r="A1106">
            <v>902386</v>
          </cell>
        </row>
        <row r="1107">
          <cell r="A1107">
            <v>902389</v>
          </cell>
        </row>
        <row r="1108">
          <cell r="A1108">
            <v>902389</v>
          </cell>
        </row>
        <row r="1109">
          <cell r="A1109">
            <v>902389</v>
          </cell>
        </row>
        <row r="1110">
          <cell r="A1110">
            <v>902389</v>
          </cell>
        </row>
        <row r="1111">
          <cell r="A1111">
            <v>902389</v>
          </cell>
        </row>
        <row r="1112">
          <cell r="A1112">
            <v>902389</v>
          </cell>
        </row>
        <row r="1113">
          <cell r="A1113">
            <v>902389</v>
          </cell>
        </row>
        <row r="1114">
          <cell r="A1114">
            <v>902389</v>
          </cell>
        </row>
        <row r="1115">
          <cell r="A1115">
            <v>902389</v>
          </cell>
        </row>
        <row r="1116">
          <cell r="A1116">
            <v>902389</v>
          </cell>
        </row>
        <row r="1117">
          <cell r="A1117">
            <v>902389</v>
          </cell>
        </row>
        <row r="1118">
          <cell r="A1118">
            <v>902389</v>
          </cell>
        </row>
        <row r="1119">
          <cell r="A1119">
            <v>902389</v>
          </cell>
        </row>
        <row r="1120">
          <cell r="A1120">
            <v>902423</v>
          </cell>
        </row>
        <row r="1121">
          <cell r="A1121">
            <v>902423</v>
          </cell>
        </row>
        <row r="1122">
          <cell r="A1122">
            <v>902423</v>
          </cell>
        </row>
        <row r="1123">
          <cell r="A1123">
            <v>902423</v>
          </cell>
        </row>
        <row r="1124">
          <cell r="A1124">
            <v>902423</v>
          </cell>
        </row>
        <row r="1125">
          <cell r="A1125">
            <v>902423</v>
          </cell>
        </row>
        <row r="1126">
          <cell r="A1126">
            <v>902423</v>
          </cell>
        </row>
        <row r="1127">
          <cell r="A1127">
            <v>902423</v>
          </cell>
        </row>
        <row r="1128">
          <cell r="A1128">
            <v>902423</v>
          </cell>
        </row>
        <row r="1129">
          <cell r="A1129">
            <v>902423</v>
          </cell>
        </row>
        <row r="1130">
          <cell r="A1130">
            <v>902423</v>
          </cell>
        </row>
        <row r="1131">
          <cell r="A1131">
            <v>902423</v>
          </cell>
        </row>
        <row r="1132">
          <cell r="A1132">
            <v>902423</v>
          </cell>
        </row>
        <row r="1133">
          <cell r="A1133">
            <v>902423</v>
          </cell>
        </row>
        <row r="1134">
          <cell r="A1134">
            <v>902423</v>
          </cell>
        </row>
        <row r="1135">
          <cell r="A1135">
            <v>902423</v>
          </cell>
        </row>
        <row r="1136">
          <cell r="A1136">
            <v>902423</v>
          </cell>
        </row>
        <row r="1137">
          <cell r="A1137">
            <v>902423</v>
          </cell>
        </row>
        <row r="1138">
          <cell r="A1138">
            <v>902423</v>
          </cell>
        </row>
        <row r="1139">
          <cell r="A1139">
            <v>902423</v>
          </cell>
        </row>
        <row r="1140">
          <cell r="A1140">
            <v>902423</v>
          </cell>
        </row>
        <row r="1141">
          <cell r="A1141">
            <v>902423</v>
          </cell>
        </row>
        <row r="1142">
          <cell r="A1142">
            <v>902423</v>
          </cell>
        </row>
        <row r="1143">
          <cell r="A1143">
            <v>902423</v>
          </cell>
        </row>
        <row r="1144">
          <cell r="A1144">
            <v>902423</v>
          </cell>
        </row>
        <row r="1145">
          <cell r="A1145">
            <v>902423</v>
          </cell>
        </row>
        <row r="1146">
          <cell r="A1146">
            <v>902423</v>
          </cell>
        </row>
        <row r="1147">
          <cell r="A1147">
            <v>902423</v>
          </cell>
        </row>
        <row r="1148">
          <cell r="A1148">
            <v>902423</v>
          </cell>
        </row>
        <row r="1149">
          <cell r="A1149">
            <v>902423</v>
          </cell>
        </row>
        <row r="1150">
          <cell r="A1150">
            <v>902423</v>
          </cell>
        </row>
        <row r="1151">
          <cell r="A1151">
            <v>902423</v>
          </cell>
        </row>
        <row r="1152">
          <cell r="A1152">
            <v>902423</v>
          </cell>
        </row>
        <row r="1153">
          <cell r="A1153">
            <v>902423</v>
          </cell>
        </row>
        <row r="1154">
          <cell r="A1154">
            <v>902423</v>
          </cell>
        </row>
        <row r="1155">
          <cell r="A1155">
            <v>902423</v>
          </cell>
        </row>
        <row r="1156">
          <cell r="A1156">
            <v>902423</v>
          </cell>
        </row>
        <row r="1157">
          <cell r="A1157">
            <v>902423</v>
          </cell>
        </row>
        <row r="1158">
          <cell r="A1158">
            <v>902423</v>
          </cell>
        </row>
        <row r="1159">
          <cell r="A1159">
            <v>902423</v>
          </cell>
        </row>
        <row r="1160">
          <cell r="A1160">
            <v>902423</v>
          </cell>
        </row>
        <row r="1161">
          <cell r="A1161">
            <v>902423</v>
          </cell>
        </row>
        <row r="1162">
          <cell r="A1162">
            <v>902423</v>
          </cell>
        </row>
        <row r="1163">
          <cell r="A1163">
            <v>902423</v>
          </cell>
        </row>
        <row r="1164">
          <cell r="A1164">
            <v>902423</v>
          </cell>
        </row>
        <row r="1165">
          <cell r="A1165">
            <v>902423</v>
          </cell>
        </row>
        <row r="1166">
          <cell r="A1166">
            <v>902423</v>
          </cell>
        </row>
        <row r="1167">
          <cell r="A1167">
            <v>902423</v>
          </cell>
        </row>
        <row r="1168">
          <cell r="A1168">
            <v>902423</v>
          </cell>
        </row>
        <row r="1169">
          <cell r="A1169">
            <v>902423</v>
          </cell>
        </row>
        <row r="1170">
          <cell r="A1170">
            <v>902423</v>
          </cell>
        </row>
        <row r="1171">
          <cell r="A1171">
            <v>902423</v>
          </cell>
        </row>
        <row r="1172">
          <cell r="A1172">
            <v>902423</v>
          </cell>
        </row>
        <row r="1173">
          <cell r="A1173">
            <v>902423</v>
          </cell>
        </row>
        <row r="1174">
          <cell r="A1174">
            <v>902423</v>
          </cell>
        </row>
        <row r="1175">
          <cell r="A1175">
            <v>902423</v>
          </cell>
        </row>
        <row r="1176">
          <cell r="A1176">
            <v>902423</v>
          </cell>
        </row>
        <row r="1177">
          <cell r="A1177">
            <v>902423</v>
          </cell>
        </row>
        <row r="1178">
          <cell r="A1178">
            <v>902423</v>
          </cell>
        </row>
        <row r="1179">
          <cell r="A1179">
            <v>902423</v>
          </cell>
        </row>
        <row r="1180">
          <cell r="A1180">
            <v>902423</v>
          </cell>
        </row>
        <row r="1181">
          <cell r="A1181">
            <v>902423</v>
          </cell>
        </row>
        <row r="1182">
          <cell r="A1182">
            <v>902423</v>
          </cell>
        </row>
        <row r="1183">
          <cell r="A1183">
            <v>902423</v>
          </cell>
        </row>
        <row r="1184">
          <cell r="A1184">
            <v>902423</v>
          </cell>
        </row>
        <row r="1185">
          <cell r="A1185">
            <v>902423</v>
          </cell>
        </row>
        <row r="1186">
          <cell r="A1186">
            <v>902423</v>
          </cell>
        </row>
        <row r="1187">
          <cell r="A1187">
            <v>902423</v>
          </cell>
        </row>
        <row r="1188">
          <cell r="A1188">
            <v>902423</v>
          </cell>
        </row>
        <row r="1189">
          <cell r="A1189">
            <v>902423</v>
          </cell>
        </row>
        <row r="1190">
          <cell r="A1190">
            <v>902423</v>
          </cell>
        </row>
        <row r="1191">
          <cell r="A1191">
            <v>902423</v>
          </cell>
        </row>
        <row r="1192">
          <cell r="A1192">
            <v>902423</v>
          </cell>
        </row>
        <row r="1193">
          <cell r="A1193">
            <v>902423</v>
          </cell>
        </row>
        <row r="1194">
          <cell r="A1194">
            <v>902423</v>
          </cell>
        </row>
        <row r="1195">
          <cell r="A1195">
            <v>902423</v>
          </cell>
        </row>
        <row r="1196">
          <cell r="A1196">
            <v>902423</v>
          </cell>
        </row>
        <row r="1197">
          <cell r="A1197">
            <v>902423</v>
          </cell>
        </row>
        <row r="1198">
          <cell r="A1198">
            <v>902423</v>
          </cell>
        </row>
        <row r="1199">
          <cell r="A1199">
            <v>902423</v>
          </cell>
        </row>
        <row r="1200">
          <cell r="A1200">
            <v>902423</v>
          </cell>
        </row>
        <row r="1201">
          <cell r="A1201">
            <v>902423</v>
          </cell>
        </row>
        <row r="1202">
          <cell r="A1202">
            <v>902423</v>
          </cell>
        </row>
        <row r="1203">
          <cell r="A1203">
            <v>902423</v>
          </cell>
        </row>
        <row r="1204">
          <cell r="A1204">
            <v>902423</v>
          </cell>
        </row>
        <row r="1205">
          <cell r="A1205">
            <v>902423</v>
          </cell>
        </row>
        <row r="1206">
          <cell r="A1206">
            <v>902423</v>
          </cell>
        </row>
        <row r="1207">
          <cell r="A1207">
            <v>902423</v>
          </cell>
        </row>
        <row r="1208">
          <cell r="A1208">
            <v>902423</v>
          </cell>
        </row>
        <row r="1209">
          <cell r="A1209">
            <v>902423</v>
          </cell>
        </row>
        <row r="1210">
          <cell r="A1210">
            <v>902423</v>
          </cell>
        </row>
        <row r="1211">
          <cell r="A1211">
            <v>902423</v>
          </cell>
        </row>
        <row r="1212">
          <cell r="A1212">
            <v>902423</v>
          </cell>
        </row>
        <row r="1213">
          <cell r="A1213">
            <v>902424</v>
          </cell>
        </row>
        <row r="1214">
          <cell r="A1214">
            <v>902424</v>
          </cell>
        </row>
        <row r="1215">
          <cell r="A1215">
            <v>902424</v>
          </cell>
        </row>
        <row r="1216">
          <cell r="A1216">
            <v>902424</v>
          </cell>
        </row>
        <row r="1217">
          <cell r="A1217">
            <v>902424</v>
          </cell>
        </row>
        <row r="1218">
          <cell r="A1218">
            <v>902424</v>
          </cell>
        </row>
        <row r="1219">
          <cell r="A1219">
            <v>902424</v>
          </cell>
        </row>
        <row r="1220">
          <cell r="A1220">
            <v>902424</v>
          </cell>
        </row>
        <row r="1221">
          <cell r="A1221">
            <v>902424</v>
          </cell>
        </row>
        <row r="1222">
          <cell r="A1222">
            <v>902424</v>
          </cell>
        </row>
        <row r="1223">
          <cell r="A1223">
            <v>902424</v>
          </cell>
        </row>
        <row r="1224">
          <cell r="A1224">
            <v>902424</v>
          </cell>
        </row>
        <row r="1225">
          <cell r="A1225">
            <v>902424</v>
          </cell>
        </row>
        <row r="1226">
          <cell r="A1226">
            <v>902424</v>
          </cell>
        </row>
        <row r="1227">
          <cell r="A1227">
            <v>902424</v>
          </cell>
        </row>
        <row r="1228">
          <cell r="A1228">
            <v>902424</v>
          </cell>
        </row>
        <row r="1229">
          <cell r="A1229">
            <v>902424</v>
          </cell>
        </row>
        <row r="1230">
          <cell r="A1230">
            <v>902424</v>
          </cell>
        </row>
        <row r="1231">
          <cell r="A1231">
            <v>902424</v>
          </cell>
        </row>
        <row r="1232">
          <cell r="A1232">
            <v>902424</v>
          </cell>
        </row>
        <row r="1233">
          <cell r="A1233">
            <v>902424</v>
          </cell>
        </row>
        <row r="1234">
          <cell r="A1234">
            <v>902424</v>
          </cell>
        </row>
        <row r="1235">
          <cell r="A1235">
            <v>902424</v>
          </cell>
        </row>
        <row r="1236">
          <cell r="A1236">
            <v>902424</v>
          </cell>
        </row>
        <row r="1237">
          <cell r="A1237">
            <v>902424</v>
          </cell>
        </row>
        <row r="1238">
          <cell r="A1238">
            <v>902424</v>
          </cell>
        </row>
        <row r="1239">
          <cell r="A1239">
            <v>902424</v>
          </cell>
        </row>
        <row r="1240">
          <cell r="A1240">
            <v>902424</v>
          </cell>
        </row>
        <row r="1241">
          <cell r="A1241">
            <v>902424</v>
          </cell>
        </row>
        <row r="1242">
          <cell r="A1242">
            <v>902424</v>
          </cell>
        </row>
        <row r="1243">
          <cell r="A1243">
            <v>902424</v>
          </cell>
        </row>
        <row r="1244">
          <cell r="A1244">
            <v>902424</v>
          </cell>
        </row>
        <row r="1245">
          <cell r="A1245">
            <v>902424</v>
          </cell>
        </row>
        <row r="1246">
          <cell r="A1246">
            <v>902424</v>
          </cell>
        </row>
        <row r="1247">
          <cell r="A1247">
            <v>902424</v>
          </cell>
        </row>
        <row r="1248">
          <cell r="A1248">
            <v>902424</v>
          </cell>
        </row>
        <row r="1249">
          <cell r="A1249">
            <v>902424</v>
          </cell>
        </row>
        <row r="1250">
          <cell r="A1250">
            <v>902424</v>
          </cell>
        </row>
        <row r="1251">
          <cell r="A1251">
            <v>902424</v>
          </cell>
        </row>
        <row r="1252">
          <cell r="A1252">
            <v>902424</v>
          </cell>
        </row>
        <row r="1253">
          <cell r="A1253">
            <v>902424</v>
          </cell>
        </row>
        <row r="1254">
          <cell r="A1254">
            <v>902424</v>
          </cell>
        </row>
        <row r="1255">
          <cell r="A1255">
            <v>902424</v>
          </cell>
        </row>
        <row r="1256">
          <cell r="A1256">
            <v>902424</v>
          </cell>
        </row>
        <row r="1257">
          <cell r="A1257">
            <v>902433</v>
          </cell>
        </row>
        <row r="1258">
          <cell r="A1258">
            <v>902433</v>
          </cell>
        </row>
        <row r="1259">
          <cell r="A1259">
            <v>902433</v>
          </cell>
        </row>
        <row r="1260">
          <cell r="A1260">
            <v>902433</v>
          </cell>
        </row>
        <row r="1261">
          <cell r="A1261">
            <v>902444</v>
          </cell>
        </row>
        <row r="1262">
          <cell r="A1262">
            <v>902444</v>
          </cell>
        </row>
        <row r="1263">
          <cell r="A1263">
            <v>902444</v>
          </cell>
        </row>
        <row r="1264">
          <cell r="A1264">
            <v>902444</v>
          </cell>
        </row>
        <row r="1265">
          <cell r="A1265">
            <v>902444</v>
          </cell>
        </row>
        <row r="1266">
          <cell r="A1266">
            <v>902444</v>
          </cell>
        </row>
        <row r="1267">
          <cell r="A1267">
            <v>902444</v>
          </cell>
        </row>
        <row r="1268">
          <cell r="A1268">
            <v>902444</v>
          </cell>
        </row>
        <row r="1269">
          <cell r="A1269">
            <v>902445</v>
          </cell>
        </row>
        <row r="1270">
          <cell r="A1270">
            <v>902445</v>
          </cell>
        </row>
        <row r="1271">
          <cell r="A1271">
            <v>902446</v>
          </cell>
        </row>
        <row r="1272">
          <cell r="A1272">
            <v>902446</v>
          </cell>
        </row>
        <row r="1273">
          <cell r="A1273">
            <v>902453</v>
          </cell>
        </row>
        <row r="1274">
          <cell r="A1274">
            <v>902453</v>
          </cell>
        </row>
        <row r="1275">
          <cell r="A1275">
            <v>902453</v>
          </cell>
        </row>
        <row r="1276">
          <cell r="A1276">
            <v>902463</v>
          </cell>
        </row>
        <row r="1277">
          <cell r="A1277">
            <v>902464</v>
          </cell>
        </row>
        <row r="1278">
          <cell r="A1278">
            <v>902467</v>
          </cell>
        </row>
        <row r="1279">
          <cell r="A1279">
            <v>902467</v>
          </cell>
        </row>
        <row r="1280">
          <cell r="A1280">
            <v>902467</v>
          </cell>
        </row>
        <row r="1281">
          <cell r="A1281">
            <v>902467</v>
          </cell>
        </row>
        <row r="1282">
          <cell r="A1282">
            <v>902467</v>
          </cell>
        </row>
        <row r="1283">
          <cell r="A1283">
            <v>902467</v>
          </cell>
        </row>
        <row r="1284">
          <cell r="A1284">
            <v>902467</v>
          </cell>
        </row>
        <row r="1285">
          <cell r="A1285">
            <v>902467</v>
          </cell>
        </row>
        <row r="1286">
          <cell r="A1286">
            <v>902467</v>
          </cell>
        </row>
        <row r="1287">
          <cell r="A1287">
            <v>902467</v>
          </cell>
        </row>
        <row r="1288">
          <cell r="A1288">
            <v>902471</v>
          </cell>
        </row>
        <row r="1289">
          <cell r="A1289">
            <v>902471</v>
          </cell>
        </row>
        <row r="1290">
          <cell r="A1290">
            <v>902474</v>
          </cell>
        </row>
        <row r="1291">
          <cell r="A1291">
            <v>902474</v>
          </cell>
        </row>
        <row r="1292">
          <cell r="A1292">
            <v>902477</v>
          </cell>
        </row>
        <row r="1293">
          <cell r="A1293">
            <v>902477</v>
          </cell>
        </row>
        <row r="1294">
          <cell r="A1294">
            <v>902478</v>
          </cell>
        </row>
        <row r="1295">
          <cell r="A1295">
            <v>902478</v>
          </cell>
        </row>
        <row r="1296">
          <cell r="A1296">
            <v>902478</v>
          </cell>
        </row>
        <row r="1297">
          <cell r="A1297">
            <v>902478</v>
          </cell>
        </row>
        <row r="1298">
          <cell r="A1298">
            <v>902478</v>
          </cell>
        </row>
        <row r="1299">
          <cell r="A1299">
            <v>902478</v>
          </cell>
        </row>
        <row r="1300">
          <cell r="A1300">
            <v>902478</v>
          </cell>
        </row>
        <row r="1301">
          <cell r="A1301">
            <v>902478</v>
          </cell>
        </row>
        <row r="1302">
          <cell r="A1302">
            <v>902478</v>
          </cell>
        </row>
        <row r="1303">
          <cell r="A1303">
            <v>902478</v>
          </cell>
        </row>
        <row r="1304">
          <cell r="A1304">
            <v>902478</v>
          </cell>
        </row>
        <row r="1305">
          <cell r="A1305">
            <v>902478</v>
          </cell>
        </row>
        <row r="1306">
          <cell r="A1306">
            <v>902478</v>
          </cell>
        </row>
        <row r="1307">
          <cell r="A1307">
            <v>902478</v>
          </cell>
        </row>
        <row r="1308">
          <cell r="A1308">
            <v>902478</v>
          </cell>
        </row>
        <row r="1309">
          <cell r="A1309">
            <v>902478</v>
          </cell>
        </row>
        <row r="1310">
          <cell r="A1310">
            <v>902478</v>
          </cell>
        </row>
        <row r="1311">
          <cell r="A1311">
            <v>902478</v>
          </cell>
        </row>
        <row r="1312">
          <cell r="A1312">
            <v>902478</v>
          </cell>
        </row>
        <row r="1313">
          <cell r="A1313">
            <v>902478</v>
          </cell>
        </row>
        <row r="1314">
          <cell r="A1314">
            <v>902478</v>
          </cell>
        </row>
        <row r="1315">
          <cell r="A1315">
            <v>902478</v>
          </cell>
        </row>
        <row r="1316">
          <cell r="A1316">
            <v>902478</v>
          </cell>
        </row>
        <row r="1317">
          <cell r="A1317">
            <v>902478</v>
          </cell>
        </row>
        <row r="1318">
          <cell r="A1318">
            <v>902478</v>
          </cell>
        </row>
        <row r="1319">
          <cell r="A1319">
            <v>902482</v>
          </cell>
        </row>
        <row r="1320">
          <cell r="A1320">
            <v>902482</v>
          </cell>
        </row>
        <row r="1321">
          <cell r="A1321">
            <v>902482</v>
          </cell>
        </row>
        <row r="1322">
          <cell r="A1322">
            <v>902482</v>
          </cell>
        </row>
        <row r="1323">
          <cell r="A1323">
            <v>902482</v>
          </cell>
        </row>
        <row r="1324">
          <cell r="A1324">
            <v>902482</v>
          </cell>
        </row>
        <row r="1325">
          <cell r="A1325">
            <v>902482</v>
          </cell>
        </row>
        <row r="1326">
          <cell r="A1326">
            <v>902491</v>
          </cell>
        </row>
        <row r="1327">
          <cell r="A1327">
            <v>902491</v>
          </cell>
        </row>
        <row r="1328">
          <cell r="A1328">
            <v>902758</v>
          </cell>
        </row>
        <row r="1329">
          <cell r="A1329">
            <v>902758</v>
          </cell>
        </row>
        <row r="1330">
          <cell r="A1330">
            <v>902758</v>
          </cell>
        </row>
        <row r="1331">
          <cell r="A1331">
            <v>902758</v>
          </cell>
        </row>
        <row r="1332">
          <cell r="A1332">
            <v>902758</v>
          </cell>
        </row>
        <row r="1333">
          <cell r="A1333">
            <v>902758</v>
          </cell>
        </row>
        <row r="1334">
          <cell r="A1334">
            <v>902758</v>
          </cell>
        </row>
        <row r="1335">
          <cell r="A1335">
            <v>902758</v>
          </cell>
        </row>
        <row r="1336">
          <cell r="A1336">
            <v>902758</v>
          </cell>
        </row>
        <row r="1337">
          <cell r="A1337">
            <v>902792</v>
          </cell>
        </row>
        <row r="1338">
          <cell r="A1338">
            <v>902793</v>
          </cell>
        </row>
        <row r="1339">
          <cell r="A1339">
            <v>902795</v>
          </cell>
        </row>
        <row r="1340">
          <cell r="A1340">
            <v>902795</v>
          </cell>
        </row>
        <row r="1341">
          <cell r="A1341">
            <v>902795</v>
          </cell>
        </row>
        <row r="1342">
          <cell r="A1342">
            <v>902795</v>
          </cell>
        </row>
        <row r="1343">
          <cell r="A1343">
            <v>902795</v>
          </cell>
        </row>
        <row r="1344">
          <cell r="A1344">
            <v>902795</v>
          </cell>
        </row>
        <row r="1345">
          <cell r="A1345">
            <v>902806</v>
          </cell>
        </row>
        <row r="1346">
          <cell r="A1346">
            <v>902808</v>
          </cell>
        </row>
        <row r="1347">
          <cell r="A1347">
            <v>902808</v>
          </cell>
        </row>
        <row r="1348">
          <cell r="A1348">
            <v>902808</v>
          </cell>
        </row>
        <row r="1349">
          <cell r="A1349">
            <v>902808</v>
          </cell>
        </row>
        <row r="1350">
          <cell r="A1350">
            <v>902810</v>
          </cell>
        </row>
        <row r="1351">
          <cell r="A1351">
            <v>902810</v>
          </cell>
        </row>
        <row r="1352">
          <cell r="A1352">
            <v>902810</v>
          </cell>
        </row>
        <row r="1353">
          <cell r="A1353">
            <v>902810</v>
          </cell>
        </row>
        <row r="1354">
          <cell r="A1354">
            <v>902810</v>
          </cell>
        </row>
        <row r="1355">
          <cell r="A1355">
            <v>902810</v>
          </cell>
        </row>
        <row r="1356">
          <cell r="A1356">
            <v>902810</v>
          </cell>
        </row>
        <row r="1357">
          <cell r="A1357">
            <v>902810</v>
          </cell>
        </row>
        <row r="1358">
          <cell r="A1358">
            <v>902810</v>
          </cell>
        </row>
        <row r="1359">
          <cell r="A1359">
            <v>902810</v>
          </cell>
        </row>
        <row r="1360">
          <cell r="A1360">
            <v>902810</v>
          </cell>
        </row>
        <row r="1361">
          <cell r="A1361">
            <v>902810</v>
          </cell>
        </row>
        <row r="1362">
          <cell r="A1362">
            <v>902810</v>
          </cell>
        </row>
        <row r="1363">
          <cell r="A1363">
            <v>902810</v>
          </cell>
        </row>
        <row r="1364">
          <cell r="A1364">
            <v>902810</v>
          </cell>
        </row>
        <row r="1365">
          <cell r="A1365">
            <v>902810</v>
          </cell>
        </row>
        <row r="1366">
          <cell r="A1366">
            <v>902810</v>
          </cell>
        </row>
        <row r="1367">
          <cell r="A1367">
            <v>902810</v>
          </cell>
        </row>
        <row r="1368">
          <cell r="A1368">
            <v>902816</v>
          </cell>
        </row>
        <row r="1369">
          <cell r="A1369">
            <v>902816</v>
          </cell>
        </row>
        <row r="1370">
          <cell r="A1370">
            <v>902816</v>
          </cell>
        </row>
        <row r="1371">
          <cell r="A1371">
            <v>902816</v>
          </cell>
        </row>
        <row r="1372">
          <cell r="A1372">
            <v>902816</v>
          </cell>
        </row>
        <row r="1373">
          <cell r="A1373">
            <v>902816</v>
          </cell>
        </row>
        <row r="1374">
          <cell r="A1374">
            <v>902816</v>
          </cell>
        </row>
        <row r="1375">
          <cell r="A1375">
            <v>902826</v>
          </cell>
        </row>
        <row r="1376">
          <cell r="A1376">
            <v>902826</v>
          </cell>
        </row>
        <row r="1377">
          <cell r="A1377">
            <v>902826</v>
          </cell>
        </row>
        <row r="1378">
          <cell r="A1378">
            <v>902826</v>
          </cell>
        </row>
        <row r="1379">
          <cell r="A1379">
            <v>902826</v>
          </cell>
        </row>
        <row r="1380">
          <cell r="A1380">
            <v>902826</v>
          </cell>
        </row>
        <row r="1381">
          <cell r="A1381">
            <v>902827</v>
          </cell>
        </row>
        <row r="1382">
          <cell r="A1382">
            <v>902827</v>
          </cell>
        </row>
        <row r="1383">
          <cell r="A1383">
            <v>902827</v>
          </cell>
        </row>
        <row r="1384">
          <cell r="A1384">
            <v>902828</v>
          </cell>
        </row>
        <row r="1385">
          <cell r="A1385">
            <v>902828</v>
          </cell>
        </row>
        <row r="1386">
          <cell r="A1386">
            <v>902828</v>
          </cell>
        </row>
        <row r="1387">
          <cell r="A1387">
            <v>902829</v>
          </cell>
        </row>
        <row r="1388">
          <cell r="A1388">
            <v>902835</v>
          </cell>
        </row>
        <row r="1389">
          <cell r="A1389">
            <v>902835</v>
          </cell>
        </row>
        <row r="1390">
          <cell r="A1390">
            <v>902835</v>
          </cell>
        </row>
        <row r="1391">
          <cell r="A1391">
            <v>902835</v>
          </cell>
        </row>
        <row r="1392">
          <cell r="A1392">
            <v>902835</v>
          </cell>
        </row>
        <row r="1393">
          <cell r="A1393">
            <v>902835</v>
          </cell>
        </row>
        <row r="1394">
          <cell r="A1394">
            <v>902835</v>
          </cell>
        </row>
        <row r="1395">
          <cell r="A1395">
            <v>902835</v>
          </cell>
        </row>
        <row r="1396">
          <cell r="A1396">
            <v>902835</v>
          </cell>
        </row>
        <row r="1397">
          <cell r="A1397">
            <v>902835</v>
          </cell>
        </row>
        <row r="1398">
          <cell r="A1398">
            <v>902835</v>
          </cell>
        </row>
        <row r="1399">
          <cell r="A1399">
            <v>902835</v>
          </cell>
        </row>
        <row r="1400">
          <cell r="A1400">
            <v>902835</v>
          </cell>
        </row>
        <row r="1401">
          <cell r="A1401">
            <v>902835</v>
          </cell>
        </row>
        <row r="1402">
          <cell r="A1402">
            <v>902835</v>
          </cell>
        </row>
        <row r="1403">
          <cell r="A1403">
            <v>902835</v>
          </cell>
        </row>
        <row r="1404">
          <cell r="A1404">
            <v>902835</v>
          </cell>
        </row>
        <row r="1405">
          <cell r="A1405">
            <v>902835</v>
          </cell>
        </row>
        <row r="1406">
          <cell r="A1406">
            <v>902835</v>
          </cell>
        </row>
        <row r="1407">
          <cell r="A1407">
            <v>902835</v>
          </cell>
        </row>
        <row r="1408">
          <cell r="A1408">
            <v>902835</v>
          </cell>
        </row>
        <row r="1409">
          <cell r="A1409">
            <v>902835</v>
          </cell>
        </row>
        <row r="1410">
          <cell r="A1410">
            <v>902835</v>
          </cell>
        </row>
        <row r="1411">
          <cell r="A1411">
            <v>902835</v>
          </cell>
        </row>
        <row r="1412">
          <cell r="A1412">
            <v>902835</v>
          </cell>
        </row>
        <row r="1413">
          <cell r="A1413">
            <v>902835</v>
          </cell>
        </row>
        <row r="1414">
          <cell r="A1414">
            <v>902835</v>
          </cell>
        </row>
        <row r="1415">
          <cell r="A1415">
            <v>902835</v>
          </cell>
        </row>
        <row r="1416">
          <cell r="A1416">
            <v>902835</v>
          </cell>
        </row>
        <row r="1417">
          <cell r="A1417">
            <v>902835</v>
          </cell>
        </row>
        <row r="1418">
          <cell r="A1418">
            <v>902835</v>
          </cell>
        </row>
        <row r="1419">
          <cell r="A1419">
            <v>902835</v>
          </cell>
        </row>
        <row r="1420">
          <cell r="A1420">
            <v>902835</v>
          </cell>
        </row>
        <row r="1421">
          <cell r="A1421">
            <v>902835</v>
          </cell>
        </row>
        <row r="1422">
          <cell r="A1422">
            <v>902835</v>
          </cell>
        </row>
        <row r="1423">
          <cell r="A1423">
            <v>902835</v>
          </cell>
        </row>
        <row r="1424">
          <cell r="A1424">
            <v>902835</v>
          </cell>
        </row>
        <row r="1425">
          <cell r="A1425">
            <v>902835</v>
          </cell>
        </row>
        <row r="1426">
          <cell r="A1426">
            <v>902835</v>
          </cell>
        </row>
        <row r="1427">
          <cell r="A1427">
            <v>902835</v>
          </cell>
        </row>
        <row r="1428">
          <cell r="A1428">
            <v>902835</v>
          </cell>
        </row>
        <row r="1429">
          <cell r="A1429">
            <v>902835</v>
          </cell>
        </row>
        <row r="1430">
          <cell r="A1430">
            <v>902835</v>
          </cell>
        </row>
        <row r="1431">
          <cell r="A1431">
            <v>902857</v>
          </cell>
        </row>
        <row r="1432">
          <cell r="A1432">
            <v>902857</v>
          </cell>
        </row>
        <row r="1433">
          <cell r="A1433">
            <v>902857</v>
          </cell>
        </row>
        <row r="1434">
          <cell r="A1434">
            <v>999999</v>
          </cell>
        </row>
        <row r="1435">
          <cell r="A1435">
            <v>999999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952"/>
  <sheetViews>
    <sheetView zoomScale="80" zoomScaleNormal="80" workbookViewId="0">
      <pane xSplit="3" ySplit="4" topLeftCell="I5" activePane="bottomRight" state="frozen"/>
      <selection pane="topRight" activeCell="D1" sqref="D1"/>
      <selection pane="bottomLeft" activeCell="A4" sqref="A4"/>
      <selection pane="bottomRight" activeCell="M504" sqref="M504:N504"/>
    </sheetView>
  </sheetViews>
  <sheetFormatPr defaultRowHeight="20.5"/>
  <cols>
    <col min="1" max="1" width="9.7265625" style="8" customWidth="1"/>
    <col min="2" max="2" width="13.81640625" style="9" customWidth="1"/>
    <col min="3" max="3" width="22" style="10" customWidth="1"/>
    <col min="4" max="4" width="35.26953125" style="10" customWidth="1"/>
    <col min="5" max="5" width="23.54296875" style="10" customWidth="1"/>
    <col min="6" max="6" width="25.81640625" style="10" customWidth="1"/>
    <col min="7" max="7" width="8.7265625" style="11" customWidth="1"/>
    <col min="8" max="11" width="17" style="11" customWidth="1"/>
    <col min="12" max="12" width="14.453125" style="10" customWidth="1"/>
    <col min="13" max="13" width="12.36328125" style="10" customWidth="1"/>
    <col min="14" max="14" width="37" style="10" bestFit="1" customWidth="1"/>
    <col min="15" max="15" width="26.36328125" style="10" bestFit="1" customWidth="1"/>
    <col min="16" max="16" width="12.36328125" style="10" bestFit="1" customWidth="1"/>
    <col min="17" max="17" width="8.7265625" style="11"/>
    <col min="18" max="16384" width="8.7265625" style="10"/>
  </cols>
  <sheetData>
    <row r="1" spans="1:18" ht="20.5" hidden="1" customHeight="1">
      <c r="I1" s="12" t="s">
        <v>2386</v>
      </c>
    </row>
    <row r="2" spans="1:18" ht="15.5" hidden="1" customHeight="1">
      <c r="H2" s="13" t="s">
        <v>6</v>
      </c>
      <c r="I2" s="13" t="s">
        <v>2734</v>
      </c>
      <c r="J2" s="13" t="s">
        <v>2735</v>
      </c>
      <c r="K2" s="13" t="s">
        <v>2736</v>
      </c>
    </row>
    <row r="3" spans="1:18" ht="15.5" customHeight="1">
      <c r="B3" s="14" t="s">
        <v>2695</v>
      </c>
      <c r="C3" s="15"/>
      <c r="D3" s="15"/>
      <c r="E3" s="15"/>
      <c r="F3" s="15"/>
      <c r="G3" s="16"/>
      <c r="H3" s="34" t="s">
        <v>3</v>
      </c>
      <c r="I3" s="35"/>
      <c r="J3" s="35"/>
      <c r="K3" s="36"/>
      <c r="R3" s="20" t="s">
        <v>3039</v>
      </c>
    </row>
    <row r="4" spans="1:18" s="8" customFormat="1" ht="41">
      <c r="A4" s="6" t="s">
        <v>234</v>
      </c>
      <c r="B4" s="7" t="s">
        <v>0</v>
      </c>
      <c r="C4" s="6" t="s">
        <v>1175</v>
      </c>
      <c r="D4" s="6" t="s">
        <v>1176</v>
      </c>
      <c r="E4" s="6" t="s">
        <v>1</v>
      </c>
      <c r="F4" s="6" t="s">
        <v>2</v>
      </c>
      <c r="G4" s="6" t="s">
        <v>1177</v>
      </c>
      <c r="H4" s="7" t="s">
        <v>3192</v>
      </c>
      <c r="I4" s="7" t="s">
        <v>3193</v>
      </c>
      <c r="J4" s="7" t="s">
        <v>3194</v>
      </c>
      <c r="K4" s="7" t="s">
        <v>3195</v>
      </c>
      <c r="L4" s="7" t="s">
        <v>233</v>
      </c>
      <c r="M4" s="17" t="s">
        <v>2962</v>
      </c>
      <c r="N4" s="17" t="s">
        <v>2963</v>
      </c>
      <c r="O4" s="17" t="s">
        <v>2964</v>
      </c>
      <c r="P4" s="17" t="s">
        <v>2853</v>
      </c>
      <c r="Q4" s="37" t="s">
        <v>3028</v>
      </c>
      <c r="R4" s="19" t="s">
        <v>3189</v>
      </c>
    </row>
    <row r="5" spans="1:18" hidden="1">
      <c r="A5" s="21" t="s">
        <v>2861</v>
      </c>
      <c r="B5" s="22" t="s">
        <v>1408</v>
      </c>
      <c r="C5" s="21" t="s">
        <v>1658</v>
      </c>
      <c r="D5" s="21" t="s">
        <v>4</v>
      </c>
      <c r="E5" s="21" t="s">
        <v>5</v>
      </c>
      <c r="F5" s="21" t="s">
        <v>1409</v>
      </c>
      <c r="G5" s="3" t="s">
        <v>1449</v>
      </c>
      <c r="H5" s="3" t="s">
        <v>7</v>
      </c>
      <c r="I5" s="3" t="s">
        <v>7</v>
      </c>
      <c r="J5" s="3" t="s">
        <v>7</v>
      </c>
      <c r="K5" s="3" t="s">
        <v>7</v>
      </c>
      <c r="L5" s="3" t="s">
        <v>7</v>
      </c>
      <c r="M5" s="63" t="s">
        <v>340</v>
      </c>
      <c r="N5" s="63" t="s">
        <v>341</v>
      </c>
      <c r="O5" s="2" t="s">
        <v>1255</v>
      </c>
      <c r="P5" s="2" t="s">
        <v>2862</v>
      </c>
      <c r="Q5" s="3" t="s">
        <v>2856</v>
      </c>
    </row>
    <row r="6" spans="1:18" hidden="1">
      <c r="A6" s="21" t="s">
        <v>2861</v>
      </c>
      <c r="B6" s="22" t="s">
        <v>1413</v>
      </c>
      <c r="C6" s="21" t="s">
        <v>1673</v>
      </c>
      <c r="D6" s="21" t="s">
        <v>4</v>
      </c>
      <c r="E6" s="21" t="s">
        <v>10</v>
      </c>
      <c r="F6" s="21" t="s">
        <v>8</v>
      </c>
      <c r="G6" s="3" t="s">
        <v>1457</v>
      </c>
      <c r="H6" s="3" t="s">
        <v>7</v>
      </c>
      <c r="I6" s="3" t="s">
        <v>7</v>
      </c>
      <c r="J6" s="3" t="s">
        <v>7</v>
      </c>
      <c r="K6" s="3" t="s">
        <v>7</v>
      </c>
      <c r="L6" s="3" t="s">
        <v>7</v>
      </c>
      <c r="M6" s="2" t="s">
        <v>238</v>
      </c>
      <c r="N6" s="2" t="s">
        <v>239</v>
      </c>
      <c r="O6" s="2" t="s">
        <v>1255</v>
      </c>
      <c r="P6" s="2" t="s">
        <v>2860</v>
      </c>
      <c r="Q6" s="3" t="s">
        <v>2856</v>
      </c>
    </row>
    <row r="7" spans="1:18" hidden="1">
      <c r="A7" s="21" t="s">
        <v>2861</v>
      </c>
      <c r="B7" s="22" t="s">
        <v>1411</v>
      </c>
      <c r="C7" s="21" t="s">
        <v>1667</v>
      </c>
      <c r="D7" s="21" t="s">
        <v>4</v>
      </c>
      <c r="E7" s="21" t="s">
        <v>9</v>
      </c>
      <c r="F7" s="21" t="s">
        <v>8</v>
      </c>
      <c r="G7" s="3" t="s">
        <v>1419</v>
      </c>
      <c r="H7" s="3" t="s">
        <v>7</v>
      </c>
      <c r="I7" s="3" t="s">
        <v>7</v>
      </c>
      <c r="J7" s="3" t="s">
        <v>7</v>
      </c>
      <c r="K7" s="3" t="s">
        <v>7</v>
      </c>
      <c r="L7" s="3" t="s">
        <v>7</v>
      </c>
      <c r="M7" s="2" t="s">
        <v>338</v>
      </c>
      <c r="N7" s="2" t="s">
        <v>339</v>
      </c>
      <c r="O7" s="2" t="s">
        <v>1255</v>
      </c>
      <c r="P7" s="2" t="s">
        <v>2862</v>
      </c>
      <c r="Q7" s="3" t="s">
        <v>2856</v>
      </c>
    </row>
    <row r="8" spans="1:18" hidden="1">
      <c r="A8" s="21" t="s">
        <v>2861</v>
      </c>
      <c r="B8" s="22" t="s">
        <v>871</v>
      </c>
      <c r="C8" s="21" t="s">
        <v>1663</v>
      </c>
      <c r="D8" s="21" t="s">
        <v>4</v>
      </c>
      <c r="E8" s="21" t="s">
        <v>5</v>
      </c>
      <c r="F8" s="21" t="s">
        <v>1180</v>
      </c>
      <c r="G8" s="3" t="s">
        <v>1182</v>
      </c>
      <c r="H8" s="3" t="s">
        <v>7</v>
      </c>
      <c r="I8" s="3" t="s">
        <v>7</v>
      </c>
      <c r="J8" s="3" t="s">
        <v>7</v>
      </c>
      <c r="K8" s="3" t="s">
        <v>7</v>
      </c>
      <c r="L8" s="3" t="s">
        <v>7</v>
      </c>
      <c r="M8" s="2" t="s">
        <v>340</v>
      </c>
      <c r="N8" s="2" t="s">
        <v>341</v>
      </c>
      <c r="O8" s="2" t="s">
        <v>1255</v>
      </c>
      <c r="P8" s="2" t="s">
        <v>2862</v>
      </c>
      <c r="Q8" s="3" t="s">
        <v>2856</v>
      </c>
    </row>
    <row r="9" spans="1:18" hidden="1">
      <c r="A9" s="21" t="s">
        <v>2861</v>
      </c>
      <c r="B9" s="22" t="s">
        <v>869</v>
      </c>
      <c r="C9" s="21" t="s">
        <v>1659</v>
      </c>
      <c r="D9" s="21" t="s">
        <v>4</v>
      </c>
      <c r="E9" s="21" t="s">
        <v>5</v>
      </c>
      <c r="F9" s="21" t="s">
        <v>8</v>
      </c>
      <c r="G9" s="3" t="s">
        <v>1182</v>
      </c>
      <c r="H9" s="3" t="s">
        <v>7</v>
      </c>
      <c r="I9" s="3" t="s">
        <v>7</v>
      </c>
      <c r="J9" s="3" t="s">
        <v>7</v>
      </c>
      <c r="K9" s="3" t="s">
        <v>7</v>
      </c>
      <c r="L9" s="3" t="s">
        <v>7</v>
      </c>
      <c r="M9" s="2" t="s">
        <v>340</v>
      </c>
      <c r="N9" s="2" t="s">
        <v>341</v>
      </c>
      <c r="O9" s="2" t="s">
        <v>1255</v>
      </c>
      <c r="P9" s="2" t="s">
        <v>2862</v>
      </c>
      <c r="Q9" s="3" t="s">
        <v>2856</v>
      </c>
    </row>
    <row r="10" spans="1:18" hidden="1">
      <c r="A10" s="21" t="s">
        <v>2861</v>
      </c>
      <c r="B10" s="22" t="s">
        <v>1665</v>
      </c>
      <c r="C10" s="21" t="s">
        <v>1666</v>
      </c>
      <c r="D10" s="21" t="s">
        <v>4</v>
      </c>
      <c r="E10" s="21" t="s">
        <v>9</v>
      </c>
      <c r="F10" s="21" t="s">
        <v>1409</v>
      </c>
      <c r="G10" s="3" t="s">
        <v>1449</v>
      </c>
      <c r="H10" s="3" t="s">
        <v>55</v>
      </c>
      <c r="I10" s="3" t="s">
        <v>55</v>
      </c>
      <c r="J10" s="3" t="s">
        <v>55</v>
      </c>
      <c r="K10" s="3" t="s">
        <v>55</v>
      </c>
      <c r="L10" s="3" t="s">
        <v>55</v>
      </c>
      <c r="M10" s="2" t="s">
        <v>338</v>
      </c>
      <c r="N10" s="2" t="s">
        <v>339</v>
      </c>
      <c r="O10" s="2" t="s">
        <v>1255</v>
      </c>
      <c r="P10" s="2" t="s">
        <v>2862</v>
      </c>
      <c r="Q10" s="3" t="s">
        <v>2856</v>
      </c>
    </row>
    <row r="11" spans="1:18" hidden="1">
      <c r="A11" s="21" t="s">
        <v>2861</v>
      </c>
      <c r="B11" s="22" t="s">
        <v>876</v>
      </c>
      <c r="C11" s="21" t="s">
        <v>1676</v>
      </c>
      <c r="D11" s="21" t="s">
        <v>4</v>
      </c>
      <c r="E11" s="21" t="s">
        <v>11</v>
      </c>
      <c r="F11" s="21" t="s">
        <v>8</v>
      </c>
      <c r="G11" s="3" t="s">
        <v>1182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2" t="s">
        <v>286</v>
      </c>
      <c r="N11" s="2" t="s">
        <v>287</v>
      </c>
      <c r="O11" s="2" t="s">
        <v>1255</v>
      </c>
      <c r="P11" s="2" t="s">
        <v>2862</v>
      </c>
      <c r="Q11" s="3" t="s">
        <v>2856</v>
      </c>
    </row>
    <row r="12" spans="1:18" hidden="1">
      <c r="A12" s="21" t="s">
        <v>2861</v>
      </c>
      <c r="B12" s="22" t="s">
        <v>1674</v>
      </c>
      <c r="C12" s="21" t="s">
        <v>1675</v>
      </c>
      <c r="D12" s="21" t="s">
        <v>4</v>
      </c>
      <c r="E12" s="21" t="s">
        <v>11</v>
      </c>
      <c r="F12" s="21" t="s">
        <v>1409</v>
      </c>
      <c r="G12" s="3" t="s">
        <v>1437</v>
      </c>
      <c r="H12" s="3" t="s">
        <v>55</v>
      </c>
      <c r="I12" s="3" t="s">
        <v>55</v>
      </c>
      <c r="J12" s="3" t="s">
        <v>55</v>
      </c>
      <c r="K12" s="3" t="s">
        <v>55</v>
      </c>
      <c r="L12" s="3" t="s">
        <v>55</v>
      </c>
      <c r="M12" s="2" t="s">
        <v>286</v>
      </c>
      <c r="N12" s="2" t="s">
        <v>287</v>
      </c>
      <c r="O12" s="2" t="s">
        <v>1255</v>
      </c>
      <c r="P12" s="2" t="s">
        <v>2862</v>
      </c>
      <c r="Q12" s="3" t="s">
        <v>2856</v>
      </c>
    </row>
    <row r="13" spans="1:18" hidden="1">
      <c r="A13" s="21" t="s">
        <v>2861</v>
      </c>
      <c r="B13" s="22" t="s">
        <v>870</v>
      </c>
      <c r="C13" s="21" t="s">
        <v>1660</v>
      </c>
      <c r="D13" s="21" t="s">
        <v>4</v>
      </c>
      <c r="E13" s="21" t="s">
        <v>5</v>
      </c>
      <c r="F13" s="21" t="s">
        <v>8</v>
      </c>
      <c r="G13" s="3" t="s">
        <v>1189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2" t="s">
        <v>340</v>
      </c>
      <c r="N13" s="2" t="s">
        <v>341</v>
      </c>
      <c r="O13" s="2" t="s">
        <v>1255</v>
      </c>
      <c r="P13" s="2" t="s">
        <v>2862</v>
      </c>
      <c r="Q13" s="3" t="s">
        <v>2856</v>
      </c>
    </row>
    <row r="14" spans="1:18" hidden="1">
      <c r="A14" s="21" t="s">
        <v>2861</v>
      </c>
      <c r="B14" s="22" t="s">
        <v>877</v>
      </c>
      <c r="C14" s="21" t="s">
        <v>1678</v>
      </c>
      <c r="D14" s="21" t="s">
        <v>4</v>
      </c>
      <c r="E14" s="21" t="s">
        <v>11</v>
      </c>
      <c r="F14" s="21" t="s">
        <v>1180</v>
      </c>
      <c r="G14" s="3" t="s">
        <v>1189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2" t="s">
        <v>286</v>
      </c>
      <c r="N14" s="2" t="s">
        <v>287</v>
      </c>
      <c r="O14" s="2" t="s">
        <v>1255</v>
      </c>
      <c r="P14" s="2" t="s">
        <v>2862</v>
      </c>
      <c r="Q14" s="3" t="s">
        <v>2856</v>
      </c>
    </row>
    <row r="15" spans="1:18" hidden="1">
      <c r="A15" s="21" t="s">
        <v>2861</v>
      </c>
      <c r="B15" s="22" t="s">
        <v>872</v>
      </c>
      <c r="C15" s="21" t="s">
        <v>1664</v>
      </c>
      <c r="D15" s="21" t="s">
        <v>4</v>
      </c>
      <c r="E15" s="21" t="s">
        <v>5</v>
      </c>
      <c r="F15" s="21" t="s">
        <v>1180</v>
      </c>
      <c r="G15" s="3" t="s">
        <v>1189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68" t="s">
        <v>238</v>
      </c>
      <c r="N15" s="68" t="s">
        <v>239</v>
      </c>
      <c r="O15" s="2" t="s">
        <v>1255</v>
      </c>
      <c r="P15" s="2" t="s">
        <v>2862</v>
      </c>
      <c r="Q15" s="3" t="s">
        <v>2856</v>
      </c>
    </row>
    <row r="16" spans="1:18" hidden="1">
      <c r="A16" s="21" t="s">
        <v>2861</v>
      </c>
      <c r="B16" s="22" t="s">
        <v>873</v>
      </c>
      <c r="C16" s="21" t="s">
        <v>1668</v>
      </c>
      <c r="D16" s="21" t="s">
        <v>4</v>
      </c>
      <c r="E16" s="21" t="s">
        <v>9</v>
      </c>
      <c r="F16" s="21" t="s">
        <v>8</v>
      </c>
      <c r="G16" s="3" t="s">
        <v>1189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2" t="s">
        <v>338</v>
      </c>
      <c r="N16" s="2" t="s">
        <v>339</v>
      </c>
      <c r="O16" s="2" t="s">
        <v>1255</v>
      </c>
      <c r="P16" s="2" t="s">
        <v>2862</v>
      </c>
      <c r="Q16" s="3" t="s">
        <v>2856</v>
      </c>
    </row>
    <row r="17" spans="1:17" hidden="1">
      <c r="A17" s="21" t="s">
        <v>2861</v>
      </c>
      <c r="B17" s="22" t="s">
        <v>874</v>
      </c>
      <c r="C17" s="21" t="s">
        <v>1669</v>
      </c>
      <c r="D17" s="21" t="s">
        <v>4</v>
      </c>
      <c r="E17" s="21" t="s">
        <v>9</v>
      </c>
      <c r="F17" s="21" t="s">
        <v>8</v>
      </c>
      <c r="G17" s="3" t="s">
        <v>1189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2" t="s">
        <v>338</v>
      </c>
      <c r="N17" s="2" t="s">
        <v>339</v>
      </c>
      <c r="O17" s="2" t="s">
        <v>1255</v>
      </c>
      <c r="P17" s="2" t="s">
        <v>2862</v>
      </c>
      <c r="Q17" s="3" t="s">
        <v>2856</v>
      </c>
    </row>
    <row r="18" spans="1:17" hidden="1">
      <c r="A18" s="21" t="s">
        <v>2861</v>
      </c>
      <c r="B18" s="22" t="s">
        <v>875</v>
      </c>
      <c r="C18" s="21" t="s">
        <v>1672</v>
      </c>
      <c r="D18" s="21" t="s">
        <v>4</v>
      </c>
      <c r="E18" s="21" t="s">
        <v>9</v>
      </c>
      <c r="F18" s="21" t="s">
        <v>1180</v>
      </c>
      <c r="G18" s="3" t="s">
        <v>1189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2" t="s">
        <v>1247</v>
      </c>
      <c r="N18" s="2" t="s">
        <v>1256</v>
      </c>
      <c r="O18" s="2" t="s">
        <v>1255</v>
      </c>
      <c r="P18" s="2" t="s">
        <v>2862</v>
      </c>
      <c r="Q18" s="3" t="s">
        <v>2856</v>
      </c>
    </row>
    <row r="19" spans="1:17" hidden="1">
      <c r="A19" s="21" t="s">
        <v>2861</v>
      </c>
      <c r="B19" s="22" t="s">
        <v>1661</v>
      </c>
      <c r="C19" s="21" t="s">
        <v>1662</v>
      </c>
      <c r="D19" s="21" t="s">
        <v>4</v>
      </c>
      <c r="E19" s="21" t="s">
        <v>5</v>
      </c>
      <c r="F19" s="21" t="s">
        <v>1181</v>
      </c>
      <c r="G19" s="3" t="s">
        <v>1189</v>
      </c>
      <c r="H19" s="3" t="s">
        <v>3071</v>
      </c>
      <c r="I19" s="3" t="s">
        <v>7</v>
      </c>
      <c r="J19" s="3" t="s">
        <v>3071</v>
      </c>
      <c r="K19" s="3" t="s">
        <v>3071</v>
      </c>
      <c r="L19" s="3" t="s">
        <v>7</v>
      </c>
      <c r="M19" s="68" t="s">
        <v>238</v>
      </c>
      <c r="N19" s="68" t="s">
        <v>239</v>
      </c>
      <c r="O19" s="2" t="s">
        <v>1255</v>
      </c>
      <c r="P19" s="2" t="s">
        <v>2862</v>
      </c>
      <c r="Q19" s="3" t="s">
        <v>2856</v>
      </c>
    </row>
    <row r="20" spans="1:17" hidden="1">
      <c r="A20" s="21" t="s">
        <v>2861</v>
      </c>
      <c r="B20" s="22" t="s">
        <v>1670</v>
      </c>
      <c r="C20" s="21" t="s">
        <v>1671</v>
      </c>
      <c r="D20" s="21" t="s">
        <v>4</v>
      </c>
      <c r="E20" s="21" t="s">
        <v>9</v>
      </c>
      <c r="F20" s="21" t="s">
        <v>1181</v>
      </c>
      <c r="G20" s="3" t="s">
        <v>1189</v>
      </c>
      <c r="H20" s="3" t="s">
        <v>3071</v>
      </c>
      <c r="I20" s="3" t="s">
        <v>7</v>
      </c>
      <c r="J20" s="3" t="s">
        <v>3071</v>
      </c>
      <c r="K20" s="3" t="s">
        <v>3071</v>
      </c>
      <c r="L20" s="3" t="s">
        <v>7</v>
      </c>
      <c r="M20" s="63" t="s">
        <v>338</v>
      </c>
      <c r="N20" s="63" t="s">
        <v>339</v>
      </c>
      <c r="O20" s="2" t="s">
        <v>1255</v>
      </c>
      <c r="P20" s="2" t="s">
        <v>2862</v>
      </c>
      <c r="Q20" s="3" t="s">
        <v>2856</v>
      </c>
    </row>
    <row r="21" spans="1:17" hidden="1">
      <c r="A21" s="21" t="s">
        <v>2861</v>
      </c>
      <c r="B21" s="22" t="s">
        <v>1681</v>
      </c>
      <c r="C21" s="21" t="s">
        <v>1682</v>
      </c>
      <c r="D21" s="21" t="s">
        <v>4</v>
      </c>
      <c r="E21" s="21" t="s">
        <v>1680</v>
      </c>
      <c r="F21" s="21" t="s">
        <v>1637</v>
      </c>
      <c r="G21" s="3" t="s">
        <v>1198</v>
      </c>
      <c r="H21" s="3" t="s">
        <v>3071</v>
      </c>
      <c r="I21" s="3" t="s">
        <v>3071</v>
      </c>
      <c r="J21" s="3" t="s">
        <v>3071</v>
      </c>
      <c r="K21" s="3" t="s">
        <v>3071</v>
      </c>
      <c r="L21" s="3" t="s">
        <v>7</v>
      </c>
      <c r="M21" s="2" t="s">
        <v>1247</v>
      </c>
      <c r="N21" s="2" t="s">
        <v>1256</v>
      </c>
      <c r="O21" s="2" t="s">
        <v>1255</v>
      </c>
      <c r="P21" s="2" t="s">
        <v>2862</v>
      </c>
      <c r="Q21" s="3" t="s">
        <v>2856</v>
      </c>
    </row>
    <row r="22" spans="1:17" hidden="1">
      <c r="A22" s="21" t="s">
        <v>2861</v>
      </c>
      <c r="B22" s="22" t="s">
        <v>1679</v>
      </c>
      <c r="C22" s="21" t="s">
        <v>1668</v>
      </c>
      <c r="D22" s="21" t="s">
        <v>4</v>
      </c>
      <c r="E22" s="21" t="s">
        <v>1680</v>
      </c>
      <c r="F22" s="21" t="s">
        <v>1192</v>
      </c>
      <c r="G22" s="3" t="s">
        <v>1178</v>
      </c>
      <c r="H22" s="3" t="s">
        <v>55</v>
      </c>
      <c r="I22" s="3" t="s">
        <v>55</v>
      </c>
      <c r="J22" s="3" t="s">
        <v>55</v>
      </c>
      <c r="K22" s="3" t="s">
        <v>55</v>
      </c>
      <c r="L22" s="3" t="s">
        <v>55</v>
      </c>
      <c r="M22" s="2" t="s">
        <v>1247</v>
      </c>
      <c r="N22" s="2" t="s">
        <v>1256</v>
      </c>
      <c r="O22" s="2" t="s">
        <v>1255</v>
      </c>
      <c r="P22" s="2" t="s">
        <v>2862</v>
      </c>
      <c r="Q22" s="3" t="s">
        <v>2856</v>
      </c>
    </row>
    <row r="23" spans="1:17" hidden="1">
      <c r="A23" s="21" t="s">
        <v>2861</v>
      </c>
      <c r="B23" s="22" t="s">
        <v>1683</v>
      </c>
      <c r="C23" s="21" t="s">
        <v>1677</v>
      </c>
      <c r="D23" s="21" t="s">
        <v>4</v>
      </c>
      <c r="E23" s="21" t="s">
        <v>1680</v>
      </c>
      <c r="F23" s="21" t="s">
        <v>1181</v>
      </c>
      <c r="G23" s="3" t="s">
        <v>1412</v>
      </c>
      <c r="H23" s="3" t="s">
        <v>3071</v>
      </c>
      <c r="I23" s="3" t="s">
        <v>7</v>
      </c>
      <c r="J23" s="3" t="s">
        <v>3071</v>
      </c>
      <c r="K23" s="3" t="s">
        <v>3071</v>
      </c>
      <c r="L23" s="3" t="s">
        <v>7</v>
      </c>
      <c r="M23" s="2" t="s">
        <v>1247</v>
      </c>
      <c r="N23" s="2" t="s">
        <v>1256</v>
      </c>
      <c r="O23" s="2" t="s">
        <v>1255</v>
      </c>
      <c r="P23" s="2" t="s">
        <v>2862</v>
      </c>
      <c r="Q23" s="3" t="s">
        <v>2856</v>
      </c>
    </row>
    <row r="24" spans="1:17" hidden="1">
      <c r="A24" s="21" t="s">
        <v>2861</v>
      </c>
      <c r="B24" s="22" t="s">
        <v>2557</v>
      </c>
      <c r="C24" s="21" t="s">
        <v>2558</v>
      </c>
      <c r="D24" s="21" t="s">
        <v>4</v>
      </c>
      <c r="E24" s="21" t="s">
        <v>11</v>
      </c>
      <c r="F24" s="21" t="s">
        <v>1181</v>
      </c>
      <c r="G24" s="3" t="s">
        <v>1179</v>
      </c>
      <c r="H24" s="3" t="s">
        <v>3071</v>
      </c>
      <c r="I24" s="3" t="s">
        <v>7</v>
      </c>
      <c r="J24" s="3" t="s">
        <v>3071</v>
      </c>
      <c r="K24" s="3" t="s">
        <v>3071</v>
      </c>
      <c r="L24" s="3" t="s">
        <v>7</v>
      </c>
      <c r="M24" s="2" t="s">
        <v>286</v>
      </c>
      <c r="N24" s="2" t="s">
        <v>287</v>
      </c>
      <c r="O24" s="2" t="s">
        <v>1255</v>
      </c>
      <c r="P24" s="2" t="s">
        <v>2862</v>
      </c>
      <c r="Q24" s="3" t="s">
        <v>2856</v>
      </c>
    </row>
    <row r="25" spans="1:17" hidden="1">
      <c r="A25" s="21">
        <v>0</v>
      </c>
      <c r="B25" s="22" t="s">
        <v>3196</v>
      </c>
      <c r="C25" s="21" t="s">
        <v>3197</v>
      </c>
      <c r="D25" s="21" t="s">
        <v>12</v>
      </c>
      <c r="E25" s="21" t="s">
        <v>3198</v>
      </c>
      <c r="F25" s="21" t="s">
        <v>8</v>
      </c>
      <c r="G25" s="3" t="s">
        <v>1457</v>
      </c>
      <c r="H25" s="3" t="s">
        <v>7</v>
      </c>
      <c r="I25" s="3" t="s">
        <v>7</v>
      </c>
      <c r="J25" s="3" t="s">
        <v>7</v>
      </c>
      <c r="K25" s="3" t="s">
        <v>7</v>
      </c>
      <c r="L25" s="3" t="s">
        <v>7</v>
      </c>
      <c r="M25" s="2" t="s">
        <v>296</v>
      </c>
      <c r="N25" s="2" t="s">
        <v>3198</v>
      </c>
      <c r="O25" s="2">
        <v>0</v>
      </c>
      <c r="P25" s="2">
        <v>0</v>
      </c>
      <c r="Q25" s="3" t="s">
        <v>3199</v>
      </c>
    </row>
    <row r="26" spans="1:17" hidden="1">
      <c r="A26" s="21">
        <v>0</v>
      </c>
      <c r="B26" s="22" t="s">
        <v>3200</v>
      </c>
      <c r="C26" s="21" t="s">
        <v>3201</v>
      </c>
      <c r="D26" s="21" t="s">
        <v>12</v>
      </c>
      <c r="E26" s="21" t="s">
        <v>3198</v>
      </c>
      <c r="F26" s="21" t="s">
        <v>8</v>
      </c>
      <c r="G26" s="3" t="s">
        <v>1414</v>
      </c>
      <c r="H26" s="3" t="s">
        <v>7</v>
      </c>
      <c r="I26" s="3" t="s">
        <v>7</v>
      </c>
      <c r="J26" s="3" t="s">
        <v>7</v>
      </c>
      <c r="K26" s="3" t="s">
        <v>7</v>
      </c>
      <c r="L26" s="3" t="s">
        <v>7</v>
      </c>
      <c r="M26" s="2" t="s">
        <v>296</v>
      </c>
      <c r="N26" s="2" t="s">
        <v>3198</v>
      </c>
      <c r="O26" s="2">
        <v>0</v>
      </c>
      <c r="P26" s="2">
        <v>0</v>
      </c>
      <c r="Q26" s="3" t="s">
        <v>3199</v>
      </c>
    </row>
    <row r="27" spans="1:17" hidden="1">
      <c r="A27" s="21">
        <v>0</v>
      </c>
      <c r="B27" s="22" t="s">
        <v>3202</v>
      </c>
      <c r="C27" s="21" t="s">
        <v>3203</v>
      </c>
      <c r="D27" s="21" t="s">
        <v>12</v>
      </c>
      <c r="E27" s="21" t="s">
        <v>3198</v>
      </c>
      <c r="F27" s="21" t="s">
        <v>1180</v>
      </c>
      <c r="G27" s="3" t="s">
        <v>1414</v>
      </c>
      <c r="H27" s="3" t="s">
        <v>7</v>
      </c>
      <c r="I27" s="3" t="s">
        <v>7</v>
      </c>
      <c r="J27" s="3" t="s">
        <v>7</v>
      </c>
      <c r="K27" s="3" t="s">
        <v>7</v>
      </c>
      <c r="L27" s="3" t="s">
        <v>7</v>
      </c>
      <c r="M27" s="2" t="s">
        <v>296</v>
      </c>
      <c r="N27" s="2" t="s">
        <v>3198</v>
      </c>
      <c r="O27" s="2">
        <v>0</v>
      </c>
      <c r="P27" s="2">
        <v>0</v>
      </c>
      <c r="Q27" s="3" t="s">
        <v>3199</v>
      </c>
    </row>
    <row r="28" spans="1:17" hidden="1">
      <c r="A28" s="21" t="s">
        <v>2861</v>
      </c>
      <c r="B28" s="22" t="s">
        <v>1415</v>
      </c>
      <c r="C28" s="21" t="s">
        <v>1684</v>
      </c>
      <c r="D28" s="21" t="s">
        <v>12</v>
      </c>
      <c r="E28" s="21" t="s">
        <v>1183</v>
      </c>
      <c r="F28" s="21" t="s">
        <v>8</v>
      </c>
      <c r="G28" s="3" t="s">
        <v>1432</v>
      </c>
      <c r="H28" s="3" t="s">
        <v>7</v>
      </c>
      <c r="I28" s="3" t="s">
        <v>7</v>
      </c>
      <c r="J28" s="3" t="s">
        <v>7</v>
      </c>
      <c r="K28" s="3" t="s">
        <v>7</v>
      </c>
      <c r="L28" s="3" t="s">
        <v>7</v>
      </c>
      <c r="M28" s="2" t="s">
        <v>2383</v>
      </c>
      <c r="N28" s="2" t="s">
        <v>2863</v>
      </c>
      <c r="O28" s="2" t="s">
        <v>1258</v>
      </c>
      <c r="P28" s="2" t="s">
        <v>2862</v>
      </c>
      <c r="Q28" s="3" t="s">
        <v>2856</v>
      </c>
    </row>
    <row r="29" spans="1:17" hidden="1">
      <c r="A29" s="21" t="s">
        <v>2861</v>
      </c>
      <c r="B29" s="22" t="s">
        <v>878</v>
      </c>
      <c r="C29" s="21" t="s">
        <v>1685</v>
      </c>
      <c r="D29" s="21" t="s">
        <v>12</v>
      </c>
      <c r="E29" s="21" t="s">
        <v>1183</v>
      </c>
      <c r="F29" s="21" t="s">
        <v>8</v>
      </c>
      <c r="G29" s="3" t="s">
        <v>1414</v>
      </c>
      <c r="H29" s="3" t="s">
        <v>7</v>
      </c>
      <c r="I29" s="3" t="s">
        <v>7</v>
      </c>
      <c r="J29" s="3" t="s">
        <v>7</v>
      </c>
      <c r="K29" s="3" t="s">
        <v>7</v>
      </c>
      <c r="L29" s="3" t="s">
        <v>7</v>
      </c>
      <c r="M29" s="2" t="s">
        <v>2383</v>
      </c>
      <c r="N29" s="2" t="s">
        <v>2863</v>
      </c>
      <c r="O29" s="2" t="s">
        <v>1258</v>
      </c>
      <c r="P29" s="2" t="s">
        <v>2862</v>
      </c>
      <c r="Q29" s="3" t="s">
        <v>2856</v>
      </c>
    </row>
    <row r="30" spans="1:17" hidden="1">
      <c r="A30" s="21" t="s">
        <v>2861</v>
      </c>
      <c r="B30" s="22" t="s">
        <v>879</v>
      </c>
      <c r="C30" s="21" t="s">
        <v>1686</v>
      </c>
      <c r="D30" s="21" t="s">
        <v>12</v>
      </c>
      <c r="E30" s="21" t="s">
        <v>1183</v>
      </c>
      <c r="F30" s="21" t="s">
        <v>1180</v>
      </c>
      <c r="G30" s="3" t="s">
        <v>1414</v>
      </c>
      <c r="H30" s="3" t="s">
        <v>7</v>
      </c>
      <c r="I30" s="3" t="s">
        <v>7</v>
      </c>
      <c r="J30" s="3" t="s">
        <v>7</v>
      </c>
      <c r="K30" s="3" t="s">
        <v>7</v>
      </c>
      <c r="L30" s="3" t="s">
        <v>7</v>
      </c>
      <c r="M30" s="2" t="s">
        <v>2383</v>
      </c>
      <c r="N30" s="2" t="s">
        <v>2863</v>
      </c>
      <c r="O30" s="2" t="s">
        <v>1258</v>
      </c>
      <c r="P30" s="2" t="s">
        <v>2862</v>
      </c>
      <c r="Q30" s="3" t="s">
        <v>2856</v>
      </c>
    </row>
    <row r="31" spans="1:17" hidden="1">
      <c r="A31" s="21" t="s">
        <v>2871</v>
      </c>
      <c r="B31" s="22" t="s">
        <v>1692</v>
      </c>
      <c r="C31" s="21" t="s">
        <v>1693</v>
      </c>
      <c r="D31" s="21" t="s">
        <v>13</v>
      </c>
      <c r="E31" s="21" t="s">
        <v>16</v>
      </c>
      <c r="F31" s="21" t="s">
        <v>1181</v>
      </c>
      <c r="G31" s="3" t="s">
        <v>1416</v>
      </c>
      <c r="H31" s="3" t="s">
        <v>3071</v>
      </c>
      <c r="I31" s="3" t="s">
        <v>7</v>
      </c>
      <c r="J31" s="3" t="s">
        <v>3071</v>
      </c>
      <c r="K31" s="3" t="s">
        <v>3071</v>
      </c>
      <c r="L31" s="3" t="s">
        <v>7</v>
      </c>
      <c r="M31" s="2" t="s">
        <v>250</v>
      </c>
      <c r="N31" s="2" t="s">
        <v>251</v>
      </c>
      <c r="O31" s="2" t="s">
        <v>1280</v>
      </c>
      <c r="P31" s="2" t="s">
        <v>2872</v>
      </c>
      <c r="Q31" s="3" t="s">
        <v>2856</v>
      </c>
    </row>
    <row r="32" spans="1:17" hidden="1">
      <c r="A32" s="21" t="s">
        <v>2861</v>
      </c>
      <c r="B32" s="22" t="s">
        <v>1689</v>
      </c>
      <c r="C32" s="21" t="s">
        <v>1690</v>
      </c>
      <c r="D32" s="21" t="s">
        <v>13</v>
      </c>
      <c r="E32" s="21" t="s">
        <v>14</v>
      </c>
      <c r="F32" s="21" t="s">
        <v>15</v>
      </c>
      <c r="G32" s="3" t="s">
        <v>1752</v>
      </c>
      <c r="H32" s="3" t="s">
        <v>3071</v>
      </c>
      <c r="I32" s="3" t="s">
        <v>3071</v>
      </c>
      <c r="J32" s="3" t="s">
        <v>3071</v>
      </c>
      <c r="K32" s="3" t="s">
        <v>3071</v>
      </c>
      <c r="L32" s="3" t="s">
        <v>7</v>
      </c>
      <c r="M32" s="2" t="s">
        <v>322</v>
      </c>
      <c r="N32" s="2" t="s">
        <v>323</v>
      </c>
      <c r="O32" s="2" t="s">
        <v>1280</v>
      </c>
      <c r="P32" s="2" t="s">
        <v>2862</v>
      </c>
      <c r="Q32" s="3" t="s">
        <v>2856</v>
      </c>
    </row>
    <row r="33" spans="1:17" hidden="1">
      <c r="A33" s="21" t="s">
        <v>2861</v>
      </c>
      <c r="B33" s="22" t="s">
        <v>1417</v>
      </c>
      <c r="C33" s="21" t="s">
        <v>1687</v>
      </c>
      <c r="D33" s="21" t="s">
        <v>13</v>
      </c>
      <c r="E33" s="21" t="s">
        <v>14</v>
      </c>
      <c r="F33" s="21" t="s">
        <v>8</v>
      </c>
      <c r="G33" s="3" t="s">
        <v>1449</v>
      </c>
      <c r="H33" s="3" t="s">
        <v>7</v>
      </c>
      <c r="I33" s="3" t="s">
        <v>7</v>
      </c>
      <c r="J33" s="3" t="s">
        <v>7</v>
      </c>
      <c r="K33" s="3" t="s">
        <v>7</v>
      </c>
      <c r="L33" s="3" t="s">
        <v>7</v>
      </c>
      <c r="M33" s="2" t="s">
        <v>322</v>
      </c>
      <c r="N33" s="2" t="s">
        <v>323</v>
      </c>
      <c r="O33" s="2" t="s">
        <v>1280</v>
      </c>
      <c r="P33" s="2" t="s">
        <v>2862</v>
      </c>
      <c r="Q33" s="3" t="s">
        <v>2856</v>
      </c>
    </row>
    <row r="34" spans="1:17" hidden="1">
      <c r="A34" s="21" t="s">
        <v>2861</v>
      </c>
      <c r="B34" s="22" t="s">
        <v>880</v>
      </c>
      <c r="C34" s="21" t="s">
        <v>1688</v>
      </c>
      <c r="D34" s="21" t="s">
        <v>13</v>
      </c>
      <c r="E34" s="21" t="s">
        <v>14</v>
      </c>
      <c r="F34" s="21" t="s">
        <v>1181</v>
      </c>
      <c r="G34" s="3" t="s">
        <v>1182</v>
      </c>
      <c r="H34" s="3" t="s">
        <v>3071</v>
      </c>
      <c r="I34" s="3" t="s">
        <v>7</v>
      </c>
      <c r="J34" s="3" t="s">
        <v>3071</v>
      </c>
      <c r="K34" s="3" t="s">
        <v>3071</v>
      </c>
      <c r="L34" s="3" t="s">
        <v>7</v>
      </c>
      <c r="M34" s="2" t="s">
        <v>322</v>
      </c>
      <c r="N34" s="2" t="s">
        <v>323</v>
      </c>
      <c r="O34" s="2" t="s">
        <v>1280</v>
      </c>
      <c r="P34" s="2" t="s">
        <v>2862</v>
      </c>
      <c r="Q34" s="3" t="s">
        <v>2856</v>
      </c>
    </row>
    <row r="35" spans="1:17" hidden="1">
      <c r="A35" s="21" t="s">
        <v>2871</v>
      </c>
      <c r="B35" s="22" t="s">
        <v>881</v>
      </c>
      <c r="C35" s="21" t="s">
        <v>1691</v>
      </c>
      <c r="D35" s="21" t="s">
        <v>13</v>
      </c>
      <c r="E35" s="21" t="s">
        <v>16</v>
      </c>
      <c r="F35" s="21" t="s">
        <v>8</v>
      </c>
      <c r="G35" s="3" t="s">
        <v>1184</v>
      </c>
      <c r="H35" s="3" t="s">
        <v>7</v>
      </c>
      <c r="I35" s="3" t="s">
        <v>7</v>
      </c>
      <c r="J35" s="3" t="s">
        <v>7</v>
      </c>
      <c r="K35" s="3" t="s">
        <v>7</v>
      </c>
      <c r="L35" s="3" t="s">
        <v>7</v>
      </c>
      <c r="M35" s="2" t="s">
        <v>250</v>
      </c>
      <c r="N35" s="2" t="s">
        <v>251</v>
      </c>
      <c r="O35" s="2" t="s">
        <v>1280</v>
      </c>
      <c r="P35" s="2" t="s">
        <v>2872</v>
      </c>
      <c r="Q35" s="3" t="s">
        <v>2856</v>
      </c>
    </row>
    <row r="36" spans="1:17" hidden="1">
      <c r="A36" s="21" t="s">
        <v>2871</v>
      </c>
      <c r="B36" s="22" t="s">
        <v>3040</v>
      </c>
      <c r="C36" s="21" t="s">
        <v>3041</v>
      </c>
      <c r="D36" s="21" t="s">
        <v>13</v>
      </c>
      <c r="E36" s="21" t="s">
        <v>16</v>
      </c>
      <c r="F36" s="21" t="s">
        <v>1181</v>
      </c>
      <c r="G36" s="3" t="s">
        <v>2559</v>
      </c>
      <c r="H36" s="3" t="s">
        <v>3071</v>
      </c>
      <c r="I36" s="3" t="s">
        <v>7</v>
      </c>
      <c r="J36" s="3" t="s">
        <v>3071</v>
      </c>
      <c r="K36" s="3" t="s">
        <v>3071</v>
      </c>
      <c r="L36" s="3" t="s">
        <v>7</v>
      </c>
      <c r="M36" s="2" t="s">
        <v>250</v>
      </c>
      <c r="N36" s="2" t="s">
        <v>251</v>
      </c>
      <c r="O36" s="2" t="s">
        <v>1280</v>
      </c>
      <c r="P36" s="2" t="s">
        <v>2872</v>
      </c>
      <c r="Q36" s="3" t="s">
        <v>2856</v>
      </c>
    </row>
    <row r="37" spans="1:17" hidden="1">
      <c r="A37" s="21" t="s">
        <v>2861</v>
      </c>
      <c r="B37" s="22" t="s">
        <v>1418</v>
      </c>
      <c r="C37" s="21" t="s">
        <v>1694</v>
      </c>
      <c r="D37" s="21" t="s">
        <v>17</v>
      </c>
      <c r="E37" s="21" t="s">
        <v>18</v>
      </c>
      <c r="F37" s="21" t="s">
        <v>8</v>
      </c>
      <c r="G37" s="3" t="s">
        <v>1424</v>
      </c>
      <c r="H37" s="3" t="s">
        <v>7</v>
      </c>
      <c r="I37" s="3" t="s">
        <v>7</v>
      </c>
      <c r="J37" s="3" t="s">
        <v>7</v>
      </c>
      <c r="K37" s="3" t="s">
        <v>7</v>
      </c>
      <c r="L37" s="3" t="s">
        <v>7</v>
      </c>
      <c r="M37" s="2" t="s">
        <v>302</v>
      </c>
      <c r="N37" s="2" t="s">
        <v>303</v>
      </c>
      <c r="O37" s="2" t="s">
        <v>1257</v>
      </c>
      <c r="P37" s="2" t="s">
        <v>2862</v>
      </c>
      <c r="Q37" s="3" t="s">
        <v>2856</v>
      </c>
    </row>
    <row r="38" spans="1:17" hidden="1">
      <c r="A38" s="21" t="s">
        <v>2861</v>
      </c>
      <c r="B38" s="22" t="s">
        <v>882</v>
      </c>
      <c r="C38" s="21" t="s">
        <v>1695</v>
      </c>
      <c r="D38" s="21" t="s">
        <v>17</v>
      </c>
      <c r="E38" s="21" t="s">
        <v>18</v>
      </c>
      <c r="F38" s="21" t="s">
        <v>1180</v>
      </c>
      <c r="G38" s="3" t="s">
        <v>1414</v>
      </c>
      <c r="H38" s="3" t="s">
        <v>7</v>
      </c>
      <c r="I38" s="3" t="s">
        <v>7</v>
      </c>
      <c r="J38" s="3" t="s">
        <v>7</v>
      </c>
      <c r="K38" s="3" t="s">
        <v>7</v>
      </c>
      <c r="L38" s="3" t="s">
        <v>7</v>
      </c>
      <c r="M38" s="2" t="s">
        <v>302</v>
      </c>
      <c r="N38" s="2" t="s">
        <v>303</v>
      </c>
      <c r="O38" s="2" t="s">
        <v>1257</v>
      </c>
      <c r="P38" s="2" t="s">
        <v>2862</v>
      </c>
      <c r="Q38" s="3" t="s">
        <v>2856</v>
      </c>
    </row>
    <row r="39" spans="1:17" hidden="1">
      <c r="A39" s="21" t="s">
        <v>2861</v>
      </c>
      <c r="B39" s="22" t="s">
        <v>3204</v>
      </c>
      <c r="C39" s="21" t="s">
        <v>3205</v>
      </c>
      <c r="D39" s="21" t="s">
        <v>17</v>
      </c>
      <c r="E39" s="21" t="s">
        <v>18</v>
      </c>
      <c r="F39" s="21" t="s">
        <v>1181</v>
      </c>
      <c r="G39" s="3" t="s">
        <v>2559</v>
      </c>
      <c r="H39" s="3" t="s">
        <v>3071</v>
      </c>
      <c r="I39" s="3" t="s">
        <v>7</v>
      </c>
      <c r="J39" s="3" t="s">
        <v>3071</v>
      </c>
      <c r="K39" s="3" t="s">
        <v>3071</v>
      </c>
      <c r="L39" s="3" t="s">
        <v>7</v>
      </c>
      <c r="M39" s="2" t="s">
        <v>302</v>
      </c>
      <c r="N39" s="2" t="s">
        <v>303</v>
      </c>
      <c r="O39" s="2" t="s">
        <v>1257</v>
      </c>
      <c r="P39" s="2" t="s">
        <v>2862</v>
      </c>
      <c r="Q39" s="3" t="s">
        <v>2856</v>
      </c>
    </row>
    <row r="40" spans="1:17" hidden="1">
      <c r="A40" s="21" t="s">
        <v>2861</v>
      </c>
      <c r="B40" s="22" t="s">
        <v>883</v>
      </c>
      <c r="C40" s="21" t="s">
        <v>1696</v>
      </c>
      <c r="D40" s="21" t="s">
        <v>19</v>
      </c>
      <c r="E40" s="21" t="s">
        <v>20</v>
      </c>
      <c r="F40" s="21" t="s">
        <v>8</v>
      </c>
      <c r="G40" s="3" t="s">
        <v>1430</v>
      </c>
      <c r="H40" s="3" t="s">
        <v>7</v>
      </c>
      <c r="I40" s="3" t="s">
        <v>7</v>
      </c>
      <c r="J40" s="3" t="s">
        <v>7</v>
      </c>
      <c r="K40" s="3" t="s">
        <v>7</v>
      </c>
      <c r="L40" s="3" t="s">
        <v>7</v>
      </c>
      <c r="M40" s="2" t="s">
        <v>308</v>
      </c>
      <c r="N40" s="2" t="s">
        <v>1270</v>
      </c>
      <c r="O40" s="2" t="s">
        <v>1269</v>
      </c>
      <c r="P40" s="2" t="s">
        <v>2865</v>
      </c>
      <c r="Q40" s="3" t="s">
        <v>2856</v>
      </c>
    </row>
    <row r="41" spans="1:17" hidden="1">
      <c r="A41" s="21" t="s">
        <v>2861</v>
      </c>
      <c r="B41" s="22" t="s">
        <v>1420</v>
      </c>
      <c r="C41" s="21" t="s">
        <v>1697</v>
      </c>
      <c r="D41" s="21" t="s">
        <v>19</v>
      </c>
      <c r="E41" s="21" t="s">
        <v>20</v>
      </c>
      <c r="F41" s="21" t="s">
        <v>8</v>
      </c>
      <c r="G41" s="3" t="s">
        <v>1419</v>
      </c>
      <c r="H41" s="3" t="s">
        <v>7</v>
      </c>
      <c r="I41" s="3" t="s">
        <v>7</v>
      </c>
      <c r="J41" s="3" t="s">
        <v>7</v>
      </c>
      <c r="K41" s="3" t="s">
        <v>7</v>
      </c>
      <c r="L41" s="3" t="s">
        <v>7</v>
      </c>
      <c r="M41" s="2" t="s">
        <v>308</v>
      </c>
      <c r="N41" s="2" t="s">
        <v>1270</v>
      </c>
      <c r="O41" s="2" t="s">
        <v>1269</v>
      </c>
      <c r="P41" s="2" t="s">
        <v>2865</v>
      </c>
      <c r="Q41" s="3" t="s">
        <v>2856</v>
      </c>
    </row>
    <row r="42" spans="1:17" hidden="1">
      <c r="A42" s="21" t="s">
        <v>2861</v>
      </c>
      <c r="B42" s="22" t="s">
        <v>885</v>
      </c>
      <c r="C42" s="21" t="s">
        <v>1700</v>
      </c>
      <c r="D42" s="21" t="s">
        <v>19</v>
      </c>
      <c r="E42" s="21" t="s">
        <v>21</v>
      </c>
      <c r="F42" s="21" t="s">
        <v>1181</v>
      </c>
      <c r="G42" s="3" t="s">
        <v>1182</v>
      </c>
      <c r="H42" s="3" t="s">
        <v>3071</v>
      </c>
      <c r="I42" s="3" t="s">
        <v>7</v>
      </c>
      <c r="J42" s="3" t="s">
        <v>3071</v>
      </c>
      <c r="K42" s="3" t="s">
        <v>3071</v>
      </c>
      <c r="L42" s="3" t="s">
        <v>7</v>
      </c>
      <c r="M42" s="2" t="s">
        <v>290</v>
      </c>
      <c r="N42" s="2" t="s">
        <v>291</v>
      </c>
      <c r="O42" s="2" t="s">
        <v>1269</v>
      </c>
      <c r="P42" s="2" t="s">
        <v>2865</v>
      </c>
      <c r="Q42" s="3" t="s">
        <v>2856</v>
      </c>
    </row>
    <row r="43" spans="1:17" hidden="1">
      <c r="A43" s="21" t="s">
        <v>2861</v>
      </c>
      <c r="B43" s="22" t="s">
        <v>884</v>
      </c>
      <c r="C43" s="21" t="s">
        <v>1698</v>
      </c>
      <c r="D43" s="21" t="s">
        <v>19</v>
      </c>
      <c r="E43" s="21" t="s">
        <v>20</v>
      </c>
      <c r="F43" s="21" t="s">
        <v>8</v>
      </c>
      <c r="G43" s="3" t="s">
        <v>1184</v>
      </c>
      <c r="H43" s="3" t="s">
        <v>7</v>
      </c>
      <c r="I43" s="3" t="s">
        <v>7</v>
      </c>
      <c r="J43" s="3" t="s">
        <v>7</v>
      </c>
      <c r="K43" s="3" t="s">
        <v>7</v>
      </c>
      <c r="L43" s="3" t="s">
        <v>7</v>
      </c>
      <c r="M43" s="2" t="s">
        <v>308</v>
      </c>
      <c r="N43" s="2" t="s">
        <v>1270</v>
      </c>
      <c r="O43" s="2" t="s">
        <v>1269</v>
      </c>
      <c r="P43" s="2" t="s">
        <v>2865</v>
      </c>
      <c r="Q43" s="3" t="s">
        <v>2856</v>
      </c>
    </row>
    <row r="44" spans="1:17" hidden="1">
      <c r="A44" s="21" t="s">
        <v>2861</v>
      </c>
      <c r="B44" s="22" t="s">
        <v>1421</v>
      </c>
      <c r="C44" s="21" t="s">
        <v>1699</v>
      </c>
      <c r="D44" s="21" t="s">
        <v>19</v>
      </c>
      <c r="E44" s="21" t="s">
        <v>21</v>
      </c>
      <c r="F44" s="21" t="s">
        <v>1422</v>
      </c>
      <c r="G44" s="3" t="s">
        <v>1189</v>
      </c>
      <c r="H44" s="3" t="s">
        <v>7</v>
      </c>
      <c r="I44" s="3" t="s">
        <v>7</v>
      </c>
      <c r="J44" s="3" t="s">
        <v>7</v>
      </c>
      <c r="K44" s="3" t="s">
        <v>7</v>
      </c>
      <c r="L44" s="3" t="s">
        <v>7</v>
      </c>
      <c r="M44" s="2" t="s">
        <v>290</v>
      </c>
      <c r="N44" s="2" t="s">
        <v>291</v>
      </c>
      <c r="O44" s="2" t="s">
        <v>1269</v>
      </c>
      <c r="P44" s="2" t="s">
        <v>2865</v>
      </c>
      <c r="Q44" s="3" t="s">
        <v>2856</v>
      </c>
    </row>
    <row r="45" spans="1:17" hidden="1">
      <c r="A45" s="21" t="s">
        <v>2861</v>
      </c>
      <c r="B45" s="22" t="s">
        <v>886</v>
      </c>
      <c r="C45" s="21" t="s">
        <v>1701</v>
      </c>
      <c r="D45" s="21" t="s">
        <v>19</v>
      </c>
      <c r="E45" s="21" t="s">
        <v>21</v>
      </c>
      <c r="F45" s="21" t="s">
        <v>1180</v>
      </c>
      <c r="G45" s="3" t="s">
        <v>1198</v>
      </c>
      <c r="H45" s="3" t="s">
        <v>7</v>
      </c>
      <c r="I45" s="3" t="s">
        <v>7</v>
      </c>
      <c r="J45" s="3" t="s">
        <v>7</v>
      </c>
      <c r="K45" s="3" t="s">
        <v>7</v>
      </c>
      <c r="L45" s="3" t="s">
        <v>7</v>
      </c>
      <c r="M45" s="2" t="s">
        <v>290</v>
      </c>
      <c r="N45" s="2" t="s">
        <v>291</v>
      </c>
      <c r="O45" s="2" t="s">
        <v>1269</v>
      </c>
      <c r="P45" s="2" t="s">
        <v>2865</v>
      </c>
      <c r="Q45" s="3" t="s">
        <v>2856</v>
      </c>
    </row>
    <row r="46" spans="1:17" hidden="1">
      <c r="A46" s="21" t="s">
        <v>2861</v>
      </c>
      <c r="B46" s="22" t="s">
        <v>1423</v>
      </c>
      <c r="C46" s="21" t="s">
        <v>1702</v>
      </c>
      <c r="D46" s="21" t="s">
        <v>22</v>
      </c>
      <c r="E46" s="21" t="s">
        <v>23</v>
      </c>
      <c r="F46" s="21" t="s">
        <v>8</v>
      </c>
      <c r="G46" s="3" t="s">
        <v>1485</v>
      </c>
      <c r="H46" s="3" t="s">
        <v>7</v>
      </c>
      <c r="I46" s="3" t="s">
        <v>7</v>
      </c>
      <c r="J46" s="3" t="s">
        <v>7</v>
      </c>
      <c r="K46" s="3" t="s">
        <v>7</v>
      </c>
      <c r="L46" s="3" t="s">
        <v>7</v>
      </c>
      <c r="M46" s="2" t="s">
        <v>312</v>
      </c>
      <c r="N46" s="2" t="s">
        <v>313</v>
      </c>
      <c r="O46" s="2" t="s">
        <v>1271</v>
      </c>
      <c r="P46" s="2" t="s">
        <v>2862</v>
      </c>
      <c r="Q46" s="3" t="s">
        <v>2856</v>
      </c>
    </row>
    <row r="47" spans="1:17" hidden="1">
      <c r="A47" s="21" t="s">
        <v>2861</v>
      </c>
      <c r="B47" s="22" t="s">
        <v>2546</v>
      </c>
      <c r="C47" s="21" t="s">
        <v>2547</v>
      </c>
      <c r="D47" s="21" t="s">
        <v>22</v>
      </c>
      <c r="E47" s="21" t="s">
        <v>23</v>
      </c>
      <c r="F47" s="21" t="s">
        <v>1181</v>
      </c>
      <c r="G47" s="3" t="s">
        <v>2750</v>
      </c>
      <c r="H47" s="3" t="s">
        <v>3071</v>
      </c>
      <c r="I47" s="3" t="s">
        <v>7</v>
      </c>
      <c r="J47" s="3" t="s">
        <v>3071</v>
      </c>
      <c r="K47" s="3" t="s">
        <v>3071</v>
      </c>
      <c r="L47" s="3" t="s">
        <v>7</v>
      </c>
      <c r="M47" s="2" t="s">
        <v>312</v>
      </c>
      <c r="N47" s="2" t="s">
        <v>313</v>
      </c>
      <c r="O47" s="2" t="s">
        <v>1271</v>
      </c>
      <c r="P47" s="2" t="s">
        <v>2862</v>
      </c>
      <c r="Q47" s="3" t="s">
        <v>2856</v>
      </c>
    </row>
    <row r="48" spans="1:17" hidden="1">
      <c r="A48" s="21" t="s">
        <v>2861</v>
      </c>
      <c r="B48" s="22" t="s">
        <v>1425</v>
      </c>
      <c r="C48" s="21" t="s">
        <v>1703</v>
      </c>
      <c r="D48" s="21" t="s">
        <v>22</v>
      </c>
      <c r="E48" s="21" t="s">
        <v>23</v>
      </c>
      <c r="F48" s="21" t="s">
        <v>8</v>
      </c>
      <c r="G48" s="3" t="s">
        <v>1424</v>
      </c>
      <c r="H48" s="3" t="s">
        <v>7</v>
      </c>
      <c r="I48" s="3" t="s">
        <v>7</v>
      </c>
      <c r="J48" s="3" t="s">
        <v>7</v>
      </c>
      <c r="K48" s="3" t="s">
        <v>7</v>
      </c>
      <c r="L48" s="3" t="s">
        <v>7</v>
      </c>
      <c r="M48" s="2" t="s">
        <v>312</v>
      </c>
      <c r="N48" s="2" t="s">
        <v>313</v>
      </c>
      <c r="O48" s="2" t="s">
        <v>1271</v>
      </c>
      <c r="P48" s="2" t="s">
        <v>2862</v>
      </c>
      <c r="Q48" s="3" t="s">
        <v>2856</v>
      </c>
    </row>
    <row r="49" spans="1:17" hidden="1">
      <c r="A49" s="21" t="s">
        <v>2861</v>
      </c>
      <c r="B49" s="22" t="s">
        <v>887</v>
      </c>
      <c r="C49" s="21" t="s">
        <v>1705</v>
      </c>
      <c r="D49" s="21" t="s">
        <v>22</v>
      </c>
      <c r="E49" s="21" t="s">
        <v>23</v>
      </c>
      <c r="F49" s="21" t="s">
        <v>1180</v>
      </c>
      <c r="G49" s="3" t="s">
        <v>1187</v>
      </c>
      <c r="H49" s="3" t="s">
        <v>7</v>
      </c>
      <c r="I49" s="3" t="s">
        <v>7</v>
      </c>
      <c r="J49" s="3" t="s">
        <v>7</v>
      </c>
      <c r="K49" s="3" t="s">
        <v>7</v>
      </c>
      <c r="L49" s="3" t="s">
        <v>7</v>
      </c>
      <c r="M49" s="2" t="s">
        <v>312</v>
      </c>
      <c r="N49" s="2" t="s">
        <v>313</v>
      </c>
      <c r="O49" s="2" t="s">
        <v>1271</v>
      </c>
      <c r="P49" s="2" t="s">
        <v>2862</v>
      </c>
      <c r="Q49" s="3" t="s">
        <v>2856</v>
      </c>
    </row>
    <row r="50" spans="1:17" hidden="1">
      <c r="A50" s="21" t="s">
        <v>2861</v>
      </c>
      <c r="B50" s="22" t="s">
        <v>888</v>
      </c>
      <c r="C50" s="21" t="s">
        <v>1706</v>
      </c>
      <c r="D50" s="21" t="s">
        <v>24</v>
      </c>
      <c r="E50" s="21" t="s">
        <v>25</v>
      </c>
      <c r="F50" s="21" t="s">
        <v>8</v>
      </c>
      <c r="G50" s="3" t="s">
        <v>1414</v>
      </c>
      <c r="H50" s="3" t="s">
        <v>7</v>
      </c>
      <c r="I50" s="3" t="s">
        <v>7</v>
      </c>
      <c r="J50" s="3" t="s">
        <v>7</v>
      </c>
      <c r="K50" s="3" t="s">
        <v>7</v>
      </c>
      <c r="L50" s="3" t="s">
        <v>7</v>
      </c>
      <c r="M50" s="2" t="s">
        <v>316</v>
      </c>
      <c r="N50" s="2" t="s">
        <v>1262</v>
      </c>
      <c r="O50" s="2" t="s">
        <v>1261</v>
      </c>
      <c r="P50" s="2" t="s">
        <v>2864</v>
      </c>
      <c r="Q50" s="3" t="s">
        <v>2856</v>
      </c>
    </row>
    <row r="51" spans="1:17" hidden="1">
      <c r="A51" s="21" t="s">
        <v>2861</v>
      </c>
      <c r="B51" s="22" t="s">
        <v>889</v>
      </c>
      <c r="C51" s="21" t="s">
        <v>1709</v>
      </c>
      <c r="D51" s="21" t="s">
        <v>24</v>
      </c>
      <c r="E51" s="21" t="s">
        <v>25</v>
      </c>
      <c r="F51" s="21" t="s">
        <v>1180</v>
      </c>
      <c r="G51" s="3" t="s">
        <v>1414</v>
      </c>
      <c r="H51" s="3" t="s">
        <v>7</v>
      </c>
      <c r="I51" s="3" t="s">
        <v>7</v>
      </c>
      <c r="J51" s="3" t="s">
        <v>7</v>
      </c>
      <c r="K51" s="3" t="s">
        <v>7</v>
      </c>
      <c r="L51" s="3" t="s">
        <v>7</v>
      </c>
      <c r="M51" s="2" t="s">
        <v>316</v>
      </c>
      <c r="N51" s="2" t="s">
        <v>1262</v>
      </c>
      <c r="O51" s="2" t="s">
        <v>1261</v>
      </c>
      <c r="P51" s="2" t="s">
        <v>2864</v>
      </c>
      <c r="Q51" s="3" t="s">
        <v>2856</v>
      </c>
    </row>
    <row r="52" spans="1:17" hidden="1">
      <c r="A52" s="21" t="s">
        <v>2861</v>
      </c>
      <c r="B52" s="22" t="s">
        <v>1427</v>
      </c>
      <c r="C52" s="21" t="s">
        <v>1710</v>
      </c>
      <c r="D52" s="21" t="s">
        <v>24</v>
      </c>
      <c r="E52" s="21" t="s">
        <v>25</v>
      </c>
      <c r="F52" s="21" t="s">
        <v>1180</v>
      </c>
      <c r="G52" s="3" t="s">
        <v>1419</v>
      </c>
      <c r="H52" s="3" t="s">
        <v>7</v>
      </c>
      <c r="I52" s="3" t="s">
        <v>7</v>
      </c>
      <c r="J52" s="3" t="s">
        <v>7</v>
      </c>
      <c r="K52" s="3" t="s">
        <v>7</v>
      </c>
      <c r="L52" s="3" t="s">
        <v>7</v>
      </c>
      <c r="M52" s="2" t="s">
        <v>316</v>
      </c>
      <c r="N52" s="2" t="s">
        <v>1262</v>
      </c>
      <c r="O52" s="2" t="s">
        <v>1261</v>
      </c>
      <c r="P52" s="2" t="s">
        <v>2864</v>
      </c>
      <c r="Q52" s="3" t="s">
        <v>2856</v>
      </c>
    </row>
    <row r="53" spans="1:17" hidden="1">
      <c r="A53" s="21" t="s">
        <v>2861</v>
      </c>
      <c r="B53" s="22" t="s">
        <v>890</v>
      </c>
      <c r="C53" s="21" t="s">
        <v>1711</v>
      </c>
      <c r="D53" s="21" t="s">
        <v>24</v>
      </c>
      <c r="E53" s="21" t="s">
        <v>25</v>
      </c>
      <c r="F53" s="21" t="s">
        <v>1180</v>
      </c>
      <c r="G53" s="3" t="s">
        <v>1184</v>
      </c>
      <c r="H53" s="3" t="s">
        <v>7</v>
      </c>
      <c r="I53" s="3" t="s">
        <v>7</v>
      </c>
      <c r="J53" s="3" t="s">
        <v>7</v>
      </c>
      <c r="K53" s="3" t="s">
        <v>7</v>
      </c>
      <c r="L53" s="3" t="s">
        <v>7</v>
      </c>
      <c r="M53" s="2" t="s">
        <v>316</v>
      </c>
      <c r="N53" s="2" t="s">
        <v>1262</v>
      </c>
      <c r="O53" s="2" t="s">
        <v>1261</v>
      </c>
      <c r="P53" s="2" t="s">
        <v>2864</v>
      </c>
      <c r="Q53" s="3" t="s">
        <v>2856</v>
      </c>
    </row>
    <row r="54" spans="1:17" hidden="1">
      <c r="A54" s="21" t="s">
        <v>2861</v>
      </c>
      <c r="B54" s="22" t="s">
        <v>1428</v>
      </c>
      <c r="C54" s="21" t="s">
        <v>1713</v>
      </c>
      <c r="D54" s="21" t="s">
        <v>24</v>
      </c>
      <c r="E54" s="21" t="s">
        <v>1429</v>
      </c>
      <c r="F54" s="21" t="s">
        <v>8</v>
      </c>
      <c r="G54" s="3" t="s">
        <v>1416</v>
      </c>
      <c r="H54" s="3" t="s">
        <v>7</v>
      </c>
      <c r="I54" s="3" t="s">
        <v>7</v>
      </c>
      <c r="J54" s="3" t="s">
        <v>7</v>
      </c>
      <c r="K54" s="3" t="s">
        <v>7</v>
      </c>
      <c r="L54" s="3" t="s">
        <v>7</v>
      </c>
      <c r="M54" s="2" t="s">
        <v>328</v>
      </c>
      <c r="N54" s="2" t="s">
        <v>1263</v>
      </c>
      <c r="O54" s="2" t="s">
        <v>1261</v>
      </c>
      <c r="P54" s="2" t="s">
        <v>2864</v>
      </c>
      <c r="Q54" s="3" t="s">
        <v>2856</v>
      </c>
    </row>
    <row r="55" spans="1:17" hidden="1">
      <c r="A55" s="21" t="s">
        <v>2861</v>
      </c>
      <c r="B55" s="22" t="s">
        <v>891</v>
      </c>
      <c r="C55" s="21" t="s">
        <v>1712</v>
      </c>
      <c r="D55" s="21" t="s">
        <v>24</v>
      </c>
      <c r="E55" s="21" t="s">
        <v>25</v>
      </c>
      <c r="F55" s="21" t="s">
        <v>1180</v>
      </c>
      <c r="G55" s="3" t="s">
        <v>1182</v>
      </c>
      <c r="H55" s="3" t="s">
        <v>7</v>
      </c>
      <c r="I55" s="3" t="s">
        <v>7</v>
      </c>
      <c r="J55" s="3" t="s">
        <v>7</v>
      </c>
      <c r="K55" s="3" t="s">
        <v>7</v>
      </c>
      <c r="L55" s="3" t="s">
        <v>7</v>
      </c>
      <c r="M55" s="63" t="s">
        <v>328</v>
      </c>
      <c r="N55" s="63" t="s">
        <v>1263</v>
      </c>
      <c r="O55" s="2" t="s">
        <v>1261</v>
      </c>
      <c r="P55" s="2" t="s">
        <v>2864</v>
      </c>
      <c r="Q55" s="3" t="s">
        <v>2856</v>
      </c>
    </row>
    <row r="56" spans="1:17" hidden="1">
      <c r="A56" s="21" t="s">
        <v>2861</v>
      </c>
      <c r="B56" s="22" t="s">
        <v>1707</v>
      </c>
      <c r="C56" s="21" t="s">
        <v>1708</v>
      </c>
      <c r="D56" s="21" t="s">
        <v>24</v>
      </c>
      <c r="E56" s="21" t="s">
        <v>25</v>
      </c>
      <c r="F56" s="21" t="s">
        <v>1637</v>
      </c>
      <c r="G56" s="3" t="s">
        <v>1182</v>
      </c>
      <c r="H56" s="3" t="s">
        <v>3071</v>
      </c>
      <c r="I56" s="3" t="s">
        <v>3071</v>
      </c>
      <c r="J56" s="3" t="s">
        <v>3071</v>
      </c>
      <c r="K56" s="3" t="s">
        <v>3071</v>
      </c>
      <c r="L56" s="3" t="s">
        <v>7</v>
      </c>
      <c r="M56" s="63" t="s">
        <v>328</v>
      </c>
      <c r="N56" s="63" t="s">
        <v>1263</v>
      </c>
      <c r="O56" s="2" t="s">
        <v>1261</v>
      </c>
      <c r="P56" s="2" t="s">
        <v>2864</v>
      </c>
      <c r="Q56" s="3" t="s">
        <v>2856</v>
      </c>
    </row>
    <row r="57" spans="1:17" hidden="1">
      <c r="A57" s="21" t="s">
        <v>2861</v>
      </c>
      <c r="B57" s="22" t="s">
        <v>1716</v>
      </c>
      <c r="C57" s="21" t="s">
        <v>1717</v>
      </c>
      <c r="D57" s="21" t="s">
        <v>24</v>
      </c>
      <c r="E57" s="21" t="s">
        <v>27</v>
      </c>
      <c r="F57" s="21" t="s">
        <v>1637</v>
      </c>
      <c r="G57" s="3" t="s">
        <v>1414</v>
      </c>
      <c r="H57" s="3" t="s">
        <v>3071</v>
      </c>
      <c r="I57" s="3" t="s">
        <v>3071</v>
      </c>
      <c r="J57" s="3" t="s">
        <v>3071</v>
      </c>
      <c r="K57" s="3" t="s">
        <v>3071</v>
      </c>
      <c r="L57" s="3" t="s">
        <v>7</v>
      </c>
      <c r="M57" s="2" t="s">
        <v>298</v>
      </c>
      <c r="N57" s="2" t="s">
        <v>299</v>
      </c>
      <c r="O57" s="2" t="s">
        <v>1261</v>
      </c>
      <c r="P57" s="2" t="s">
        <v>2864</v>
      </c>
      <c r="Q57" s="3" t="s">
        <v>2856</v>
      </c>
    </row>
    <row r="58" spans="1:17" hidden="1">
      <c r="A58" s="21" t="s">
        <v>2861</v>
      </c>
      <c r="B58" s="22" t="s">
        <v>893</v>
      </c>
      <c r="C58" s="21" t="s">
        <v>1715</v>
      </c>
      <c r="D58" s="21" t="s">
        <v>24</v>
      </c>
      <c r="E58" s="21" t="s">
        <v>26</v>
      </c>
      <c r="F58" s="21" t="s">
        <v>1180</v>
      </c>
      <c r="G58" s="3" t="s">
        <v>1188</v>
      </c>
      <c r="H58" s="3" t="s">
        <v>7</v>
      </c>
      <c r="I58" s="3" t="s">
        <v>7</v>
      </c>
      <c r="J58" s="3" t="s">
        <v>7</v>
      </c>
      <c r="K58" s="3" t="s">
        <v>7</v>
      </c>
      <c r="L58" s="3" t="s">
        <v>7</v>
      </c>
      <c r="M58" s="2" t="s">
        <v>284</v>
      </c>
      <c r="N58" s="2" t="s">
        <v>1264</v>
      </c>
      <c r="O58" s="2" t="s">
        <v>1261</v>
      </c>
      <c r="P58" s="2" t="s">
        <v>2864</v>
      </c>
      <c r="Q58" s="3" t="s">
        <v>2856</v>
      </c>
    </row>
    <row r="59" spans="1:17" hidden="1">
      <c r="A59" s="21" t="s">
        <v>2861</v>
      </c>
      <c r="B59" s="22" t="s">
        <v>892</v>
      </c>
      <c r="C59" s="21" t="s">
        <v>1714</v>
      </c>
      <c r="D59" s="21" t="s">
        <v>24</v>
      </c>
      <c r="E59" s="21" t="s">
        <v>26</v>
      </c>
      <c r="F59" s="21" t="s">
        <v>1192</v>
      </c>
      <c r="G59" s="3" t="s">
        <v>1188</v>
      </c>
      <c r="H59" s="3" t="s">
        <v>7</v>
      </c>
      <c r="I59" s="3" t="s">
        <v>7</v>
      </c>
      <c r="J59" s="3" t="s">
        <v>7</v>
      </c>
      <c r="K59" s="3" t="s">
        <v>7</v>
      </c>
      <c r="L59" s="3" t="s">
        <v>7</v>
      </c>
      <c r="M59" s="2" t="s">
        <v>284</v>
      </c>
      <c r="N59" s="2" t="s">
        <v>1264</v>
      </c>
      <c r="O59" s="2" t="s">
        <v>1261</v>
      </c>
      <c r="P59" s="2" t="s">
        <v>2864</v>
      </c>
      <c r="Q59" s="3" t="s">
        <v>2856</v>
      </c>
    </row>
    <row r="60" spans="1:17" hidden="1">
      <c r="A60" s="21" t="s">
        <v>2861</v>
      </c>
      <c r="B60" s="22" t="s">
        <v>2560</v>
      </c>
      <c r="C60" s="21" t="s">
        <v>2561</v>
      </c>
      <c r="D60" s="21" t="s">
        <v>24</v>
      </c>
      <c r="E60" s="21" t="s">
        <v>26</v>
      </c>
      <c r="F60" s="21" t="s">
        <v>1192</v>
      </c>
      <c r="G60" s="3" t="s">
        <v>1186</v>
      </c>
      <c r="H60" s="3" t="s">
        <v>7</v>
      </c>
      <c r="I60" s="3" t="s">
        <v>7</v>
      </c>
      <c r="J60" s="3" t="s">
        <v>7</v>
      </c>
      <c r="K60" s="3" t="s">
        <v>7</v>
      </c>
      <c r="L60" s="3" t="s">
        <v>7</v>
      </c>
      <c r="M60" s="2" t="s">
        <v>284</v>
      </c>
      <c r="N60" s="2" t="s">
        <v>1264</v>
      </c>
      <c r="O60" s="2" t="s">
        <v>1261</v>
      </c>
      <c r="P60" s="2" t="s">
        <v>2864</v>
      </c>
      <c r="Q60" s="3" t="s">
        <v>2856</v>
      </c>
    </row>
    <row r="61" spans="1:17" hidden="1">
      <c r="A61" s="21" t="s">
        <v>2861</v>
      </c>
      <c r="B61" s="22" t="s">
        <v>2562</v>
      </c>
      <c r="C61" s="21" t="s">
        <v>1718</v>
      </c>
      <c r="D61" s="21" t="s">
        <v>24</v>
      </c>
      <c r="E61" s="21" t="s">
        <v>26</v>
      </c>
      <c r="F61" s="21" t="s">
        <v>1192</v>
      </c>
      <c r="G61" s="3" t="s">
        <v>1188</v>
      </c>
      <c r="H61" s="3" t="s">
        <v>7</v>
      </c>
      <c r="I61" s="3" t="s">
        <v>7</v>
      </c>
      <c r="J61" s="3" t="s">
        <v>7</v>
      </c>
      <c r="K61" s="3" t="s">
        <v>7</v>
      </c>
      <c r="L61" s="3" t="s">
        <v>7</v>
      </c>
      <c r="M61" s="2" t="s">
        <v>284</v>
      </c>
      <c r="N61" s="2" t="s">
        <v>1264</v>
      </c>
      <c r="O61" s="2" t="s">
        <v>1261</v>
      </c>
      <c r="P61" s="2" t="s">
        <v>2864</v>
      </c>
      <c r="Q61" s="3" t="s">
        <v>2856</v>
      </c>
    </row>
    <row r="62" spans="1:17" hidden="1">
      <c r="A62" s="21" t="s">
        <v>2861</v>
      </c>
      <c r="B62" s="22" t="s">
        <v>2568</v>
      </c>
      <c r="C62" s="21" t="s">
        <v>2569</v>
      </c>
      <c r="D62" s="21" t="s">
        <v>24</v>
      </c>
      <c r="E62" s="21" t="s">
        <v>26</v>
      </c>
      <c r="F62" s="21" t="s">
        <v>1180</v>
      </c>
      <c r="G62" s="3" t="s">
        <v>1186</v>
      </c>
      <c r="H62" s="3" t="s">
        <v>7</v>
      </c>
      <c r="I62" s="3" t="s">
        <v>7</v>
      </c>
      <c r="J62" s="3" t="s">
        <v>7</v>
      </c>
      <c r="K62" s="3" t="s">
        <v>7</v>
      </c>
      <c r="L62" s="3" t="s">
        <v>7</v>
      </c>
      <c r="M62" s="2" t="s">
        <v>284</v>
      </c>
      <c r="N62" s="2" t="s">
        <v>1264</v>
      </c>
      <c r="O62" s="2" t="s">
        <v>1261</v>
      </c>
      <c r="P62" s="2" t="s">
        <v>2864</v>
      </c>
      <c r="Q62" s="3" t="s">
        <v>2856</v>
      </c>
    </row>
    <row r="63" spans="1:17" hidden="1">
      <c r="A63" s="21" t="s">
        <v>2861</v>
      </c>
      <c r="B63" s="22" t="s">
        <v>2563</v>
      </c>
      <c r="C63" s="21" t="s">
        <v>2701</v>
      </c>
      <c r="D63" s="21" t="s">
        <v>24</v>
      </c>
      <c r="E63" s="21" t="s">
        <v>26</v>
      </c>
      <c r="F63" s="21" t="s">
        <v>1181</v>
      </c>
      <c r="G63" s="3" t="s">
        <v>1182</v>
      </c>
      <c r="H63" s="3" t="s">
        <v>3071</v>
      </c>
      <c r="I63" s="3" t="s">
        <v>7</v>
      </c>
      <c r="J63" s="3" t="s">
        <v>3071</v>
      </c>
      <c r="K63" s="3" t="s">
        <v>3071</v>
      </c>
      <c r="L63" s="3" t="s">
        <v>7</v>
      </c>
      <c r="M63" s="2" t="s">
        <v>284</v>
      </c>
      <c r="N63" s="2" t="s">
        <v>1264</v>
      </c>
      <c r="O63" s="2" t="s">
        <v>1261</v>
      </c>
      <c r="P63" s="2" t="s">
        <v>2864</v>
      </c>
      <c r="Q63" s="3" t="s">
        <v>2856</v>
      </c>
    </row>
    <row r="64" spans="1:17" hidden="1">
      <c r="A64" s="21" t="s">
        <v>2861</v>
      </c>
      <c r="B64" s="22" t="s">
        <v>2564</v>
      </c>
      <c r="C64" s="21" t="s">
        <v>2565</v>
      </c>
      <c r="D64" s="21" t="s">
        <v>24</v>
      </c>
      <c r="E64" s="21" t="s">
        <v>26</v>
      </c>
      <c r="F64" s="21" t="s">
        <v>1181</v>
      </c>
      <c r="G64" s="3" t="s">
        <v>1185</v>
      </c>
      <c r="H64" s="3" t="s">
        <v>3071</v>
      </c>
      <c r="I64" s="3" t="s">
        <v>7</v>
      </c>
      <c r="J64" s="3" t="s">
        <v>3071</v>
      </c>
      <c r="K64" s="3" t="s">
        <v>3071</v>
      </c>
      <c r="L64" s="3" t="s">
        <v>7</v>
      </c>
      <c r="M64" s="2" t="s">
        <v>284</v>
      </c>
      <c r="N64" s="2" t="s">
        <v>1264</v>
      </c>
      <c r="O64" s="2" t="s">
        <v>1261</v>
      </c>
      <c r="P64" s="2" t="s">
        <v>2864</v>
      </c>
      <c r="Q64" s="3" t="s">
        <v>2856</v>
      </c>
    </row>
    <row r="65" spans="1:17" hidden="1">
      <c r="A65" s="21" t="s">
        <v>2861</v>
      </c>
      <c r="B65" s="22" t="s">
        <v>2566</v>
      </c>
      <c r="C65" s="21" t="s">
        <v>2567</v>
      </c>
      <c r="D65" s="21" t="s">
        <v>24</v>
      </c>
      <c r="E65" s="21" t="s">
        <v>26</v>
      </c>
      <c r="F65" s="21" t="s">
        <v>1181</v>
      </c>
      <c r="G65" s="3" t="s">
        <v>1186</v>
      </c>
      <c r="H65" s="3" t="s">
        <v>3071</v>
      </c>
      <c r="I65" s="3" t="s">
        <v>7</v>
      </c>
      <c r="J65" s="3" t="s">
        <v>3071</v>
      </c>
      <c r="K65" s="3" t="s">
        <v>3071</v>
      </c>
      <c r="L65" s="3" t="s">
        <v>7</v>
      </c>
      <c r="M65" s="2" t="s">
        <v>284</v>
      </c>
      <c r="N65" s="2" t="s">
        <v>1264</v>
      </c>
      <c r="O65" s="2" t="s">
        <v>1261</v>
      </c>
      <c r="P65" s="2" t="s">
        <v>2864</v>
      </c>
      <c r="Q65" s="3" t="s">
        <v>2856</v>
      </c>
    </row>
    <row r="66" spans="1:17" hidden="1">
      <c r="A66" s="21" t="s">
        <v>2861</v>
      </c>
      <c r="B66" s="22" t="s">
        <v>2702</v>
      </c>
      <c r="C66" s="21" t="s">
        <v>2703</v>
      </c>
      <c r="D66" s="21" t="s">
        <v>24</v>
      </c>
      <c r="E66" s="21" t="s">
        <v>26</v>
      </c>
      <c r="F66" s="21" t="s">
        <v>1180</v>
      </c>
      <c r="G66" s="3" t="s">
        <v>1186</v>
      </c>
      <c r="H66" s="3" t="s">
        <v>7</v>
      </c>
      <c r="I66" s="3" t="s">
        <v>7</v>
      </c>
      <c r="J66" s="3" t="s">
        <v>7</v>
      </c>
      <c r="K66" s="3" t="s">
        <v>7</v>
      </c>
      <c r="L66" s="3" t="s">
        <v>7</v>
      </c>
      <c r="M66" s="2" t="s">
        <v>284</v>
      </c>
      <c r="N66" s="2" t="s">
        <v>1264</v>
      </c>
      <c r="O66" s="2" t="s">
        <v>1261</v>
      </c>
      <c r="P66" s="2" t="s">
        <v>2864</v>
      </c>
      <c r="Q66" s="3" t="s">
        <v>2856</v>
      </c>
    </row>
    <row r="67" spans="1:17" hidden="1">
      <c r="A67" s="21" t="s">
        <v>2861</v>
      </c>
      <c r="B67" s="22" t="s">
        <v>2704</v>
      </c>
      <c r="C67" s="21" t="s">
        <v>2705</v>
      </c>
      <c r="D67" s="21" t="s">
        <v>24</v>
      </c>
      <c r="E67" s="21" t="s">
        <v>27</v>
      </c>
      <c r="F67" s="21" t="s">
        <v>1192</v>
      </c>
      <c r="G67" s="3" t="s">
        <v>1179</v>
      </c>
      <c r="H67" s="3" t="s">
        <v>7</v>
      </c>
      <c r="I67" s="3" t="s">
        <v>7</v>
      </c>
      <c r="J67" s="3" t="s">
        <v>7</v>
      </c>
      <c r="K67" s="3" t="s">
        <v>7</v>
      </c>
      <c r="L67" s="3" t="s">
        <v>7</v>
      </c>
      <c r="M67" s="2" t="s">
        <v>298</v>
      </c>
      <c r="N67" s="2" t="s">
        <v>299</v>
      </c>
      <c r="O67" s="2" t="s">
        <v>1261</v>
      </c>
      <c r="P67" s="2" t="s">
        <v>2864</v>
      </c>
      <c r="Q67" s="3" t="s">
        <v>2856</v>
      </c>
    </row>
    <row r="68" spans="1:17" hidden="1">
      <c r="A68" s="21" t="s">
        <v>2861</v>
      </c>
      <c r="B68" s="22" t="s">
        <v>2706</v>
      </c>
      <c r="C68" s="21" t="s">
        <v>2707</v>
      </c>
      <c r="D68" s="21" t="s">
        <v>24</v>
      </c>
      <c r="E68" s="21" t="s">
        <v>27</v>
      </c>
      <c r="F68" s="21" t="s">
        <v>1192</v>
      </c>
      <c r="G68" s="3" t="s">
        <v>1187</v>
      </c>
      <c r="H68" s="3" t="s">
        <v>7</v>
      </c>
      <c r="I68" s="3" t="s">
        <v>7</v>
      </c>
      <c r="J68" s="3" t="s">
        <v>7</v>
      </c>
      <c r="K68" s="3" t="s">
        <v>7</v>
      </c>
      <c r="L68" s="3" t="s">
        <v>7</v>
      </c>
      <c r="M68" s="2" t="s">
        <v>298</v>
      </c>
      <c r="N68" s="2" t="s">
        <v>299</v>
      </c>
      <c r="O68" s="2" t="s">
        <v>1261</v>
      </c>
      <c r="P68" s="2" t="s">
        <v>2864</v>
      </c>
      <c r="Q68" s="3" t="s">
        <v>2856</v>
      </c>
    </row>
    <row r="69" spans="1:17" hidden="1">
      <c r="A69" s="21" t="s">
        <v>2861</v>
      </c>
      <c r="B69" s="22" t="s">
        <v>2708</v>
      </c>
      <c r="C69" s="21" t="s">
        <v>2709</v>
      </c>
      <c r="D69" s="21" t="s">
        <v>24</v>
      </c>
      <c r="E69" s="21" t="s">
        <v>27</v>
      </c>
      <c r="F69" s="21" t="s">
        <v>1181</v>
      </c>
      <c r="G69" s="3" t="s">
        <v>1412</v>
      </c>
      <c r="H69" s="3" t="s">
        <v>3071</v>
      </c>
      <c r="I69" s="3" t="s">
        <v>7</v>
      </c>
      <c r="J69" s="3" t="s">
        <v>3071</v>
      </c>
      <c r="K69" s="3" t="s">
        <v>3071</v>
      </c>
      <c r="L69" s="3" t="s">
        <v>7</v>
      </c>
      <c r="M69" s="2" t="s">
        <v>298</v>
      </c>
      <c r="N69" s="2" t="s">
        <v>299</v>
      </c>
      <c r="O69" s="2" t="s">
        <v>1261</v>
      </c>
      <c r="P69" s="2" t="s">
        <v>2864</v>
      </c>
      <c r="Q69" s="3" t="s">
        <v>2856</v>
      </c>
    </row>
    <row r="70" spans="1:17" hidden="1">
      <c r="A70" s="21" t="s">
        <v>2861</v>
      </c>
      <c r="B70" s="22" t="s">
        <v>3206</v>
      </c>
      <c r="C70" s="21" t="s">
        <v>3207</v>
      </c>
      <c r="D70" s="21" t="s">
        <v>24</v>
      </c>
      <c r="E70" s="21" t="s">
        <v>27</v>
      </c>
      <c r="F70" s="21" t="s">
        <v>1180</v>
      </c>
      <c r="G70" s="3" t="s">
        <v>1186</v>
      </c>
      <c r="H70" s="3" t="s">
        <v>7</v>
      </c>
      <c r="I70" s="3" t="s">
        <v>7</v>
      </c>
      <c r="J70" s="3" t="s">
        <v>55</v>
      </c>
      <c r="K70" s="3" t="s">
        <v>55</v>
      </c>
      <c r="L70" s="3" t="s">
        <v>55</v>
      </c>
      <c r="M70" s="2" t="s">
        <v>298</v>
      </c>
      <c r="N70" s="2" t="s">
        <v>299</v>
      </c>
      <c r="O70" s="2" t="s">
        <v>1261</v>
      </c>
      <c r="P70" s="2" t="s">
        <v>2864</v>
      </c>
      <c r="Q70" s="3" t="s">
        <v>2856</v>
      </c>
    </row>
    <row r="71" spans="1:17" hidden="1">
      <c r="A71" s="21" t="s">
        <v>2861</v>
      </c>
      <c r="B71" s="22" t="s">
        <v>1433</v>
      </c>
      <c r="C71" s="21" t="s">
        <v>1720</v>
      </c>
      <c r="D71" s="21" t="s">
        <v>28</v>
      </c>
      <c r="E71" s="21" t="s">
        <v>30</v>
      </c>
      <c r="F71" s="21" t="s">
        <v>1409</v>
      </c>
      <c r="G71" s="3" t="s">
        <v>1424</v>
      </c>
      <c r="H71" s="3" t="s">
        <v>7</v>
      </c>
      <c r="I71" s="3" t="s">
        <v>7</v>
      </c>
      <c r="J71" s="3" t="s">
        <v>7</v>
      </c>
      <c r="K71" s="3" t="s">
        <v>7</v>
      </c>
      <c r="L71" s="3" t="s">
        <v>7</v>
      </c>
      <c r="M71" s="2" t="s">
        <v>288</v>
      </c>
      <c r="N71" s="2" t="s">
        <v>1268</v>
      </c>
      <c r="O71" s="2" t="s">
        <v>1267</v>
      </c>
      <c r="P71" s="2" t="s">
        <v>2865</v>
      </c>
      <c r="Q71" s="3" t="s">
        <v>2856</v>
      </c>
    </row>
    <row r="72" spans="1:17" hidden="1">
      <c r="A72" s="21" t="s">
        <v>2861</v>
      </c>
      <c r="B72" s="22" t="s">
        <v>895</v>
      </c>
      <c r="C72" s="21" t="s">
        <v>1722</v>
      </c>
      <c r="D72" s="21" t="s">
        <v>28</v>
      </c>
      <c r="E72" s="21" t="s">
        <v>30</v>
      </c>
      <c r="F72" s="21" t="s">
        <v>1180</v>
      </c>
      <c r="G72" s="3" t="s">
        <v>1430</v>
      </c>
      <c r="H72" s="3" t="s">
        <v>7</v>
      </c>
      <c r="I72" s="3" t="s">
        <v>7</v>
      </c>
      <c r="J72" s="3" t="s">
        <v>7</v>
      </c>
      <c r="K72" s="3" t="s">
        <v>7</v>
      </c>
      <c r="L72" s="3" t="s">
        <v>7</v>
      </c>
      <c r="M72" s="2" t="s">
        <v>288</v>
      </c>
      <c r="N72" s="2" t="s">
        <v>1268</v>
      </c>
      <c r="O72" s="2" t="s">
        <v>1267</v>
      </c>
      <c r="P72" s="2" t="s">
        <v>2865</v>
      </c>
      <c r="Q72" s="3" t="s">
        <v>2856</v>
      </c>
    </row>
    <row r="73" spans="1:17" hidden="1">
      <c r="A73" s="21" t="s">
        <v>2861</v>
      </c>
      <c r="B73" s="22" t="s">
        <v>894</v>
      </c>
      <c r="C73" s="21" t="s">
        <v>1721</v>
      </c>
      <c r="D73" s="21" t="s">
        <v>28</v>
      </c>
      <c r="E73" s="21" t="s">
        <v>30</v>
      </c>
      <c r="F73" s="21" t="s">
        <v>1192</v>
      </c>
      <c r="G73" s="3" t="s">
        <v>1412</v>
      </c>
      <c r="H73" s="3" t="s">
        <v>7</v>
      </c>
      <c r="I73" s="3" t="s">
        <v>7</v>
      </c>
      <c r="J73" s="3" t="s">
        <v>7</v>
      </c>
      <c r="K73" s="3" t="s">
        <v>7</v>
      </c>
      <c r="L73" s="3" t="s">
        <v>7</v>
      </c>
      <c r="M73" s="2" t="s">
        <v>288</v>
      </c>
      <c r="N73" s="2" t="s">
        <v>1268</v>
      </c>
      <c r="O73" s="2" t="s">
        <v>1267</v>
      </c>
      <c r="P73" s="2" t="s">
        <v>2865</v>
      </c>
      <c r="Q73" s="3" t="s">
        <v>2856</v>
      </c>
    </row>
    <row r="74" spans="1:17" hidden="1">
      <c r="A74" s="21" t="s">
        <v>2861</v>
      </c>
      <c r="B74" s="22" t="s">
        <v>896</v>
      </c>
      <c r="C74" s="21" t="s">
        <v>1726</v>
      </c>
      <c r="D74" s="21" t="s">
        <v>28</v>
      </c>
      <c r="E74" s="21" t="s">
        <v>32</v>
      </c>
      <c r="F74" s="21" t="s">
        <v>1192</v>
      </c>
      <c r="G74" s="3" t="s">
        <v>1412</v>
      </c>
      <c r="H74" s="3" t="s">
        <v>7</v>
      </c>
      <c r="I74" s="3" t="s">
        <v>7</v>
      </c>
      <c r="J74" s="3" t="s">
        <v>7</v>
      </c>
      <c r="K74" s="3" t="s">
        <v>7</v>
      </c>
      <c r="L74" s="3" t="s">
        <v>7</v>
      </c>
      <c r="M74" s="2" t="s">
        <v>344</v>
      </c>
      <c r="N74" s="2" t="s">
        <v>345</v>
      </c>
      <c r="O74" s="2" t="s">
        <v>1267</v>
      </c>
      <c r="P74" s="2" t="s">
        <v>2865</v>
      </c>
      <c r="Q74" s="3" t="s">
        <v>2856</v>
      </c>
    </row>
    <row r="75" spans="1:17" hidden="1">
      <c r="A75" s="21" t="s">
        <v>2861</v>
      </c>
      <c r="B75" s="22" t="s">
        <v>1434</v>
      </c>
      <c r="C75" s="21" t="s">
        <v>1725</v>
      </c>
      <c r="D75" s="21" t="s">
        <v>28</v>
      </c>
      <c r="E75" s="21" t="s">
        <v>32</v>
      </c>
      <c r="F75" s="21" t="s">
        <v>1409</v>
      </c>
      <c r="G75" s="3" t="s">
        <v>2461</v>
      </c>
      <c r="H75" s="3" t="s">
        <v>7</v>
      </c>
      <c r="I75" s="3" t="s">
        <v>7</v>
      </c>
      <c r="J75" s="3" t="s">
        <v>7</v>
      </c>
      <c r="K75" s="3" t="s">
        <v>7</v>
      </c>
      <c r="L75" s="3" t="s">
        <v>7</v>
      </c>
      <c r="M75" s="2" t="s">
        <v>344</v>
      </c>
      <c r="N75" s="2" t="s">
        <v>345</v>
      </c>
      <c r="O75" s="2" t="s">
        <v>1267</v>
      </c>
      <c r="P75" s="2" t="s">
        <v>2865</v>
      </c>
      <c r="Q75" s="3" t="s">
        <v>2856</v>
      </c>
    </row>
    <row r="76" spans="1:17" hidden="1">
      <c r="A76" s="21" t="s">
        <v>2861</v>
      </c>
      <c r="B76" s="22" t="s">
        <v>1431</v>
      </c>
      <c r="C76" s="21" t="s">
        <v>1719</v>
      </c>
      <c r="D76" s="21" t="s">
        <v>28</v>
      </c>
      <c r="E76" s="21" t="s">
        <v>29</v>
      </c>
      <c r="F76" s="21" t="s">
        <v>1409</v>
      </c>
      <c r="G76" s="3" t="s">
        <v>1477</v>
      </c>
      <c r="H76" s="3" t="s">
        <v>7</v>
      </c>
      <c r="I76" s="3" t="s">
        <v>7</v>
      </c>
      <c r="J76" s="3" t="s">
        <v>7</v>
      </c>
      <c r="K76" s="3" t="s">
        <v>7</v>
      </c>
      <c r="L76" s="3" t="s">
        <v>7</v>
      </c>
      <c r="M76" s="2" t="s">
        <v>280</v>
      </c>
      <c r="N76" s="2" t="s">
        <v>281</v>
      </c>
      <c r="O76" s="2" t="s">
        <v>1267</v>
      </c>
      <c r="P76" s="2" t="s">
        <v>2865</v>
      </c>
      <c r="Q76" s="3" t="s">
        <v>2856</v>
      </c>
    </row>
    <row r="77" spans="1:17" hidden="1">
      <c r="A77" s="21" t="s">
        <v>2861</v>
      </c>
      <c r="B77" s="22" t="s">
        <v>2570</v>
      </c>
      <c r="C77" s="21" t="s">
        <v>2571</v>
      </c>
      <c r="D77" s="21" t="s">
        <v>28</v>
      </c>
      <c r="E77" s="21" t="s">
        <v>29</v>
      </c>
      <c r="F77" s="21" t="s">
        <v>1192</v>
      </c>
      <c r="G77" s="3" t="s">
        <v>1430</v>
      </c>
      <c r="H77" s="3" t="s">
        <v>7</v>
      </c>
      <c r="I77" s="3" t="s">
        <v>7</v>
      </c>
      <c r="J77" s="3" t="s">
        <v>7</v>
      </c>
      <c r="K77" s="3" t="s">
        <v>7</v>
      </c>
      <c r="L77" s="3" t="s">
        <v>7</v>
      </c>
      <c r="M77" s="2" t="s">
        <v>280</v>
      </c>
      <c r="N77" s="2" t="s">
        <v>281</v>
      </c>
      <c r="O77" s="2" t="s">
        <v>1267</v>
      </c>
      <c r="P77" s="2" t="s">
        <v>2865</v>
      </c>
      <c r="Q77" s="3" t="s">
        <v>2856</v>
      </c>
    </row>
    <row r="78" spans="1:17" hidden="1">
      <c r="A78" s="21" t="s">
        <v>2861</v>
      </c>
      <c r="B78" s="22" t="s">
        <v>1436</v>
      </c>
      <c r="C78" s="21" t="s">
        <v>1728</v>
      </c>
      <c r="D78" s="21" t="s">
        <v>28</v>
      </c>
      <c r="E78" s="21" t="s">
        <v>33</v>
      </c>
      <c r="F78" s="21" t="s">
        <v>1409</v>
      </c>
      <c r="G78" s="3" t="s">
        <v>1178</v>
      </c>
      <c r="H78" s="3" t="s">
        <v>7</v>
      </c>
      <c r="I78" s="3" t="s">
        <v>7</v>
      </c>
      <c r="J78" s="3" t="s">
        <v>7</v>
      </c>
      <c r="K78" s="3" t="s">
        <v>7</v>
      </c>
      <c r="L78" s="3" t="s">
        <v>7</v>
      </c>
      <c r="M78" s="2" t="s">
        <v>292</v>
      </c>
      <c r="N78" s="2" t="s">
        <v>293</v>
      </c>
      <c r="O78" s="2" t="s">
        <v>1267</v>
      </c>
      <c r="P78" s="2" t="s">
        <v>2865</v>
      </c>
      <c r="Q78" s="3" t="s">
        <v>2856</v>
      </c>
    </row>
    <row r="79" spans="1:17" hidden="1">
      <c r="A79" s="21" t="s">
        <v>2861</v>
      </c>
      <c r="B79" s="22" t="s">
        <v>898</v>
      </c>
      <c r="C79" s="21" t="s">
        <v>1730</v>
      </c>
      <c r="D79" s="21" t="s">
        <v>28</v>
      </c>
      <c r="E79" s="21" t="s">
        <v>33</v>
      </c>
      <c r="F79" s="21" t="s">
        <v>1180</v>
      </c>
      <c r="G79" s="3" t="s">
        <v>1189</v>
      </c>
      <c r="H79" s="3" t="s">
        <v>7</v>
      </c>
      <c r="I79" s="3" t="s">
        <v>7</v>
      </c>
      <c r="J79" s="3" t="s">
        <v>7</v>
      </c>
      <c r="K79" s="3" t="s">
        <v>7</v>
      </c>
      <c r="L79" s="3" t="s">
        <v>7</v>
      </c>
      <c r="M79" s="2" t="s">
        <v>292</v>
      </c>
      <c r="N79" s="2" t="s">
        <v>293</v>
      </c>
      <c r="O79" s="2" t="s">
        <v>1267</v>
      </c>
      <c r="P79" s="2" t="s">
        <v>2865</v>
      </c>
      <c r="Q79" s="3" t="s">
        <v>2856</v>
      </c>
    </row>
    <row r="80" spans="1:17" hidden="1">
      <c r="A80" s="21" t="s">
        <v>2861</v>
      </c>
      <c r="B80" s="22" t="s">
        <v>897</v>
      </c>
      <c r="C80" s="21" t="s">
        <v>1727</v>
      </c>
      <c r="D80" s="21" t="s">
        <v>28</v>
      </c>
      <c r="E80" s="21" t="s">
        <v>32</v>
      </c>
      <c r="F80" s="21" t="s">
        <v>1181</v>
      </c>
      <c r="G80" s="3" t="s">
        <v>1189</v>
      </c>
      <c r="H80" s="3" t="s">
        <v>3071</v>
      </c>
      <c r="I80" s="3" t="s">
        <v>7</v>
      </c>
      <c r="J80" s="3" t="s">
        <v>3071</v>
      </c>
      <c r="K80" s="3" t="s">
        <v>3071</v>
      </c>
      <c r="L80" s="3" t="s">
        <v>7</v>
      </c>
      <c r="M80" s="2" t="s">
        <v>314</v>
      </c>
      <c r="N80" s="2" t="s">
        <v>315</v>
      </c>
      <c r="O80" s="2" t="s">
        <v>1267</v>
      </c>
      <c r="P80" s="2" t="s">
        <v>2865</v>
      </c>
      <c r="Q80" s="3" t="s">
        <v>2856</v>
      </c>
    </row>
    <row r="81" spans="1:17" hidden="1">
      <c r="A81" s="21" t="s">
        <v>2861</v>
      </c>
      <c r="B81" s="22" t="s">
        <v>1723</v>
      </c>
      <c r="C81" s="21" t="s">
        <v>1724</v>
      </c>
      <c r="D81" s="21" t="s">
        <v>28</v>
      </c>
      <c r="E81" s="21" t="s">
        <v>31</v>
      </c>
      <c r="F81" s="21" t="s">
        <v>1180</v>
      </c>
      <c r="G81" s="3" t="s">
        <v>1198</v>
      </c>
      <c r="H81" s="3" t="s">
        <v>7</v>
      </c>
      <c r="I81" s="3" t="s">
        <v>7</v>
      </c>
      <c r="J81" s="3" t="s">
        <v>7</v>
      </c>
      <c r="K81" s="3" t="s">
        <v>7</v>
      </c>
      <c r="L81" s="3" t="s">
        <v>7</v>
      </c>
      <c r="M81" s="2" t="s">
        <v>314</v>
      </c>
      <c r="N81" s="2" t="s">
        <v>315</v>
      </c>
      <c r="O81" s="2" t="s">
        <v>1267</v>
      </c>
      <c r="P81" s="2" t="s">
        <v>2865</v>
      </c>
      <c r="Q81" s="3" t="s">
        <v>2856</v>
      </c>
    </row>
    <row r="82" spans="1:17" hidden="1">
      <c r="A82" s="21" t="s">
        <v>2861</v>
      </c>
      <c r="B82" s="22" t="s">
        <v>2387</v>
      </c>
      <c r="C82" s="21" t="s">
        <v>2388</v>
      </c>
      <c r="D82" s="21" t="s">
        <v>28</v>
      </c>
      <c r="E82" s="21" t="s">
        <v>2389</v>
      </c>
      <c r="F82" s="21" t="s">
        <v>1192</v>
      </c>
      <c r="G82" s="3" t="s">
        <v>1186</v>
      </c>
      <c r="H82" s="3" t="s">
        <v>7</v>
      </c>
      <c r="I82" s="3" t="s">
        <v>7</v>
      </c>
      <c r="J82" s="3" t="s">
        <v>7</v>
      </c>
      <c r="K82" s="3" t="s">
        <v>7</v>
      </c>
      <c r="L82" s="3" t="s">
        <v>7</v>
      </c>
      <c r="M82" s="2" t="s">
        <v>2454</v>
      </c>
      <c r="N82" s="2" t="s">
        <v>2453</v>
      </c>
      <c r="O82" s="2" t="s">
        <v>1267</v>
      </c>
      <c r="P82" s="2" t="s">
        <v>2865</v>
      </c>
      <c r="Q82" s="3" t="s">
        <v>2856</v>
      </c>
    </row>
    <row r="83" spans="1:17" hidden="1">
      <c r="A83" s="21" t="s">
        <v>2861</v>
      </c>
      <c r="B83" s="22" t="s">
        <v>2390</v>
      </c>
      <c r="C83" s="21" t="s">
        <v>2391</v>
      </c>
      <c r="D83" s="21" t="s">
        <v>28</v>
      </c>
      <c r="E83" s="21" t="s">
        <v>2389</v>
      </c>
      <c r="F83" s="21" t="s">
        <v>1181</v>
      </c>
      <c r="G83" s="3" t="s">
        <v>1186</v>
      </c>
      <c r="H83" s="3" t="s">
        <v>3071</v>
      </c>
      <c r="I83" s="3" t="s">
        <v>7</v>
      </c>
      <c r="J83" s="3" t="s">
        <v>3071</v>
      </c>
      <c r="K83" s="3" t="s">
        <v>3071</v>
      </c>
      <c r="L83" s="3" t="s">
        <v>7</v>
      </c>
      <c r="M83" s="2" t="s">
        <v>2454</v>
      </c>
      <c r="N83" s="2" t="s">
        <v>2453</v>
      </c>
      <c r="O83" s="2" t="s">
        <v>1267</v>
      </c>
      <c r="P83" s="2" t="s">
        <v>2865</v>
      </c>
      <c r="Q83" s="3" t="s">
        <v>2856</v>
      </c>
    </row>
    <row r="84" spans="1:17" hidden="1">
      <c r="A84" s="21" t="s">
        <v>2861</v>
      </c>
      <c r="B84" s="22" t="s">
        <v>2392</v>
      </c>
      <c r="C84" s="21" t="s">
        <v>2393</v>
      </c>
      <c r="D84" s="21" t="s">
        <v>28</v>
      </c>
      <c r="E84" s="21" t="s">
        <v>2389</v>
      </c>
      <c r="F84" s="21" t="s">
        <v>2107</v>
      </c>
      <c r="G84" s="3" t="s">
        <v>1186</v>
      </c>
      <c r="H84" s="3" t="s">
        <v>7</v>
      </c>
      <c r="I84" s="3" t="s">
        <v>7</v>
      </c>
      <c r="J84" s="3" t="s">
        <v>7</v>
      </c>
      <c r="K84" s="3" t="s">
        <v>7</v>
      </c>
      <c r="L84" s="3" t="s">
        <v>7</v>
      </c>
      <c r="M84" s="2" t="s">
        <v>2454</v>
      </c>
      <c r="N84" s="2" t="s">
        <v>2453</v>
      </c>
      <c r="O84" s="2" t="s">
        <v>1267</v>
      </c>
      <c r="P84" s="2" t="s">
        <v>2865</v>
      </c>
      <c r="Q84" s="3" t="s">
        <v>2856</v>
      </c>
    </row>
    <row r="85" spans="1:17" hidden="1">
      <c r="A85" s="21" t="s">
        <v>2861</v>
      </c>
      <c r="B85" s="22" t="s">
        <v>2572</v>
      </c>
      <c r="C85" s="21" t="s">
        <v>2573</v>
      </c>
      <c r="D85" s="21" t="s">
        <v>28</v>
      </c>
      <c r="E85" s="21" t="s">
        <v>2574</v>
      </c>
      <c r="F85" s="21" t="s">
        <v>1192</v>
      </c>
      <c r="G85" s="3" t="s">
        <v>1186</v>
      </c>
      <c r="H85" s="3" t="s">
        <v>7</v>
      </c>
      <c r="I85" s="3" t="s">
        <v>7</v>
      </c>
      <c r="J85" s="3" t="s">
        <v>7</v>
      </c>
      <c r="K85" s="3" t="s">
        <v>7</v>
      </c>
      <c r="L85" s="3" t="s">
        <v>7</v>
      </c>
      <c r="M85" s="2" t="s">
        <v>2556</v>
      </c>
      <c r="N85" s="2" t="s">
        <v>2866</v>
      </c>
      <c r="O85" s="2" t="s">
        <v>1267</v>
      </c>
      <c r="P85" s="2" t="s">
        <v>2865</v>
      </c>
      <c r="Q85" s="3" t="s">
        <v>2856</v>
      </c>
    </row>
    <row r="86" spans="1:17" hidden="1">
      <c r="A86" s="21" t="s">
        <v>2861</v>
      </c>
      <c r="B86" s="22" t="s">
        <v>2575</v>
      </c>
      <c r="C86" s="21" t="s">
        <v>2576</v>
      </c>
      <c r="D86" s="21" t="s">
        <v>28</v>
      </c>
      <c r="E86" s="21" t="s">
        <v>2574</v>
      </c>
      <c r="F86" s="21" t="s">
        <v>1192</v>
      </c>
      <c r="G86" s="3" t="s">
        <v>1186</v>
      </c>
      <c r="H86" s="3" t="s">
        <v>7</v>
      </c>
      <c r="I86" s="3" t="s">
        <v>7</v>
      </c>
      <c r="J86" s="3" t="s">
        <v>7</v>
      </c>
      <c r="K86" s="3" t="s">
        <v>7</v>
      </c>
      <c r="L86" s="3" t="s">
        <v>7</v>
      </c>
      <c r="M86" s="2" t="s">
        <v>2556</v>
      </c>
      <c r="N86" s="2" t="s">
        <v>2866</v>
      </c>
      <c r="O86" s="2" t="s">
        <v>1267</v>
      </c>
      <c r="P86" s="2" t="s">
        <v>2865</v>
      </c>
      <c r="Q86" s="3" t="s">
        <v>2856</v>
      </c>
    </row>
    <row r="87" spans="1:17" hidden="1">
      <c r="A87" s="21" t="s">
        <v>2861</v>
      </c>
      <c r="B87" s="22" t="s">
        <v>2579</v>
      </c>
      <c r="C87" s="21" t="s">
        <v>2580</v>
      </c>
      <c r="D87" s="21" t="s">
        <v>28</v>
      </c>
      <c r="E87" s="21" t="s">
        <v>2574</v>
      </c>
      <c r="F87" s="21" t="s">
        <v>1180</v>
      </c>
      <c r="G87" s="3" t="s">
        <v>1186</v>
      </c>
      <c r="H87" s="3" t="s">
        <v>7</v>
      </c>
      <c r="I87" s="3" t="s">
        <v>7</v>
      </c>
      <c r="J87" s="3" t="s">
        <v>7</v>
      </c>
      <c r="K87" s="3" t="s">
        <v>7</v>
      </c>
      <c r="L87" s="3" t="s">
        <v>7</v>
      </c>
      <c r="M87" s="2" t="s">
        <v>2556</v>
      </c>
      <c r="N87" s="2" t="s">
        <v>2866</v>
      </c>
      <c r="O87" s="2" t="s">
        <v>1267</v>
      </c>
      <c r="P87" s="2" t="s">
        <v>2865</v>
      </c>
      <c r="Q87" s="3" t="s">
        <v>2856</v>
      </c>
    </row>
    <row r="88" spans="1:17" hidden="1">
      <c r="A88" s="21" t="s">
        <v>2861</v>
      </c>
      <c r="B88" s="22" t="s">
        <v>2577</v>
      </c>
      <c r="C88" s="21" t="s">
        <v>2578</v>
      </c>
      <c r="D88" s="21" t="s">
        <v>28</v>
      </c>
      <c r="E88" s="21" t="s">
        <v>2574</v>
      </c>
      <c r="F88" s="21" t="s">
        <v>1181</v>
      </c>
      <c r="G88" s="3" t="s">
        <v>1179</v>
      </c>
      <c r="H88" s="3" t="s">
        <v>3071</v>
      </c>
      <c r="I88" s="3" t="s">
        <v>7</v>
      </c>
      <c r="J88" s="3" t="s">
        <v>3071</v>
      </c>
      <c r="K88" s="3" t="s">
        <v>3071</v>
      </c>
      <c r="L88" s="3" t="s">
        <v>7</v>
      </c>
      <c r="M88" s="68" t="s">
        <v>3103</v>
      </c>
      <c r="N88" s="68" t="s">
        <v>3104</v>
      </c>
      <c r="O88" s="2" t="s">
        <v>1267</v>
      </c>
      <c r="P88" s="2" t="s">
        <v>2865</v>
      </c>
      <c r="Q88" s="3" t="s">
        <v>2856</v>
      </c>
    </row>
    <row r="89" spans="1:17" hidden="1">
      <c r="A89" s="21" t="s">
        <v>2861</v>
      </c>
      <c r="B89" s="22" t="s">
        <v>2581</v>
      </c>
      <c r="C89" s="21" t="s">
        <v>2582</v>
      </c>
      <c r="D89" s="21" t="s">
        <v>28</v>
      </c>
      <c r="E89" s="21" t="s">
        <v>2583</v>
      </c>
      <c r="F89" s="21" t="s">
        <v>1192</v>
      </c>
      <c r="G89" s="3" t="s">
        <v>1179</v>
      </c>
      <c r="H89" s="3" t="s">
        <v>7</v>
      </c>
      <c r="I89" s="3" t="s">
        <v>7</v>
      </c>
      <c r="J89" s="3" t="s">
        <v>7</v>
      </c>
      <c r="K89" s="3" t="s">
        <v>7</v>
      </c>
      <c r="L89" s="3" t="s">
        <v>7</v>
      </c>
      <c r="M89" s="2" t="s">
        <v>2697</v>
      </c>
      <c r="N89" s="2" t="s">
        <v>2867</v>
      </c>
      <c r="O89" s="2" t="s">
        <v>1267</v>
      </c>
      <c r="P89" s="2" t="s">
        <v>2865</v>
      </c>
      <c r="Q89" s="3" t="s">
        <v>2856</v>
      </c>
    </row>
    <row r="90" spans="1:17" hidden="1">
      <c r="A90" s="21" t="s">
        <v>2861</v>
      </c>
      <c r="B90" s="22" t="s">
        <v>2584</v>
      </c>
      <c r="C90" s="21" t="s">
        <v>2585</v>
      </c>
      <c r="D90" s="21" t="s">
        <v>28</v>
      </c>
      <c r="E90" s="21" t="s">
        <v>2583</v>
      </c>
      <c r="F90" s="21" t="s">
        <v>1192</v>
      </c>
      <c r="G90" s="3" t="s">
        <v>1179</v>
      </c>
      <c r="H90" s="3" t="s">
        <v>55</v>
      </c>
      <c r="I90" s="3" t="s">
        <v>55</v>
      </c>
      <c r="J90" s="3" t="s">
        <v>55</v>
      </c>
      <c r="K90" s="3" t="s">
        <v>55</v>
      </c>
      <c r="L90" s="3" t="s">
        <v>55</v>
      </c>
      <c r="M90" s="2" t="s">
        <v>2697</v>
      </c>
      <c r="N90" s="2" t="s">
        <v>2867</v>
      </c>
      <c r="O90" s="2" t="s">
        <v>1267</v>
      </c>
      <c r="P90" s="2" t="s">
        <v>2865</v>
      </c>
      <c r="Q90" s="3" t="s">
        <v>2856</v>
      </c>
    </row>
    <row r="91" spans="1:17" hidden="1">
      <c r="A91" s="21" t="s">
        <v>2861</v>
      </c>
      <c r="B91" s="22" t="s">
        <v>2586</v>
      </c>
      <c r="C91" s="21" t="s">
        <v>2587</v>
      </c>
      <c r="D91" s="21" t="s">
        <v>28</v>
      </c>
      <c r="E91" s="21" t="s">
        <v>2583</v>
      </c>
      <c r="F91" s="21" t="s">
        <v>1181</v>
      </c>
      <c r="G91" s="3" t="s">
        <v>1179</v>
      </c>
      <c r="H91" s="3" t="s">
        <v>3071</v>
      </c>
      <c r="I91" s="3" t="s">
        <v>7</v>
      </c>
      <c r="J91" s="3" t="s">
        <v>3071</v>
      </c>
      <c r="K91" s="3" t="s">
        <v>3071</v>
      </c>
      <c r="L91" s="3" t="s">
        <v>7</v>
      </c>
      <c r="M91" s="2" t="s">
        <v>2697</v>
      </c>
      <c r="N91" s="2" t="s">
        <v>2867</v>
      </c>
      <c r="O91" s="2" t="s">
        <v>1267</v>
      </c>
      <c r="P91" s="2" t="s">
        <v>2865</v>
      </c>
      <c r="Q91" s="3" t="s">
        <v>2856</v>
      </c>
    </row>
    <row r="92" spans="1:17" hidden="1">
      <c r="A92" s="21" t="s">
        <v>2861</v>
      </c>
      <c r="B92" s="22" t="s">
        <v>2588</v>
      </c>
      <c r="C92" s="21" t="s">
        <v>2589</v>
      </c>
      <c r="D92" s="21" t="s">
        <v>28</v>
      </c>
      <c r="E92" s="21" t="s">
        <v>2583</v>
      </c>
      <c r="F92" s="21" t="s">
        <v>1180</v>
      </c>
      <c r="G92" s="3" t="s">
        <v>1179</v>
      </c>
      <c r="H92" s="3" t="s">
        <v>7</v>
      </c>
      <c r="I92" s="3" t="s">
        <v>7</v>
      </c>
      <c r="J92" s="3" t="s">
        <v>7</v>
      </c>
      <c r="K92" s="3" t="s">
        <v>7</v>
      </c>
      <c r="L92" s="3" t="s">
        <v>7</v>
      </c>
      <c r="M92" s="2" t="s">
        <v>2697</v>
      </c>
      <c r="N92" s="2" t="s">
        <v>2867</v>
      </c>
      <c r="O92" s="2" t="s">
        <v>1267</v>
      </c>
      <c r="P92" s="2" t="s">
        <v>2865</v>
      </c>
      <c r="Q92" s="3" t="s">
        <v>2856</v>
      </c>
    </row>
    <row r="93" spans="1:17" hidden="1">
      <c r="A93" s="21" t="s">
        <v>2861</v>
      </c>
      <c r="B93" s="22" t="s">
        <v>2710</v>
      </c>
      <c r="C93" s="21" t="s">
        <v>2711</v>
      </c>
      <c r="D93" s="21" t="s">
        <v>28</v>
      </c>
      <c r="E93" s="21" t="s">
        <v>29</v>
      </c>
      <c r="F93" s="21" t="s">
        <v>1181</v>
      </c>
      <c r="G93" s="3" t="s">
        <v>1188</v>
      </c>
      <c r="H93" s="3" t="s">
        <v>3071</v>
      </c>
      <c r="I93" s="3" t="s">
        <v>7</v>
      </c>
      <c r="J93" s="3" t="s">
        <v>3071</v>
      </c>
      <c r="K93" s="3" t="s">
        <v>3071</v>
      </c>
      <c r="L93" s="3" t="s">
        <v>7</v>
      </c>
      <c r="M93" s="2" t="s">
        <v>280</v>
      </c>
      <c r="N93" s="2" t="s">
        <v>281</v>
      </c>
      <c r="O93" s="2" t="s">
        <v>1267</v>
      </c>
      <c r="P93" s="2" t="s">
        <v>2865</v>
      </c>
      <c r="Q93" s="3" t="s">
        <v>2856</v>
      </c>
    </row>
    <row r="94" spans="1:17" hidden="1">
      <c r="A94" s="21" t="s">
        <v>2861</v>
      </c>
      <c r="B94" s="22" t="s">
        <v>2712</v>
      </c>
      <c r="C94" s="21" t="s">
        <v>2713</v>
      </c>
      <c r="D94" s="21" t="s">
        <v>28</v>
      </c>
      <c r="E94" s="21" t="s">
        <v>31</v>
      </c>
      <c r="F94" s="21" t="s">
        <v>1192</v>
      </c>
      <c r="G94" s="3" t="s">
        <v>1179</v>
      </c>
      <c r="H94" s="3" t="s">
        <v>55</v>
      </c>
      <c r="I94" s="3" t="s">
        <v>55</v>
      </c>
      <c r="J94" s="3" t="s">
        <v>55</v>
      </c>
      <c r="K94" s="3" t="s">
        <v>55</v>
      </c>
      <c r="L94" s="3" t="s">
        <v>55</v>
      </c>
      <c r="M94" s="2" t="s">
        <v>314</v>
      </c>
      <c r="N94" s="2" t="s">
        <v>315</v>
      </c>
      <c r="O94" s="2" t="s">
        <v>1267</v>
      </c>
      <c r="P94" s="2" t="s">
        <v>2865</v>
      </c>
      <c r="Q94" s="3" t="s">
        <v>2856</v>
      </c>
    </row>
    <row r="95" spans="1:17" hidden="1">
      <c r="A95" s="21" t="s">
        <v>2861</v>
      </c>
      <c r="B95" s="22" t="s">
        <v>2714</v>
      </c>
      <c r="C95" s="21" t="s">
        <v>2715</v>
      </c>
      <c r="D95" s="21" t="s">
        <v>28</v>
      </c>
      <c r="E95" s="21" t="s">
        <v>32</v>
      </c>
      <c r="F95" s="21" t="s">
        <v>1180</v>
      </c>
      <c r="G95" s="3" t="s">
        <v>1179</v>
      </c>
      <c r="H95" s="3" t="s">
        <v>55</v>
      </c>
      <c r="I95" s="3" t="s">
        <v>55</v>
      </c>
      <c r="J95" s="3" t="s">
        <v>55</v>
      </c>
      <c r="K95" s="3" t="s">
        <v>55</v>
      </c>
      <c r="L95" s="3" t="s">
        <v>55</v>
      </c>
      <c r="M95" s="2" t="s">
        <v>344</v>
      </c>
      <c r="N95" s="2" t="s">
        <v>345</v>
      </c>
      <c r="O95" s="2" t="s">
        <v>1267</v>
      </c>
      <c r="P95" s="2" t="s">
        <v>2865</v>
      </c>
      <c r="Q95" s="3" t="s">
        <v>2856</v>
      </c>
    </row>
    <row r="96" spans="1:17" hidden="1">
      <c r="A96" s="21" t="s">
        <v>2861</v>
      </c>
      <c r="B96" s="22" t="s">
        <v>2716</v>
      </c>
      <c r="C96" s="21" t="s">
        <v>2717</v>
      </c>
      <c r="D96" s="21" t="s">
        <v>28</v>
      </c>
      <c r="E96" s="21" t="s">
        <v>33</v>
      </c>
      <c r="F96" s="21" t="s">
        <v>1192</v>
      </c>
      <c r="G96" s="3" t="s">
        <v>1179</v>
      </c>
      <c r="H96" s="3" t="s">
        <v>7</v>
      </c>
      <c r="I96" s="3" t="s">
        <v>7</v>
      </c>
      <c r="J96" s="3" t="s">
        <v>7</v>
      </c>
      <c r="K96" s="3" t="s">
        <v>7</v>
      </c>
      <c r="L96" s="3" t="s">
        <v>7</v>
      </c>
      <c r="M96" s="2" t="s">
        <v>292</v>
      </c>
      <c r="N96" s="2" t="s">
        <v>293</v>
      </c>
      <c r="O96" s="2" t="s">
        <v>1267</v>
      </c>
      <c r="P96" s="2" t="s">
        <v>2865</v>
      </c>
      <c r="Q96" s="3" t="s">
        <v>2856</v>
      </c>
    </row>
    <row r="97" spans="1:17" hidden="1">
      <c r="A97" s="21" t="s">
        <v>2861</v>
      </c>
      <c r="B97" s="22" t="s">
        <v>3208</v>
      </c>
      <c r="C97" s="21" t="s">
        <v>3209</v>
      </c>
      <c r="D97" s="21" t="s">
        <v>28</v>
      </c>
      <c r="E97" s="21" t="s">
        <v>29</v>
      </c>
      <c r="F97" s="21" t="s">
        <v>1192</v>
      </c>
      <c r="G97" s="3" t="s">
        <v>2559</v>
      </c>
      <c r="H97" s="3" t="s">
        <v>55</v>
      </c>
      <c r="I97" s="3" t="s">
        <v>55</v>
      </c>
      <c r="J97" s="3" t="s">
        <v>55</v>
      </c>
      <c r="K97" s="3" t="s">
        <v>55</v>
      </c>
      <c r="L97" s="3" t="s">
        <v>55</v>
      </c>
      <c r="M97" s="2" t="s">
        <v>280</v>
      </c>
      <c r="N97" s="2" t="s">
        <v>281</v>
      </c>
      <c r="O97" s="2" t="s">
        <v>1267</v>
      </c>
      <c r="P97" s="2" t="s">
        <v>2865</v>
      </c>
      <c r="Q97" s="3" t="s">
        <v>2856</v>
      </c>
    </row>
    <row r="98" spans="1:17" hidden="1">
      <c r="A98" s="21" t="s">
        <v>2861</v>
      </c>
      <c r="B98" s="22" t="s">
        <v>3210</v>
      </c>
      <c r="C98" s="21" t="s">
        <v>3211</v>
      </c>
      <c r="D98" s="21" t="s">
        <v>28</v>
      </c>
      <c r="E98" s="21" t="s">
        <v>31</v>
      </c>
      <c r="F98" s="21" t="s">
        <v>1181</v>
      </c>
      <c r="G98" s="3" t="s">
        <v>2559</v>
      </c>
      <c r="H98" s="3" t="s">
        <v>3071</v>
      </c>
      <c r="I98" s="3" t="s">
        <v>55</v>
      </c>
      <c r="J98" s="3" t="s">
        <v>3071</v>
      </c>
      <c r="K98" s="3" t="s">
        <v>3071</v>
      </c>
      <c r="L98" s="3" t="s">
        <v>55</v>
      </c>
      <c r="M98" s="2" t="s">
        <v>314</v>
      </c>
      <c r="N98" s="2" t="s">
        <v>315</v>
      </c>
      <c r="O98" s="2" t="s">
        <v>1267</v>
      </c>
      <c r="P98" s="2" t="s">
        <v>2865</v>
      </c>
      <c r="Q98" s="3" t="s">
        <v>2856</v>
      </c>
    </row>
    <row r="99" spans="1:17" hidden="1">
      <c r="A99" s="21" t="s">
        <v>2861</v>
      </c>
      <c r="B99" s="22" t="s">
        <v>3212</v>
      </c>
      <c r="C99" s="21" t="s">
        <v>3213</v>
      </c>
      <c r="D99" s="21" t="s">
        <v>28</v>
      </c>
      <c r="E99" s="21" t="s">
        <v>29</v>
      </c>
      <c r="F99" s="21" t="s">
        <v>1180</v>
      </c>
      <c r="G99" s="3" t="s">
        <v>2559</v>
      </c>
      <c r="H99" s="3" t="s">
        <v>55</v>
      </c>
      <c r="I99" s="3" t="s">
        <v>55</v>
      </c>
      <c r="J99" s="3" t="s">
        <v>55</v>
      </c>
      <c r="K99" s="3" t="s">
        <v>55</v>
      </c>
      <c r="L99" s="3" t="s">
        <v>55</v>
      </c>
      <c r="M99" s="2" t="s">
        <v>280</v>
      </c>
      <c r="N99" s="2" t="s">
        <v>281</v>
      </c>
      <c r="O99" s="2" t="s">
        <v>1267</v>
      </c>
      <c r="P99" s="2" t="s">
        <v>2865</v>
      </c>
      <c r="Q99" s="3" t="s">
        <v>2856</v>
      </c>
    </row>
    <row r="100" spans="1:17" hidden="1">
      <c r="A100" s="21" t="s">
        <v>2861</v>
      </c>
      <c r="B100" s="22" t="s">
        <v>3214</v>
      </c>
      <c r="C100" s="21" t="s">
        <v>3215</v>
      </c>
      <c r="D100" s="21" t="s">
        <v>28</v>
      </c>
      <c r="E100" s="21" t="s">
        <v>30</v>
      </c>
      <c r="F100" s="21" t="s">
        <v>1180</v>
      </c>
      <c r="G100" s="3" t="s">
        <v>2559</v>
      </c>
      <c r="H100" s="3" t="s">
        <v>7</v>
      </c>
      <c r="I100" s="3" t="s">
        <v>7</v>
      </c>
      <c r="J100" s="3" t="s">
        <v>7</v>
      </c>
      <c r="K100" s="3" t="s">
        <v>7</v>
      </c>
      <c r="L100" s="3" t="s">
        <v>7</v>
      </c>
      <c r="M100" s="2" t="s">
        <v>314</v>
      </c>
      <c r="N100" s="2" t="s">
        <v>315</v>
      </c>
      <c r="O100" s="2" t="s">
        <v>1267</v>
      </c>
      <c r="P100" s="2" t="s">
        <v>2865</v>
      </c>
      <c r="Q100" s="3" t="s">
        <v>2856</v>
      </c>
    </row>
    <row r="101" spans="1:17" hidden="1">
      <c r="A101" s="21" t="s">
        <v>2861</v>
      </c>
      <c r="B101" s="22" t="s">
        <v>3216</v>
      </c>
      <c r="C101" s="21" t="s">
        <v>3217</v>
      </c>
      <c r="D101" s="21" t="s">
        <v>28</v>
      </c>
      <c r="E101" s="21" t="s">
        <v>30</v>
      </c>
      <c r="F101" s="21" t="s">
        <v>1181</v>
      </c>
      <c r="G101" s="3" t="s">
        <v>2559</v>
      </c>
      <c r="H101" s="3" t="s">
        <v>3071</v>
      </c>
      <c r="I101" s="3" t="s">
        <v>55</v>
      </c>
      <c r="J101" s="3" t="s">
        <v>3071</v>
      </c>
      <c r="K101" s="3" t="s">
        <v>3071</v>
      </c>
      <c r="L101" s="3" t="s">
        <v>55</v>
      </c>
      <c r="M101" s="2" t="s">
        <v>288</v>
      </c>
      <c r="N101" s="2" t="s">
        <v>1268</v>
      </c>
      <c r="O101" s="2" t="s">
        <v>1267</v>
      </c>
      <c r="P101" s="2" t="s">
        <v>2865</v>
      </c>
      <c r="Q101" s="3" t="s">
        <v>2856</v>
      </c>
    </row>
    <row r="102" spans="1:17" hidden="1">
      <c r="A102" s="21" t="s">
        <v>2861</v>
      </c>
      <c r="B102" s="22" t="s">
        <v>3218</v>
      </c>
      <c r="C102" s="21" t="s">
        <v>1729</v>
      </c>
      <c r="D102" s="21" t="s">
        <v>28</v>
      </c>
      <c r="E102" s="21" t="s">
        <v>32</v>
      </c>
      <c r="F102" s="21" t="s">
        <v>1192</v>
      </c>
      <c r="G102" s="3" t="s">
        <v>1189</v>
      </c>
      <c r="H102" s="3" t="s">
        <v>7</v>
      </c>
      <c r="I102" s="3" t="s">
        <v>7</v>
      </c>
      <c r="J102" s="3" t="s">
        <v>7</v>
      </c>
      <c r="K102" s="3" t="s">
        <v>7</v>
      </c>
      <c r="L102" s="3" t="s">
        <v>7</v>
      </c>
      <c r="M102" s="2" t="s">
        <v>344</v>
      </c>
      <c r="N102" s="2" t="s">
        <v>345</v>
      </c>
      <c r="O102" s="2" t="s">
        <v>1267</v>
      </c>
      <c r="P102" s="2" t="s">
        <v>2865</v>
      </c>
      <c r="Q102" s="3" t="s">
        <v>2856</v>
      </c>
    </row>
    <row r="103" spans="1:17" hidden="1">
      <c r="A103" s="21" t="s">
        <v>2861</v>
      </c>
      <c r="B103" s="22" t="s">
        <v>3219</v>
      </c>
      <c r="C103" s="21" t="s">
        <v>1722</v>
      </c>
      <c r="D103" s="21" t="s">
        <v>28</v>
      </c>
      <c r="E103" s="21" t="s">
        <v>3220</v>
      </c>
      <c r="F103" s="21" t="s">
        <v>1192</v>
      </c>
      <c r="G103" s="3" t="s">
        <v>1430</v>
      </c>
      <c r="H103" s="3" t="s">
        <v>7</v>
      </c>
      <c r="I103" s="3" t="s">
        <v>7</v>
      </c>
      <c r="J103" s="3" t="s">
        <v>7</v>
      </c>
      <c r="K103" s="3" t="s">
        <v>7</v>
      </c>
      <c r="L103" s="3" t="s">
        <v>7</v>
      </c>
      <c r="M103" s="2" t="s">
        <v>3103</v>
      </c>
      <c r="N103" s="2" t="s">
        <v>3104</v>
      </c>
      <c r="O103" s="2" t="s">
        <v>1267</v>
      </c>
      <c r="P103" s="2" t="s">
        <v>2865</v>
      </c>
      <c r="Q103" s="3" t="s">
        <v>2856</v>
      </c>
    </row>
    <row r="104" spans="1:17" hidden="1">
      <c r="A104" s="21" t="s">
        <v>2861</v>
      </c>
      <c r="B104" s="22" t="s">
        <v>3221</v>
      </c>
      <c r="C104" s="21" t="s">
        <v>3222</v>
      </c>
      <c r="D104" s="21" t="s">
        <v>28</v>
      </c>
      <c r="E104" s="21" t="s">
        <v>32</v>
      </c>
      <c r="F104" s="21" t="s">
        <v>2107</v>
      </c>
      <c r="G104" s="3" t="s">
        <v>2559</v>
      </c>
      <c r="H104" s="3" t="s">
        <v>55</v>
      </c>
      <c r="I104" s="3" t="s">
        <v>55</v>
      </c>
      <c r="J104" s="3" t="s">
        <v>55</v>
      </c>
      <c r="K104" s="3" t="s">
        <v>55</v>
      </c>
      <c r="L104" s="3" t="s">
        <v>55</v>
      </c>
      <c r="M104" s="2" t="s">
        <v>344</v>
      </c>
      <c r="N104" s="2" t="s">
        <v>345</v>
      </c>
      <c r="O104" s="2" t="s">
        <v>1267</v>
      </c>
      <c r="P104" s="2" t="s">
        <v>2865</v>
      </c>
      <c r="Q104" s="3" t="s">
        <v>2856</v>
      </c>
    </row>
    <row r="105" spans="1:17" hidden="1">
      <c r="A105" s="21" t="s">
        <v>2861</v>
      </c>
      <c r="B105" s="22" t="s">
        <v>3223</v>
      </c>
      <c r="C105" s="21" t="s">
        <v>3224</v>
      </c>
      <c r="D105" s="21" t="s">
        <v>28</v>
      </c>
      <c r="E105" s="21" t="s">
        <v>2389</v>
      </c>
      <c r="F105" s="21" t="s">
        <v>1192</v>
      </c>
      <c r="G105" s="3" t="s">
        <v>2559</v>
      </c>
      <c r="H105" s="3" t="s">
        <v>55</v>
      </c>
      <c r="I105" s="3" t="s">
        <v>55</v>
      </c>
      <c r="J105" s="3" t="s">
        <v>55</v>
      </c>
      <c r="K105" s="3" t="s">
        <v>55</v>
      </c>
      <c r="L105" s="3" t="s">
        <v>55</v>
      </c>
      <c r="M105" s="2" t="s">
        <v>2454</v>
      </c>
      <c r="N105" s="2" t="s">
        <v>2453</v>
      </c>
      <c r="O105" s="2" t="s">
        <v>1267</v>
      </c>
      <c r="P105" s="2" t="s">
        <v>2865</v>
      </c>
      <c r="Q105" s="3" t="s">
        <v>2856</v>
      </c>
    </row>
    <row r="106" spans="1:17" hidden="1">
      <c r="A106" s="21" t="s">
        <v>2861</v>
      </c>
      <c r="B106" s="22" t="s">
        <v>3225</v>
      </c>
      <c r="C106" s="21" t="s">
        <v>3226</v>
      </c>
      <c r="D106" s="21" t="s">
        <v>28</v>
      </c>
      <c r="E106" s="21" t="s">
        <v>3220</v>
      </c>
      <c r="F106" s="21" t="s">
        <v>1180</v>
      </c>
      <c r="G106" s="3" t="s">
        <v>2559</v>
      </c>
      <c r="H106" s="3" t="s">
        <v>7</v>
      </c>
      <c r="I106" s="3" t="s">
        <v>7</v>
      </c>
      <c r="J106" s="3" t="s">
        <v>7</v>
      </c>
      <c r="K106" s="3" t="s">
        <v>7</v>
      </c>
      <c r="L106" s="3" t="s">
        <v>7</v>
      </c>
      <c r="M106" s="2" t="s">
        <v>3103</v>
      </c>
      <c r="N106" s="2" t="s">
        <v>3104</v>
      </c>
      <c r="O106" s="2" t="s">
        <v>1267</v>
      </c>
      <c r="P106" s="2" t="s">
        <v>2865</v>
      </c>
      <c r="Q106" s="3" t="s">
        <v>2856</v>
      </c>
    </row>
    <row r="107" spans="1:17" hidden="1">
      <c r="A107" s="21" t="s">
        <v>2861</v>
      </c>
      <c r="B107" s="22" t="s">
        <v>3227</v>
      </c>
      <c r="C107" s="21" t="s">
        <v>3228</v>
      </c>
      <c r="D107" s="21" t="s">
        <v>28</v>
      </c>
      <c r="E107" s="21" t="s">
        <v>2389</v>
      </c>
      <c r="F107" s="21" t="s">
        <v>1180</v>
      </c>
      <c r="G107" s="3" t="s">
        <v>2559</v>
      </c>
      <c r="H107" s="3" t="s">
        <v>55</v>
      </c>
      <c r="I107" s="3" t="s">
        <v>55</v>
      </c>
      <c r="J107" s="3" t="s">
        <v>55</v>
      </c>
      <c r="K107" s="3" t="s">
        <v>55</v>
      </c>
      <c r="L107" s="3" t="s">
        <v>55</v>
      </c>
      <c r="M107" s="2" t="s">
        <v>2454</v>
      </c>
      <c r="N107" s="2" t="s">
        <v>2453</v>
      </c>
      <c r="O107" s="2" t="s">
        <v>1267</v>
      </c>
      <c r="P107" s="2" t="s">
        <v>2865</v>
      </c>
      <c r="Q107" s="3" t="s">
        <v>2856</v>
      </c>
    </row>
    <row r="108" spans="1:17" hidden="1">
      <c r="A108" s="21" t="s">
        <v>2861</v>
      </c>
      <c r="B108" s="22" t="s">
        <v>3229</v>
      </c>
      <c r="C108" s="21" t="s">
        <v>3230</v>
      </c>
      <c r="D108" s="21" t="s">
        <v>28</v>
      </c>
      <c r="E108" s="21" t="s">
        <v>2389</v>
      </c>
      <c r="F108" s="21" t="s">
        <v>1181</v>
      </c>
      <c r="G108" s="3" t="s">
        <v>2559</v>
      </c>
      <c r="H108" s="3" t="s">
        <v>3071</v>
      </c>
      <c r="I108" s="3" t="s">
        <v>55</v>
      </c>
      <c r="J108" s="3" t="s">
        <v>3071</v>
      </c>
      <c r="K108" s="3" t="s">
        <v>3071</v>
      </c>
      <c r="L108" s="3" t="s">
        <v>55</v>
      </c>
      <c r="M108" s="2" t="s">
        <v>2454</v>
      </c>
      <c r="N108" s="2" t="s">
        <v>2453</v>
      </c>
      <c r="O108" s="2" t="s">
        <v>1267</v>
      </c>
      <c r="P108" s="2" t="s">
        <v>2865</v>
      </c>
      <c r="Q108" s="3" t="s">
        <v>2856</v>
      </c>
    </row>
    <row r="109" spans="1:17" hidden="1">
      <c r="A109" s="21" t="s">
        <v>2861</v>
      </c>
      <c r="B109" s="22" t="s">
        <v>3231</v>
      </c>
      <c r="C109" s="21" t="s">
        <v>3232</v>
      </c>
      <c r="D109" s="21" t="s">
        <v>28</v>
      </c>
      <c r="E109" s="21" t="s">
        <v>3220</v>
      </c>
      <c r="F109" s="21" t="s">
        <v>1181</v>
      </c>
      <c r="G109" s="3" t="s">
        <v>2559</v>
      </c>
      <c r="H109" s="3" t="s">
        <v>3071</v>
      </c>
      <c r="I109" s="3" t="s">
        <v>55</v>
      </c>
      <c r="J109" s="3" t="s">
        <v>3071</v>
      </c>
      <c r="K109" s="3" t="s">
        <v>3071</v>
      </c>
      <c r="L109" s="3" t="s">
        <v>55</v>
      </c>
      <c r="M109" s="2" t="s">
        <v>3103</v>
      </c>
      <c r="N109" s="2" t="s">
        <v>3104</v>
      </c>
      <c r="O109" s="2" t="s">
        <v>1267</v>
      </c>
      <c r="P109" s="2" t="s">
        <v>2865</v>
      </c>
      <c r="Q109" s="3" t="s">
        <v>2856</v>
      </c>
    </row>
    <row r="110" spans="1:17" hidden="1">
      <c r="A110" s="21" t="s">
        <v>2861</v>
      </c>
      <c r="B110" s="22" t="s">
        <v>3233</v>
      </c>
      <c r="C110" s="21" t="s">
        <v>3234</v>
      </c>
      <c r="D110" s="21" t="s">
        <v>28</v>
      </c>
      <c r="E110" s="21" t="s">
        <v>33</v>
      </c>
      <c r="F110" s="21" t="s">
        <v>1181</v>
      </c>
      <c r="G110" s="3" t="s">
        <v>2559</v>
      </c>
      <c r="H110" s="3" t="s">
        <v>3071</v>
      </c>
      <c r="I110" s="3" t="s">
        <v>55</v>
      </c>
      <c r="J110" s="3" t="s">
        <v>3071</v>
      </c>
      <c r="K110" s="3" t="s">
        <v>3071</v>
      </c>
      <c r="L110" s="3" t="s">
        <v>55</v>
      </c>
      <c r="M110" s="2" t="s">
        <v>292</v>
      </c>
      <c r="N110" s="2" t="s">
        <v>293</v>
      </c>
      <c r="O110" s="2" t="s">
        <v>1267</v>
      </c>
      <c r="P110" s="2" t="s">
        <v>2865</v>
      </c>
      <c r="Q110" s="3" t="s">
        <v>2856</v>
      </c>
    </row>
    <row r="111" spans="1:17" hidden="1">
      <c r="A111" s="21" t="s">
        <v>2861</v>
      </c>
      <c r="B111" s="22" t="s">
        <v>3235</v>
      </c>
      <c r="C111" s="21" t="s">
        <v>3236</v>
      </c>
      <c r="D111" s="21" t="s">
        <v>28</v>
      </c>
      <c r="E111" s="21" t="s">
        <v>33</v>
      </c>
      <c r="F111" s="21" t="s">
        <v>1180</v>
      </c>
      <c r="G111" s="3" t="s">
        <v>2559</v>
      </c>
      <c r="H111" s="3" t="s">
        <v>55</v>
      </c>
      <c r="I111" s="3" t="s">
        <v>55</v>
      </c>
      <c r="J111" s="3" t="s">
        <v>55</v>
      </c>
      <c r="K111" s="3" t="s">
        <v>55</v>
      </c>
      <c r="L111" s="3" t="s">
        <v>55</v>
      </c>
      <c r="M111" s="2" t="s">
        <v>292</v>
      </c>
      <c r="N111" s="2" t="s">
        <v>293</v>
      </c>
      <c r="O111" s="2" t="s">
        <v>1267</v>
      </c>
      <c r="P111" s="2" t="s">
        <v>2865</v>
      </c>
      <c r="Q111" s="3" t="s">
        <v>2856</v>
      </c>
    </row>
    <row r="112" spans="1:17" hidden="1">
      <c r="A112" s="21" t="s">
        <v>2861</v>
      </c>
      <c r="B112" s="23" t="s">
        <v>3237</v>
      </c>
      <c r="C112" s="21" t="s">
        <v>3238</v>
      </c>
      <c r="D112" s="21" t="s">
        <v>28</v>
      </c>
      <c r="E112" s="21" t="s">
        <v>2583</v>
      </c>
      <c r="F112" s="21" t="s">
        <v>1192</v>
      </c>
      <c r="G112" s="5" t="s">
        <v>2559</v>
      </c>
      <c r="H112" s="3" t="s">
        <v>55</v>
      </c>
      <c r="I112" s="3" t="s">
        <v>55</v>
      </c>
      <c r="J112" s="3" t="s">
        <v>55</v>
      </c>
      <c r="K112" s="3" t="s">
        <v>55</v>
      </c>
      <c r="L112" s="3" t="s">
        <v>55</v>
      </c>
      <c r="M112" s="2" t="s">
        <v>2697</v>
      </c>
      <c r="N112" s="2" t="s">
        <v>2867</v>
      </c>
      <c r="O112" s="2" t="s">
        <v>1267</v>
      </c>
      <c r="P112" s="2" t="s">
        <v>2865</v>
      </c>
      <c r="Q112" s="3" t="s">
        <v>2856</v>
      </c>
    </row>
    <row r="113" spans="1:17" hidden="1">
      <c r="A113" s="21" t="s">
        <v>2861</v>
      </c>
      <c r="B113" s="22" t="s">
        <v>3239</v>
      </c>
      <c r="C113" s="21" t="s">
        <v>3240</v>
      </c>
      <c r="D113" s="21" t="s">
        <v>28</v>
      </c>
      <c r="E113" s="21" t="s">
        <v>2583</v>
      </c>
      <c r="F113" s="21" t="s">
        <v>1180</v>
      </c>
      <c r="G113" s="3" t="s">
        <v>2559</v>
      </c>
      <c r="H113" s="3" t="s">
        <v>55</v>
      </c>
      <c r="I113" s="3" t="s">
        <v>55</v>
      </c>
      <c r="J113" s="3" t="s">
        <v>55</v>
      </c>
      <c r="K113" s="3" t="s">
        <v>55</v>
      </c>
      <c r="L113" s="3" t="s">
        <v>55</v>
      </c>
      <c r="M113" s="2" t="s">
        <v>2697</v>
      </c>
      <c r="N113" s="2" t="s">
        <v>2867</v>
      </c>
      <c r="O113" s="2" t="s">
        <v>1267</v>
      </c>
      <c r="P113" s="2" t="s">
        <v>2865</v>
      </c>
      <c r="Q113" s="3" t="s">
        <v>2856</v>
      </c>
    </row>
    <row r="114" spans="1:17" hidden="1">
      <c r="A114" s="21" t="s">
        <v>2861</v>
      </c>
      <c r="B114" s="22" t="s">
        <v>3241</v>
      </c>
      <c r="C114" s="21" t="s">
        <v>3242</v>
      </c>
      <c r="D114" s="21" t="s">
        <v>28</v>
      </c>
      <c r="E114" s="21" t="s">
        <v>2583</v>
      </c>
      <c r="F114" s="21" t="s">
        <v>1181</v>
      </c>
      <c r="G114" s="3" t="s">
        <v>2559</v>
      </c>
      <c r="H114" s="3" t="s">
        <v>3071</v>
      </c>
      <c r="I114" s="3" t="s">
        <v>55</v>
      </c>
      <c r="J114" s="3" t="s">
        <v>3071</v>
      </c>
      <c r="K114" s="3" t="s">
        <v>3071</v>
      </c>
      <c r="L114" s="3" t="s">
        <v>55</v>
      </c>
      <c r="M114" s="2" t="s">
        <v>2697</v>
      </c>
      <c r="N114" s="2" t="s">
        <v>2867</v>
      </c>
      <c r="O114" s="2" t="s">
        <v>1267</v>
      </c>
      <c r="P114" s="2" t="s">
        <v>2865</v>
      </c>
      <c r="Q114" s="3" t="s">
        <v>2856</v>
      </c>
    </row>
    <row r="115" spans="1:17" hidden="1">
      <c r="A115" s="21" t="s">
        <v>2861</v>
      </c>
      <c r="B115" s="22" t="s">
        <v>3243</v>
      </c>
      <c r="C115" s="21" t="s">
        <v>3244</v>
      </c>
      <c r="D115" s="21" t="s">
        <v>28</v>
      </c>
      <c r="E115" s="21" t="s">
        <v>2574</v>
      </c>
      <c r="F115" s="21" t="s">
        <v>1192</v>
      </c>
      <c r="G115" s="3" t="s">
        <v>2559</v>
      </c>
      <c r="H115" s="3" t="s">
        <v>55</v>
      </c>
      <c r="I115" s="3" t="s">
        <v>55</v>
      </c>
      <c r="J115" s="3" t="s">
        <v>55</v>
      </c>
      <c r="K115" s="3" t="s">
        <v>55</v>
      </c>
      <c r="L115" s="3" t="s">
        <v>55</v>
      </c>
      <c r="M115" s="2" t="s">
        <v>2556</v>
      </c>
      <c r="N115" s="2" t="s">
        <v>2866</v>
      </c>
      <c r="O115" s="2" t="s">
        <v>1267</v>
      </c>
      <c r="P115" s="2" t="s">
        <v>2865</v>
      </c>
      <c r="Q115" s="3" t="s">
        <v>2856</v>
      </c>
    </row>
    <row r="116" spans="1:17" hidden="1">
      <c r="A116" s="21" t="s">
        <v>2861</v>
      </c>
      <c r="B116" s="22" t="s">
        <v>3245</v>
      </c>
      <c r="C116" s="21" t="s">
        <v>3246</v>
      </c>
      <c r="D116" s="21" t="s">
        <v>28</v>
      </c>
      <c r="E116" s="21" t="s">
        <v>2574</v>
      </c>
      <c r="F116" s="21" t="s">
        <v>1180</v>
      </c>
      <c r="G116" s="3" t="s">
        <v>2559</v>
      </c>
      <c r="H116" s="3" t="s">
        <v>55</v>
      </c>
      <c r="I116" s="3" t="s">
        <v>55</v>
      </c>
      <c r="J116" s="3" t="s">
        <v>55</v>
      </c>
      <c r="K116" s="3" t="s">
        <v>55</v>
      </c>
      <c r="L116" s="3" t="s">
        <v>55</v>
      </c>
      <c r="M116" s="2" t="s">
        <v>2556</v>
      </c>
      <c r="N116" s="2" t="s">
        <v>2866</v>
      </c>
      <c r="O116" s="2" t="s">
        <v>1267</v>
      </c>
      <c r="P116" s="2" t="s">
        <v>2865</v>
      </c>
      <c r="Q116" s="3" t="s">
        <v>2856</v>
      </c>
    </row>
    <row r="117" spans="1:17" hidden="1">
      <c r="A117" s="21" t="s">
        <v>2861</v>
      </c>
      <c r="B117" s="22" t="s">
        <v>3247</v>
      </c>
      <c r="C117" s="21" t="s">
        <v>3248</v>
      </c>
      <c r="D117" s="21" t="s">
        <v>28</v>
      </c>
      <c r="E117" s="21" t="s">
        <v>2574</v>
      </c>
      <c r="F117" s="21" t="s">
        <v>1181</v>
      </c>
      <c r="G117" s="3" t="s">
        <v>2559</v>
      </c>
      <c r="H117" s="3" t="s">
        <v>3071</v>
      </c>
      <c r="I117" s="3" t="s">
        <v>55</v>
      </c>
      <c r="J117" s="3" t="s">
        <v>3071</v>
      </c>
      <c r="K117" s="3" t="s">
        <v>3071</v>
      </c>
      <c r="L117" s="3" t="s">
        <v>55</v>
      </c>
      <c r="M117" s="2" t="s">
        <v>2556</v>
      </c>
      <c r="N117" s="2" t="s">
        <v>2866</v>
      </c>
      <c r="O117" s="2" t="s">
        <v>1267</v>
      </c>
      <c r="P117" s="2" t="s">
        <v>2865</v>
      </c>
      <c r="Q117" s="3" t="s">
        <v>2856</v>
      </c>
    </row>
    <row r="118" spans="1:17" hidden="1">
      <c r="A118" s="21" t="s">
        <v>2861</v>
      </c>
      <c r="B118" s="22" t="s">
        <v>1439</v>
      </c>
      <c r="C118" s="21" t="s">
        <v>1733</v>
      </c>
      <c r="D118" s="21" t="s">
        <v>34</v>
      </c>
      <c r="E118" s="21" t="s">
        <v>35</v>
      </c>
      <c r="F118" s="21" t="s">
        <v>15</v>
      </c>
      <c r="G118" s="3" t="s">
        <v>1416</v>
      </c>
      <c r="H118" s="3" t="s">
        <v>3071</v>
      </c>
      <c r="I118" s="3" t="s">
        <v>3071</v>
      </c>
      <c r="J118" s="3" t="s">
        <v>3071</v>
      </c>
      <c r="K118" s="3" t="s">
        <v>3071</v>
      </c>
      <c r="L118" s="3" t="s">
        <v>7</v>
      </c>
      <c r="M118" s="2" t="s">
        <v>294</v>
      </c>
      <c r="N118" s="2" t="s">
        <v>295</v>
      </c>
      <c r="O118" s="2" t="s">
        <v>1273</v>
      </c>
      <c r="P118" s="2" t="s">
        <v>2864</v>
      </c>
      <c r="Q118" s="3" t="s">
        <v>2856</v>
      </c>
    </row>
    <row r="119" spans="1:17" hidden="1">
      <c r="A119" s="21" t="s">
        <v>2861</v>
      </c>
      <c r="B119" s="22" t="s">
        <v>1438</v>
      </c>
      <c r="C119" s="21" t="s">
        <v>1731</v>
      </c>
      <c r="D119" s="21" t="s">
        <v>34</v>
      </c>
      <c r="E119" s="21" t="s">
        <v>35</v>
      </c>
      <c r="F119" s="21" t="s">
        <v>8</v>
      </c>
      <c r="G119" s="3" t="s">
        <v>1424</v>
      </c>
      <c r="H119" s="3" t="s">
        <v>7</v>
      </c>
      <c r="I119" s="3" t="s">
        <v>7</v>
      </c>
      <c r="J119" s="3" t="s">
        <v>7</v>
      </c>
      <c r="K119" s="3" t="s">
        <v>7</v>
      </c>
      <c r="L119" s="3" t="s">
        <v>7</v>
      </c>
      <c r="M119" s="2" t="s">
        <v>294</v>
      </c>
      <c r="N119" s="2" t="s">
        <v>295</v>
      </c>
      <c r="O119" s="2" t="s">
        <v>1273</v>
      </c>
      <c r="P119" s="2" t="s">
        <v>2864</v>
      </c>
      <c r="Q119" s="3" t="s">
        <v>2856</v>
      </c>
    </row>
    <row r="120" spans="1:17" hidden="1">
      <c r="A120" s="21" t="s">
        <v>2861</v>
      </c>
      <c r="B120" s="22" t="s">
        <v>1440</v>
      </c>
      <c r="C120" s="21" t="s">
        <v>1734</v>
      </c>
      <c r="D120" s="21" t="s">
        <v>34</v>
      </c>
      <c r="E120" s="21" t="s">
        <v>35</v>
      </c>
      <c r="F120" s="21" t="s">
        <v>1180</v>
      </c>
      <c r="G120" s="3" t="s">
        <v>1419</v>
      </c>
      <c r="H120" s="3" t="s">
        <v>7</v>
      </c>
      <c r="I120" s="3" t="s">
        <v>7</v>
      </c>
      <c r="J120" s="3" t="s">
        <v>7</v>
      </c>
      <c r="K120" s="3" t="s">
        <v>7</v>
      </c>
      <c r="L120" s="3" t="s">
        <v>7</v>
      </c>
      <c r="M120" s="2" t="s">
        <v>294</v>
      </c>
      <c r="N120" s="2" t="s">
        <v>295</v>
      </c>
      <c r="O120" s="2" t="s">
        <v>1273</v>
      </c>
      <c r="P120" s="2" t="s">
        <v>2864</v>
      </c>
      <c r="Q120" s="3" t="s">
        <v>2856</v>
      </c>
    </row>
    <row r="121" spans="1:17" hidden="1">
      <c r="A121" s="21" t="s">
        <v>2861</v>
      </c>
      <c r="B121" s="23" t="s">
        <v>1190</v>
      </c>
      <c r="C121" s="21" t="s">
        <v>1737</v>
      </c>
      <c r="D121" s="21" t="s">
        <v>34</v>
      </c>
      <c r="E121" s="21" t="s">
        <v>36</v>
      </c>
      <c r="F121" s="21" t="s">
        <v>15</v>
      </c>
      <c r="G121" s="5" t="s">
        <v>1184</v>
      </c>
      <c r="H121" s="3" t="s">
        <v>3071</v>
      </c>
      <c r="I121" s="3" t="s">
        <v>3071</v>
      </c>
      <c r="J121" s="3" t="s">
        <v>3071</v>
      </c>
      <c r="K121" s="3" t="s">
        <v>3071</v>
      </c>
      <c r="L121" s="3" t="s">
        <v>7</v>
      </c>
      <c r="M121" s="2" t="s">
        <v>304</v>
      </c>
      <c r="N121" s="2" t="s">
        <v>305</v>
      </c>
      <c r="O121" s="2" t="s">
        <v>1273</v>
      </c>
      <c r="P121" s="2" t="s">
        <v>2862</v>
      </c>
      <c r="Q121" s="3" t="s">
        <v>2856</v>
      </c>
    </row>
    <row r="122" spans="1:17" hidden="1">
      <c r="A122" s="21" t="s">
        <v>2861</v>
      </c>
      <c r="B122" s="22" t="s">
        <v>900</v>
      </c>
      <c r="C122" s="21" t="s">
        <v>1735</v>
      </c>
      <c r="D122" s="21" t="s">
        <v>34</v>
      </c>
      <c r="E122" s="21" t="s">
        <v>36</v>
      </c>
      <c r="F122" s="21" t="s">
        <v>8</v>
      </c>
      <c r="G122" s="3" t="s">
        <v>1184</v>
      </c>
      <c r="H122" s="3" t="s">
        <v>7</v>
      </c>
      <c r="I122" s="3" t="s">
        <v>7</v>
      </c>
      <c r="J122" s="3" t="s">
        <v>7</v>
      </c>
      <c r="K122" s="3" t="s">
        <v>7</v>
      </c>
      <c r="L122" s="3" t="s">
        <v>7</v>
      </c>
      <c r="M122" s="2" t="s">
        <v>304</v>
      </c>
      <c r="N122" s="2" t="s">
        <v>305</v>
      </c>
      <c r="O122" s="2" t="s">
        <v>1273</v>
      </c>
      <c r="P122" s="2" t="s">
        <v>2862</v>
      </c>
      <c r="Q122" s="3" t="s">
        <v>2856</v>
      </c>
    </row>
    <row r="123" spans="1:17" hidden="1">
      <c r="A123" s="21" t="s">
        <v>2861</v>
      </c>
      <c r="B123" s="22" t="s">
        <v>899</v>
      </c>
      <c r="C123" s="21" t="s">
        <v>1732</v>
      </c>
      <c r="D123" s="21" t="s">
        <v>34</v>
      </c>
      <c r="E123" s="21" t="s">
        <v>35</v>
      </c>
      <c r="F123" s="21" t="s">
        <v>8</v>
      </c>
      <c r="G123" s="3" t="s">
        <v>1182</v>
      </c>
      <c r="H123" s="3" t="s">
        <v>7</v>
      </c>
      <c r="I123" s="3" t="s">
        <v>7</v>
      </c>
      <c r="J123" s="3" t="s">
        <v>7</v>
      </c>
      <c r="K123" s="3" t="s">
        <v>7</v>
      </c>
      <c r="L123" s="3" t="s">
        <v>7</v>
      </c>
      <c r="M123" s="2" t="s">
        <v>294</v>
      </c>
      <c r="N123" s="2" t="s">
        <v>295</v>
      </c>
      <c r="O123" s="2" t="s">
        <v>1273</v>
      </c>
      <c r="P123" s="2" t="s">
        <v>2864</v>
      </c>
      <c r="Q123" s="3" t="s">
        <v>2856</v>
      </c>
    </row>
    <row r="124" spans="1:17" hidden="1">
      <c r="A124" s="21" t="s">
        <v>2861</v>
      </c>
      <c r="B124" s="22" t="s">
        <v>901</v>
      </c>
      <c r="C124" s="21" t="s">
        <v>1736</v>
      </c>
      <c r="D124" s="21" t="s">
        <v>34</v>
      </c>
      <c r="E124" s="21" t="s">
        <v>36</v>
      </c>
      <c r="F124" s="21" t="s">
        <v>8</v>
      </c>
      <c r="G124" s="3" t="s">
        <v>1178</v>
      </c>
      <c r="H124" s="3" t="s">
        <v>7</v>
      </c>
      <c r="I124" s="3" t="s">
        <v>7</v>
      </c>
      <c r="J124" s="3" t="s">
        <v>7</v>
      </c>
      <c r="K124" s="3" t="s">
        <v>7</v>
      </c>
      <c r="L124" s="3" t="s">
        <v>7</v>
      </c>
      <c r="M124" s="2" t="s">
        <v>304</v>
      </c>
      <c r="N124" s="2" t="s">
        <v>305</v>
      </c>
      <c r="O124" s="2" t="s">
        <v>1273</v>
      </c>
      <c r="P124" s="2" t="s">
        <v>2862</v>
      </c>
      <c r="Q124" s="3" t="s">
        <v>2856</v>
      </c>
    </row>
    <row r="125" spans="1:17" hidden="1">
      <c r="A125" s="21" t="s">
        <v>2861</v>
      </c>
      <c r="B125" s="22" t="s">
        <v>1441</v>
      </c>
      <c r="C125" s="21" t="s">
        <v>1738</v>
      </c>
      <c r="D125" s="21" t="s">
        <v>37</v>
      </c>
      <c r="E125" s="21" t="s">
        <v>38</v>
      </c>
      <c r="F125" s="21" t="s">
        <v>1409</v>
      </c>
      <c r="G125" s="3" t="s">
        <v>1416</v>
      </c>
      <c r="H125" s="3" t="s">
        <v>7</v>
      </c>
      <c r="I125" s="3" t="s">
        <v>7</v>
      </c>
      <c r="J125" s="3" t="s">
        <v>7</v>
      </c>
      <c r="K125" s="3" t="s">
        <v>7</v>
      </c>
      <c r="L125" s="3" t="s">
        <v>7</v>
      </c>
      <c r="M125" s="2" t="s">
        <v>330</v>
      </c>
      <c r="N125" s="2" t="s">
        <v>331</v>
      </c>
      <c r="O125" s="2" t="s">
        <v>1272</v>
      </c>
      <c r="P125" s="2" t="s">
        <v>2862</v>
      </c>
      <c r="Q125" s="3" t="s">
        <v>2856</v>
      </c>
    </row>
    <row r="126" spans="1:17" hidden="1">
      <c r="A126" s="21" t="s">
        <v>2861</v>
      </c>
      <c r="B126" s="22" t="s">
        <v>1442</v>
      </c>
      <c r="C126" s="21" t="s">
        <v>1739</v>
      </c>
      <c r="D126" s="21" t="s">
        <v>37</v>
      </c>
      <c r="E126" s="21" t="s">
        <v>38</v>
      </c>
      <c r="F126" s="21" t="s">
        <v>8</v>
      </c>
      <c r="G126" s="3" t="s">
        <v>1416</v>
      </c>
      <c r="H126" s="3" t="s">
        <v>7</v>
      </c>
      <c r="I126" s="3" t="s">
        <v>7</v>
      </c>
      <c r="J126" s="3" t="s">
        <v>7</v>
      </c>
      <c r="K126" s="3" t="s">
        <v>7</v>
      </c>
      <c r="L126" s="3" t="s">
        <v>7</v>
      </c>
      <c r="M126" s="2" t="s">
        <v>330</v>
      </c>
      <c r="N126" s="2" t="s">
        <v>331</v>
      </c>
      <c r="O126" s="2" t="s">
        <v>1272</v>
      </c>
      <c r="P126" s="2" t="s">
        <v>2862</v>
      </c>
      <c r="Q126" s="3" t="s">
        <v>2856</v>
      </c>
    </row>
    <row r="127" spans="1:17" hidden="1">
      <c r="A127" s="21" t="s">
        <v>2861</v>
      </c>
      <c r="B127" s="22" t="s">
        <v>902</v>
      </c>
      <c r="C127" s="21" t="s">
        <v>1740</v>
      </c>
      <c r="D127" s="21" t="s">
        <v>37</v>
      </c>
      <c r="E127" s="21" t="s">
        <v>38</v>
      </c>
      <c r="F127" s="21" t="s">
        <v>8</v>
      </c>
      <c r="G127" s="3" t="s">
        <v>1184</v>
      </c>
      <c r="H127" s="3" t="s">
        <v>7</v>
      </c>
      <c r="I127" s="3" t="s">
        <v>7</v>
      </c>
      <c r="J127" s="3" t="s">
        <v>7</v>
      </c>
      <c r="K127" s="3" t="s">
        <v>7</v>
      </c>
      <c r="L127" s="3" t="s">
        <v>7</v>
      </c>
      <c r="M127" s="2" t="s">
        <v>330</v>
      </c>
      <c r="N127" s="2" t="s">
        <v>331</v>
      </c>
      <c r="O127" s="2" t="s">
        <v>1272</v>
      </c>
      <c r="P127" s="2" t="s">
        <v>2862</v>
      </c>
      <c r="Q127" s="3" t="s">
        <v>2856</v>
      </c>
    </row>
    <row r="128" spans="1:17" hidden="1">
      <c r="A128" s="21" t="s">
        <v>2861</v>
      </c>
      <c r="B128" s="22" t="s">
        <v>2590</v>
      </c>
      <c r="C128" s="21" t="s">
        <v>2591</v>
      </c>
      <c r="D128" s="21" t="s">
        <v>39</v>
      </c>
      <c r="E128" s="21" t="s">
        <v>40</v>
      </c>
      <c r="F128" s="21" t="s">
        <v>1192</v>
      </c>
      <c r="G128" s="3" t="s">
        <v>1187</v>
      </c>
      <c r="H128" s="3" t="s">
        <v>7</v>
      </c>
      <c r="I128" s="3" t="s">
        <v>7</v>
      </c>
      <c r="J128" s="3" t="s">
        <v>7</v>
      </c>
      <c r="K128" s="3" t="s">
        <v>7</v>
      </c>
      <c r="L128" s="3" t="s">
        <v>7</v>
      </c>
      <c r="M128" s="2" t="s">
        <v>342</v>
      </c>
      <c r="N128" s="2" t="s">
        <v>343</v>
      </c>
      <c r="O128" s="2" t="s">
        <v>1275</v>
      </c>
      <c r="P128" s="2" t="s">
        <v>2864</v>
      </c>
      <c r="Q128" s="3" t="s">
        <v>2856</v>
      </c>
    </row>
    <row r="129" spans="1:17" hidden="1">
      <c r="A129" s="21" t="s">
        <v>2861</v>
      </c>
      <c r="B129" s="22" t="s">
        <v>2594</v>
      </c>
      <c r="C129" s="21" t="s">
        <v>2595</v>
      </c>
      <c r="D129" s="21" t="s">
        <v>39</v>
      </c>
      <c r="E129" s="21" t="s">
        <v>40</v>
      </c>
      <c r="F129" s="21" t="s">
        <v>1181</v>
      </c>
      <c r="G129" s="3" t="s">
        <v>1187</v>
      </c>
      <c r="H129" s="3" t="s">
        <v>3071</v>
      </c>
      <c r="I129" s="3" t="s">
        <v>7</v>
      </c>
      <c r="J129" s="3" t="s">
        <v>3071</v>
      </c>
      <c r="K129" s="3" t="s">
        <v>3071</v>
      </c>
      <c r="L129" s="3" t="s">
        <v>7</v>
      </c>
      <c r="M129" s="2" t="s">
        <v>342</v>
      </c>
      <c r="N129" s="2" t="s">
        <v>343</v>
      </c>
      <c r="O129" s="2" t="s">
        <v>1275</v>
      </c>
      <c r="P129" s="2" t="s">
        <v>2864</v>
      </c>
      <c r="Q129" s="3" t="s">
        <v>2856</v>
      </c>
    </row>
    <row r="130" spans="1:17" hidden="1">
      <c r="A130" s="21" t="s">
        <v>2861</v>
      </c>
      <c r="B130" s="22" t="s">
        <v>2592</v>
      </c>
      <c r="C130" s="21" t="s">
        <v>2593</v>
      </c>
      <c r="D130" s="21" t="s">
        <v>39</v>
      </c>
      <c r="E130" s="21" t="s">
        <v>40</v>
      </c>
      <c r="F130" s="21" t="s">
        <v>1180</v>
      </c>
      <c r="G130" s="3" t="s">
        <v>1187</v>
      </c>
      <c r="H130" s="3" t="s">
        <v>7</v>
      </c>
      <c r="I130" s="3" t="s">
        <v>7</v>
      </c>
      <c r="J130" s="3" t="s">
        <v>7</v>
      </c>
      <c r="K130" s="3" t="s">
        <v>7</v>
      </c>
      <c r="L130" s="3" t="s">
        <v>7</v>
      </c>
      <c r="M130" s="2" t="s">
        <v>342</v>
      </c>
      <c r="N130" s="2" t="s">
        <v>343</v>
      </c>
      <c r="O130" s="2" t="s">
        <v>1275</v>
      </c>
      <c r="P130" s="2" t="s">
        <v>2864</v>
      </c>
      <c r="Q130" s="3" t="s">
        <v>2856</v>
      </c>
    </row>
    <row r="131" spans="1:17" hidden="1">
      <c r="A131" s="21" t="s">
        <v>2871</v>
      </c>
      <c r="B131" s="22" t="s">
        <v>1443</v>
      </c>
      <c r="C131" s="21" t="s">
        <v>1741</v>
      </c>
      <c r="D131" s="21" t="s">
        <v>41</v>
      </c>
      <c r="E131" s="21" t="s">
        <v>1444</v>
      </c>
      <c r="F131" s="21" t="s">
        <v>8</v>
      </c>
      <c r="G131" s="3" t="s">
        <v>1424</v>
      </c>
      <c r="H131" s="3" t="s">
        <v>7</v>
      </c>
      <c r="I131" s="3" t="s">
        <v>7</v>
      </c>
      <c r="J131" s="3" t="s">
        <v>7</v>
      </c>
      <c r="K131" s="3" t="s">
        <v>7</v>
      </c>
      <c r="L131" s="3" t="s">
        <v>7</v>
      </c>
      <c r="M131" s="2" t="s">
        <v>240</v>
      </c>
      <c r="N131" s="2" t="s">
        <v>241</v>
      </c>
      <c r="O131" s="2" t="s">
        <v>1282</v>
      </c>
      <c r="P131" s="2" t="s">
        <v>2872</v>
      </c>
      <c r="Q131" s="3" t="s">
        <v>2856</v>
      </c>
    </row>
    <row r="132" spans="1:17" hidden="1">
      <c r="A132" s="21" t="s">
        <v>2871</v>
      </c>
      <c r="B132" s="22" t="s">
        <v>1445</v>
      </c>
      <c r="C132" s="21" t="s">
        <v>1742</v>
      </c>
      <c r="D132" s="21" t="s">
        <v>41</v>
      </c>
      <c r="E132" s="21" t="s">
        <v>1444</v>
      </c>
      <c r="F132" s="21" t="s">
        <v>1180</v>
      </c>
      <c r="G132" s="3" t="s">
        <v>1424</v>
      </c>
      <c r="H132" s="3" t="s">
        <v>7</v>
      </c>
      <c r="I132" s="3" t="s">
        <v>7</v>
      </c>
      <c r="J132" s="3" t="s">
        <v>7</v>
      </c>
      <c r="K132" s="3" t="s">
        <v>7</v>
      </c>
      <c r="L132" s="3" t="s">
        <v>7</v>
      </c>
      <c r="M132" s="2" t="s">
        <v>240</v>
      </c>
      <c r="N132" s="2" t="s">
        <v>241</v>
      </c>
      <c r="O132" s="2" t="s">
        <v>1282</v>
      </c>
      <c r="P132" s="2" t="s">
        <v>2872</v>
      </c>
      <c r="Q132" s="3" t="s">
        <v>2856</v>
      </c>
    </row>
    <row r="133" spans="1:17" hidden="1">
      <c r="A133" s="21" t="s">
        <v>2871</v>
      </c>
      <c r="B133" s="22" t="s">
        <v>1446</v>
      </c>
      <c r="C133" s="21" t="s">
        <v>1743</v>
      </c>
      <c r="D133" s="21" t="s">
        <v>41</v>
      </c>
      <c r="E133" s="21" t="s">
        <v>1444</v>
      </c>
      <c r="F133" s="21" t="s">
        <v>1180</v>
      </c>
      <c r="G133" s="3" t="s">
        <v>1419</v>
      </c>
      <c r="H133" s="3" t="s">
        <v>7</v>
      </c>
      <c r="I133" s="3" t="s">
        <v>7</v>
      </c>
      <c r="J133" s="3" t="s">
        <v>7</v>
      </c>
      <c r="K133" s="3" t="s">
        <v>7</v>
      </c>
      <c r="L133" s="3" t="s">
        <v>7</v>
      </c>
      <c r="M133" s="2" t="s">
        <v>240</v>
      </c>
      <c r="N133" s="2" t="s">
        <v>241</v>
      </c>
      <c r="O133" s="2" t="s">
        <v>1282</v>
      </c>
      <c r="P133" s="2" t="s">
        <v>2872</v>
      </c>
      <c r="Q133" s="3" t="s">
        <v>2856</v>
      </c>
    </row>
    <row r="134" spans="1:17" hidden="1">
      <c r="A134" s="21" t="s">
        <v>2871</v>
      </c>
      <c r="B134" s="22" t="s">
        <v>1748</v>
      </c>
      <c r="C134" s="21" t="s">
        <v>1749</v>
      </c>
      <c r="D134" s="21" t="s">
        <v>41</v>
      </c>
      <c r="E134" s="21" t="s">
        <v>43</v>
      </c>
      <c r="F134" s="21" t="s">
        <v>1181</v>
      </c>
      <c r="G134" s="3" t="s">
        <v>1419</v>
      </c>
      <c r="H134" s="3" t="s">
        <v>3071</v>
      </c>
      <c r="I134" s="3" t="s">
        <v>7</v>
      </c>
      <c r="J134" s="3" t="s">
        <v>3071</v>
      </c>
      <c r="K134" s="3" t="s">
        <v>3071</v>
      </c>
      <c r="L134" s="3" t="s">
        <v>7</v>
      </c>
      <c r="M134" s="2" t="s">
        <v>264</v>
      </c>
      <c r="N134" s="2" t="s">
        <v>265</v>
      </c>
      <c r="O134" s="2" t="s">
        <v>1282</v>
      </c>
      <c r="P134" s="2" t="s">
        <v>2872</v>
      </c>
      <c r="Q134" s="3" t="s">
        <v>2856</v>
      </c>
    </row>
    <row r="135" spans="1:17" hidden="1">
      <c r="A135" s="21" t="s">
        <v>2871</v>
      </c>
      <c r="B135" s="22" t="s">
        <v>1447</v>
      </c>
      <c r="C135" s="21" t="s">
        <v>1747</v>
      </c>
      <c r="D135" s="21" t="s">
        <v>41</v>
      </c>
      <c r="E135" s="21" t="s">
        <v>43</v>
      </c>
      <c r="F135" s="21" t="s">
        <v>8</v>
      </c>
      <c r="G135" s="3" t="s">
        <v>1457</v>
      </c>
      <c r="H135" s="3" t="s">
        <v>7</v>
      </c>
      <c r="I135" s="3" t="s">
        <v>7</v>
      </c>
      <c r="J135" s="3" t="s">
        <v>7</v>
      </c>
      <c r="K135" s="3" t="s">
        <v>7</v>
      </c>
      <c r="L135" s="3" t="s">
        <v>7</v>
      </c>
      <c r="M135" s="2" t="s">
        <v>264</v>
      </c>
      <c r="N135" s="2" t="s">
        <v>265</v>
      </c>
      <c r="O135" s="2" t="s">
        <v>1282</v>
      </c>
      <c r="P135" s="2" t="s">
        <v>2872</v>
      </c>
      <c r="Q135" s="3" t="s">
        <v>2856</v>
      </c>
    </row>
    <row r="136" spans="1:17" hidden="1">
      <c r="A136" s="21" t="s">
        <v>2871</v>
      </c>
      <c r="B136" s="22" t="s">
        <v>906</v>
      </c>
      <c r="C136" s="21" t="s">
        <v>1750</v>
      </c>
      <c r="D136" s="21" t="s">
        <v>41</v>
      </c>
      <c r="E136" s="21" t="s">
        <v>43</v>
      </c>
      <c r="F136" s="21" t="s">
        <v>1180</v>
      </c>
      <c r="G136" s="3" t="s">
        <v>1430</v>
      </c>
      <c r="H136" s="3" t="s">
        <v>7</v>
      </c>
      <c r="I136" s="3" t="s">
        <v>7</v>
      </c>
      <c r="J136" s="3" t="s">
        <v>7</v>
      </c>
      <c r="K136" s="3" t="s">
        <v>7</v>
      </c>
      <c r="L136" s="3" t="s">
        <v>7</v>
      </c>
      <c r="M136" s="2" t="s">
        <v>264</v>
      </c>
      <c r="N136" s="2" t="s">
        <v>265</v>
      </c>
      <c r="O136" s="2" t="s">
        <v>1282</v>
      </c>
      <c r="P136" s="2" t="s">
        <v>2872</v>
      </c>
      <c r="Q136" s="3" t="s">
        <v>2856</v>
      </c>
    </row>
    <row r="137" spans="1:17" hidden="1">
      <c r="A137" s="21" t="s">
        <v>2871</v>
      </c>
      <c r="B137" s="22" t="s">
        <v>904</v>
      </c>
      <c r="C137" s="21" t="s">
        <v>1745</v>
      </c>
      <c r="D137" s="21" t="s">
        <v>41</v>
      </c>
      <c r="E137" s="21" t="s">
        <v>42</v>
      </c>
      <c r="F137" s="21" t="s">
        <v>1180</v>
      </c>
      <c r="G137" s="3" t="s">
        <v>1182</v>
      </c>
      <c r="H137" s="3" t="s">
        <v>7</v>
      </c>
      <c r="I137" s="3" t="s">
        <v>7</v>
      </c>
      <c r="J137" s="3" t="s">
        <v>7</v>
      </c>
      <c r="K137" s="3" t="s">
        <v>7</v>
      </c>
      <c r="L137" s="3" t="s">
        <v>7</v>
      </c>
      <c r="M137" s="2" t="s">
        <v>246</v>
      </c>
      <c r="N137" s="2" t="s">
        <v>247</v>
      </c>
      <c r="O137" s="2" t="s">
        <v>1282</v>
      </c>
      <c r="P137" s="2" t="s">
        <v>2872</v>
      </c>
      <c r="Q137" s="3" t="s">
        <v>2856</v>
      </c>
    </row>
    <row r="138" spans="1:17" hidden="1">
      <c r="A138" s="21" t="s">
        <v>2871</v>
      </c>
      <c r="B138" s="22" t="s">
        <v>903</v>
      </c>
      <c r="C138" s="21" t="s">
        <v>1744</v>
      </c>
      <c r="D138" s="21" t="s">
        <v>41</v>
      </c>
      <c r="E138" s="21" t="s">
        <v>42</v>
      </c>
      <c r="F138" s="21" t="s">
        <v>8</v>
      </c>
      <c r="G138" s="3" t="s">
        <v>1184</v>
      </c>
      <c r="H138" s="3" t="s">
        <v>7</v>
      </c>
      <c r="I138" s="3" t="s">
        <v>7</v>
      </c>
      <c r="J138" s="3" t="s">
        <v>7</v>
      </c>
      <c r="K138" s="3" t="s">
        <v>7</v>
      </c>
      <c r="L138" s="3" t="s">
        <v>7</v>
      </c>
      <c r="M138" s="2" t="s">
        <v>246</v>
      </c>
      <c r="N138" s="2" t="s">
        <v>247</v>
      </c>
      <c r="O138" s="2" t="s">
        <v>1282</v>
      </c>
      <c r="P138" s="2" t="s">
        <v>2872</v>
      </c>
      <c r="Q138" s="3" t="s">
        <v>2856</v>
      </c>
    </row>
    <row r="139" spans="1:17" hidden="1">
      <c r="A139" s="21" t="s">
        <v>2871</v>
      </c>
      <c r="B139" s="22" t="s">
        <v>905</v>
      </c>
      <c r="C139" s="21" t="s">
        <v>1746</v>
      </c>
      <c r="D139" s="21" t="s">
        <v>41</v>
      </c>
      <c r="E139" s="21" t="s">
        <v>42</v>
      </c>
      <c r="F139" s="21" t="s">
        <v>1180</v>
      </c>
      <c r="G139" s="3" t="s">
        <v>1184</v>
      </c>
      <c r="H139" s="3" t="s">
        <v>7</v>
      </c>
      <c r="I139" s="3" t="s">
        <v>7</v>
      </c>
      <c r="J139" s="3" t="s">
        <v>7</v>
      </c>
      <c r="K139" s="3" t="s">
        <v>7</v>
      </c>
      <c r="L139" s="3" t="s">
        <v>7</v>
      </c>
      <c r="M139" s="2" t="s">
        <v>246</v>
      </c>
      <c r="N139" s="2" t="s">
        <v>247</v>
      </c>
      <c r="O139" s="2" t="s">
        <v>1282</v>
      </c>
      <c r="P139" s="2" t="s">
        <v>2872</v>
      </c>
      <c r="Q139" s="3" t="s">
        <v>2856</v>
      </c>
    </row>
    <row r="140" spans="1:17" hidden="1">
      <c r="A140" s="21">
        <v>0</v>
      </c>
      <c r="B140" s="23" t="s">
        <v>3249</v>
      </c>
      <c r="C140" s="21" t="s">
        <v>3250</v>
      </c>
      <c r="D140" s="21" t="s">
        <v>3251</v>
      </c>
      <c r="E140" s="21" t="s">
        <v>3252</v>
      </c>
      <c r="F140" s="21" t="s">
        <v>8</v>
      </c>
      <c r="G140" s="5" t="s">
        <v>1432</v>
      </c>
      <c r="H140" s="3" t="s">
        <v>7</v>
      </c>
      <c r="I140" s="3" t="s">
        <v>7</v>
      </c>
      <c r="J140" s="3" t="s">
        <v>7</v>
      </c>
      <c r="K140" s="3" t="s">
        <v>7</v>
      </c>
      <c r="L140" s="3" t="s">
        <v>7</v>
      </c>
      <c r="M140" s="2" t="s">
        <v>268</v>
      </c>
      <c r="N140" s="2" t="s">
        <v>3252</v>
      </c>
      <c r="O140" s="2">
        <v>0</v>
      </c>
      <c r="P140" s="2">
        <v>0</v>
      </c>
      <c r="Q140" s="3" t="s">
        <v>3199</v>
      </c>
    </row>
    <row r="141" spans="1:17" hidden="1">
      <c r="A141" s="21">
        <v>0</v>
      </c>
      <c r="B141" s="22" t="s">
        <v>3253</v>
      </c>
      <c r="C141" s="21" t="s">
        <v>3254</v>
      </c>
      <c r="D141" s="21" t="s">
        <v>3251</v>
      </c>
      <c r="E141" s="21" t="s">
        <v>3252</v>
      </c>
      <c r="F141" s="21" t="s">
        <v>1180</v>
      </c>
      <c r="G141" s="3" t="s">
        <v>1182</v>
      </c>
      <c r="H141" s="3" t="s">
        <v>7</v>
      </c>
      <c r="I141" s="3" t="s">
        <v>7</v>
      </c>
      <c r="J141" s="3" t="s">
        <v>7</v>
      </c>
      <c r="K141" s="3" t="s">
        <v>7</v>
      </c>
      <c r="L141" s="3" t="s">
        <v>7</v>
      </c>
      <c r="M141" s="2" t="s">
        <v>268</v>
      </c>
      <c r="N141" s="2" t="s">
        <v>3252</v>
      </c>
      <c r="O141" s="2">
        <v>0</v>
      </c>
      <c r="P141" s="2">
        <v>0</v>
      </c>
      <c r="Q141" s="3" t="s">
        <v>3199</v>
      </c>
    </row>
    <row r="142" spans="1:17" hidden="1">
      <c r="A142" s="21">
        <v>0</v>
      </c>
      <c r="B142" s="22" t="s">
        <v>3255</v>
      </c>
      <c r="C142" s="21" t="s">
        <v>3256</v>
      </c>
      <c r="D142" s="21" t="s">
        <v>3251</v>
      </c>
      <c r="E142" s="21" t="s">
        <v>3252</v>
      </c>
      <c r="F142" s="21" t="s">
        <v>1181</v>
      </c>
      <c r="G142" s="3" t="s">
        <v>1184</v>
      </c>
      <c r="H142" s="3" t="s">
        <v>3071</v>
      </c>
      <c r="I142" s="3" t="s">
        <v>7</v>
      </c>
      <c r="J142" s="3" t="s">
        <v>3071</v>
      </c>
      <c r="K142" s="3" t="s">
        <v>3071</v>
      </c>
      <c r="L142" s="3" t="s">
        <v>7</v>
      </c>
      <c r="M142" s="2" t="s">
        <v>268</v>
      </c>
      <c r="N142" s="2" t="s">
        <v>3252</v>
      </c>
      <c r="O142" s="2">
        <v>0</v>
      </c>
      <c r="P142" s="2">
        <v>0</v>
      </c>
      <c r="Q142" s="3" t="s">
        <v>3199</v>
      </c>
    </row>
    <row r="143" spans="1:17" hidden="1">
      <c r="A143" s="21">
        <v>0</v>
      </c>
      <c r="B143" s="22" t="s">
        <v>3257</v>
      </c>
      <c r="C143" s="21" t="s">
        <v>3258</v>
      </c>
      <c r="D143" s="21" t="s">
        <v>3251</v>
      </c>
      <c r="E143" s="21" t="s">
        <v>3252</v>
      </c>
      <c r="F143" s="21" t="s">
        <v>1180</v>
      </c>
      <c r="G143" s="3" t="s">
        <v>1184</v>
      </c>
      <c r="H143" s="3" t="s">
        <v>7</v>
      </c>
      <c r="I143" s="3" t="s">
        <v>7</v>
      </c>
      <c r="J143" s="3" t="s">
        <v>7</v>
      </c>
      <c r="K143" s="3" t="s">
        <v>7</v>
      </c>
      <c r="L143" s="3" t="s">
        <v>7</v>
      </c>
      <c r="M143" s="2" t="s">
        <v>268</v>
      </c>
      <c r="N143" s="2" t="s">
        <v>3252</v>
      </c>
      <c r="O143" s="2">
        <v>0</v>
      </c>
      <c r="P143" s="2">
        <v>0</v>
      </c>
      <c r="Q143" s="3" t="s">
        <v>3199</v>
      </c>
    </row>
    <row r="144" spans="1:17" hidden="1">
      <c r="A144" s="21" t="s">
        <v>2871</v>
      </c>
      <c r="B144" s="22" t="s">
        <v>1448</v>
      </c>
      <c r="C144" s="21" t="s">
        <v>1751</v>
      </c>
      <c r="D144" s="21" t="s">
        <v>44</v>
      </c>
      <c r="E144" s="21" t="s">
        <v>45</v>
      </c>
      <c r="F144" s="21" t="s">
        <v>1409</v>
      </c>
      <c r="G144" s="3" t="s">
        <v>2751</v>
      </c>
      <c r="H144" s="3" t="s">
        <v>7</v>
      </c>
      <c r="I144" s="3" t="s">
        <v>7</v>
      </c>
      <c r="J144" s="3" t="s">
        <v>7</v>
      </c>
      <c r="K144" s="3" t="s">
        <v>7</v>
      </c>
      <c r="L144" s="3" t="s">
        <v>7</v>
      </c>
      <c r="M144" s="2" t="s">
        <v>252</v>
      </c>
      <c r="N144" s="2" t="s">
        <v>253</v>
      </c>
      <c r="O144" s="2" t="s">
        <v>1284</v>
      </c>
      <c r="P144" s="2" t="s">
        <v>2873</v>
      </c>
      <c r="Q144" s="3" t="s">
        <v>2856</v>
      </c>
    </row>
    <row r="145" spans="1:17" hidden="1">
      <c r="A145" s="21" t="s">
        <v>2871</v>
      </c>
      <c r="B145" s="22" t="s">
        <v>907</v>
      </c>
      <c r="C145" s="21" t="s">
        <v>3259</v>
      </c>
      <c r="D145" s="21" t="s">
        <v>44</v>
      </c>
      <c r="E145" s="21" t="s">
        <v>45</v>
      </c>
      <c r="F145" s="21" t="s">
        <v>1192</v>
      </c>
      <c r="G145" s="3" t="s">
        <v>1430</v>
      </c>
      <c r="H145" s="3" t="s">
        <v>7</v>
      </c>
      <c r="I145" s="3" t="s">
        <v>7</v>
      </c>
      <c r="J145" s="3" t="s">
        <v>7</v>
      </c>
      <c r="K145" s="3" t="s">
        <v>7</v>
      </c>
      <c r="L145" s="3" t="s">
        <v>7</v>
      </c>
      <c r="M145" s="2" t="s">
        <v>252</v>
      </c>
      <c r="N145" s="2" t="s">
        <v>253</v>
      </c>
      <c r="O145" s="2" t="s">
        <v>1284</v>
      </c>
      <c r="P145" s="2" t="s">
        <v>2873</v>
      </c>
      <c r="Q145" s="3" t="s">
        <v>2856</v>
      </c>
    </row>
    <row r="146" spans="1:17" hidden="1">
      <c r="A146" s="21" t="s">
        <v>2871</v>
      </c>
      <c r="B146" s="24" t="s">
        <v>1450</v>
      </c>
      <c r="C146" s="24" t="s">
        <v>1753</v>
      </c>
      <c r="D146" s="24" t="s">
        <v>44</v>
      </c>
      <c r="E146" s="24" t="s">
        <v>790</v>
      </c>
      <c r="F146" s="24" t="s">
        <v>1409</v>
      </c>
      <c r="G146" s="5" t="s">
        <v>1412</v>
      </c>
      <c r="H146" s="3" t="s">
        <v>7</v>
      </c>
      <c r="I146" s="3" t="s">
        <v>7</v>
      </c>
      <c r="J146" s="3" t="s">
        <v>7</v>
      </c>
      <c r="K146" s="3" t="s">
        <v>7</v>
      </c>
      <c r="L146" s="3" t="s">
        <v>7</v>
      </c>
      <c r="M146" s="2" t="s">
        <v>276</v>
      </c>
      <c r="N146" s="2" t="s">
        <v>1285</v>
      </c>
      <c r="O146" s="2" t="s">
        <v>1284</v>
      </c>
      <c r="P146" s="2" t="s">
        <v>2873</v>
      </c>
      <c r="Q146" s="3" t="s">
        <v>2856</v>
      </c>
    </row>
    <row r="147" spans="1:17" hidden="1">
      <c r="A147" s="21" t="s">
        <v>2871</v>
      </c>
      <c r="B147" s="22" t="s">
        <v>2413</v>
      </c>
      <c r="C147" s="21" t="s">
        <v>2414</v>
      </c>
      <c r="D147" s="21" t="s">
        <v>44</v>
      </c>
      <c r="E147" s="21" t="s">
        <v>2415</v>
      </c>
      <c r="F147" s="21" t="s">
        <v>1192</v>
      </c>
      <c r="G147" s="3" t="s">
        <v>1186</v>
      </c>
      <c r="H147" s="3" t="s">
        <v>7</v>
      </c>
      <c r="I147" s="3" t="s">
        <v>7</v>
      </c>
      <c r="J147" s="3" t="s">
        <v>7</v>
      </c>
      <c r="K147" s="3" t="s">
        <v>7</v>
      </c>
      <c r="L147" s="3" t="s">
        <v>7</v>
      </c>
      <c r="M147" s="2" t="s">
        <v>2455</v>
      </c>
      <c r="N147" s="2" t="s">
        <v>2875</v>
      </c>
      <c r="O147" s="2" t="s">
        <v>1284</v>
      </c>
      <c r="P147" s="2" t="s">
        <v>2873</v>
      </c>
      <c r="Q147" s="3" t="s">
        <v>2856</v>
      </c>
    </row>
    <row r="148" spans="1:17" hidden="1">
      <c r="A148" s="21" t="s">
        <v>2871</v>
      </c>
      <c r="B148" s="22" t="s">
        <v>2416</v>
      </c>
      <c r="C148" s="21" t="s">
        <v>2752</v>
      </c>
      <c r="D148" s="21" t="s">
        <v>44</v>
      </c>
      <c r="E148" s="21" t="s">
        <v>2415</v>
      </c>
      <c r="F148" s="21" t="s">
        <v>1192</v>
      </c>
      <c r="G148" s="3" t="s">
        <v>1430</v>
      </c>
      <c r="H148" s="3" t="s">
        <v>55</v>
      </c>
      <c r="I148" s="3" t="s">
        <v>55</v>
      </c>
      <c r="J148" s="3" t="s">
        <v>55</v>
      </c>
      <c r="K148" s="3" t="s">
        <v>55</v>
      </c>
      <c r="L148" s="3" t="s">
        <v>55</v>
      </c>
      <c r="M148" s="2" t="s">
        <v>2455</v>
      </c>
      <c r="N148" s="2" t="s">
        <v>2875</v>
      </c>
      <c r="O148" s="2" t="s">
        <v>1284</v>
      </c>
      <c r="P148" s="2" t="s">
        <v>2873</v>
      </c>
      <c r="Q148" s="3" t="s">
        <v>2856</v>
      </c>
    </row>
    <row r="149" spans="1:17" hidden="1">
      <c r="A149" s="21" t="s">
        <v>2871</v>
      </c>
      <c r="B149" s="22" t="s">
        <v>2417</v>
      </c>
      <c r="C149" s="21" t="s">
        <v>2418</v>
      </c>
      <c r="D149" s="21" t="s">
        <v>44</v>
      </c>
      <c r="E149" s="21" t="s">
        <v>2419</v>
      </c>
      <c r="F149" s="21" t="s">
        <v>1192</v>
      </c>
      <c r="G149" s="3" t="s">
        <v>1178</v>
      </c>
      <c r="H149" s="3" t="s">
        <v>7</v>
      </c>
      <c r="I149" s="3" t="s">
        <v>7</v>
      </c>
      <c r="J149" s="3" t="s">
        <v>7</v>
      </c>
      <c r="K149" s="3" t="s">
        <v>7</v>
      </c>
      <c r="L149" s="3" t="s">
        <v>7</v>
      </c>
      <c r="M149" s="2" t="s">
        <v>1225</v>
      </c>
      <c r="N149" s="2" t="s">
        <v>2874</v>
      </c>
      <c r="O149" s="2" t="s">
        <v>1284</v>
      </c>
      <c r="P149" s="2" t="s">
        <v>2873</v>
      </c>
      <c r="Q149" s="3" t="s">
        <v>2856</v>
      </c>
    </row>
    <row r="150" spans="1:17" hidden="1">
      <c r="A150" s="21" t="s">
        <v>2871</v>
      </c>
      <c r="B150" s="22" t="s">
        <v>2420</v>
      </c>
      <c r="C150" s="21" t="s">
        <v>2421</v>
      </c>
      <c r="D150" s="21" t="s">
        <v>44</v>
      </c>
      <c r="E150" s="21" t="s">
        <v>2419</v>
      </c>
      <c r="F150" s="21" t="s">
        <v>1181</v>
      </c>
      <c r="G150" s="3" t="s">
        <v>1198</v>
      </c>
      <c r="H150" s="3" t="s">
        <v>3071</v>
      </c>
      <c r="I150" s="3" t="s">
        <v>7</v>
      </c>
      <c r="J150" s="3" t="s">
        <v>3071</v>
      </c>
      <c r="K150" s="3" t="s">
        <v>3071</v>
      </c>
      <c r="L150" s="3" t="s">
        <v>7</v>
      </c>
      <c r="M150" s="2" t="s">
        <v>1225</v>
      </c>
      <c r="N150" s="2" t="s">
        <v>2874</v>
      </c>
      <c r="O150" s="2" t="s">
        <v>1284</v>
      </c>
      <c r="P150" s="2" t="s">
        <v>2873</v>
      </c>
      <c r="Q150" s="3" t="s">
        <v>2856</v>
      </c>
    </row>
    <row r="151" spans="1:17" hidden="1">
      <c r="A151" s="21" t="s">
        <v>2871</v>
      </c>
      <c r="B151" s="22" t="s">
        <v>2422</v>
      </c>
      <c r="C151" s="21" t="s">
        <v>2423</v>
      </c>
      <c r="D151" s="21" t="s">
        <v>44</v>
      </c>
      <c r="E151" s="21" t="s">
        <v>45</v>
      </c>
      <c r="F151" s="21" t="s">
        <v>1180</v>
      </c>
      <c r="G151" s="3" t="s">
        <v>1198</v>
      </c>
      <c r="H151" s="3" t="s">
        <v>7</v>
      </c>
      <c r="I151" s="3" t="s">
        <v>7</v>
      </c>
      <c r="J151" s="3" t="s">
        <v>7</v>
      </c>
      <c r="K151" s="3" t="s">
        <v>7</v>
      </c>
      <c r="L151" s="3" t="s">
        <v>7</v>
      </c>
      <c r="M151" s="2" t="s">
        <v>252</v>
      </c>
      <c r="N151" s="2" t="s">
        <v>253</v>
      </c>
      <c r="O151" s="2" t="s">
        <v>1284</v>
      </c>
      <c r="P151" s="2" t="s">
        <v>2873</v>
      </c>
      <c r="Q151" s="3" t="s">
        <v>2856</v>
      </c>
    </row>
    <row r="152" spans="1:17" hidden="1">
      <c r="A152" s="21" t="s">
        <v>2871</v>
      </c>
      <c r="B152" s="22" t="s">
        <v>2424</v>
      </c>
      <c r="C152" s="21" t="s">
        <v>2425</v>
      </c>
      <c r="D152" s="21" t="s">
        <v>44</v>
      </c>
      <c r="E152" s="21" t="s">
        <v>45</v>
      </c>
      <c r="F152" s="21" t="s">
        <v>1192</v>
      </c>
      <c r="G152" s="3" t="s">
        <v>1184</v>
      </c>
      <c r="H152" s="3" t="s">
        <v>7</v>
      </c>
      <c r="I152" s="3" t="s">
        <v>7</v>
      </c>
      <c r="J152" s="3" t="s">
        <v>7</v>
      </c>
      <c r="K152" s="3" t="s">
        <v>7</v>
      </c>
      <c r="L152" s="3" t="s">
        <v>7</v>
      </c>
      <c r="M152" s="67" t="s">
        <v>276</v>
      </c>
      <c r="N152" s="67" t="s">
        <v>1285</v>
      </c>
      <c r="O152" s="2" t="s">
        <v>1284</v>
      </c>
      <c r="P152" s="2" t="s">
        <v>2873</v>
      </c>
      <c r="Q152" s="3" t="s">
        <v>2856</v>
      </c>
    </row>
    <row r="153" spans="1:17" hidden="1">
      <c r="A153" s="21" t="s">
        <v>2871</v>
      </c>
      <c r="B153" s="22" t="s">
        <v>2426</v>
      </c>
      <c r="C153" s="21" t="s">
        <v>2427</v>
      </c>
      <c r="D153" s="21" t="s">
        <v>44</v>
      </c>
      <c r="E153" s="21" t="s">
        <v>2415</v>
      </c>
      <c r="F153" s="21" t="s">
        <v>1180</v>
      </c>
      <c r="G153" s="3" t="s">
        <v>1186</v>
      </c>
      <c r="H153" s="3" t="s">
        <v>7</v>
      </c>
      <c r="I153" s="3" t="s">
        <v>7</v>
      </c>
      <c r="J153" s="3" t="s">
        <v>7</v>
      </c>
      <c r="K153" s="3" t="s">
        <v>7</v>
      </c>
      <c r="L153" s="3" t="s">
        <v>7</v>
      </c>
      <c r="M153" s="2" t="s">
        <v>2455</v>
      </c>
      <c r="N153" s="2" t="s">
        <v>2875</v>
      </c>
      <c r="O153" s="2" t="s">
        <v>1284</v>
      </c>
      <c r="P153" s="2" t="s">
        <v>2873</v>
      </c>
      <c r="Q153" s="3" t="s">
        <v>2856</v>
      </c>
    </row>
    <row r="154" spans="1:17" hidden="1">
      <c r="A154" s="21" t="s">
        <v>2871</v>
      </c>
      <c r="B154" s="22" t="s">
        <v>2428</v>
      </c>
      <c r="C154" s="21" t="s">
        <v>2429</v>
      </c>
      <c r="D154" s="21" t="s">
        <v>44</v>
      </c>
      <c r="E154" s="21" t="s">
        <v>790</v>
      </c>
      <c r="F154" s="21" t="s">
        <v>1192</v>
      </c>
      <c r="G154" s="3" t="s">
        <v>1184</v>
      </c>
      <c r="H154" s="3" t="s">
        <v>7</v>
      </c>
      <c r="I154" s="3" t="s">
        <v>7</v>
      </c>
      <c r="J154" s="3" t="s">
        <v>7</v>
      </c>
      <c r="K154" s="3" t="s">
        <v>7</v>
      </c>
      <c r="L154" s="3" t="s">
        <v>7</v>
      </c>
      <c r="M154" s="2" t="s">
        <v>276</v>
      </c>
      <c r="N154" s="2" t="s">
        <v>1285</v>
      </c>
      <c r="O154" s="2" t="s">
        <v>1284</v>
      </c>
      <c r="P154" s="2" t="s">
        <v>2873</v>
      </c>
      <c r="Q154" s="3" t="s">
        <v>2856</v>
      </c>
    </row>
    <row r="155" spans="1:17" hidden="1">
      <c r="A155" s="21" t="s">
        <v>2871</v>
      </c>
      <c r="B155" s="22" t="s">
        <v>2430</v>
      </c>
      <c r="C155" s="21" t="s">
        <v>2431</v>
      </c>
      <c r="D155" s="21" t="s">
        <v>44</v>
      </c>
      <c r="E155" s="21" t="s">
        <v>2419</v>
      </c>
      <c r="F155" s="21" t="s">
        <v>1180</v>
      </c>
      <c r="G155" s="3" t="s">
        <v>1186</v>
      </c>
      <c r="H155" s="3" t="s">
        <v>7</v>
      </c>
      <c r="I155" s="3" t="s">
        <v>7</v>
      </c>
      <c r="J155" s="3" t="s">
        <v>7</v>
      </c>
      <c r="K155" s="3" t="s">
        <v>7</v>
      </c>
      <c r="L155" s="3" t="s">
        <v>7</v>
      </c>
      <c r="M155" s="2" t="s">
        <v>1225</v>
      </c>
      <c r="N155" s="2" t="s">
        <v>2874</v>
      </c>
      <c r="O155" s="2" t="s">
        <v>1284</v>
      </c>
      <c r="P155" s="2" t="s">
        <v>2873</v>
      </c>
      <c r="Q155" s="3" t="s">
        <v>2856</v>
      </c>
    </row>
    <row r="156" spans="1:17" hidden="1">
      <c r="A156" s="21" t="s">
        <v>2871</v>
      </c>
      <c r="B156" s="22" t="s">
        <v>2596</v>
      </c>
      <c r="C156" s="21" t="s">
        <v>2597</v>
      </c>
      <c r="D156" s="21" t="s">
        <v>44</v>
      </c>
      <c r="E156" s="21" t="s">
        <v>45</v>
      </c>
      <c r="F156" s="21" t="s">
        <v>1180</v>
      </c>
      <c r="G156" s="3" t="s">
        <v>1179</v>
      </c>
      <c r="H156" s="3" t="s">
        <v>7</v>
      </c>
      <c r="I156" s="3" t="s">
        <v>7</v>
      </c>
      <c r="J156" s="3" t="s">
        <v>7</v>
      </c>
      <c r="K156" s="3" t="s">
        <v>7</v>
      </c>
      <c r="L156" s="3" t="s">
        <v>7</v>
      </c>
      <c r="M156" s="2" t="s">
        <v>252</v>
      </c>
      <c r="N156" s="2" t="s">
        <v>253</v>
      </c>
      <c r="O156" s="2" t="s">
        <v>1284</v>
      </c>
      <c r="P156" s="2" t="s">
        <v>2873</v>
      </c>
      <c r="Q156" s="3" t="s">
        <v>2856</v>
      </c>
    </row>
    <row r="157" spans="1:17" hidden="1">
      <c r="A157" s="21" t="s">
        <v>2871</v>
      </c>
      <c r="B157" s="22" t="s">
        <v>1451</v>
      </c>
      <c r="C157" s="21" t="s">
        <v>1754</v>
      </c>
      <c r="D157" s="21" t="s">
        <v>1452</v>
      </c>
      <c r="E157" s="21" t="s">
        <v>1453</v>
      </c>
      <c r="F157" s="21" t="s">
        <v>1409</v>
      </c>
      <c r="G157" s="3" t="s">
        <v>1184</v>
      </c>
      <c r="H157" s="3" t="s">
        <v>7</v>
      </c>
      <c r="I157" s="3" t="s">
        <v>7</v>
      </c>
      <c r="J157" s="3" t="s">
        <v>7</v>
      </c>
      <c r="K157" s="3" t="s">
        <v>7</v>
      </c>
      <c r="L157" s="3" t="s">
        <v>7</v>
      </c>
      <c r="M157" s="2" t="s">
        <v>260</v>
      </c>
      <c r="N157" s="2" t="s">
        <v>261</v>
      </c>
      <c r="O157" s="2" t="s">
        <v>1286</v>
      </c>
      <c r="P157" s="2" t="s">
        <v>2873</v>
      </c>
      <c r="Q157" s="3" t="s">
        <v>2856</v>
      </c>
    </row>
    <row r="158" spans="1:17" hidden="1">
      <c r="A158" s="21" t="s">
        <v>2871</v>
      </c>
      <c r="B158" s="22" t="s">
        <v>908</v>
      </c>
      <c r="C158" s="21" t="s">
        <v>1755</v>
      </c>
      <c r="D158" s="21" t="s">
        <v>46</v>
      </c>
      <c r="E158" s="21" t="s">
        <v>47</v>
      </c>
      <c r="F158" s="21" t="s">
        <v>8</v>
      </c>
      <c r="G158" s="3" t="s">
        <v>1184</v>
      </c>
      <c r="H158" s="3" t="s">
        <v>7</v>
      </c>
      <c r="I158" s="3" t="s">
        <v>7</v>
      </c>
      <c r="J158" s="3" t="s">
        <v>7</v>
      </c>
      <c r="K158" s="3" t="s">
        <v>7</v>
      </c>
      <c r="L158" s="3" t="s">
        <v>7</v>
      </c>
      <c r="M158" s="2" t="s">
        <v>258</v>
      </c>
      <c r="N158" s="2" t="s">
        <v>259</v>
      </c>
      <c r="O158" s="2" t="s">
        <v>1291</v>
      </c>
      <c r="P158" s="2" t="s">
        <v>2873</v>
      </c>
      <c r="Q158" s="3" t="s">
        <v>2856</v>
      </c>
    </row>
    <row r="159" spans="1:17" hidden="1">
      <c r="A159" s="21" t="s">
        <v>2871</v>
      </c>
      <c r="B159" s="22" t="s">
        <v>2432</v>
      </c>
      <c r="C159" s="21" t="s">
        <v>2433</v>
      </c>
      <c r="D159" s="21" t="s">
        <v>46</v>
      </c>
      <c r="E159" s="21" t="s">
        <v>47</v>
      </c>
      <c r="F159" s="21" t="s">
        <v>1192</v>
      </c>
      <c r="G159" s="3" t="s">
        <v>1189</v>
      </c>
      <c r="H159" s="3" t="s">
        <v>7</v>
      </c>
      <c r="I159" s="3" t="s">
        <v>7</v>
      </c>
      <c r="J159" s="3" t="s">
        <v>7</v>
      </c>
      <c r="K159" s="3" t="s">
        <v>7</v>
      </c>
      <c r="L159" s="3" t="s">
        <v>7</v>
      </c>
      <c r="M159" s="2" t="s">
        <v>258</v>
      </c>
      <c r="N159" s="2" t="s">
        <v>259</v>
      </c>
      <c r="O159" s="2" t="s">
        <v>1291</v>
      </c>
      <c r="P159" s="2" t="s">
        <v>2873</v>
      </c>
      <c r="Q159" s="3" t="s">
        <v>2856</v>
      </c>
    </row>
    <row r="160" spans="1:17" hidden="1">
      <c r="A160" s="21" t="s">
        <v>2871</v>
      </c>
      <c r="B160" s="22" t="s">
        <v>2434</v>
      </c>
      <c r="C160" s="21" t="s">
        <v>2435</v>
      </c>
      <c r="D160" s="21" t="s">
        <v>46</v>
      </c>
      <c r="E160" s="21" t="s">
        <v>47</v>
      </c>
      <c r="F160" s="21" t="s">
        <v>1180</v>
      </c>
      <c r="G160" s="3" t="s">
        <v>1186</v>
      </c>
      <c r="H160" s="3" t="s">
        <v>7</v>
      </c>
      <c r="I160" s="3" t="s">
        <v>7</v>
      </c>
      <c r="J160" s="3" t="s">
        <v>7</v>
      </c>
      <c r="K160" s="3" t="s">
        <v>7</v>
      </c>
      <c r="L160" s="3" t="s">
        <v>7</v>
      </c>
      <c r="M160" s="2" t="s">
        <v>258</v>
      </c>
      <c r="N160" s="2" t="s">
        <v>259</v>
      </c>
      <c r="O160" s="2" t="s">
        <v>1291</v>
      </c>
      <c r="P160" s="2" t="s">
        <v>2873</v>
      </c>
      <c r="Q160" s="3" t="s">
        <v>2856</v>
      </c>
    </row>
    <row r="161" spans="1:17" hidden="1">
      <c r="A161" s="21" t="s">
        <v>2871</v>
      </c>
      <c r="B161" s="22" t="s">
        <v>2456</v>
      </c>
      <c r="C161" s="21" t="s">
        <v>2457</v>
      </c>
      <c r="D161" s="21" t="s">
        <v>1455</v>
      </c>
      <c r="E161" s="21" t="s">
        <v>1456</v>
      </c>
      <c r="F161" s="21" t="s">
        <v>1192</v>
      </c>
      <c r="G161" s="3" t="s">
        <v>2461</v>
      </c>
      <c r="H161" s="3" t="s">
        <v>7</v>
      </c>
      <c r="I161" s="3" t="s">
        <v>7</v>
      </c>
      <c r="J161" s="3" t="s">
        <v>7</v>
      </c>
      <c r="K161" s="3" t="s">
        <v>7</v>
      </c>
      <c r="L161" s="3" t="s">
        <v>7</v>
      </c>
      <c r="M161" s="2" t="s">
        <v>254</v>
      </c>
      <c r="N161" s="2" t="s">
        <v>255</v>
      </c>
      <c r="O161" s="2" t="s">
        <v>1287</v>
      </c>
      <c r="P161" s="2" t="s">
        <v>2873</v>
      </c>
      <c r="Q161" s="3" t="s">
        <v>2856</v>
      </c>
    </row>
    <row r="162" spans="1:17" hidden="1">
      <c r="A162" s="21" t="s">
        <v>2871</v>
      </c>
      <c r="B162" s="22" t="s">
        <v>1454</v>
      </c>
      <c r="C162" s="21" t="s">
        <v>1756</v>
      </c>
      <c r="D162" s="21" t="s">
        <v>1455</v>
      </c>
      <c r="E162" s="21" t="s">
        <v>1456</v>
      </c>
      <c r="F162" s="21" t="s">
        <v>1180</v>
      </c>
      <c r="G162" s="3" t="s">
        <v>1437</v>
      </c>
      <c r="H162" s="3" t="s">
        <v>7</v>
      </c>
      <c r="I162" s="3" t="s">
        <v>7</v>
      </c>
      <c r="J162" s="3" t="s">
        <v>7</v>
      </c>
      <c r="K162" s="3" t="s">
        <v>7</v>
      </c>
      <c r="L162" s="3" t="s">
        <v>7</v>
      </c>
      <c r="M162" s="2" t="s">
        <v>254</v>
      </c>
      <c r="N162" s="2" t="s">
        <v>255</v>
      </c>
      <c r="O162" s="2" t="s">
        <v>1287</v>
      </c>
      <c r="P162" s="2" t="s">
        <v>2873</v>
      </c>
      <c r="Q162" s="3" t="s">
        <v>2856</v>
      </c>
    </row>
    <row r="163" spans="1:17" hidden="1">
      <c r="A163" s="21">
        <v>0</v>
      </c>
      <c r="B163" s="22" t="s">
        <v>3260</v>
      </c>
      <c r="C163" s="21" t="s">
        <v>3261</v>
      </c>
      <c r="D163" s="21" t="s">
        <v>48</v>
      </c>
      <c r="E163" s="21" t="s">
        <v>3262</v>
      </c>
      <c r="F163" s="21" t="s">
        <v>1192</v>
      </c>
      <c r="G163" s="3" t="s">
        <v>1416</v>
      </c>
      <c r="H163" s="3" t="s">
        <v>7</v>
      </c>
      <c r="I163" s="3" t="s">
        <v>7</v>
      </c>
      <c r="J163" s="3" t="s">
        <v>7</v>
      </c>
      <c r="K163" s="3" t="s">
        <v>7</v>
      </c>
      <c r="L163" s="3" t="s">
        <v>7</v>
      </c>
      <c r="M163" s="2" t="s">
        <v>480</v>
      </c>
      <c r="N163" s="2" t="s">
        <v>3262</v>
      </c>
      <c r="O163" s="2">
        <v>0</v>
      </c>
      <c r="P163" s="2">
        <v>0</v>
      </c>
      <c r="Q163" s="3" t="s">
        <v>3199</v>
      </c>
    </row>
    <row r="164" spans="1:17" hidden="1">
      <c r="A164" s="21" t="s">
        <v>2876</v>
      </c>
      <c r="B164" s="22" t="s">
        <v>909</v>
      </c>
      <c r="C164" s="21" t="s">
        <v>1764</v>
      </c>
      <c r="D164" s="21" t="s">
        <v>48</v>
      </c>
      <c r="E164" s="21" t="s">
        <v>50</v>
      </c>
      <c r="F164" s="21" t="s">
        <v>1181</v>
      </c>
      <c r="G164" s="3" t="s">
        <v>1414</v>
      </c>
      <c r="H164" s="3" t="s">
        <v>3071</v>
      </c>
      <c r="I164" s="3" t="s">
        <v>7</v>
      </c>
      <c r="J164" s="3" t="s">
        <v>3071</v>
      </c>
      <c r="K164" s="3" t="s">
        <v>3071</v>
      </c>
      <c r="L164" s="3" t="s">
        <v>7</v>
      </c>
      <c r="M164" s="2" t="s">
        <v>542</v>
      </c>
      <c r="N164" s="2" t="s">
        <v>543</v>
      </c>
      <c r="O164" s="2" t="s">
        <v>1310</v>
      </c>
      <c r="P164" s="2" t="s">
        <v>2881</v>
      </c>
      <c r="Q164" s="3" t="s">
        <v>2856</v>
      </c>
    </row>
    <row r="165" spans="1:17" hidden="1">
      <c r="A165" s="21" t="s">
        <v>2876</v>
      </c>
      <c r="B165" s="22" t="s">
        <v>1460</v>
      </c>
      <c r="C165" s="21" t="s">
        <v>1761</v>
      </c>
      <c r="D165" s="21" t="s">
        <v>48</v>
      </c>
      <c r="E165" s="21" t="s">
        <v>50</v>
      </c>
      <c r="F165" s="21" t="s">
        <v>1409</v>
      </c>
      <c r="G165" s="3" t="s">
        <v>1449</v>
      </c>
      <c r="H165" s="3" t="s">
        <v>7</v>
      </c>
      <c r="I165" s="3" t="s">
        <v>7</v>
      </c>
      <c r="J165" s="3" t="s">
        <v>7</v>
      </c>
      <c r="K165" s="3" t="s">
        <v>7</v>
      </c>
      <c r="L165" s="3" t="s">
        <v>7</v>
      </c>
      <c r="M165" s="2" t="s">
        <v>542</v>
      </c>
      <c r="N165" s="2" t="s">
        <v>543</v>
      </c>
      <c r="O165" s="2" t="s">
        <v>1310</v>
      </c>
      <c r="P165" s="2" t="s">
        <v>2881</v>
      </c>
      <c r="Q165" s="3" t="s">
        <v>2856</v>
      </c>
    </row>
    <row r="166" spans="1:17" hidden="1">
      <c r="A166" s="21" t="s">
        <v>2876</v>
      </c>
      <c r="B166" s="22" t="s">
        <v>1458</v>
      </c>
      <c r="C166" s="21" t="s">
        <v>1757</v>
      </c>
      <c r="D166" s="21" t="s">
        <v>48</v>
      </c>
      <c r="E166" s="21" t="s">
        <v>49</v>
      </c>
      <c r="F166" s="21" t="s">
        <v>1192</v>
      </c>
      <c r="G166" s="3" t="s">
        <v>1424</v>
      </c>
      <c r="H166" s="3" t="s">
        <v>7</v>
      </c>
      <c r="I166" s="3" t="s">
        <v>7</v>
      </c>
      <c r="J166" s="3" t="s">
        <v>7</v>
      </c>
      <c r="K166" s="3" t="s">
        <v>7</v>
      </c>
      <c r="L166" s="3" t="s">
        <v>7</v>
      </c>
      <c r="M166" s="2" t="s">
        <v>530</v>
      </c>
      <c r="N166" s="2" t="s">
        <v>531</v>
      </c>
      <c r="O166" s="2" t="s">
        <v>1310</v>
      </c>
      <c r="P166" s="2" t="s">
        <v>2881</v>
      </c>
      <c r="Q166" s="3" t="s">
        <v>2856</v>
      </c>
    </row>
    <row r="167" spans="1:17" hidden="1">
      <c r="A167" s="21" t="s">
        <v>2876</v>
      </c>
      <c r="B167" s="22" t="s">
        <v>910</v>
      </c>
      <c r="C167" s="21" t="s">
        <v>1762</v>
      </c>
      <c r="D167" s="21" t="s">
        <v>48</v>
      </c>
      <c r="E167" s="21" t="s">
        <v>50</v>
      </c>
      <c r="F167" s="21" t="s">
        <v>1192</v>
      </c>
      <c r="G167" s="3" t="s">
        <v>1430</v>
      </c>
      <c r="H167" s="3" t="s">
        <v>7</v>
      </c>
      <c r="I167" s="3" t="s">
        <v>7</v>
      </c>
      <c r="J167" s="3" t="s">
        <v>7</v>
      </c>
      <c r="K167" s="3" t="s">
        <v>7</v>
      </c>
      <c r="L167" s="3" t="s">
        <v>7</v>
      </c>
      <c r="M167" s="2" t="s">
        <v>542</v>
      </c>
      <c r="N167" s="2" t="s">
        <v>543</v>
      </c>
      <c r="O167" s="2" t="s">
        <v>1310</v>
      </c>
      <c r="P167" s="2" t="s">
        <v>2881</v>
      </c>
      <c r="Q167" s="3" t="s">
        <v>2856</v>
      </c>
    </row>
    <row r="168" spans="1:17" hidden="1">
      <c r="A168" s="21" t="s">
        <v>2876</v>
      </c>
      <c r="B168" s="22" t="s">
        <v>1459</v>
      </c>
      <c r="C168" s="21" t="s">
        <v>1758</v>
      </c>
      <c r="D168" s="21" t="s">
        <v>48</v>
      </c>
      <c r="E168" s="21" t="s">
        <v>49</v>
      </c>
      <c r="F168" s="21" t="s">
        <v>1192</v>
      </c>
      <c r="G168" s="3" t="s">
        <v>1424</v>
      </c>
      <c r="H168" s="3" t="s">
        <v>7</v>
      </c>
      <c r="I168" s="3" t="s">
        <v>7</v>
      </c>
      <c r="J168" s="3" t="s">
        <v>7</v>
      </c>
      <c r="K168" s="3" t="s">
        <v>7</v>
      </c>
      <c r="L168" s="3" t="s">
        <v>7</v>
      </c>
      <c r="M168" s="2" t="s">
        <v>530</v>
      </c>
      <c r="N168" s="2" t="s">
        <v>531</v>
      </c>
      <c r="O168" s="2" t="s">
        <v>1310</v>
      </c>
      <c r="P168" s="2" t="s">
        <v>2881</v>
      </c>
      <c r="Q168" s="3" t="s">
        <v>2856</v>
      </c>
    </row>
    <row r="169" spans="1:17" hidden="1">
      <c r="A169" s="21" t="s">
        <v>2876</v>
      </c>
      <c r="B169" s="22" t="s">
        <v>1193</v>
      </c>
      <c r="C169" s="21" t="s">
        <v>1763</v>
      </c>
      <c r="D169" s="21" t="s">
        <v>48</v>
      </c>
      <c r="E169" s="21" t="s">
        <v>50</v>
      </c>
      <c r="F169" s="21" t="s">
        <v>1192</v>
      </c>
      <c r="G169" s="3" t="s">
        <v>1184</v>
      </c>
      <c r="H169" s="3" t="s">
        <v>7</v>
      </c>
      <c r="I169" s="3" t="s">
        <v>7</v>
      </c>
      <c r="J169" s="3" t="s">
        <v>7</v>
      </c>
      <c r="K169" s="3" t="s">
        <v>7</v>
      </c>
      <c r="L169" s="3" t="s">
        <v>7</v>
      </c>
      <c r="M169" s="2" t="s">
        <v>542</v>
      </c>
      <c r="N169" s="2" t="s">
        <v>543</v>
      </c>
      <c r="O169" s="2" t="s">
        <v>1310</v>
      </c>
      <c r="P169" s="2" t="s">
        <v>2881</v>
      </c>
      <c r="Q169" s="3" t="s">
        <v>2856</v>
      </c>
    </row>
    <row r="170" spans="1:17" hidden="1">
      <c r="A170" s="21" t="s">
        <v>2876</v>
      </c>
      <c r="B170" s="22" t="s">
        <v>911</v>
      </c>
      <c r="C170" s="21" t="s">
        <v>1765</v>
      </c>
      <c r="D170" s="21" t="s">
        <v>48</v>
      </c>
      <c r="E170" s="21" t="s">
        <v>50</v>
      </c>
      <c r="F170" s="21" t="s">
        <v>1180</v>
      </c>
      <c r="G170" s="3" t="s">
        <v>1184</v>
      </c>
      <c r="H170" s="3" t="s">
        <v>7</v>
      </c>
      <c r="I170" s="3" t="s">
        <v>7</v>
      </c>
      <c r="J170" s="3" t="s">
        <v>7</v>
      </c>
      <c r="K170" s="3" t="s">
        <v>7</v>
      </c>
      <c r="L170" s="3" t="s">
        <v>7</v>
      </c>
      <c r="M170" s="2" t="s">
        <v>542</v>
      </c>
      <c r="N170" s="2" t="s">
        <v>543</v>
      </c>
      <c r="O170" s="2" t="s">
        <v>1310</v>
      </c>
      <c r="P170" s="2" t="s">
        <v>2881</v>
      </c>
      <c r="Q170" s="3" t="s">
        <v>2856</v>
      </c>
    </row>
    <row r="171" spans="1:17" hidden="1">
      <c r="A171" s="21" t="s">
        <v>2876</v>
      </c>
      <c r="B171" s="22" t="s">
        <v>1191</v>
      </c>
      <c r="C171" s="21" t="s">
        <v>1759</v>
      </c>
      <c r="D171" s="21" t="s">
        <v>48</v>
      </c>
      <c r="E171" s="21" t="s">
        <v>49</v>
      </c>
      <c r="F171" s="21" t="s">
        <v>1192</v>
      </c>
      <c r="G171" s="3" t="s">
        <v>1182</v>
      </c>
      <c r="H171" s="3" t="s">
        <v>7</v>
      </c>
      <c r="I171" s="3" t="s">
        <v>7</v>
      </c>
      <c r="J171" s="3" t="s">
        <v>7</v>
      </c>
      <c r="K171" s="3" t="s">
        <v>7</v>
      </c>
      <c r="L171" s="3" t="s">
        <v>7</v>
      </c>
      <c r="M171" s="2" t="s">
        <v>530</v>
      </c>
      <c r="N171" s="2" t="s">
        <v>531</v>
      </c>
      <c r="O171" s="2" t="s">
        <v>1310</v>
      </c>
      <c r="P171" s="2" t="s">
        <v>2881</v>
      </c>
      <c r="Q171" s="3" t="s">
        <v>2856</v>
      </c>
    </row>
    <row r="172" spans="1:17" hidden="1">
      <c r="A172" s="21" t="s">
        <v>2876</v>
      </c>
      <c r="B172" s="22" t="s">
        <v>1466</v>
      </c>
      <c r="C172" s="21" t="s">
        <v>1772</v>
      </c>
      <c r="D172" s="21" t="s">
        <v>51</v>
      </c>
      <c r="E172" s="21" t="s">
        <v>52</v>
      </c>
      <c r="F172" s="21" t="s">
        <v>1409</v>
      </c>
      <c r="G172" s="3" t="s">
        <v>2461</v>
      </c>
      <c r="H172" s="3" t="s">
        <v>7</v>
      </c>
      <c r="I172" s="3" t="s">
        <v>7</v>
      </c>
      <c r="J172" s="3" t="s">
        <v>7</v>
      </c>
      <c r="K172" s="3" t="s">
        <v>7</v>
      </c>
      <c r="L172" s="3" t="s">
        <v>7</v>
      </c>
      <c r="M172" s="2" t="s">
        <v>508</v>
      </c>
      <c r="N172" s="2" t="s">
        <v>509</v>
      </c>
      <c r="O172" s="2" t="s">
        <v>1310</v>
      </c>
      <c r="P172" s="2" t="s">
        <v>2881</v>
      </c>
      <c r="Q172" s="3" t="s">
        <v>2856</v>
      </c>
    </row>
    <row r="173" spans="1:17" hidden="1">
      <c r="A173" s="21" t="s">
        <v>2876</v>
      </c>
      <c r="B173" s="22" t="s">
        <v>1467</v>
      </c>
      <c r="C173" s="21" t="s">
        <v>1773</v>
      </c>
      <c r="D173" s="21" t="s">
        <v>51</v>
      </c>
      <c r="E173" s="21" t="s">
        <v>52</v>
      </c>
      <c r="F173" s="21" t="s">
        <v>1192</v>
      </c>
      <c r="G173" s="3" t="s">
        <v>1485</v>
      </c>
      <c r="H173" s="3" t="s">
        <v>7</v>
      </c>
      <c r="I173" s="3" t="s">
        <v>7</v>
      </c>
      <c r="J173" s="3" t="s">
        <v>7</v>
      </c>
      <c r="K173" s="3" t="s">
        <v>7</v>
      </c>
      <c r="L173" s="3" t="s">
        <v>7</v>
      </c>
      <c r="M173" s="2" t="s">
        <v>508</v>
      </c>
      <c r="N173" s="2" t="s">
        <v>509</v>
      </c>
      <c r="O173" s="2" t="s">
        <v>1310</v>
      </c>
      <c r="P173" s="2" t="s">
        <v>2881</v>
      </c>
      <c r="Q173" s="3" t="s">
        <v>2856</v>
      </c>
    </row>
    <row r="174" spans="1:17" hidden="1">
      <c r="A174" s="21" t="s">
        <v>2876</v>
      </c>
      <c r="B174" s="22" t="s">
        <v>1461</v>
      </c>
      <c r="C174" s="21" t="s">
        <v>1766</v>
      </c>
      <c r="D174" s="21" t="s">
        <v>51</v>
      </c>
      <c r="E174" s="21" t="s">
        <v>1462</v>
      </c>
      <c r="F174" s="21" t="s">
        <v>1409</v>
      </c>
      <c r="G174" s="3" t="s">
        <v>1188</v>
      </c>
      <c r="H174" s="3" t="s">
        <v>7</v>
      </c>
      <c r="I174" s="3" t="s">
        <v>7</v>
      </c>
      <c r="J174" s="3" t="s">
        <v>7</v>
      </c>
      <c r="K174" s="3" t="s">
        <v>7</v>
      </c>
      <c r="L174" s="3" t="s">
        <v>7</v>
      </c>
      <c r="M174" s="2" t="s">
        <v>534</v>
      </c>
      <c r="N174" s="2" t="s">
        <v>535</v>
      </c>
      <c r="O174" s="2" t="s">
        <v>1310</v>
      </c>
      <c r="P174" s="2" t="s">
        <v>2881</v>
      </c>
      <c r="Q174" s="3" t="s">
        <v>2856</v>
      </c>
    </row>
    <row r="175" spans="1:17" hidden="1">
      <c r="A175" s="21" t="s">
        <v>2876</v>
      </c>
      <c r="B175" s="22" t="s">
        <v>1464</v>
      </c>
      <c r="C175" s="21" t="s">
        <v>1768</v>
      </c>
      <c r="D175" s="21" t="s">
        <v>51</v>
      </c>
      <c r="E175" s="21" t="s">
        <v>1462</v>
      </c>
      <c r="F175" s="21" t="s">
        <v>1181</v>
      </c>
      <c r="G175" s="3" t="s">
        <v>1424</v>
      </c>
      <c r="H175" s="3" t="s">
        <v>3071</v>
      </c>
      <c r="I175" s="3" t="s">
        <v>7</v>
      </c>
      <c r="J175" s="3" t="s">
        <v>3071</v>
      </c>
      <c r="K175" s="3" t="s">
        <v>3071</v>
      </c>
      <c r="L175" s="3" t="s">
        <v>7</v>
      </c>
      <c r="M175" s="2" t="s">
        <v>534</v>
      </c>
      <c r="N175" s="2" t="s">
        <v>535</v>
      </c>
      <c r="O175" s="2" t="s">
        <v>1310</v>
      </c>
      <c r="P175" s="2" t="s">
        <v>2881</v>
      </c>
      <c r="Q175" s="3" t="s">
        <v>2856</v>
      </c>
    </row>
    <row r="176" spans="1:17" hidden="1">
      <c r="A176" s="21" t="s">
        <v>2876</v>
      </c>
      <c r="B176" s="22" t="s">
        <v>1465</v>
      </c>
      <c r="C176" s="21" t="s">
        <v>1771</v>
      </c>
      <c r="D176" s="21" t="s">
        <v>51</v>
      </c>
      <c r="E176" s="21" t="s">
        <v>1462</v>
      </c>
      <c r="F176" s="21" t="s">
        <v>1180</v>
      </c>
      <c r="G176" s="3" t="s">
        <v>1416</v>
      </c>
      <c r="H176" s="3" t="s">
        <v>7</v>
      </c>
      <c r="I176" s="3" t="s">
        <v>7</v>
      </c>
      <c r="J176" s="3" t="s">
        <v>7</v>
      </c>
      <c r="K176" s="3" t="s">
        <v>7</v>
      </c>
      <c r="L176" s="3" t="s">
        <v>7</v>
      </c>
      <c r="M176" s="2" t="s">
        <v>534</v>
      </c>
      <c r="N176" s="2" t="s">
        <v>535</v>
      </c>
      <c r="O176" s="2" t="s">
        <v>1310</v>
      </c>
      <c r="P176" s="2" t="s">
        <v>2881</v>
      </c>
      <c r="Q176" s="3" t="s">
        <v>2856</v>
      </c>
    </row>
    <row r="177" spans="1:17" hidden="1">
      <c r="A177" s="21" t="s">
        <v>2876</v>
      </c>
      <c r="B177" s="22" t="s">
        <v>1463</v>
      </c>
      <c r="C177" s="21" t="s">
        <v>1767</v>
      </c>
      <c r="D177" s="21" t="s">
        <v>51</v>
      </c>
      <c r="E177" s="21" t="s">
        <v>1462</v>
      </c>
      <c r="F177" s="21" t="s">
        <v>1192</v>
      </c>
      <c r="G177" s="3" t="s">
        <v>1424</v>
      </c>
      <c r="H177" s="3" t="s">
        <v>7</v>
      </c>
      <c r="I177" s="3" t="s">
        <v>7</v>
      </c>
      <c r="J177" s="3" t="s">
        <v>7</v>
      </c>
      <c r="K177" s="3" t="s">
        <v>7</v>
      </c>
      <c r="L177" s="3" t="s">
        <v>7</v>
      </c>
      <c r="M177" s="2" t="s">
        <v>534</v>
      </c>
      <c r="N177" s="2" t="s">
        <v>535</v>
      </c>
      <c r="O177" s="2" t="s">
        <v>1310</v>
      </c>
      <c r="P177" s="2" t="s">
        <v>2881</v>
      </c>
      <c r="Q177" s="3" t="s">
        <v>2856</v>
      </c>
    </row>
    <row r="178" spans="1:17" hidden="1">
      <c r="A178" s="21" t="s">
        <v>2876</v>
      </c>
      <c r="B178" s="22" t="s">
        <v>1769</v>
      </c>
      <c r="C178" s="21" t="s">
        <v>1770</v>
      </c>
      <c r="D178" s="21" t="s">
        <v>51</v>
      </c>
      <c r="E178" s="21" t="s">
        <v>1462</v>
      </c>
      <c r="F178" s="21" t="s">
        <v>15</v>
      </c>
      <c r="G178" s="3" t="s">
        <v>2461</v>
      </c>
      <c r="H178" s="3" t="s">
        <v>3071</v>
      </c>
      <c r="I178" s="3" t="s">
        <v>3071</v>
      </c>
      <c r="J178" s="3" t="s">
        <v>3071</v>
      </c>
      <c r="K178" s="3" t="s">
        <v>3071</v>
      </c>
      <c r="L178" s="3" t="s">
        <v>7</v>
      </c>
      <c r="M178" s="2" t="s">
        <v>534</v>
      </c>
      <c r="N178" s="2" t="s">
        <v>535</v>
      </c>
      <c r="O178" s="2" t="s">
        <v>1310</v>
      </c>
      <c r="P178" s="2" t="s">
        <v>2881</v>
      </c>
      <c r="Q178" s="3" t="s">
        <v>2856</v>
      </c>
    </row>
    <row r="179" spans="1:17" hidden="1">
      <c r="A179" s="21" t="s">
        <v>2876</v>
      </c>
      <c r="B179" s="22" t="s">
        <v>912</v>
      </c>
      <c r="C179" s="21" t="s">
        <v>1775</v>
      </c>
      <c r="D179" s="21" t="s">
        <v>51</v>
      </c>
      <c r="E179" s="21" t="s">
        <v>52</v>
      </c>
      <c r="F179" s="21" t="s">
        <v>1181</v>
      </c>
      <c r="G179" s="3" t="s">
        <v>1188</v>
      </c>
      <c r="H179" s="3" t="s">
        <v>3071</v>
      </c>
      <c r="I179" s="3" t="s">
        <v>7</v>
      </c>
      <c r="J179" s="3" t="s">
        <v>3071</v>
      </c>
      <c r="K179" s="3" t="s">
        <v>3071</v>
      </c>
      <c r="L179" s="3" t="s">
        <v>7</v>
      </c>
      <c r="M179" s="2" t="s">
        <v>508</v>
      </c>
      <c r="N179" s="2" t="s">
        <v>509</v>
      </c>
      <c r="O179" s="2" t="s">
        <v>1310</v>
      </c>
      <c r="P179" s="2" t="s">
        <v>2881</v>
      </c>
      <c r="Q179" s="3" t="s">
        <v>2856</v>
      </c>
    </row>
    <row r="180" spans="1:17" hidden="1">
      <c r="A180" s="21" t="s">
        <v>2876</v>
      </c>
      <c r="B180" s="22" t="s">
        <v>913</v>
      </c>
      <c r="C180" s="21" t="s">
        <v>1776</v>
      </c>
      <c r="D180" s="21" t="s">
        <v>51</v>
      </c>
      <c r="E180" s="21" t="s">
        <v>52</v>
      </c>
      <c r="F180" s="21" t="s">
        <v>1180</v>
      </c>
      <c r="G180" s="3" t="s">
        <v>1198</v>
      </c>
      <c r="H180" s="3" t="s">
        <v>7</v>
      </c>
      <c r="I180" s="3" t="s">
        <v>7</v>
      </c>
      <c r="J180" s="3" t="s">
        <v>7</v>
      </c>
      <c r="K180" s="3" t="s">
        <v>7</v>
      </c>
      <c r="L180" s="3" t="s">
        <v>7</v>
      </c>
      <c r="M180" s="2" t="s">
        <v>508</v>
      </c>
      <c r="N180" s="2" t="s">
        <v>509</v>
      </c>
      <c r="O180" s="2" t="s">
        <v>1310</v>
      </c>
      <c r="P180" s="2" t="s">
        <v>2881</v>
      </c>
      <c r="Q180" s="3" t="s">
        <v>2856</v>
      </c>
    </row>
    <row r="181" spans="1:17" hidden="1">
      <c r="A181" s="21" t="s">
        <v>2876</v>
      </c>
      <c r="B181" s="22" t="s">
        <v>914</v>
      </c>
      <c r="C181" s="21" t="s">
        <v>1777</v>
      </c>
      <c r="D181" s="21" t="s">
        <v>51</v>
      </c>
      <c r="E181" s="21" t="s">
        <v>868</v>
      </c>
      <c r="F181" s="21" t="s">
        <v>1180</v>
      </c>
      <c r="G181" s="3" t="s">
        <v>1198</v>
      </c>
      <c r="H181" s="3" t="s">
        <v>7</v>
      </c>
      <c r="I181" s="3" t="s">
        <v>7</v>
      </c>
      <c r="J181" s="3" t="s">
        <v>7</v>
      </c>
      <c r="K181" s="3" t="s">
        <v>7</v>
      </c>
      <c r="L181" s="3" t="s">
        <v>7</v>
      </c>
      <c r="M181" s="2" t="s">
        <v>1242</v>
      </c>
      <c r="N181" s="2" t="s">
        <v>1311</v>
      </c>
      <c r="O181" s="2" t="s">
        <v>1310</v>
      </c>
      <c r="P181" s="2" t="s">
        <v>2881</v>
      </c>
      <c r="Q181" s="3" t="s">
        <v>2856</v>
      </c>
    </row>
    <row r="182" spans="1:17" hidden="1">
      <c r="A182" s="21" t="s">
        <v>2876</v>
      </c>
      <c r="B182" s="22" t="s">
        <v>2598</v>
      </c>
      <c r="C182" s="21" t="s">
        <v>1760</v>
      </c>
      <c r="D182" s="21" t="s">
        <v>51</v>
      </c>
      <c r="E182" s="21" t="s">
        <v>868</v>
      </c>
      <c r="F182" s="21" t="s">
        <v>1192</v>
      </c>
      <c r="G182" s="3" t="s">
        <v>1419</v>
      </c>
      <c r="H182" s="3" t="s">
        <v>7</v>
      </c>
      <c r="I182" s="3" t="s">
        <v>7</v>
      </c>
      <c r="J182" s="3" t="s">
        <v>7</v>
      </c>
      <c r="K182" s="3" t="s">
        <v>7</v>
      </c>
      <c r="L182" s="3" t="s">
        <v>7</v>
      </c>
      <c r="M182" s="2" t="s">
        <v>1242</v>
      </c>
      <c r="N182" s="2" t="s">
        <v>1311</v>
      </c>
      <c r="O182" s="2" t="s">
        <v>1310</v>
      </c>
      <c r="P182" s="2" t="s">
        <v>2881</v>
      </c>
      <c r="Q182" s="3" t="s">
        <v>2856</v>
      </c>
    </row>
    <row r="183" spans="1:17" hidden="1">
      <c r="A183" s="21" t="s">
        <v>2876</v>
      </c>
      <c r="B183" s="22" t="s">
        <v>2599</v>
      </c>
      <c r="C183" s="21" t="s">
        <v>1774</v>
      </c>
      <c r="D183" s="21" t="s">
        <v>51</v>
      </c>
      <c r="E183" s="21" t="s">
        <v>868</v>
      </c>
      <c r="F183" s="21" t="s">
        <v>1192</v>
      </c>
      <c r="G183" s="3" t="s">
        <v>1184</v>
      </c>
      <c r="H183" s="3" t="s">
        <v>7</v>
      </c>
      <c r="I183" s="3" t="s">
        <v>7</v>
      </c>
      <c r="J183" s="3" t="s">
        <v>7</v>
      </c>
      <c r="K183" s="3" t="s">
        <v>7</v>
      </c>
      <c r="L183" s="3" t="s">
        <v>7</v>
      </c>
      <c r="M183" s="2" t="s">
        <v>1242</v>
      </c>
      <c r="N183" s="2" t="s">
        <v>1311</v>
      </c>
      <c r="O183" s="2" t="s">
        <v>1310</v>
      </c>
      <c r="P183" s="2" t="s">
        <v>2881</v>
      </c>
      <c r="Q183" s="3" t="s">
        <v>2856</v>
      </c>
    </row>
    <row r="184" spans="1:17" hidden="1">
      <c r="A184" s="21" t="s">
        <v>2876</v>
      </c>
      <c r="B184" s="22" t="s">
        <v>1781</v>
      </c>
      <c r="C184" s="21" t="s">
        <v>1782</v>
      </c>
      <c r="D184" s="21" t="s">
        <v>53</v>
      </c>
      <c r="E184" s="21" t="s">
        <v>54</v>
      </c>
      <c r="F184" s="21" t="s">
        <v>15</v>
      </c>
      <c r="G184" s="3" t="s">
        <v>1449</v>
      </c>
      <c r="H184" s="3" t="s">
        <v>3071</v>
      </c>
      <c r="I184" s="3" t="s">
        <v>3071</v>
      </c>
      <c r="J184" s="3" t="s">
        <v>3071</v>
      </c>
      <c r="K184" s="3" t="s">
        <v>3071</v>
      </c>
      <c r="L184" s="3" t="s">
        <v>7</v>
      </c>
      <c r="M184" s="2" t="s">
        <v>516</v>
      </c>
      <c r="N184" s="2" t="s">
        <v>517</v>
      </c>
      <c r="O184" s="2" t="s">
        <v>1318</v>
      </c>
      <c r="P184" s="2" t="s">
        <v>2884</v>
      </c>
      <c r="Q184" s="3" t="s">
        <v>2856</v>
      </c>
    </row>
    <row r="185" spans="1:17" hidden="1">
      <c r="A185" s="21" t="s">
        <v>2876</v>
      </c>
      <c r="B185" s="22" t="s">
        <v>1469</v>
      </c>
      <c r="C185" s="21" t="s">
        <v>1783</v>
      </c>
      <c r="D185" s="21" t="s">
        <v>53</v>
      </c>
      <c r="E185" s="21" t="s">
        <v>54</v>
      </c>
      <c r="F185" s="21" t="s">
        <v>1180</v>
      </c>
      <c r="G185" s="3" t="s">
        <v>1485</v>
      </c>
      <c r="H185" s="3" t="s">
        <v>7</v>
      </c>
      <c r="I185" s="3" t="s">
        <v>7</v>
      </c>
      <c r="J185" s="3" t="s">
        <v>7</v>
      </c>
      <c r="K185" s="3" t="s">
        <v>7</v>
      </c>
      <c r="L185" s="3" t="s">
        <v>7</v>
      </c>
      <c r="M185" s="2" t="s">
        <v>516</v>
      </c>
      <c r="N185" s="2" t="s">
        <v>517</v>
      </c>
      <c r="O185" s="2" t="s">
        <v>1318</v>
      </c>
      <c r="P185" s="2" t="s">
        <v>2884</v>
      </c>
      <c r="Q185" s="3" t="s">
        <v>2856</v>
      </c>
    </row>
    <row r="186" spans="1:17" hidden="1">
      <c r="A186" s="21" t="s">
        <v>2876</v>
      </c>
      <c r="B186" s="22" t="s">
        <v>1470</v>
      </c>
      <c r="C186" s="21" t="s">
        <v>1779</v>
      </c>
      <c r="D186" s="21" t="s">
        <v>53</v>
      </c>
      <c r="E186" s="21" t="s">
        <v>54</v>
      </c>
      <c r="F186" s="21" t="s">
        <v>1192</v>
      </c>
      <c r="G186" s="3" t="s">
        <v>1457</v>
      </c>
      <c r="H186" s="3" t="s">
        <v>7</v>
      </c>
      <c r="I186" s="3" t="s">
        <v>7</v>
      </c>
      <c r="J186" s="3" t="s">
        <v>7</v>
      </c>
      <c r="K186" s="3" t="s">
        <v>7</v>
      </c>
      <c r="L186" s="3" t="s">
        <v>7</v>
      </c>
      <c r="M186" s="2" t="s">
        <v>516</v>
      </c>
      <c r="N186" s="2" t="s">
        <v>517</v>
      </c>
      <c r="O186" s="2" t="s">
        <v>1318</v>
      </c>
      <c r="P186" s="2" t="s">
        <v>2884</v>
      </c>
      <c r="Q186" s="3" t="s">
        <v>2856</v>
      </c>
    </row>
    <row r="187" spans="1:17" hidden="1">
      <c r="A187" s="21" t="s">
        <v>2876</v>
      </c>
      <c r="B187" s="22" t="s">
        <v>1475</v>
      </c>
      <c r="C187" s="21" t="s">
        <v>1791</v>
      </c>
      <c r="D187" s="21" t="s">
        <v>53</v>
      </c>
      <c r="E187" s="21" t="s">
        <v>58</v>
      </c>
      <c r="F187" s="21" t="s">
        <v>1409</v>
      </c>
      <c r="G187" s="3" t="s">
        <v>1414</v>
      </c>
      <c r="H187" s="3" t="s">
        <v>7</v>
      </c>
      <c r="I187" s="3" t="s">
        <v>7</v>
      </c>
      <c r="J187" s="3" t="s">
        <v>7</v>
      </c>
      <c r="K187" s="3" t="s">
        <v>7</v>
      </c>
      <c r="L187" s="3" t="s">
        <v>7</v>
      </c>
      <c r="M187" s="2" t="s">
        <v>482</v>
      </c>
      <c r="N187" s="2" t="s">
        <v>483</v>
      </c>
      <c r="O187" s="2" t="s">
        <v>1318</v>
      </c>
      <c r="P187" s="2" t="s">
        <v>2884</v>
      </c>
      <c r="Q187" s="3" t="s">
        <v>2856</v>
      </c>
    </row>
    <row r="188" spans="1:17" hidden="1">
      <c r="A188" s="21" t="s">
        <v>2876</v>
      </c>
      <c r="B188" s="22" t="s">
        <v>1471</v>
      </c>
      <c r="C188" s="21" t="s">
        <v>1784</v>
      </c>
      <c r="D188" s="21" t="s">
        <v>53</v>
      </c>
      <c r="E188" s="21" t="s">
        <v>56</v>
      </c>
      <c r="F188" s="21" t="s">
        <v>1409</v>
      </c>
      <c r="G188" s="3" t="s">
        <v>1416</v>
      </c>
      <c r="H188" s="3" t="s">
        <v>7</v>
      </c>
      <c r="I188" s="3" t="s">
        <v>7</v>
      </c>
      <c r="J188" s="3" t="s">
        <v>7</v>
      </c>
      <c r="K188" s="3" t="s">
        <v>7</v>
      </c>
      <c r="L188" s="3" t="s">
        <v>7</v>
      </c>
      <c r="M188" s="2" t="s">
        <v>448</v>
      </c>
      <c r="N188" s="2" t="s">
        <v>449</v>
      </c>
      <c r="O188" s="2" t="s">
        <v>1318</v>
      </c>
      <c r="P188" s="2" t="s">
        <v>2884</v>
      </c>
      <c r="Q188" s="3" t="s">
        <v>2856</v>
      </c>
    </row>
    <row r="189" spans="1:17" hidden="1">
      <c r="A189" s="21" t="s">
        <v>2876</v>
      </c>
      <c r="B189" s="22" t="s">
        <v>916</v>
      </c>
      <c r="C189" s="21" t="s">
        <v>1785</v>
      </c>
      <c r="D189" s="21" t="s">
        <v>53</v>
      </c>
      <c r="E189" s="21" t="s">
        <v>56</v>
      </c>
      <c r="F189" s="21" t="s">
        <v>1192</v>
      </c>
      <c r="G189" s="3" t="s">
        <v>1178</v>
      </c>
      <c r="H189" s="3" t="s">
        <v>7</v>
      </c>
      <c r="I189" s="3" t="s">
        <v>7</v>
      </c>
      <c r="J189" s="3" t="s">
        <v>7</v>
      </c>
      <c r="K189" s="3" t="s">
        <v>7</v>
      </c>
      <c r="L189" s="3" t="s">
        <v>7</v>
      </c>
      <c r="M189" s="2" t="s">
        <v>448</v>
      </c>
      <c r="N189" s="2" t="s">
        <v>449</v>
      </c>
      <c r="O189" s="2" t="s">
        <v>1318</v>
      </c>
      <c r="P189" s="2" t="s">
        <v>2884</v>
      </c>
      <c r="Q189" s="3" t="s">
        <v>2856</v>
      </c>
    </row>
    <row r="190" spans="1:17" hidden="1">
      <c r="A190" s="21" t="s">
        <v>2876</v>
      </c>
      <c r="B190" s="22" t="s">
        <v>1472</v>
      </c>
      <c r="C190" s="21" t="s">
        <v>1787</v>
      </c>
      <c r="D190" s="21" t="s">
        <v>53</v>
      </c>
      <c r="E190" s="21" t="s">
        <v>56</v>
      </c>
      <c r="F190" s="21" t="s">
        <v>1180</v>
      </c>
      <c r="G190" s="3" t="s">
        <v>1419</v>
      </c>
      <c r="H190" s="3" t="s">
        <v>7</v>
      </c>
      <c r="I190" s="3" t="s">
        <v>7</v>
      </c>
      <c r="J190" s="3" t="s">
        <v>7</v>
      </c>
      <c r="K190" s="3" t="s">
        <v>7</v>
      </c>
      <c r="L190" s="3" t="s">
        <v>7</v>
      </c>
      <c r="M190" s="2" t="s">
        <v>448</v>
      </c>
      <c r="N190" s="2" t="s">
        <v>449</v>
      </c>
      <c r="O190" s="2" t="s">
        <v>1318</v>
      </c>
      <c r="P190" s="2" t="s">
        <v>2884</v>
      </c>
      <c r="Q190" s="3" t="s">
        <v>2856</v>
      </c>
    </row>
    <row r="191" spans="1:17" hidden="1">
      <c r="A191" s="21" t="s">
        <v>2876</v>
      </c>
      <c r="B191" s="22" t="s">
        <v>1473</v>
      </c>
      <c r="C191" s="21" t="s">
        <v>1786</v>
      </c>
      <c r="D191" s="21" t="s">
        <v>53</v>
      </c>
      <c r="E191" s="21" t="s">
        <v>56</v>
      </c>
      <c r="F191" s="21" t="s">
        <v>1181</v>
      </c>
      <c r="G191" s="3" t="s">
        <v>1416</v>
      </c>
      <c r="H191" s="3" t="s">
        <v>3071</v>
      </c>
      <c r="I191" s="3" t="s">
        <v>7</v>
      </c>
      <c r="J191" s="3" t="s">
        <v>3071</v>
      </c>
      <c r="K191" s="3" t="s">
        <v>3071</v>
      </c>
      <c r="L191" s="3" t="s">
        <v>7</v>
      </c>
      <c r="M191" s="2" t="s">
        <v>448</v>
      </c>
      <c r="N191" s="2" t="s">
        <v>449</v>
      </c>
      <c r="O191" s="2" t="s">
        <v>1318</v>
      </c>
      <c r="P191" s="2" t="s">
        <v>2884</v>
      </c>
      <c r="Q191" s="3" t="s">
        <v>2856</v>
      </c>
    </row>
    <row r="192" spans="1:17" hidden="1">
      <c r="A192" s="21" t="s">
        <v>2876</v>
      </c>
      <c r="B192" s="22" t="s">
        <v>1468</v>
      </c>
      <c r="C192" s="21" t="s">
        <v>1778</v>
      </c>
      <c r="D192" s="21" t="s">
        <v>53</v>
      </c>
      <c r="E192" s="21" t="s">
        <v>54</v>
      </c>
      <c r="F192" s="21" t="s">
        <v>1409</v>
      </c>
      <c r="G192" s="3" t="s">
        <v>2461</v>
      </c>
      <c r="H192" s="3" t="s">
        <v>7</v>
      </c>
      <c r="I192" s="3" t="s">
        <v>7</v>
      </c>
      <c r="J192" s="3" t="s">
        <v>7</v>
      </c>
      <c r="K192" s="3" t="s">
        <v>7</v>
      </c>
      <c r="L192" s="3" t="s">
        <v>7</v>
      </c>
      <c r="M192" s="2" t="s">
        <v>516</v>
      </c>
      <c r="N192" s="2" t="s">
        <v>517</v>
      </c>
      <c r="O192" s="2" t="s">
        <v>1318</v>
      </c>
      <c r="P192" s="2" t="s">
        <v>2884</v>
      </c>
      <c r="Q192" s="3" t="s">
        <v>2856</v>
      </c>
    </row>
    <row r="193" spans="1:17" hidden="1">
      <c r="A193" s="21" t="s">
        <v>2876</v>
      </c>
      <c r="B193" s="22" t="s">
        <v>1476</v>
      </c>
      <c r="C193" s="21" t="s">
        <v>1796</v>
      </c>
      <c r="D193" s="21" t="s">
        <v>53</v>
      </c>
      <c r="E193" s="21" t="s">
        <v>59</v>
      </c>
      <c r="F193" s="21" t="s">
        <v>1180</v>
      </c>
      <c r="G193" s="3" t="s">
        <v>1416</v>
      </c>
      <c r="H193" s="3" t="s">
        <v>7</v>
      </c>
      <c r="I193" s="3" t="s">
        <v>7</v>
      </c>
      <c r="J193" s="3" t="s">
        <v>7</v>
      </c>
      <c r="K193" s="3" t="s">
        <v>7</v>
      </c>
      <c r="L193" s="3" t="s">
        <v>7</v>
      </c>
      <c r="M193" s="2" t="s">
        <v>466</v>
      </c>
      <c r="N193" s="2" t="s">
        <v>467</v>
      </c>
      <c r="O193" s="2" t="s">
        <v>1318</v>
      </c>
      <c r="P193" s="2" t="s">
        <v>2884</v>
      </c>
      <c r="Q193" s="3" t="s">
        <v>2856</v>
      </c>
    </row>
    <row r="194" spans="1:17" hidden="1">
      <c r="A194" s="21" t="s">
        <v>2876</v>
      </c>
      <c r="B194" s="22" t="s">
        <v>919</v>
      </c>
      <c r="C194" s="21" t="s">
        <v>1792</v>
      </c>
      <c r="D194" s="21" t="s">
        <v>53</v>
      </c>
      <c r="E194" s="21" t="s">
        <v>58</v>
      </c>
      <c r="F194" s="21" t="s">
        <v>1181</v>
      </c>
      <c r="G194" s="3" t="s">
        <v>1182</v>
      </c>
      <c r="H194" s="3" t="s">
        <v>3071</v>
      </c>
      <c r="I194" s="3" t="s">
        <v>7</v>
      </c>
      <c r="J194" s="3" t="s">
        <v>3071</v>
      </c>
      <c r="K194" s="3" t="s">
        <v>3071</v>
      </c>
      <c r="L194" s="3" t="s">
        <v>7</v>
      </c>
      <c r="M194" s="2" t="s">
        <v>482</v>
      </c>
      <c r="N194" s="2" t="s">
        <v>483</v>
      </c>
      <c r="O194" s="2" t="s">
        <v>1318</v>
      </c>
      <c r="P194" s="2" t="s">
        <v>2884</v>
      </c>
      <c r="Q194" s="3" t="s">
        <v>2856</v>
      </c>
    </row>
    <row r="195" spans="1:17" hidden="1">
      <c r="A195" s="21" t="s">
        <v>2876</v>
      </c>
      <c r="B195" s="22" t="s">
        <v>921</v>
      </c>
      <c r="C195" s="21" t="s">
        <v>1797</v>
      </c>
      <c r="D195" s="21" t="s">
        <v>53</v>
      </c>
      <c r="E195" s="21" t="s">
        <v>59</v>
      </c>
      <c r="F195" s="21" t="s">
        <v>1192</v>
      </c>
      <c r="G195" s="3" t="s">
        <v>1182</v>
      </c>
      <c r="H195" s="3" t="s">
        <v>7</v>
      </c>
      <c r="I195" s="3" t="s">
        <v>7</v>
      </c>
      <c r="J195" s="3" t="s">
        <v>7</v>
      </c>
      <c r="K195" s="3" t="s">
        <v>7</v>
      </c>
      <c r="L195" s="3" t="s">
        <v>7</v>
      </c>
      <c r="M195" s="2" t="s">
        <v>466</v>
      </c>
      <c r="N195" s="2" t="s">
        <v>467</v>
      </c>
      <c r="O195" s="2" t="s">
        <v>1318</v>
      </c>
      <c r="P195" s="2" t="s">
        <v>2884</v>
      </c>
      <c r="Q195" s="3" t="s">
        <v>2856</v>
      </c>
    </row>
    <row r="196" spans="1:17" hidden="1">
      <c r="A196" s="21" t="s">
        <v>2876</v>
      </c>
      <c r="B196" s="22" t="s">
        <v>918</v>
      </c>
      <c r="C196" s="21" t="s">
        <v>1790</v>
      </c>
      <c r="D196" s="21" t="s">
        <v>53</v>
      </c>
      <c r="E196" s="21" t="s">
        <v>57</v>
      </c>
      <c r="F196" s="21" t="s">
        <v>1181</v>
      </c>
      <c r="G196" s="3" t="s">
        <v>1184</v>
      </c>
      <c r="H196" s="3" t="s">
        <v>3071</v>
      </c>
      <c r="I196" s="3" t="s">
        <v>7</v>
      </c>
      <c r="J196" s="3" t="s">
        <v>3071</v>
      </c>
      <c r="K196" s="3" t="s">
        <v>3071</v>
      </c>
      <c r="L196" s="3" t="s">
        <v>7</v>
      </c>
      <c r="M196" s="2" t="s">
        <v>450</v>
      </c>
      <c r="N196" s="2" t="s">
        <v>451</v>
      </c>
      <c r="O196" s="2" t="s">
        <v>1318</v>
      </c>
      <c r="P196" s="2" t="s">
        <v>2884</v>
      </c>
      <c r="Q196" s="3" t="s">
        <v>2856</v>
      </c>
    </row>
    <row r="197" spans="1:17" hidden="1">
      <c r="A197" s="21" t="s">
        <v>2876</v>
      </c>
      <c r="B197" s="22" t="s">
        <v>1474</v>
      </c>
      <c r="C197" s="21" t="s">
        <v>1788</v>
      </c>
      <c r="D197" s="21" t="s">
        <v>53</v>
      </c>
      <c r="E197" s="21" t="s">
        <v>57</v>
      </c>
      <c r="F197" s="21" t="s">
        <v>1192</v>
      </c>
      <c r="G197" s="3" t="s">
        <v>1188</v>
      </c>
      <c r="H197" s="3" t="s">
        <v>7</v>
      </c>
      <c r="I197" s="3" t="s">
        <v>7</v>
      </c>
      <c r="J197" s="3" t="s">
        <v>7</v>
      </c>
      <c r="K197" s="3" t="s">
        <v>7</v>
      </c>
      <c r="L197" s="3" t="s">
        <v>7</v>
      </c>
      <c r="M197" s="2" t="s">
        <v>450</v>
      </c>
      <c r="N197" s="2" t="s">
        <v>451</v>
      </c>
      <c r="O197" s="2" t="s">
        <v>1318</v>
      </c>
      <c r="P197" s="2" t="s">
        <v>2884</v>
      </c>
      <c r="Q197" s="3" t="s">
        <v>2856</v>
      </c>
    </row>
    <row r="198" spans="1:17" hidden="1">
      <c r="A198" s="21" t="s">
        <v>2876</v>
      </c>
      <c r="B198" s="22" t="s">
        <v>917</v>
      </c>
      <c r="C198" s="21" t="s">
        <v>1789</v>
      </c>
      <c r="D198" s="21" t="s">
        <v>53</v>
      </c>
      <c r="E198" s="21" t="s">
        <v>57</v>
      </c>
      <c r="F198" s="21" t="s">
        <v>1180</v>
      </c>
      <c r="G198" s="3" t="s">
        <v>1188</v>
      </c>
      <c r="H198" s="3" t="s">
        <v>7</v>
      </c>
      <c r="I198" s="3" t="s">
        <v>7</v>
      </c>
      <c r="J198" s="3" t="s">
        <v>7</v>
      </c>
      <c r="K198" s="3" t="s">
        <v>7</v>
      </c>
      <c r="L198" s="3" t="s">
        <v>7</v>
      </c>
      <c r="M198" s="2" t="s">
        <v>450</v>
      </c>
      <c r="N198" s="2" t="s">
        <v>451</v>
      </c>
      <c r="O198" s="2" t="s">
        <v>1318</v>
      </c>
      <c r="P198" s="2" t="s">
        <v>2884</v>
      </c>
      <c r="Q198" s="3" t="s">
        <v>2856</v>
      </c>
    </row>
    <row r="199" spans="1:17" hidden="1">
      <c r="A199" s="21" t="s">
        <v>2876</v>
      </c>
      <c r="B199" s="22" t="s">
        <v>922</v>
      </c>
      <c r="C199" s="21" t="s">
        <v>1798</v>
      </c>
      <c r="D199" s="21" t="s">
        <v>53</v>
      </c>
      <c r="E199" s="21" t="s">
        <v>59</v>
      </c>
      <c r="F199" s="21" t="s">
        <v>1181</v>
      </c>
      <c r="G199" s="3" t="s">
        <v>1188</v>
      </c>
      <c r="H199" s="3" t="s">
        <v>3071</v>
      </c>
      <c r="I199" s="3" t="s">
        <v>7</v>
      </c>
      <c r="J199" s="3" t="s">
        <v>3071</v>
      </c>
      <c r="K199" s="3" t="s">
        <v>3071</v>
      </c>
      <c r="L199" s="3" t="s">
        <v>7</v>
      </c>
      <c r="M199" s="2" t="s">
        <v>466</v>
      </c>
      <c r="N199" s="2" t="s">
        <v>467</v>
      </c>
      <c r="O199" s="2" t="s">
        <v>1318</v>
      </c>
      <c r="P199" s="2" t="s">
        <v>2884</v>
      </c>
      <c r="Q199" s="3" t="s">
        <v>2856</v>
      </c>
    </row>
    <row r="200" spans="1:17" hidden="1">
      <c r="A200" s="21" t="s">
        <v>2876</v>
      </c>
      <c r="B200" s="22" t="s">
        <v>920</v>
      </c>
      <c r="C200" s="21" t="s">
        <v>1793</v>
      </c>
      <c r="D200" s="21" t="s">
        <v>53</v>
      </c>
      <c r="E200" s="21" t="s">
        <v>58</v>
      </c>
      <c r="F200" s="21" t="s">
        <v>1180</v>
      </c>
      <c r="G200" s="3" t="s">
        <v>1184</v>
      </c>
      <c r="H200" s="3" t="s">
        <v>7</v>
      </c>
      <c r="I200" s="3" t="s">
        <v>7</v>
      </c>
      <c r="J200" s="3" t="s">
        <v>7</v>
      </c>
      <c r="K200" s="3" t="s">
        <v>7</v>
      </c>
      <c r="L200" s="3" t="s">
        <v>7</v>
      </c>
      <c r="M200" s="2" t="s">
        <v>482</v>
      </c>
      <c r="N200" s="2" t="s">
        <v>483</v>
      </c>
      <c r="O200" s="2" t="s">
        <v>1318</v>
      </c>
      <c r="P200" s="2" t="s">
        <v>2884</v>
      </c>
      <c r="Q200" s="3" t="s">
        <v>2856</v>
      </c>
    </row>
    <row r="201" spans="1:17" hidden="1">
      <c r="A201" s="21" t="s">
        <v>2876</v>
      </c>
      <c r="B201" s="22" t="s">
        <v>915</v>
      </c>
      <c r="C201" s="21" t="s">
        <v>1780</v>
      </c>
      <c r="D201" s="21" t="s">
        <v>53</v>
      </c>
      <c r="E201" s="21" t="s">
        <v>54</v>
      </c>
      <c r="F201" s="21" t="s">
        <v>1181</v>
      </c>
      <c r="G201" s="3" t="s">
        <v>1187</v>
      </c>
      <c r="H201" s="3" t="s">
        <v>3071</v>
      </c>
      <c r="I201" s="3" t="s">
        <v>7</v>
      </c>
      <c r="J201" s="3" t="s">
        <v>3071</v>
      </c>
      <c r="K201" s="3" t="s">
        <v>3071</v>
      </c>
      <c r="L201" s="3" t="s">
        <v>7</v>
      </c>
      <c r="M201" s="2" t="s">
        <v>516</v>
      </c>
      <c r="N201" s="2" t="s">
        <v>517</v>
      </c>
      <c r="O201" s="2" t="s">
        <v>1318</v>
      </c>
      <c r="P201" s="2" t="s">
        <v>2884</v>
      </c>
      <c r="Q201" s="3" t="s">
        <v>2856</v>
      </c>
    </row>
    <row r="202" spans="1:17" hidden="1">
      <c r="A202" s="21" t="s">
        <v>2876</v>
      </c>
      <c r="B202" s="22" t="s">
        <v>1794</v>
      </c>
      <c r="C202" s="21" t="s">
        <v>1795</v>
      </c>
      <c r="D202" s="21" t="s">
        <v>53</v>
      </c>
      <c r="E202" s="21" t="s">
        <v>58</v>
      </c>
      <c r="F202" s="21" t="s">
        <v>1192</v>
      </c>
      <c r="G202" s="3" t="s">
        <v>1198</v>
      </c>
      <c r="H202" s="3" t="s">
        <v>7</v>
      </c>
      <c r="I202" s="3" t="s">
        <v>7</v>
      </c>
      <c r="J202" s="3" t="s">
        <v>7</v>
      </c>
      <c r="K202" s="3" t="s">
        <v>7</v>
      </c>
      <c r="L202" s="3" t="s">
        <v>7</v>
      </c>
      <c r="M202" s="2" t="s">
        <v>482</v>
      </c>
      <c r="N202" s="2" t="s">
        <v>483</v>
      </c>
      <c r="O202" s="2" t="s">
        <v>1318</v>
      </c>
      <c r="P202" s="2" t="s">
        <v>2884</v>
      </c>
      <c r="Q202" s="3" t="s">
        <v>2856</v>
      </c>
    </row>
    <row r="203" spans="1:17" hidden="1">
      <c r="A203" s="21" t="s">
        <v>2876</v>
      </c>
      <c r="B203" s="22" t="s">
        <v>923</v>
      </c>
      <c r="C203" s="21" t="s">
        <v>1800</v>
      </c>
      <c r="D203" s="21" t="s">
        <v>60</v>
      </c>
      <c r="E203" s="21" t="s">
        <v>61</v>
      </c>
      <c r="F203" s="21" t="s">
        <v>1181</v>
      </c>
      <c r="G203" s="3" t="s">
        <v>1188</v>
      </c>
      <c r="H203" s="3" t="s">
        <v>3071</v>
      </c>
      <c r="I203" s="3" t="s">
        <v>7</v>
      </c>
      <c r="J203" s="3" t="s">
        <v>3071</v>
      </c>
      <c r="K203" s="3" t="s">
        <v>3071</v>
      </c>
      <c r="L203" s="3" t="s">
        <v>7</v>
      </c>
      <c r="M203" s="2" t="s">
        <v>472</v>
      </c>
      <c r="N203" s="2" t="s">
        <v>473</v>
      </c>
      <c r="O203" s="2" t="s">
        <v>1314</v>
      </c>
      <c r="P203" s="2" t="s">
        <v>2884</v>
      </c>
      <c r="Q203" s="3" t="s">
        <v>2856</v>
      </c>
    </row>
    <row r="204" spans="1:17" hidden="1">
      <c r="A204" s="21" t="s">
        <v>2876</v>
      </c>
      <c r="B204" s="22" t="s">
        <v>2519</v>
      </c>
      <c r="C204" s="21" t="s">
        <v>2520</v>
      </c>
      <c r="D204" s="21" t="s">
        <v>60</v>
      </c>
      <c r="E204" s="21" t="s">
        <v>61</v>
      </c>
      <c r="F204" s="21" t="s">
        <v>1180</v>
      </c>
      <c r="G204" s="3" t="s">
        <v>1178</v>
      </c>
      <c r="H204" s="3" t="s">
        <v>7</v>
      </c>
      <c r="I204" s="3" t="s">
        <v>7</v>
      </c>
      <c r="J204" s="3" t="s">
        <v>7</v>
      </c>
      <c r="K204" s="3" t="s">
        <v>7</v>
      </c>
      <c r="L204" s="3" t="s">
        <v>7</v>
      </c>
      <c r="M204" s="2" t="s">
        <v>472</v>
      </c>
      <c r="N204" s="2" t="s">
        <v>473</v>
      </c>
      <c r="O204" s="2" t="s">
        <v>1314</v>
      </c>
      <c r="P204" s="2" t="s">
        <v>2884</v>
      </c>
      <c r="Q204" s="3" t="s">
        <v>2856</v>
      </c>
    </row>
    <row r="205" spans="1:17" hidden="1">
      <c r="A205" s="21" t="s">
        <v>2876</v>
      </c>
      <c r="B205" s="22" t="s">
        <v>1194</v>
      </c>
      <c r="C205" s="21" t="s">
        <v>1799</v>
      </c>
      <c r="D205" s="21" t="s">
        <v>60</v>
      </c>
      <c r="E205" s="21" t="s">
        <v>61</v>
      </c>
      <c r="F205" s="21" t="s">
        <v>1192</v>
      </c>
      <c r="G205" s="3" t="s">
        <v>1189</v>
      </c>
      <c r="H205" s="3" t="s">
        <v>7</v>
      </c>
      <c r="I205" s="3" t="s">
        <v>7</v>
      </c>
      <c r="J205" s="3" t="s">
        <v>7</v>
      </c>
      <c r="K205" s="3" t="s">
        <v>7</v>
      </c>
      <c r="L205" s="3" t="s">
        <v>7</v>
      </c>
      <c r="M205" s="2" t="s">
        <v>472</v>
      </c>
      <c r="N205" s="2" t="s">
        <v>473</v>
      </c>
      <c r="O205" s="2" t="s">
        <v>1314</v>
      </c>
      <c r="P205" s="2" t="s">
        <v>2884</v>
      </c>
      <c r="Q205" s="3" t="s">
        <v>2856</v>
      </c>
    </row>
    <row r="206" spans="1:17" hidden="1">
      <c r="A206" s="21" t="s">
        <v>2876</v>
      </c>
      <c r="B206" s="22" t="s">
        <v>926</v>
      </c>
      <c r="C206" s="21" t="s">
        <v>1808</v>
      </c>
      <c r="D206" s="21" t="s">
        <v>62</v>
      </c>
      <c r="E206" s="21" t="s">
        <v>64</v>
      </c>
      <c r="F206" s="21" t="s">
        <v>1180</v>
      </c>
      <c r="G206" s="3" t="s">
        <v>1414</v>
      </c>
      <c r="H206" s="3" t="s">
        <v>7</v>
      </c>
      <c r="I206" s="3" t="s">
        <v>7</v>
      </c>
      <c r="J206" s="3" t="s">
        <v>7</v>
      </c>
      <c r="K206" s="3" t="s">
        <v>7</v>
      </c>
      <c r="L206" s="3" t="s">
        <v>7</v>
      </c>
      <c r="M206" s="2" t="s">
        <v>506</v>
      </c>
      <c r="N206" s="2" t="s">
        <v>507</v>
      </c>
      <c r="O206" s="2" t="s">
        <v>1308</v>
      </c>
      <c r="P206" s="2" t="s">
        <v>2882</v>
      </c>
      <c r="Q206" s="3" t="s">
        <v>2856</v>
      </c>
    </row>
    <row r="207" spans="1:17" hidden="1">
      <c r="A207" s="21" t="s">
        <v>2876</v>
      </c>
      <c r="B207" s="22" t="s">
        <v>925</v>
      </c>
      <c r="C207" s="21" t="s">
        <v>1803</v>
      </c>
      <c r="D207" s="21" t="s">
        <v>62</v>
      </c>
      <c r="E207" s="21" t="s">
        <v>63</v>
      </c>
      <c r="F207" s="21" t="s">
        <v>1180</v>
      </c>
      <c r="G207" s="3" t="s">
        <v>1412</v>
      </c>
      <c r="H207" s="3" t="s">
        <v>7</v>
      </c>
      <c r="I207" s="3" t="s">
        <v>7</v>
      </c>
      <c r="J207" s="3" t="s">
        <v>7</v>
      </c>
      <c r="K207" s="3" t="s">
        <v>7</v>
      </c>
      <c r="L207" s="3" t="s">
        <v>7</v>
      </c>
      <c r="M207" s="2" t="s">
        <v>490</v>
      </c>
      <c r="N207" s="2" t="s">
        <v>491</v>
      </c>
      <c r="O207" s="2" t="s">
        <v>1308</v>
      </c>
      <c r="P207" s="2" t="s">
        <v>2882</v>
      </c>
      <c r="Q207" s="3" t="s">
        <v>2856</v>
      </c>
    </row>
    <row r="208" spans="1:17" hidden="1">
      <c r="A208" s="21" t="s">
        <v>2876</v>
      </c>
      <c r="B208" s="22" t="s">
        <v>1196</v>
      </c>
      <c r="C208" s="21" t="s">
        <v>1806</v>
      </c>
      <c r="D208" s="21" t="s">
        <v>62</v>
      </c>
      <c r="E208" s="21" t="s">
        <v>64</v>
      </c>
      <c r="F208" s="21" t="s">
        <v>1192</v>
      </c>
      <c r="G208" s="3" t="s">
        <v>1178</v>
      </c>
      <c r="H208" s="3" t="s">
        <v>7</v>
      </c>
      <c r="I208" s="3" t="s">
        <v>7</v>
      </c>
      <c r="J208" s="3" t="s">
        <v>7</v>
      </c>
      <c r="K208" s="3" t="s">
        <v>7</v>
      </c>
      <c r="L208" s="3" t="s">
        <v>7</v>
      </c>
      <c r="M208" s="2" t="s">
        <v>506</v>
      </c>
      <c r="N208" s="2" t="s">
        <v>507</v>
      </c>
      <c r="O208" s="2" t="s">
        <v>1308</v>
      </c>
      <c r="P208" s="2" t="s">
        <v>2882</v>
      </c>
      <c r="Q208" s="3" t="s">
        <v>2856</v>
      </c>
    </row>
    <row r="209" spans="1:17" hidden="1">
      <c r="A209" s="21" t="s">
        <v>2876</v>
      </c>
      <c r="B209" s="22" t="s">
        <v>1195</v>
      </c>
      <c r="C209" s="21" t="s">
        <v>1801</v>
      </c>
      <c r="D209" s="21" t="s">
        <v>62</v>
      </c>
      <c r="E209" s="21" t="s">
        <v>63</v>
      </c>
      <c r="F209" s="21" t="s">
        <v>1192</v>
      </c>
      <c r="G209" s="3" t="s">
        <v>1187</v>
      </c>
      <c r="H209" s="3" t="s">
        <v>7</v>
      </c>
      <c r="I209" s="3" t="s">
        <v>7</v>
      </c>
      <c r="J209" s="3" t="s">
        <v>7</v>
      </c>
      <c r="K209" s="3" t="s">
        <v>7</v>
      </c>
      <c r="L209" s="3" t="s">
        <v>7</v>
      </c>
      <c r="M209" s="2" t="s">
        <v>490</v>
      </c>
      <c r="N209" s="2" t="s">
        <v>491</v>
      </c>
      <c r="O209" s="2" t="s">
        <v>1308</v>
      </c>
      <c r="P209" s="2" t="s">
        <v>2882</v>
      </c>
      <c r="Q209" s="3" t="s">
        <v>2856</v>
      </c>
    </row>
    <row r="210" spans="1:17" hidden="1">
      <c r="A210" s="21" t="s">
        <v>2876</v>
      </c>
      <c r="B210" s="22" t="s">
        <v>1197</v>
      </c>
      <c r="C210" s="21" t="s">
        <v>1807</v>
      </c>
      <c r="D210" s="21" t="s">
        <v>62</v>
      </c>
      <c r="E210" s="21" t="s">
        <v>64</v>
      </c>
      <c r="F210" s="21" t="s">
        <v>1192</v>
      </c>
      <c r="G210" s="3" t="s">
        <v>1198</v>
      </c>
      <c r="H210" s="3" t="s">
        <v>7</v>
      </c>
      <c r="I210" s="3" t="s">
        <v>7</v>
      </c>
      <c r="J210" s="3" t="s">
        <v>7</v>
      </c>
      <c r="K210" s="3" t="s">
        <v>7</v>
      </c>
      <c r="L210" s="3" t="s">
        <v>7</v>
      </c>
      <c r="M210" s="2" t="s">
        <v>506</v>
      </c>
      <c r="N210" s="2" t="s">
        <v>507</v>
      </c>
      <c r="O210" s="2" t="s">
        <v>1308</v>
      </c>
      <c r="P210" s="2" t="s">
        <v>2882</v>
      </c>
      <c r="Q210" s="3" t="s">
        <v>2856</v>
      </c>
    </row>
    <row r="211" spans="1:17" hidden="1">
      <c r="A211" s="21" t="s">
        <v>2876</v>
      </c>
      <c r="B211" s="22" t="s">
        <v>924</v>
      </c>
      <c r="C211" s="21" t="s">
        <v>1802</v>
      </c>
      <c r="D211" s="21" t="s">
        <v>62</v>
      </c>
      <c r="E211" s="21" t="s">
        <v>63</v>
      </c>
      <c r="F211" s="21" t="s">
        <v>1181</v>
      </c>
      <c r="G211" s="3" t="s">
        <v>1189</v>
      </c>
      <c r="H211" s="3" t="s">
        <v>3071</v>
      </c>
      <c r="I211" s="3" t="s">
        <v>7</v>
      </c>
      <c r="J211" s="3" t="s">
        <v>3071</v>
      </c>
      <c r="K211" s="3" t="s">
        <v>3071</v>
      </c>
      <c r="L211" s="3" t="s">
        <v>7</v>
      </c>
      <c r="M211" s="2" t="s">
        <v>490</v>
      </c>
      <c r="N211" s="2" t="s">
        <v>491</v>
      </c>
      <c r="O211" s="2" t="s">
        <v>1308</v>
      </c>
      <c r="P211" s="2" t="s">
        <v>2882</v>
      </c>
      <c r="Q211" s="3" t="s">
        <v>2856</v>
      </c>
    </row>
    <row r="212" spans="1:17" hidden="1">
      <c r="A212" s="21" t="s">
        <v>2876</v>
      </c>
      <c r="B212" s="22" t="s">
        <v>1804</v>
      </c>
      <c r="C212" s="21" t="s">
        <v>1805</v>
      </c>
      <c r="D212" s="21" t="s">
        <v>62</v>
      </c>
      <c r="E212" s="21" t="s">
        <v>63</v>
      </c>
      <c r="F212" s="21" t="s">
        <v>1192</v>
      </c>
      <c r="G212" s="3" t="s">
        <v>1186</v>
      </c>
      <c r="H212" s="3" t="s">
        <v>7</v>
      </c>
      <c r="I212" s="3" t="s">
        <v>7</v>
      </c>
      <c r="J212" s="3" t="s">
        <v>7</v>
      </c>
      <c r="K212" s="3" t="s">
        <v>7</v>
      </c>
      <c r="L212" s="3" t="s">
        <v>7</v>
      </c>
      <c r="M212" s="2" t="s">
        <v>490</v>
      </c>
      <c r="N212" s="2" t="s">
        <v>491</v>
      </c>
      <c r="O212" s="2" t="s">
        <v>1308</v>
      </c>
      <c r="P212" s="2" t="s">
        <v>2882</v>
      </c>
      <c r="Q212" s="3" t="s">
        <v>2856</v>
      </c>
    </row>
    <row r="213" spans="1:17" hidden="1">
      <c r="A213" s="21" t="s">
        <v>2876</v>
      </c>
      <c r="B213" s="22" t="s">
        <v>2394</v>
      </c>
      <c r="C213" s="21" t="s">
        <v>2395</v>
      </c>
      <c r="D213" s="21" t="s">
        <v>62</v>
      </c>
      <c r="E213" s="21" t="s">
        <v>64</v>
      </c>
      <c r="F213" s="21" t="s">
        <v>1181</v>
      </c>
      <c r="G213" s="3" t="s">
        <v>1198</v>
      </c>
      <c r="H213" s="3" t="s">
        <v>3071</v>
      </c>
      <c r="I213" s="3" t="s">
        <v>7</v>
      </c>
      <c r="J213" s="3" t="s">
        <v>3071</v>
      </c>
      <c r="K213" s="3" t="s">
        <v>3071</v>
      </c>
      <c r="L213" s="3" t="s">
        <v>7</v>
      </c>
      <c r="M213" s="2" t="s">
        <v>506</v>
      </c>
      <c r="N213" s="2" t="s">
        <v>507</v>
      </c>
      <c r="O213" s="2" t="s">
        <v>1308</v>
      </c>
      <c r="P213" s="2" t="s">
        <v>2882</v>
      </c>
      <c r="Q213" s="3" t="s">
        <v>2856</v>
      </c>
    </row>
    <row r="214" spans="1:17" hidden="1">
      <c r="A214" s="21" t="s">
        <v>2876</v>
      </c>
      <c r="B214" s="22" t="s">
        <v>2396</v>
      </c>
      <c r="C214" s="21" t="s">
        <v>2397</v>
      </c>
      <c r="D214" s="21" t="s">
        <v>65</v>
      </c>
      <c r="E214" s="21" t="s">
        <v>66</v>
      </c>
      <c r="F214" s="21" t="s">
        <v>1181</v>
      </c>
      <c r="G214" s="3" t="s">
        <v>1414</v>
      </c>
      <c r="H214" s="3" t="s">
        <v>3071</v>
      </c>
      <c r="I214" s="3" t="s">
        <v>7</v>
      </c>
      <c r="J214" s="3" t="s">
        <v>3071</v>
      </c>
      <c r="K214" s="3" t="s">
        <v>3071</v>
      </c>
      <c r="L214" s="3" t="s">
        <v>7</v>
      </c>
      <c r="M214" s="2" t="s">
        <v>502</v>
      </c>
      <c r="N214" s="2" t="s">
        <v>503</v>
      </c>
      <c r="O214" s="2" t="s">
        <v>1302</v>
      </c>
      <c r="P214" s="2" t="s">
        <v>2880</v>
      </c>
      <c r="Q214" s="3" t="s">
        <v>2856</v>
      </c>
    </row>
    <row r="215" spans="1:17" hidden="1">
      <c r="A215" s="21" t="s">
        <v>2876</v>
      </c>
      <c r="B215" s="22" t="s">
        <v>1811</v>
      </c>
      <c r="C215" s="21" t="s">
        <v>1812</v>
      </c>
      <c r="D215" s="21" t="s">
        <v>65</v>
      </c>
      <c r="E215" s="21" t="s">
        <v>66</v>
      </c>
      <c r="F215" s="21" t="s">
        <v>1180</v>
      </c>
      <c r="G215" s="3" t="s">
        <v>1189</v>
      </c>
      <c r="H215" s="3" t="s">
        <v>7</v>
      </c>
      <c r="I215" s="3" t="s">
        <v>7</v>
      </c>
      <c r="J215" s="3" t="s">
        <v>7</v>
      </c>
      <c r="K215" s="3" t="s">
        <v>7</v>
      </c>
      <c r="L215" s="3" t="s">
        <v>7</v>
      </c>
      <c r="M215" s="2" t="s">
        <v>502</v>
      </c>
      <c r="N215" s="2" t="s">
        <v>503</v>
      </c>
      <c r="O215" s="2" t="s">
        <v>1302</v>
      </c>
      <c r="P215" s="2" t="s">
        <v>2880</v>
      </c>
      <c r="Q215" s="3" t="s">
        <v>2856</v>
      </c>
    </row>
    <row r="216" spans="1:17" hidden="1">
      <c r="A216" s="21" t="s">
        <v>2876</v>
      </c>
      <c r="B216" s="22" t="s">
        <v>1809</v>
      </c>
      <c r="C216" s="21" t="s">
        <v>1810</v>
      </c>
      <c r="D216" s="21" t="s">
        <v>65</v>
      </c>
      <c r="E216" s="21" t="s">
        <v>66</v>
      </c>
      <c r="F216" s="21" t="s">
        <v>1192</v>
      </c>
      <c r="G216" s="3" t="s">
        <v>1186</v>
      </c>
      <c r="H216" s="3" t="s">
        <v>7</v>
      </c>
      <c r="I216" s="3" t="s">
        <v>7</v>
      </c>
      <c r="J216" s="3" t="s">
        <v>7</v>
      </c>
      <c r="K216" s="3" t="s">
        <v>7</v>
      </c>
      <c r="L216" s="3" t="s">
        <v>7</v>
      </c>
      <c r="M216" s="2" t="s">
        <v>502</v>
      </c>
      <c r="N216" s="2" t="s">
        <v>503</v>
      </c>
      <c r="O216" s="2" t="s">
        <v>1302</v>
      </c>
      <c r="P216" s="2" t="s">
        <v>2880</v>
      </c>
      <c r="Q216" s="3" t="s">
        <v>2856</v>
      </c>
    </row>
    <row r="217" spans="1:17" hidden="1">
      <c r="A217" s="21" t="s">
        <v>2876</v>
      </c>
      <c r="B217" s="22" t="s">
        <v>1479</v>
      </c>
      <c r="C217" s="21" t="s">
        <v>1815</v>
      </c>
      <c r="D217" s="21" t="s">
        <v>67</v>
      </c>
      <c r="E217" s="21" t="s">
        <v>69</v>
      </c>
      <c r="F217" s="21" t="s">
        <v>1409</v>
      </c>
      <c r="G217" s="3" t="s">
        <v>1449</v>
      </c>
      <c r="H217" s="3" t="s">
        <v>7</v>
      </c>
      <c r="I217" s="3" t="s">
        <v>7</v>
      </c>
      <c r="J217" s="3" t="s">
        <v>7</v>
      </c>
      <c r="K217" s="3" t="s">
        <v>7</v>
      </c>
      <c r="L217" s="3" t="s">
        <v>7</v>
      </c>
      <c r="M217" s="2" t="s">
        <v>436</v>
      </c>
      <c r="N217" s="2" t="s">
        <v>437</v>
      </c>
      <c r="O217" s="2" t="s">
        <v>1300</v>
      </c>
      <c r="P217" s="2" t="s">
        <v>2878</v>
      </c>
      <c r="Q217" s="3" t="s">
        <v>2856</v>
      </c>
    </row>
    <row r="218" spans="1:17" hidden="1">
      <c r="A218" s="21" t="s">
        <v>2876</v>
      </c>
      <c r="B218" s="22" t="s">
        <v>928</v>
      </c>
      <c r="C218" s="21" t="s">
        <v>1816</v>
      </c>
      <c r="D218" s="21" t="s">
        <v>67</v>
      </c>
      <c r="E218" s="21" t="s">
        <v>69</v>
      </c>
      <c r="F218" s="21" t="s">
        <v>1180</v>
      </c>
      <c r="G218" s="3" t="s">
        <v>1430</v>
      </c>
      <c r="H218" s="3" t="s">
        <v>7</v>
      </c>
      <c r="I218" s="3" t="s">
        <v>7</v>
      </c>
      <c r="J218" s="3" t="s">
        <v>7</v>
      </c>
      <c r="K218" s="3" t="s">
        <v>7</v>
      </c>
      <c r="L218" s="3" t="s">
        <v>7</v>
      </c>
      <c r="M218" s="2" t="s">
        <v>436</v>
      </c>
      <c r="N218" s="2" t="s">
        <v>437</v>
      </c>
      <c r="O218" s="2" t="s">
        <v>1300</v>
      </c>
      <c r="P218" s="2" t="s">
        <v>2878</v>
      </c>
      <c r="Q218" s="3" t="s">
        <v>2856</v>
      </c>
    </row>
    <row r="219" spans="1:17" hidden="1">
      <c r="A219" s="21" t="s">
        <v>2876</v>
      </c>
      <c r="B219" s="22" t="s">
        <v>1478</v>
      </c>
      <c r="C219" s="21" t="s">
        <v>1813</v>
      </c>
      <c r="D219" s="21" t="s">
        <v>67</v>
      </c>
      <c r="E219" s="21" t="s">
        <v>68</v>
      </c>
      <c r="F219" s="21" t="s">
        <v>8</v>
      </c>
      <c r="G219" s="3" t="s">
        <v>1410</v>
      </c>
      <c r="H219" s="3" t="s">
        <v>7</v>
      </c>
      <c r="I219" s="3" t="s">
        <v>7</v>
      </c>
      <c r="J219" s="3" t="s">
        <v>7</v>
      </c>
      <c r="K219" s="3" t="s">
        <v>7</v>
      </c>
      <c r="L219" s="3" t="s">
        <v>7</v>
      </c>
      <c r="M219" s="2" t="s">
        <v>532</v>
      </c>
      <c r="N219" s="2" t="s">
        <v>533</v>
      </c>
      <c r="O219" s="2" t="s">
        <v>1300</v>
      </c>
      <c r="P219" s="2" t="s">
        <v>2878</v>
      </c>
      <c r="Q219" s="3" t="s">
        <v>2856</v>
      </c>
    </row>
    <row r="220" spans="1:17" hidden="1">
      <c r="A220" s="21" t="s">
        <v>2876</v>
      </c>
      <c r="B220" s="22" t="s">
        <v>927</v>
      </c>
      <c r="C220" s="21" t="s">
        <v>1814</v>
      </c>
      <c r="D220" s="21" t="s">
        <v>67</v>
      </c>
      <c r="E220" s="21" t="s">
        <v>68</v>
      </c>
      <c r="F220" s="21" t="s">
        <v>1181</v>
      </c>
      <c r="G220" s="3" t="s">
        <v>1430</v>
      </c>
      <c r="H220" s="3" t="s">
        <v>3071</v>
      </c>
      <c r="I220" s="3" t="s">
        <v>7</v>
      </c>
      <c r="J220" s="3" t="s">
        <v>3071</v>
      </c>
      <c r="K220" s="3" t="s">
        <v>3071</v>
      </c>
      <c r="L220" s="3" t="s">
        <v>7</v>
      </c>
      <c r="M220" s="2" t="s">
        <v>532</v>
      </c>
      <c r="N220" s="2" t="s">
        <v>533</v>
      </c>
      <c r="O220" s="2" t="s">
        <v>1300</v>
      </c>
      <c r="P220" s="2" t="s">
        <v>2878</v>
      </c>
      <c r="Q220" s="3" t="s">
        <v>2856</v>
      </c>
    </row>
    <row r="221" spans="1:17" hidden="1">
      <c r="A221" s="21" t="s">
        <v>2876</v>
      </c>
      <c r="B221" s="22" t="s">
        <v>1480</v>
      </c>
      <c r="C221" s="21" t="s">
        <v>1817</v>
      </c>
      <c r="D221" s="21" t="s">
        <v>67</v>
      </c>
      <c r="E221" s="21" t="s">
        <v>70</v>
      </c>
      <c r="F221" s="21" t="s">
        <v>8</v>
      </c>
      <c r="G221" s="3" t="s">
        <v>1419</v>
      </c>
      <c r="H221" s="3" t="s">
        <v>7</v>
      </c>
      <c r="I221" s="3" t="s">
        <v>7</v>
      </c>
      <c r="J221" s="3" t="s">
        <v>7</v>
      </c>
      <c r="K221" s="3" t="s">
        <v>7</v>
      </c>
      <c r="L221" s="3" t="s">
        <v>7</v>
      </c>
      <c r="M221" s="2" t="s">
        <v>428</v>
      </c>
      <c r="N221" s="2" t="s">
        <v>429</v>
      </c>
      <c r="O221" s="2" t="s">
        <v>1300</v>
      </c>
      <c r="P221" s="2" t="s">
        <v>2878</v>
      </c>
      <c r="Q221" s="3" t="s">
        <v>2856</v>
      </c>
    </row>
    <row r="222" spans="1:17" hidden="1">
      <c r="A222" s="21" t="s">
        <v>2876</v>
      </c>
      <c r="B222" s="22" t="s">
        <v>929</v>
      </c>
      <c r="C222" s="21" t="s">
        <v>1818</v>
      </c>
      <c r="D222" s="21" t="s">
        <v>67</v>
      </c>
      <c r="E222" s="21" t="s">
        <v>70</v>
      </c>
      <c r="F222" s="21" t="s">
        <v>1180</v>
      </c>
      <c r="G222" s="3" t="s">
        <v>1430</v>
      </c>
      <c r="H222" s="3" t="s">
        <v>7</v>
      </c>
      <c r="I222" s="3" t="s">
        <v>7</v>
      </c>
      <c r="J222" s="3" t="s">
        <v>7</v>
      </c>
      <c r="K222" s="3" t="s">
        <v>7</v>
      </c>
      <c r="L222" s="3" t="s">
        <v>7</v>
      </c>
      <c r="M222" s="2" t="s">
        <v>428</v>
      </c>
      <c r="N222" s="2" t="s">
        <v>429</v>
      </c>
      <c r="O222" s="2" t="s">
        <v>1300</v>
      </c>
      <c r="P222" s="2" t="s">
        <v>2878</v>
      </c>
      <c r="Q222" s="3" t="s">
        <v>2856</v>
      </c>
    </row>
    <row r="223" spans="1:17" hidden="1">
      <c r="A223" s="21" t="s">
        <v>2876</v>
      </c>
      <c r="B223" s="22" t="s">
        <v>3263</v>
      </c>
      <c r="C223" s="21" t="s">
        <v>3264</v>
      </c>
      <c r="D223" s="21" t="s">
        <v>67</v>
      </c>
      <c r="E223" s="21" t="s">
        <v>69</v>
      </c>
      <c r="F223" s="21" t="s">
        <v>1192</v>
      </c>
      <c r="G223" s="3" t="s">
        <v>2559</v>
      </c>
      <c r="H223" s="3" t="s">
        <v>55</v>
      </c>
      <c r="I223" s="3" t="s">
        <v>55</v>
      </c>
      <c r="J223" s="3" t="s">
        <v>55</v>
      </c>
      <c r="K223" s="3" t="s">
        <v>55</v>
      </c>
      <c r="L223" s="3" t="s">
        <v>55</v>
      </c>
      <c r="M223" s="67" t="s">
        <v>532</v>
      </c>
      <c r="N223" s="67" t="s">
        <v>533</v>
      </c>
      <c r="O223" s="2" t="s">
        <v>1300</v>
      </c>
      <c r="P223" s="2" t="s">
        <v>2878</v>
      </c>
      <c r="Q223" s="3" t="s">
        <v>2856</v>
      </c>
    </row>
    <row r="224" spans="1:17" hidden="1">
      <c r="A224" s="21" t="s">
        <v>2876</v>
      </c>
      <c r="B224" s="22" t="s">
        <v>3265</v>
      </c>
      <c r="C224" s="21" t="s">
        <v>3266</v>
      </c>
      <c r="D224" s="21" t="s">
        <v>67</v>
      </c>
      <c r="E224" s="21" t="s">
        <v>70</v>
      </c>
      <c r="F224" s="21" t="s">
        <v>1192</v>
      </c>
      <c r="G224" s="3" t="s">
        <v>2559</v>
      </c>
      <c r="H224" s="3" t="s">
        <v>55</v>
      </c>
      <c r="I224" s="3" t="s">
        <v>55</v>
      </c>
      <c r="J224" s="3" t="s">
        <v>55</v>
      </c>
      <c r="K224" s="3" t="s">
        <v>55</v>
      </c>
      <c r="L224" s="3" t="s">
        <v>55</v>
      </c>
      <c r="M224" s="2" t="s">
        <v>428</v>
      </c>
      <c r="N224" s="2" t="s">
        <v>429</v>
      </c>
      <c r="O224" s="2" t="s">
        <v>1300</v>
      </c>
      <c r="P224" s="2" t="s">
        <v>2878</v>
      </c>
      <c r="Q224" s="3" t="s">
        <v>2856</v>
      </c>
    </row>
    <row r="225" spans="1:17" hidden="1">
      <c r="A225" s="21" t="s">
        <v>2876</v>
      </c>
      <c r="B225" s="22" t="s">
        <v>3267</v>
      </c>
      <c r="C225" s="21" t="s">
        <v>3268</v>
      </c>
      <c r="D225" s="21" t="s">
        <v>67</v>
      </c>
      <c r="E225" s="21" t="s">
        <v>69</v>
      </c>
      <c r="F225" s="21" t="s">
        <v>1192</v>
      </c>
      <c r="G225" s="3" t="s">
        <v>1410</v>
      </c>
      <c r="H225" s="3" t="s">
        <v>7</v>
      </c>
      <c r="I225" s="3" t="s">
        <v>7</v>
      </c>
      <c r="J225" s="3" t="s">
        <v>7</v>
      </c>
      <c r="K225" s="3" t="s">
        <v>55</v>
      </c>
      <c r="L225" s="3" t="s">
        <v>55</v>
      </c>
      <c r="M225" s="2" t="s">
        <v>436</v>
      </c>
      <c r="N225" s="2" t="s">
        <v>437</v>
      </c>
      <c r="O225" s="2" t="s">
        <v>1300</v>
      </c>
      <c r="P225" s="2" t="s">
        <v>2878</v>
      </c>
      <c r="Q225" s="3" t="s">
        <v>2856</v>
      </c>
    </row>
    <row r="226" spans="1:17" hidden="1">
      <c r="A226" s="21" t="s">
        <v>2876</v>
      </c>
      <c r="B226" s="22" t="s">
        <v>1481</v>
      </c>
      <c r="C226" s="21" t="s">
        <v>1820</v>
      </c>
      <c r="D226" s="21" t="s">
        <v>1819</v>
      </c>
      <c r="E226" s="21" t="s">
        <v>71</v>
      </c>
      <c r="F226" s="21" t="s">
        <v>1181</v>
      </c>
      <c r="G226" s="3" t="s">
        <v>1424</v>
      </c>
      <c r="H226" s="3" t="s">
        <v>3071</v>
      </c>
      <c r="I226" s="3" t="s">
        <v>7</v>
      </c>
      <c r="J226" s="3" t="s">
        <v>3071</v>
      </c>
      <c r="K226" s="3" t="s">
        <v>3071</v>
      </c>
      <c r="L226" s="3" t="s">
        <v>7</v>
      </c>
      <c r="M226" s="2" t="s">
        <v>520</v>
      </c>
      <c r="N226" s="2" t="s">
        <v>521</v>
      </c>
      <c r="O226" s="2" t="s">
        <v>1292</v>
      </c>
      <c r="P226" s="2" t="s">
        <v>2877</v>
      </c>
      <c r="Q226" s="3" t="s">
        <v>2856</v>
      </c>
    </row>
    <row r="227" spans="1:17" hidden="1">
      <c r="A227" s="21" t="s">
        <v>2876</v>
      </c>
      <c r="B227" s="22" t="s">
        <v>3269</v>
      </c>
      <c r="C227" s="21" t="s">
        <v>3270</v>
      </c>
      <c r="D227" s="21" t="s">
        <v>1819</v>
      </c>
      <c r="E227" s="21" t="s">
        <v>72</v>
      </c>
      <c r="F227" s="21" t="s">
        <v>1409</v>
      </c>
      <c r="G227" s="3" t="s">
        <v>1416</v>
      </c>
      <c r="H227" s="3" t="s">
        <v>7</v>
      </c>
      <c r="I227" s="3" t="s">
        <v>7</v>
      </c>
      <c r="J227" s="3" t="s">
        <v>7</v>
      </c>
      <c r="K227" s="3" t="s">
        <v>7</v>
      </c>
      <c r="L227" s="3" t="s">
        <v>7</v>
      </c>
      <c r="M227" s="2" t="s">
        <v>464</v>
      </c>
      <c r="N227" s="2" t="s">
        <v>465</v>
      </c>
      <c r="O227" s="2" t="s">
        <v>1292</v>
      </c>
      <c r="P227" s="2" t="s">
        <v>2877</v>
      </c>
      <c r="Q227" s="3" t="s">
        <v>2856</v>
      </c>
    </row>
    <row r="228" spans="1:17" hidden="1">
      <c r="A228" s="21" t="s">
        <v>2876</v>
      </c>
      <c r="B228" s="22" t="s">
        <v>1482</v>
      </c>
      <c r="C228" s="21" t="s">
        <v>1822</v>
      </c>
      <c r="D228" s="21" t="s">
        <v>1819</v>
      </c>
      <c r="E228" s="21" t="s">
        <v>73</v>
      </c>
      <c r="F228" s="21" t="s">
        <v>1409</v>
      </c>
      <c r="G228" s="3" t="s">
        <v>1430</v>
      </c>
      <c r="H228" s="3" t="s">
        <v>7</v>
      </c>
      <c r="I228" s="3" t="s">
        <v>7</v>
      </c>
      <c r="J228" s="3" t="s">
        <v>7</v>
      </c>
      <c r="K228" s="3" t="s">
        <v>7</v>
      </c>
      <c r="L228" s="3" t="s">
        <v>7</v>
      </c>
      <c r="M228" s="2" t="s">
        <v>468</v>
      </c>
      <c r="N228" s="2" t="s">
        <v>469</v>
      </c>
      <c r="O228" s="2" t="s">
        <v>1292</v>
      </c>
      <c r="P228" s="2" t="s">
        <v>2877</v>
      </c>
      <c r="Q228" s="3" t="s">
        <v>2856</v>
      </c>
    </row>
    <row r="229" spans="1:17" hidden="1">
      <c r="A229" s="21" t="s">
        <v>2876</v>
      </c>
      <c r="B229" s="22" t="s">
        <v>931</v>
      </c>
      <c r="C229" s="21" t="s">
        <v>1823</v>
      </c>
      <c r="D229" s="21" t="s">
        <v>1819</v>
      </c>
      <c r="E229" s="21" t="s">
        <v>73</v>
      </c>
      <c r="F229" s="21" t="s">
        <v>1192</v>
      </c>
      <c r="G229" s="3" t="s">
        <v>1178</v>
      </c>
      <c r="H229" s="3" t="s">
        <v>7</v>
      </c>
      <c r="I229" s="3" t="s">
        <v>7</v>
      </c>
      <c r="J229" s="3" t="s">
        <v>7</v>
      </c>
      <c r="K229" s="3" t="s">
        <v>7</v>
      </c>
      <c r="L229" s="3" t="s">
        <v>7</v>
      </c>
      <c r="M229" s="2" t="s">
        <v>468</v>
      </c>
      <c r="N229" s="2" t="s">
        <v>469</v>
      </c>
      <c r="O229" s="2" t="s">
        <v>1292</v>
      </c>
      <c r="P229" s="2" t="s">
        <v>2877</v>
      </c>
      <c r="Q229" s="3" t="s">
        <v>2856</v>
      </c>
    </row>
    <row r="230" spans="1:17" hidden="1">
      <c r="A230" s="21" t="s">
        <v>2876</v>
      </c>
      <c r="B230" s="22" t="s">
        <v>930</v>
      </c>
      <c r="C230" s="21" t="s">
        <v>1821</v>
      </c>
      <c r="D230" s="21" t="s">
        <v>1819</v>
      </c>
      <c r="E230" s="21" t="s">
        <v>71</v>
      </c>
      <c r="F230" s="21" t="s">
        <v>1192</v>
      </c>
      <c r="G230" s="3" t="s">
        <v>1185</v>
      </c>
      <c r="H230" s="3" t="s">
        <v>7</v>
      </c>
      <c r="I230" s="3" t="s">
        <v>7</v>
      </c>
      <c r="J230" s="3" t="s">
        <v>7</v>
      </c>
      <c r="K230" s="3" t="s">
        <v>7</v>
      </c>
      <c r="L230" s="3" t="s">
        <v>7</v>
      </c>
      <c r="M230" s="2" t="s">
        <v>520</v>
      </c>
      <c r="N230" s="2" t="s">
        <v>521</v>
      </c>
      <c r="O230" s="2" t="s">
        <v>1292</v>
      </c>
      <c r="P230" s="2" t="s">
        <v>2877</v>
      </c>
      <c r="Q230" s="3" t="s">
        <v>2856</v>
      </c>
    </row>
    <row r="231" spans="1:17" hidden="1">
      <c r="A231" s="21" t="s">
        <v>2876</v>
      </c>
      <c r="B231" s="22" t="s">
        <v>2600</v>
      </c>
      <c r="C231" s="21" t="s">
        <v>2601</v>
      </c>
      <c r="D231" s="21" t="s">
        <v>1819</v>
      </c>
      <c r="E231" s="21" t="s">
        <v>72</v>
      </c>
      <c r="F231" s="21" t="s">
        <v>1192</v>
      </c>
      <c r="G231" s="3" t="s">
        <v>1186</v>
      </c>
      <c r="H231" s="3" t="s">
        <v>7</v>
      </c>
      <c r="I231" s="3" t="s">
        <v>7</v>
      </c>
      <c r="J231" s="3" t="s">
        <v>7</v>
      </c>
      <c r="K231" s="3" t="s">
        <v>7</v>
      </c>
      <c r="L231" s="3" t="s">
        <v>7</v>
      </c>
      <c r="M231" s="2" t="s">
        <v>464</v>
      </c>
      <c r="N231" s="2" t="s">
        <v>465</v>
      </c>
      <c r="O231" s="2" t="s">
        <v>1292</v>
      </c>
      <c r="P231" s="2" t="s">
        <v>2877</v>
      </c>
      <c r="Q231" s="3" t="s">
        <v>2856</v>
      </c>
    </row>
    <row r="232" spans="1:17" hidden="1">
      <c r="A232" s="21" t="s">
        <v>2876</v>
      </c>
      <c r="B232" s="22" t="s">
        <v>2602</v>
      </c>
      <c r="C232" s="21" t="s">
        <v>2603</v>
      </c>
      <c r="D232" s="21" t="s">
        <v>1819</v>
      </c>
      <c r="E232" s="21" t="s">
        <v>72</v>
      </c>
      <c r="F232" s="21" t="s">
        <v>1181</v>
      </c>
      <c r="G232" s="3" t="s">
        <v>1179</v>
      </c>
      <c r="H232" s="3" t="s">
        <v>3071</v>
      </c>
      <c r="I232" s="3" t="s">
        <v>7</v>
      </c>
      <c r="J232" s="3" t="s">
        <v>3071</v>
      </c>
      <c r="K232" s="3" t="s">
        <v>3071</v>
      </c>
      <c r="L232" s="3" t="s">
        <v>7</v>
      </c>
      <c r="M232" s="2" t="s">
        <v>464</v>
      </c>
      <c r="N232" s="2" t="s">
        <v>465</v>
      </c>
      <c r="O232" s="2" t="s">
        <v>1292</v>
      </c>
      <c r="P232" s="2" t="s">
        <v>2877</v>
      </c>
      <c r="Q232" s="3" t="s">
        <v>2856</v>
      </c>
    </row>
    <row r="233" spans="1:17" hidden="1">
      <c r="A233" s="21" t="s">
        <v>2876</v>
      </c>
      <c r="B233" s="22" t="s">
        <v>2604</v>
      </c>
      <c r="C233" s="21" t="s">
        <v>2605</v>
      </c>
      <c r="D233" s="21" t="s">
        <v>1819</v>
      </c>
      <c r="E233" s="21" t="s">
        <v>73</v>
      </c>
      <c r="F233" s="21" t="s">
        <v>1181</v>
      </c>
      <c r="G233" s="3" t="s">
        <v>1186</v>
      </c>
      <c r="H233" s="3" t="s">
        <v>3071</v>
      </c>
      <c r="I233" s="3" t="s">
        <v>7</v>
      </c>
      <c r="J233" s="3" t="s">
        <v>3071</v>
      </c>
      <c r="K233" s="3" t="s">
        <v>3071</v>
      </c>
      <c r="L233" s="3" t="s">
        <v>7</v>
      </c>
      <c r="M233" s="2" t="s">
        <v>468</v>
      </c>
      <c r="N233" s="2" t="s">
        <v>469</v>
      </c>
      <c r="O233" s="2" t="s">
        <v>1292</v>
      </c>
      <c r="P233" s="2" t="s">
        <v>2877</v>
      </c>
      <c r="Q233" s="3" t="s">
        <v>2856</v>
      </c>
    </row>
    <row r="234" spans="1:17" hidden="1">
      <c r="A234" s="21">
        <v>0</v>
      </c>
      <c r="B234" s="22" t="s">
        <v>3271</v>
      </c>
      <c r="C234" s="21" t="s">
        <v>3272</v>
      </c>
      <c r="D234" s="21" t="s">
        <v>1819</v>
      </c>
      <c r="E234" s="21" t="s">
        <v>3273</v>
      </c>
      <c r="F234" s="21" t="s">
        <v>1409</v>
      </c>
      <c r="G234" s="3" t="s">
        <v>1186</v>
      </c>
      <c r="H234" s="3" t="s">
        <v>55</v>
      </c>
      <c r="I234" s="3" t="s">
        <v>55</v>
      </c>
      <c r="J234" s="3" t="s">
        <v>55</v>
      </c>
      <c r="K234" s="3" t="s">
        <v>55</v>
      </c>
      <c r="L234" s="3" t="s">
        <v>55</v>
      </c>
      <c r="M234" s="2" t="s">
        <v>3274</v>
      </c>
      <c r="N234" s="2" t="s">
        <v>3273</v>
      </c>
      <c r="O234" s="2">
        <v>0</v>
      </c>
      <c r="P234" s="2">
        <v>0</v>
      </c>
      <c r="Q234" s="3" t="s">
        <v>3199</v>
      </c>
    </row>
    <row r="235" spans="1:17" hidden="1">
      <c r="A235" s="21" t="s">
        <v>2876</v>
      </c>
      <c r="B235" s="22" t="s">
        <v>3042</v>
      </c>
      <c r="C235" s="21" t="s">
        <v>3043</v>
      </c>
      <c r="D235" s="21" t="s">
        <v>1819</v>
      </c>
      <c r="E235" s="21" t="s">
        <v>71</v>
      </c>
      <c r="F235" s="21" t="s">
        <v>3044</v>
      </c>
      <c r="G235" s="3" t="s">
        <v>1179</v>
      </c>
      <c r="H235" s="3" t="s">
        <v>7</v>
      </c>
      <c r="I235" s="3" t="s">
        <v>7</v>
      </c>
      <c r="J235" s="3" t="s">
        <v>7</v>
      </c>
      <c r="K235" s="3" t="s">
        <v>7</v>
      </c>
      <c r="L235" s="3" t="s">
        <v>7</v>
      </c>
      <c r="M235" s="2" t="s">
        <v>520</v>
      </c>
      <c r="N235" s="2" t="s">
        <v>521</v>
      </c>
      <c r="O235" s="2" t="s">
        <v>1292</v>
      </c>
      <c r="P235" s="2" t="s">
        <v>2877</v>
      </c>
      <c r="Q235" s="3" t="s">
        <v>2856</v>
      </c>
    </row>
    <row r="236" spans="1:17" hidden="1">
      <c r="A236" s="21" t="s">
        <v>2876</v>
      </c>
      <c r="B236" s="22" t="s">
        <v>3275</v>
      </c>
      <c r="C236" s="21" t="s">
        <v>3276</v>
      </c>
      <c r="D236" s="21" t="s">
        <v>1819</v>
      </c>
      <c r="E236" s="21" t="s">
        <v>71</v>
      </c>
      <c r="F236" s="21" t="s">
        <v>1180</v>
      </c>
      <c r="G236" s="3" t="s">
        <v>2559</v>
      </c>
      <c r="H236" s="3" t="s">
        <v>7</v>
      </c>
      <c r="I236" s="3" t="s">
        <v>7</v>
      </c>
      <c r="J236" s="3" t="s">
        <v>7</v>
      </c>
      <c r="K236" s="3" t="s">
        <v>55</v>
      </c>
      <c r="L236" s="3" t="s">
        <v>55</v>
      </c>
      <c r="M236" s="2" t="s">
        <v>520</v>
      </c>
      <c r="N236" s="2" t="s">
        <v>521</v>
      </c>
      <c r="O236" s="2" t="s">
        <v>1292</v>
      </c>
      <c r="P236" s="2" t="s">
        <v>2877</v>
      </c>
      <c r="Q236" s="3" t="s">
        <v>2856</v>
      </c>
    </row>
    <row r="237" spans="1:17" hidden="1">
      <c r="A237" s="21" t="s">
        <v>2876</v>
      </c>
      <c r="B237" s="22" t="s">
        <v>1483</v>
      </c>
      <c r="C237" s="21" t="s">
        <v>1824</v>
      </c>
      <c r="D237" s="21" t="s">
        <v>74</v>
      </c>
      <c r="E237" s="21" t="s">
        <v>1484</v>
      </c>
      <c r="F237" s="21" t="s">
        <v>1409</v>
      </c>
      <c r="G237" s="3" t="s">
        <v>1435</v>
      </c>
      <c r="H237" s="3" t="s">
        <v>7</v>
      </c>
      <c r="I237" s="3" t="s">
        <v>7</v>
      </c>
      <c r="J237" s="3" t="s">
        <v>7</v>
      </c>
      <c r="K237" s="3" t="s">
        <v>7</v>
      </c>
      <c r="L237" s="3" t="s">
        <v>7</v>
      </c>
      <c r="M237" s="2" t="s">
        <v>528</v>
      </c>
      <c r="N237" s="2" t="s">
        <v>529</v>
      </c>
      <c r="O237" s="2" t="s">
        <v>1294</v>
      </c>
      <c r="P237" s="2" t="s">
        <v>2877</v>
      </c>
      <c r="Q237" s="3" t="s">
        <v>2856</v>
      </c>
    </row>
    <row r="238" spans="1:17" hidden="1">
      <c r="A238" s="21" t="s">
        <v>2876</v>
      </c>
      <c r="B238" s="22" t="s">
        <v>1486</v>
      </c>
      <c r="C238" s="21" t="s">
        <v>1825</v>
      </c>
      <c r="D238" s="21" t="s">
        <v>74</v>
      </c>
      <c r="E238" s="21" t="s">
        <v>1484</v>
      </c>
      <c r="F238" s="21" t="s">
        <v>1180</v>
      </c>
      <c r="G238" s="3" t="s">
        <v>1435</v>
      </c>
      <c r="H238" s="3" t="s">
        <v>7</v>
      </c>
      <c r="I238" s="3" t="s">
        <v>7</v>
      </c>
      <c r="J238" s="3" t="s">
        <v>7</v>
      </c>
      <c r="K238" s="3" t="s">
        <v>7</v>
      </c>
      <c r="L238" s="3" t="s">
        <v>7</v>
      </c>
      <c r="M238" s="2" t="s">
        <v>528</v>
      </c>
      <c r="N238" s="2" t="s">
        <v>529</v>
      </c>
      <c r="O238" s="2" t="s">
        <v>1294</v>
      </c>
      <c r="P238" s="2" t="s">
        <v>2877</v>
      </c>
      <c r="Q238" s="3" t="s">
        <v>2856</v>
      </c>
    </row>
    <row r="239" spans="1:17" hidden="1">
      <c r="A239" s="21">
        <v>0</v>
      </c>
      <c r="B239" s="22" t="s">
        <v>3277</v>
      </c>
      <c r="C239" s="21" t="s">
        <v>3278</v>
      </c>
      <c r="D239" s="21" t="s">
        <v>74</v>
      </c>
      <c r="E239" s="21" t="s">
        <v>3279</v>
      </c>
      <c r="F239" s="21" t="s">
        <v>8</v>
      </c>
      <c r="G239" s="3" t="s">
        <v>3280</v>
      </c>
      <c r="H239" s="3" t="s">
        <v>7</v>
      </c>
      <c r="I239" s="3" t="s">
        <v>7</v>
      </c>
      <c r="J239" s="3" t="s">
        <v>7</v>
      </c>
      <c r="K239" s="3" t="s">
        <v>7</v>
      </c>
      <c r="L239" s="3" t="s">
        <v>7</v>
      </c>
      <c r="M239" s="2" t="s">
        <v>420</v>
      </c>
      <c r="N239" s="2" t="s">
        <v>3279</v>
      </c>
      <c r="O239" s="2">
        <v>0</v>
      </c>
      <c r="P239" s="2">
        <v>0</v>
      </c>
      <c r="Q239" s="3" t="s">
        <v>3199</v>
      </c>
    </row>
    <row r="240" spans="1:17" hidden="1">
      <c r="A240" s="21">
        <v>0</v>
      </c>
      <c r="B240" s="22" t="s">
        <v>3281</v>
      </c>
      <c r="C240" s="21" t="s">
        <v>3282</v>
      </c>
      <c r="D240" s="21" t="s">
        <v>74</v>
      </c>
      <c r="E240" s="21" t="s">
        <v>3279</v>
      </c>
      <c r="F240" s="21" t="s">
        <v>1180</v>
      </c>
      <c r="G240" s="3" t="s">
        <v>1178</v>
      </c>
      <c r="H240" s="3" t="s">
        <v>7</v>
      </c>
      <c r="I240" s="3" t="s">
        <v>7</v>
      </c>
      <c r="J240" s="3" t="s">
        <v>7</v>
      </c>
      <c r="K240" s="3" t="s">
        <v>7</v>
      </c>
      <c r="L240" s="3" t="s">
        <v>7</v>
      </c>
      <c r="M240" s="2" t="s">
        <v>420</v>
      </c>
      <c r="N240" s="2" t="s">
        <v>3279</v>
      </c>
      <c r="O240" s="2">
        <v>0</v>
      </c>
      <c r="P240" s="2">
        <v>0</v>
      </c>
      <c r="Q240" s="3" t="s">
        <v>3199</v>
      </c>
    </row>
    <row r="241" spans="1:17" hidden="1">
      <c r="A241" s="21">
        <v>0</v>
      </c>
      <c r="B241" s="22" t="s">
        <v>3283</v>
      </c>
      <c r="C241" s="21" t="s">
        <v>3284</v>
      </c>
      <c r="D241" s="21" t="s">
        <v>74</v>
      </c>
      <c r="E241" s="21" t="s">
        <v>3279</v>
      </c>
      <c r="F241" s="21" t="s">
        <v>1409</v>
      </c>
      <c r="G241" s="3" t="s">
        <v>1416</v>
      </c>
      <c r="H241" s="3" t="s">
        <v>55</v>
      </c>
      <c r="I241" s="3" t="s">
        <v>55</v>
      </c>
      <c r="J241" s="3" t="s">
        <v>55</v>
      </c>
      <c r="K241" s="3" t="s">
        <v>55</v>
      </c>
      <c r="L241" s="3" t="s">
        <v>55</v>
      </c>
      <c r="M241" s="2" t="s">
        <v>420</v>
      </c>
      <c r="N241" s="2" t="s">
        <v>3279</v>
      </c>
      <c r="O241" s="2">
        <v>0</v>
      </c>
      <c r="P241" s="2">
        <v>0</v>
      </c>
      <c r="Q241" s="3" t="s">
        <v>3199</v>
      </c>
    </row>
    <row r="242" spans="1:17" hidden="1">
      <c r="A242" s="21" t="s">
        <v>2903</v>
      </c>
      <c r="B242" s="22" t="s">
        <v>1487</v>
      </c>
      <c r="C242" s="21" t="s">
        <v>1826</v>
      </c>
      <c r="D242" s="21" t="s">
        <v>75</v>
      </c>
      <c r="E242" s="21" t="s">
        <v>806</v>
      </c>
      <c r="F242" s="21" t="s">
        <v>1409</v>
      </c>
      <c r="G242" s="3" t="s">
        <v>1435</v>
      </c>
      <c r="H242" s="3" t="s">
        <v>7</v>
      </c>
      <c r="I242" s="3" t="s">
        <v>7</v>
      </c>
      <c r="J242" s="3" t="s">
        <v>7</v>
      </c>
      <c r="K242" s="3" t="s">
        <v>7</v>
      </c>
      <c r="L242" s="3" t="s">
        <v>7</v>
      </c>
      <c r="M242" s="2" t="s">
        <v>694</v>
      </c>
      <c r="N242" s="2" t="s">
        <v>695</v>
      </c>
      <c r="O242" s="2" t="s">
        <v>1334</v>
      </c>
      <c r="P242" s="2" t="s">
        <v>2904</v>
      </c>
      <c r="Q242" s="3" t="s">
        <v>2856</v>
      </c>
    </row>
    <row r="243" spans="1:17" hidden="1">
      <c r="A243" s="21" t="s">
        <v>2903</v>
      </c>
      <c r="B243" s="22" t="s">
        <v>1488</v>
      </c>
      <c r="C243" s="21" t="s">
        <v>1827</v>
      </c>
      <c r="D243" s="21" t="s">
        <v>75</v>
      </c>
      <c r="E243" s="21" t="s">
        <v>806</v>
      </c>
      <c r="F243" s="21" t="s">
        <v>1409</v>
      </c>
      <c r="G243" s="3" t="s">
        <v>1182</v>
      </c>
      <c r="H243" s="3" t="s">
        <v>7</v>
      </c>
      <c r="I243" s="3" t="s">
        <v>7</v>
      </c>
      <c r="J243" s="3" t="s">
        <v>7</v>
      </c>
      <c r="K243" s="3" t="s">
        <v>7</v>
      </c>
      <c r="L243" s="3" t="s">
        <v>7</v>
      </c>
      <c r="M243" s="2" t="s">
        <v>694</v>
      </c>
      <c r="N243" s="2" t="s">
        <v>695</v>
      </c>
      <c r="O243" s="2" t="s">
        <v>1334</v>
      </c>
      <c r="P243" s="2" t="s">
        <v>2904</v>
      </c>
      <c r="Q243" s="3" t="s">
        <v>2856</v>
      </c>
    </row>
    <row r="244" spans="1:17" hidden="1">
      <c r="A244" s="21" t="s">
        <v>2903</v>
      </c>
      <c r="B244" s="22" t="s">
        <v>932</v>
      </c>
      <c r="C244" s="21" t="s">
        <v>1828</v>
      </c>
      <c r="D244" s="21" t="s">
        <v>75</v>
      </c>
      <c r="E244" s="21" t="s">
        <v>806</v>
      </c>
      <c r="F244" s="21" t="s">
        <v>8</v>
      </c>
      <c r="G244" s="3" t="s">
        <v>1188</v>
      </c>
      <c r="H244" s="3" t="s">
        <v>7</v>
      </c>
      <c r="I244" s="3" t="s">
        <v>7</v>
      </c>
      <c r="J244" s="3" t="s">
        <v>7</v>
      </c>
      <c r="K244" s="3" t="s">
        <v>7</v>
      </c>
      <c r="L244" s="3" t="s">
        <v>7</v>
      </c>
      <c r="M244" s="2" t="s">
        <v>694</v>
      </c>
      <c r="N244" s="2" t="s">
        <v>695</v>
      </c>
      <c r="O244" s="2" t="s">
        <v>1334</v>
      </c>
      <c r="P244" s="2" t="s">
        <v>2904</v>
      </c>
      <c r="Q244" s="3" t="s">
        <v>2856</v>
      </c>
    </row>
    <row r="245" spans="1:17" hidden="1">
      <c r="A245" s="21" t="s">
        <v>2903</v>
      </c>
      <c r="B245" s="22" t="s">
        <v>1493</v>
      </c>
      <c r="C245" s="21" t="s">
        <v>1836</v>
      </c>
      <c r="D245" s="21" t="s">
        <v>76</v>
      </c>
      <c r="E245" s="21" t="s">
        <v>808</v>
      </c>
      <c r="F245" s="21" t="s">
        <v>1409</v>
      </c>
      <c r="G245" s="3" t="s">
        <v>1416</v>
      </c>
      <c r="H245" s="3" t="s">
        <v>7</v>
      </c>
      <c r="I245" s="3" t="s">
        <v>7</v>
      </c>
      <c r="J245" s="3" t="s">
        <v>7</v>
      </c>
      <c r="K245" s="3" t="s">
        <v>7</v>
      </c>
      <c r="L245" s="3" t="s">
        <v>7</v>
      </c>
      <c r="M245" s="2" t="s">
        <v>666</v>
      </c>
      <c r="N245" s="2" t="s">
        <v>667</v>
      </c>
      <c r="O245" s="2" t="s">
        <v>1335</v>
      </c>
      <c r="P245" s="2" t="s">
        <v>2904</v>
      </c>
      <c r="Q245" s="3" t="s">
        <v>2856</v>
      </c>
    </row>
    <row r="246" spans="1:17" hidden="1">
      <c r="A246" s="21" t="s">
        <v>2903</v>
      </c>
      <c r="B246" s="22" t="s">
        <v>944</v>
      </c>
      <c r="C246" s="21" t="s">
        <v>1853</v>
      </c>
      <c r="D246" s="21" t="s">
        <v>76</v>
      </c>
      <c r="E246" s="21" t="s">
        <v>811</v>
      </c>
      <c r="F246" s="21" t="s">
        <v>8</v>
      </c>
      <c r="G246" s="3" t="s">
        <v>1414</v>
      </c>
      <c r="H246" s="3" t="s">
        <v>7</v>
      </c>
      <c r="I246" s="3" t="s">
        <v>7</v>
      </c>
      <c r="J246" s="3" t="s">
        <v>7</v>
      </c>
      <c r="K246" s="3" t="s">
        <v>7</v>
      </c>
      <c r="L246" s="3" t="s">
        <v>7</v>
      </c>
      <c r="M246" s="2" t="s">
        <v>674</v>
      </c>
      <c r="N246" s="2" t="s">
        <v>675</v>
      </c>
      <c r="O246" s="2" t="s">
        <v>1335</v>
      </c>
      <c r="P246" s="2" t="s">
        <v>2904</v>
      </c>
      <c r="Q246" s="3" t="s">
        <v>2856</v>
      </c>
    </row>
    <row r="247" spans="1:17" hidden="1">
      <c r="A247" s="21" t="s">
        <v>2903</v>
      </c>
      <c r="B247" s="22" t="s">
        <v>1494</v>
      </c>
      <c r="C247" s="21" t="s">
        <v>1837</v>
      </c>
      <c r="D247" s="21" t="s">
        <v>76</v>
      </c>
      <c r="E247" s="21" t="s">
        <v>808</v>
      </c>
      <c r="F247" s="21" t="s">
        <v>8</v>
      </c>
      <c r="G247" s="3" t="s">
        <v>1457</v>
      </c>
      <c r="H247" s="3" t="s">
        <v>7</v>
      </c>
      <c r="I247" s="3" t="s">
        <v>7</v>
      </c>
      <c r="J247" s="3" t="s">
        <v>7</v>
      </c>
      <c r="K247" s="3" t="s">
        <v>7</v>
      </c>
      <c r="L247" s="3" t="s">
        <v>7</v>
      </c>
      <c r="M247" s="2" t="s">
        <v>666</v>
      </c>
      <c r="N247" s="2" t="s">
        <v>667</v>
      </c>
      <c r="O247" s="2" t="s">
        <v>1335</v>
      </c>
      <c r="P247" s="2" t="s">
        <v>2904</v>
      </c>
      <c r="Q247" s="3" t="s">
        <v>2856</v>
      </c>
    </row>
    <row r="248" spans="1:17" hidden="1">
      <c r="A248" s="21" t="s">
        <v>2903</v>
      </c>
      <c r="B248" s="22" t="s">
        <v>1495</v>
      </c>
      <c r="C248" s="21" t="s">
        <v>1839</v>
      </c>
      <c r="D248" s="21" t="s">
        <v>76</v>
      </c>
      <c r="E248" s="21" t="s">
        <v>808</v>
      </c>
      <c r="F248" s="21" t="s">
        <v>1181</v>
      </c>
      <c r="G248" s="3" t="s">
        <v>1457</v>
      </c>
      <c r="H248" s="3" t="s">
        <v>3071</v>
      </c>
      <c r="I248" s="3" t="s">
        <v>7</v>
      </c>
      <c r="J248" s="3" t="s">
        <v>3071</v>
      </c>
      <c r="K248" s="3" t="s">
        <v>3071</v>
      </c>
      <c r="L248" s="3" t="s">
        <v>7</v>
      </c>
      <c r="M248" s="2" t="s">
        <v>666</v>
      </c>
      <c r="N248" s="2" t="s">
        <v>667</v>
      </c>
      <c r="O248" s="2" t="s">
        <v>1335</v>
      </c>
      <c r="P248" s="2" t="s">
        <v>2904</v>
      </c>
      <c r="Q248" s="3" t="s">
        <v>2856</v>
      </c>
    </row>
    <row r="249" spans="1:17" hidden="1">
      <c r="A249" s="21" t="s">
        <v>2903</v>
      </c>
      <c r="B249" s="22" t="s">
        <v>1497</v>
      </c>
      <c r="C249" s="21" t="s">
        <v>1842</v>
      </c>
      <c r="D249" s="21" t="s">
        <v>76</v>
      </c>
      <c r="E249" s="21" t="s">
        <v>809</v>
      </c>
      <c r="F249" s="21" t="s">
        <v>8</v>
      </c>
      <c r="G249" s="3" t="s">
        <v>1437</v>
      </c>
      <c r="H249" s="3" t="s">
        <v>7</v>
      </c>
      <c r="I249" s="3" t="s">
        <v>7</v>
      </c>
      <c r="J249" s="3" t="s">
        <v>7</v>
      </c>
      <c r="K249" s="3" t="s">
        <v>7</v>
      </c>
      <c r="L249" s="3" t="s">
        <v>7</v>
      </c>
      <c r="M249" s="2" t="s">
        <v>596</v>
      </c>
      <c r="N249" s="2" t="s">
        <v>597</v>
      </c>
      <c r="O249" s="2" t="s">
        <v>1335</v>
      </c>
      <c r="P249" s="2" t="s">
        <v>2904</v>
      </c>
      <c r="Q249" s="3" t="s">
        <v>2856</v>
      </c>
    </row>
    <row r="250" spans="1:17" hidden="1">
      <c r="A250" s="21" t="s">
        <v>2903</v>
      </c>
      <c r="B250" s="22" t="s">
        <v>939</v>
      </c>
      <c r="C250" s="21" t="s">
        <v>1844</v>
      </c>
      <c r="D250" s="21" t="s">
        <v>76</v>
      </c>
      <c r="E250" s="21" t="s">
        <v>809</v>
      </c>
      <c r="F250" s="21" t="s">
        <v>1180</v>
      </c>
      <c r="G250" s="3" t="s">
        <v>1430</v>
      </c>
      <c r="H250" s="3" t="s">
        <v>7</v>
      </c>
      <c r="I250" s="3" t="s">
        <v>7</v>
      </c>
      <c r="J250" s="3" t="s">
        <v>7</v>
      </c>
      <c r="K250" s="3" t="s">
        <v>7</v>
      </c>
      <c r="L250" s="3" t="s">
        <v>7</v>
      </c>
      <c r="M250" s="2" t="s">
        <v>596</v>
      </c>
      <c r="N250" s="2" t="s">
        <v>597</v>
      </c>
      <c r="O250" s="2" t="s">
        <v>1335</v>
      </c>
      <c r="P250" s="2" t="s">
        <v>2904</v>
      </c>
      <c r="Q250" s="3" t="s">
        <v>2856</v>
      </c>
    </row>
    <row r="251" spans="1:17" hidden="1">
      <c r="A251" s="21" t="s">
        <v>2903</v>
      </c>
      <c r="B251" s="22" t="s">
        <v>1496</v>
      </c>
      <c r="C251" s="21" t="s">
        <v>1841</v>
      </c>
      <c r="D251" s="21" t="s">
        <v>76</v>
      </c>
      <c r="E251" s="21" t="s">
        <v>809</v>
      </c>
      <c r="F251" s="21" t="s">
        <v>1409</v>
      </c>
      <c r="G251" s="3" t="s">
        <v>1419</v>
      </c>
      <c r="H251" s="3" t="s">
        <v>7</v>
      </c>
      <c r="I251" s="3" t="s">
        <v>7</v>
      </c>
      <c r="J251" s="3" t="s">
        <v>7</v>
      </c>
      <c r="K251" s="3" t="s">
        <v>7</v>
      </c>
      <c r="L251" s="3" t="s">
        <v>7</v>
      </c>
      <c r="M251" s="2" t="s">
        <v>596</v>
      </c>
      <c r="N251" s="2" t="s">
        <v>597</v>
      </c>
      <c r="O251" s="2" t="s">
        <v>1335</v>
      </c>
      <c r="P251" s="2" t="s">
        <v>2904</v>
      </c>
      <c r="Q251" s="3" t="s">
        <v>2856</v>
      </c>
    </row>
    <row r="252" spans="1:17" hidden="1">
      <c r="A252" s="21" t="s">
        <v>2903</v>
      </c>
      <c r="B252" s="22" t="s">
        <v>1499</v>
      </c>
      <c r="C252" s="21" t="s">
        <v>1848</v>
      </c>
      <c r="D252" s="21" t="s">
        <v>76</v>
      </c>
      <c r="E252" s="21" t="s">
        <v>810</v>
      </c>
      <c r="F252" s="21" t="s">
        <v>8</v>
      </c>
      <c r="G252" s="3" t="s">
        <v>1457</v>
      </c>
      <c r="H252" s="3" t="s">
        <v>7</v>
      </c>
      <c r="I252" s="3" t="s">
        <v>7</v>
      </c>
      <c r="J252" s="3" t="s">
        <v>7</v>
      </c>
      <c r="K252" s="3" t="s">
        <v>7</v>
      </c>
      <c r="L252" s="3" t="s">
        <v>7</v>
      </c>
      <c r="M252" s="2" t="s">
        <v>556</v>
      </c>
      <c r="N252" s="2" t="s">
        <v>557</v>
      </c>
      <c r="O252" s="2" t="s">
        <v>1335</v>
      </c>
      <c r="P252" s="2" t="s">
        <v>2904</v>
      </c>
      <c r="Q252" s="3" t="s">
        <v>2856</v>
      </c>
    </row>
    <row r="253" spans="1:17" hidden="1">
      <c r="A253" s="21" t="s">
        <v>2903</v>
      </c>
      <c r="B253" s="22" t="s">
        <v>1500</v>
      </c>
      <c r="C253" s="21" t="s">
        <v>1849</v>
      </c>
      <c r="D253" s="21" t="s">
        <v>76</v>
      </c>
      <c r="E253" s="21" t="s">
        <v>810</v>
      </c>
      <c r="F253" s="21" t="s">
        <v>1180</v>
      </c>
      <c r="G253" s="3" t="s">
        <v>1457</v>
      </c>
      <c r="H253" s="3" t="s">
        <v>7</v>
      </c>
      <c r="I253" s="3" t="s">
        <v>7</v>
      </c>
      <c r="J253" s="3" t="s">
        <v>7</v>
      </c>
      <c r="K253" s="3" t="s">
        <v>7</v>
      </c>
      <c r="L253" s="3" t="s">
        <v>7</v>
      </c>
      <c r="M253" s="2" t="s">
        <v>556</v>
      </c>
      <c r="N253" s="2" t="s">
        <v>557</v>
      </c>
      <c r="O253" s="2" t="s">
        <v>1335</v>
      </c>
      <c r="P253" s="2" t="s">
        <v>2904</v>
      </c>
      <c r="Q253" s="3" t="s">
        <v>2856</v>
      </c>
    </row>
    <row r="254" spans="1:17" hidden="1">
      <c r="A254" s="21" t="s">
        <v>2903</v>
      </c>
      <c r="B254" s="22" t="s">
        <v>1489</v>
      </c>
      <c r="C254" s="21" t="s">
        <v>1829</v>
      </c>
      <c r="D254" s="21" t="s">
        <v>76</v>
      </c>
      <c r="E254" s="21" t="s">
        <v>807</v>
      </c>
      <c r="F254" s="21" t="s">
        <v>8</v>
      </c>
      <c r="G254" s="3" t="s">
        <v>1416</v>
      </c>
      <c r="H254" s="3" t="s">
        <v>7</v>
      </c>
      <c r="I254" s="3" t="s">
        <v>7</v>
      </c>
      <c r="J254" s="3" t="s">
        <v>7</v>
      </c>
      <c r="K254" s="3" t="s">
        <v>7</v>
      </c>
      <c r="L254" s="3" t="s">
        <v>7</v>
      </c>
      <c r="M254" s="2" t="s">
        <v>708</v>
      </c>
      <c r="N254" s="2" t="s">
        <v>709</v>
      </c>
      <c r="O254" s="2" t="s">
        <v>1335</v>
      </c>
      <c r="P254" s="2" t="s">
        <v>2904</v>
      </c>
      <c r="Q254" s="3" t="s">
        <v>2856</v>
      </c>
    </row>
    <row r="255" spans="1:17" hidden="1">
      <c r="A255" s="21" t="s">
        <v>2903</v>
      </c>
      <c r="B255" s="22" t="s">
        <v>1490</v>
      </c>
      <c r="C255" s="21" t="s">
        <v>1832</v>
      </c>
      <c r="D255" s="21" t="s">
        <v>76</v>
      </c>
      <c r="E255" s="21" t="s">
        <v>807</v>
      </c>
      <c r="F255" s="21" t="s">
        <v>1180</v>
      </c>
      <c r="G255" s="3" t="s">
        <v>1457</v>
      </c>
      <c r="H255" s="3" t="s">
        <v>7</v>
      </c>
      <c r="I255" s="3" t="s">
        <v>7</v>
      </c>
      <c r="J255" s="3" t="s">
        <v>7</v>
      </c>
      <c r="K255" s="3" t="s">
        <v>7</v>
      </c>
      <c r="L255" s="3" t="s">
        <v>7</v>
      </c>
      <c r="M255" s="2" t="s">
        <v>708</v>
      </c>
      <c r="N255" s="2" t="s">
        <v>709</v>
      </c>
      <c r="O255" s="2" t="s">
        <v>1335</v>
      </c>
      <c r="P255" s="2" t="s">
        <v>2904</v>
      </c>
      <c r="Q255" s="3" t="s">
        <v>2856</v>
      </c>
    </row>
    <row r="256" spans="1:17" hidden="1">
      <c r="A256" s="21" t="s">
        <v>2903</v>
      </c>
      <c r="B256" s="22" t="s">
        <v>1491</v>
      </c>
      <c r="C256" s="21" t="s">
        <v>1833</v>
      </c>
      <c r="D256" s="21" t="s">
        <v>76</v>
      </c>
      <c r="E256" s="21" t="s">
        <v>807</v>
      </c>
      <c r="F256" s="21" t="s">
        <v>1180</v>
      </c>
      <c r="G256" s="3" t="s">
        <v>1457</v>
      </c>
      <c r="H256" s="3" t="s">
        <v>7</v>
      </c>
      <c r="I256" s="3" t="s">
        <v>7</v>
      </c>
      <c r="J256" s="3" t="s">
        <v>7</v>
      </c>
      <c r="K256" s="3" t="s">
        <v>7</v>
      </c>
      <c r="L256" s="3" t="s">
        <v>7</v>
      </c>
      <c r="M256" s="2" t="s">
        <v>708</v>
      </c>
      <c r="N256" s="2" t="s">
        <v>709</v>
      </c>
      <c r="O256" s="2" t="s">
        <v>1335</v>
      </c>
      <c r="P256" s="2" t="s">
        <v>2904</v>
      </c>
      <c r="Q256" s="3" t="s">
        <v>2856</v>
      </c>
    </row>
    <row r="257" spans="1:17" hidden="1">
      <c r="A257" s="21" t="s">
        <v>2903</v>
      </c>
      <c r="B257" s="22" t="s">
        <v>1492</v>
      </c>
      <c r="C257" s="21" t="s">
        <v>1834</v>
      </c>
      <c r="D257" s="21" t="s">
        <v>76</v>
      </c>
      <c r="E257" s="21" t="s">
        <v>807</v>
      </c>
      <c r="F257" s="21" t="s">
        <v>1180</v>
      </c>
      <c r="G257" s="3" t="s">
        <v>1457</v>
      </c>
      <c r="H257" s="3" t="s">
        <v>7</v>
      </c>
      <c r="I257" s="3" t="s">
        <v>7</v>
      </c>
      <c r="J257" s="3" t="s">
        <v>7</v>
      </c>
      <c r="K257" s="3" t="s">
        <v>7</v>
      </c>
      <c r="L257" s="3" t="s">
        <v>7</v>
      </c>
      <c r="M257" s="2" t="s">
        <v>708</v>
      </c>
      <c r="N257" s="2" t="s">
        <v>709</v>
      </c>
      <c r="O257" s="2" t="s">
        <v>1335</v>
      </c>
      <c r="P257" s="2" t="s">
        <v>2904</v>
      </c>
      <c r="Q257" s="3" t="s">
        <v>2856</v>
      </c>
    </row>
    <row r="258" spans="1:17" hidden="1">
      <c r="A258" s="21" t="s">
        <v>2903</v>
      </c>
      <c r="B258" s="22" t="s">
        <v>949</v>
      </c>
      <c r="C258" s="21" t="s">
        <v>1861</v>
      </c>
      <c r="D258" s="21" t="s">
        <v>76</v>
      </c>
      <c r="E258" s="21" t="s">
        <v>812</v>
      </c>
      <c r="F258" s="21" t="s">
        <v>8</v>
      </c>
      <c r="G258" s="3" t="s">
        <v>1182</v>
      </c>
      <c r="H258" s="3" t="s">
        <v>7</v>
      </c>
      <c r="I258" s="3" t="s">
        <v>7</v>
      </c>
      <c r="J258" s="3" t="s">
        <v>7</v>
      </c>
      <c r="K258" s="3" t="s">
        <v>7</v>
      </c>
      <c r="L258" s="3" t="s">
        <v>7</v>
      </c>
      <c r="M258" s="2" t="s">
        <v>590</v>
      </c>
      <c r="N258" s="2" t="s">
        <v>591</v>
      </c>
      <c r="O258" s="2" t="s">
        <v>1335</v>
      </c>
      <c r="P258" s="2" t="s">
        <v>2904</v>
      </c>
      <c r="Q258" s="3" t="s">
        <v>2856</v>
      </c>
    </row>
    <row r="259" spans="1:17" hidden="1">
      <c r="A259" s="21" t="s">
        <v>2903</v>
      </c>
      <c r="B259" s="22" t="s">
        <v>947</v>
      </c>
      <c r="C259" s="21" t="s">
        <v>1857</v>
      </c>
      <c r="D259" s="21" t="s">
        <v>76</v>
      </c>
      <c r="E259" s="21" t="s">
        <v>811</v>
      </c>
      <c r="F259" s="21" t="s">
        <v>1180</v>
      </c>
      <c r="G259" s="3" t="s">
        <v>1430</v>
      </c>
      <c r="H259" s="3" t="s">
        <v>7</v>
      </c>
      <c r="I259" s="3" t="s">
        <v>7</v>
      </c>
      <c r="J259" s="3" t="s">
        <v>7</v>
      </c>
      <c r="K259" s="3" t="s">
        <v>7</v>
      </c>
      <c r="L259" s="3" t="s">
        <v>7</v>
      </c>
      <c r="M259" s="2" t="s">
        <v>674</v>
      </c>
      <c r="N259" s="2" t="s">
        <v>675</v>
      </c>
      <c r="O259" s="2" t="s">
        <v>1335</v>
      </c>
      <c r="P259" s="2" t="s">
        <v>2904</v>
      </c>
      <c r="Q259" s="3" t="s">
        <v>2856</v>
      </c>
    </row>
    <row r="260" spans="1:17" hidden="1">
      <c r="A260" s="21" t="s">
        <v>2903</v>
      </c>
      <c r="B260" s="22" t="s">
        <v>948</v>
      </c>
      <c r="C260" s="21" t="s">
        <v>1858</v>
      </c>
      <c r="D260" s="21" t="s">
        <v>76</v>
      </c>
      <c r="E260" s="21" t="s">
        <v>811</v>
      </c>
      <c r="F260" s="21" t="s">
        <v>1180</v>
      </c>
      <c r="G260" s="3" t="s">
        <v>1430</v>
      </c>
      <c r="H260" s="3" t="s">
        <v>7</v>
      </c>
      <c r="I260" s="3" t="s">
        <v>7</v>
      </c>
      <c r="J260" s="3" t="s">
        <v>7</v>
      </c>
      <c r="K260" s="3" t="s">
        <v>7</v>
      </c>
      <c r="L260" s="3" t="s">
        <v>7</v>
      </c>
      <c r="M260" s="2" t="s">
        <v>674</v>
      </c>
      <c r="N260" s="2" t="s">
        <v>675</v>
      </c>
      <c r="O260" s="2" t="s">
        <v>1335</v>
      </c>
      <c r="P260" s="2" t="s">
        <v>2904</v>
      </c>
      <c r="Q260" s="3" t="s">
        <v>2856</v>
      </c>
    </row>
    <row r="261" spans="1:17" hidden="1">
      <c r="A261" s="21" t="s">
        <v>2903</v>
      </c>
      <c r="B261" s="22" t="s">
        <v>942</v>
      </c>
      <c r="C261" s="21" t="s">
        <v>1850</v>
      </c>
      <c r="D261" s="21" t="s">
        <v>76</v>
      </c>
      <c r="E261" s="21" t="s">
        <v>810</v>
      </c>
      <c r="F261" s="21" t="s">
        <v>1180</v>
      </c>
      <c r="G261" s="3" t="s">
        <v>1412</v>
      </c>
      <c r="H261" s="3" t="s">
        <v>7</v>
      </c>
      <c r="I261" s="3" t="s">
        <v>7</v>
      </c>
      <c r="J261" s="3" t="s">
        <v>7</v>
      </c>
      <c r="K261" s="3" t="s">
        <v>7</v>
      </c>
      <c r="L261" s="3" t="s">
        <v>7</v>
      </c>
      <c r="M261" s="2" t="s">
        <v>556</v>
      </c>
      <c r="N261" s="2" t="s">
        <v>557</v>
      </c>
      <c r="O261" s="2" t="s">
        <v>1335</v>
      </c>
      <c r="P261" s="2" t="s">
        <v>2904</v>
      </c>
      <c r="Q261" s="3" t="s">
        <v>2856</v>
      </c>
    </row>
    <row r="262" spans="1:17" hidden="1">
      <c r="A262" s="21" t="s">
        <v>2903</v>
      </c>
      <c r="B262" s="22" t="s">
        <v>945</v>
      </c>
      <c r="C262" s="21" t="s">
        <v>1854</v>
      </c>
      <c r="D262" s="21" t="s">
        <v>76</v>
      </c>
      <c r="E262" s="21" t="s">
        <v>811</v>
      </c>
      <c r="F262" s="21" t="s">
        <v>8</v>
      </c>
      <c r="G262" s="3" t="s">
        <v>1182</v>
      </c>
      <c r="H262" s="3" t="s">
        <v>7</v>
      </c>
      <c r="I262" s="3" t="s">
        <v>7</v>
      </c>
      <c r="J262" s="3" t="s">
        <v>7</v>
      </c>
      <c r="K262" s="3" t="s">
        <v>7</v>
      </c>
      <c r="L262" s="3" t="s">
        <v>7</v>
      </c>
      <c r="M262" s="2" t="s">
        <v>674</v>
      </c>
      <c r="N262" s="2" t="s">
        <v>675</v>
      </c>
      <c r="O262" s="2" t="s">
        <v>1335</v>
      </c>
      <c r="P262" s="2" t="s">
        <v>2904</v>
      </c>
      <c r="Q262" s="3" t="s">
        <v>2856</v>
      </c>
    </row>
    <row r="263" spans="1:17" hidden="1">
      <c r="A263" s="21" t="s">
        <v>2903</v>
      </c>
      <c r="B263" s="22" t="s">
        <v>950</v>
      </c>
      <c r="C263" s="21" t="s">
        <v>1862</v>
      </c>
      <c r="D263" s="21" t="s">
        <v>76</v>
      </c>
      <c r="E263" s="21" t="s">
        <v>812</v>
      </c>
      <c r="F263" s="21" t="s">
        <v>8</v>
      </c>
      <c r="G263" s="3" t="s">
        <v>1184</v>
      </c>
      <c r="H263" s="3" t="s">
        <v>7</v>
      </c>
      <c r="I263" s="3" t="s">
        <v>7</v>
      </c>
      <c r="J263" s="3" t="s">
        <v>7</v>
      </c>
      <c r="K263" s="3" t="s">
        <v>7</v>
      </c>
      <c r="L263" s="3" t="s">
        <v>7</v>
      </c>
      <c r="M263" s="2" t="s">
        <v>590</v>
      </c>
      <c r="N263" s="2" t="s">
        <v>591</v>
      </c>
      <c r="O263" s="2" t="s">
        <v>1335</v>
      </c>
      <c r="P263" s="2" t="s">
        <v>2904</v>
      </c>
      <c r="Q263" s="3" t="s">
        <v>2856</v>
      </c>
    </row>
    <row r="264" spans="1:17" hidden="1">
      <c r="A264" s="21" t="s">
        <v>2903</v>
      </c>
      <c r="B264" s="22" t="s">
        <v>943</v>
      </c>
      <c r="C264" s="21" t="s">
        <v>1851</v>
      </c>
      <c r="D264" s="21" t="s">
        <v>76</v>
      </c>
      <c r="E264" s="21" t="s">
        <v>810</v>
      </c>
      <c r="F264" s="21" t="s">
        <v>1180</v>
      </c>
      <c r="G264" s="3" t="s">
        <v>1182</v>
      </c>
      <c r="H264" s="3" t="s">
        <v>7</v>
      </c>
      <c r="I264" s="3" t="s">
        <v>7</v>
      </c>
      <c r="J264" s="3" t="s">
        <v>7</v>
      </c>
      <c r="K264" s="3" t="s">
        <v>7</v>
      </c>
      <c r="L264" s="3" t="s">
        <v>7</v>
      </c>
      <c r="M264" s="2" t="s">
        <v>556</v>
      </c>
      <c r="N264" s="2" t="s">
        <v>557</v>
      </c>
      <c r="O264" s="2" t="s">
        <v>1335</v>
      </c>
      <c r="P264" s="2" t="s">
        <v>2904</v>
      </c>
      <c r="Q264" s="3" t="s">
        <v>2856</v>
      </c>
    </row>
    <row r="265" spans="1:17" hidden="1">
      <c r="A265" s="21" t="s">
        <v>2903</v>
      </c>
      <c r="B265" s="22" t="s">
        <v>936</v>
      </c>
      <c r="C265" s="21" t="s">
        <v>1838</v>
      </c>
      <c r="D265" s="21" t="s">
        <v>76</v>
      </c>
      <c r="E265" s="21" t="s">
        <v>808</v>
      </c>
      <c r="F265" s="21" t="s">
        <v>8</v>
      </c>
      <c r="G265" s="3" t="s">
        <v>1184</v>
      </c>
      <c r="H265" s="3" t="s">
        <v>7</v>
      </c>
      <c r="I265" s="3" t="s">
        <v>7</v>
      </c>
      <c r="J265" s="3" t="s">
        <v>7</v>
      </c>
      <c r="K265" s="3" t="s">
        <v>7</v>
      </c>
      <c r="L265" s="3" t="s">
        <v>7</v>
      </c>
      <c r="M265" s="2" t="s">
        <v>666</v>
      </c>
      <c r="N265" s="2" t="s">
        <v>667</v>
      </c>
      <c r="O265" s="2" t="s">
        <v>1335</v>
      </c>
      <c r="P265" s="2" t="s">
        <v>2904</v>
      </c>
      <c r="Q265" s="3" t="s">
        <v>2856</v>
      </c>
    </row>
    <row r="266" spans="1:17" hidden="1">
      <c r="A266" s="21" t="s">
        <v>2903</v>
      </c>
      <c r="B266" s="22" t="s">
        <v>946</v>
      </c>
      <c r="C266" s="21" t="s">
        <v>1855</v>
      </c>
      <c r="D266" s="21" t="s">
        <v>76</v>
      </c>
      <c r="E266" s="21" t="s">
        <v>811</v>
      </c>
      <c r="F266" s="21" t="s">
        <v>8</v>
      </c>
      <c r="G266" s="3" t="s">
        <v>1184</v>
      </c>
      <c r="H266" s="3" t="s">
        <v>7</v>
      </c>
      <c r="I266" s="3" t="s">
        <v>7</v>
      </c>
      <c r="J266" s="3" t="s">
        <v>7</v>
      </c>
      <c r="K266" s="3" t="s">
        <v>7</v>
      </c>
      <c r="L266" s="3" t="s">
        <v>7</v>
      </c>
      <c r="M266" s="2" t="s">
        <v>674</v>
      </c>
      <c r="N266" s="2" t="s">
        <v>675</v>
      </c>
      <c r="O266" s="2" t="s">
        <v>1335</v>
      </c>
      <c r="P266" s="2" t="s">
        <v>2904</v>
      </c>
      <c r="Q266" s="3" t="s">
        <v>2856</v>
      </c>
    </row>
    <row r="267" spans="1:17" hidden="1">
      <c r="A267" s="21" t="s">
        <v>2903</v>
      </c>
      <c r="B267" s="22" t="s">
        <v>935</v>
      </c>
      <c r="C267" s="21" t="s">
        <v>1835</v>
      </c>
      <c r="D267" s="21" t="s">
        <v>76</v>
      </c>
      <c r="E267" s="21" t="s">
        <v>807</v>
      </c>
      <c r="F267" s="21" t="s">
        <v>1180</v>
      </c>
      <c r="G267" s="3" t="s">
        <v>1184</v>
      </c>
      <c r="H267" s="3" t="s">
        <v>7</v>
      </c>
      <c r="I267" s="3" t="s">
        <v>7</v>
      </c>
      <c r="J267" s="3" t="s">
        <v>7</v>
      </c>
      <c r="K267" s="3" t="s">
        <v>7</v>
      </c>
      <c r="L267" s="3" t="s">
        <v>7</v>
      </c>
      <c r="M267" s="2" t="s">
        <v>708</v>
      </c>
      <c r="N267" s="2" t="s">
        <v>709</v>
      </c>
      <c r="O267" s="2" t="s">
        <v>1335</v>
      </c>
      <c r="P267" s="2" t="s">
        <v>2904</v>
      </c>
      <c r="Q267" s="3" t="s">
        <v>2856</v>
      </c>
    </row>
    <row r="268" spans="1:17" hidden="1">
      <c r="A268" s="21" t="s">
        <v>2903</v>
      </c>
      <c r="B268" s="22" t="s">
        <v>937</v>
      </c>
      <c r="C268" s="21" t="s">
        <v>1840</v>
      </c>
      <c r="D268" s="21" t="s">
        <v>76</v>
      </c>
      <c r="E268" s="21" t="s">
        <v>808</v>
      </c>
      <c r="F268" s="21" t="s">
        <v>1180</v>
      </c>
      <c r="G268" s="3" t="s">
        <v>1184</v>
      </c>
      <c r="H268" s="3" t="s">
        <v>7</v>
      </c>
      <c r="I268" s="3" t="s">
        <v>7</v>
      </c>
      <c r="J268" s="3" t="s">
        <v>7</v>
      </c>
      <c r="K268" s="3" t="s">
        <v>7</v>
      </c>
      <c r="L268" s="3" t="s">
        <v>7</v>
      </c>
      <c r="M268" s="2" t="s">
        <v>666</v>
      </c>
      <c r="N268" s="2" t="s">
        <v>667</v>
      </c>
      <c r="O268" s="2" t="s">
        <v>1335</v>
      </c>
      <c r="P268" s="2" t="s">
        <v>2904</v>
      </c>
      <c r="Q268" s="3" t="s">
        <v>2856</v>
      </c>
    </row>
    <row r="269" spans="1:17" hidden="1">
      <c r="A269" s="21" t="s">
        <v>2903</v>
      </c>
      <c r="B269" s="22" t="s">
        <v>933</v>
      </c>
      <c r="C269" s="21" t="s">
        <v>1830</v>
      </c>
      <c r="D269" s="21" t="s">
        <v>76</v>
      </c>
      <c r="E269" s="21" t="s">
        <v>807</v>
      </c>
      <c r="F269" s="21" t="s">
        <v>8</v>
      </c>
      <c r="G269" s="3" t="s">
        <v>1184</v>
      </c>
      <c r="H269" s="3" t="s">
        <v>7</v>
      </c>
      <c r="I269" s="3" t="s">
        <v>7</v>
      </c>
      <c r="J269" s="3" t="s">
        <v>7</v>
      </c>
      <c r="K269" s="3" t="s">
        <v>7</v>
      </c>
      <c r="L269" s="3" t="s">
        <v>7</v>
      </c>
      <c r="M269" s="2" t="s">
        <v>708</v>
      </c>
      <c r="N269" s="2" t="s">
        <v>709</v>
      </c>
      <c r="O269" s="2" t="s">
        <v>1335</v>
      </c>
      <c r="P269" s="2" t="s">
        <v>2904</v>
      </c>
      <c r="Q269" s="3" t="s">
        <v>2856</v>
      </c>
    </row>
    <row r="270" spans="1:17" hidden="1">
      <c r="A270" s="21" t="s">
        <v>2903</v>
      </c>
      <c r="B270" s="22" t="s">
        <v>940</v>
      </c>
      <c r="C270" s="21" t="s">
        <v>1845</v>
      </c>
      <c r="D270" s="21" t="s">
        <v>76</v>
      </c>
      <c r="E270" s="21" t="s">
        <v>809</v>
      </c>
      <c r="F270" s="21" t="s">
        <v>1180</v>
      </c>
      <c r="G270" s="3" t="s">
        <v>1188</v>
      </c>
      <c r="H270" s="3" t="s">
        <v>7</v>
      </c>
      <c r="I270" s="3" t="s">
        <v>7</v>
      </c>
      <c r="J270" s="3" t="s">
        <v>7</v>
      </c>
      <c r="K270" s="3" t="s">
        <v>7</v>
      </c>
      <c r="L270" s="3" t="s">
        <v>7</v>
      </c>
      <c r="M270" s="2" t="s">
        <v>596</v>
      </c>
      <c r="N270" s="2" t="s">
        <v>597</v>
      </c>
      <c r="O270" s="2" t="s">
        <v>1335</v>
      </c>
      <c r="P270" s="2" t="s">
        <v>2904</v>
      </c>
      <c r="Q270" s="3" t="s">
        <v>2856</v>
      </c>
    </row>
    <row r="271" spans="1:17" hidden="1">
      <c r="A271" s="21" t="s">
        <v>2903</v>
      </c>
      <c r="B271" s="22" t="s">
        <v>941</v>
      </c>
      <c r="C271" s="21" t="s">
        <v>1846</v>
      </c>
      <c r="D271" s="21" t="s">
        <v>76</v>
      </c>
      <c r="E271" s="21" t="s">
        <v>809</v>
      </c>
      <c r="F271" s="21" t="s">
        <v>1180</v>
      </c>
      <c r="G271" s="3" t="s">
        <v>1188</v>
      </c>
      <c r="H271" s="3" t="s">
        <v>7</v>
      </c>
      <c r="I271" s="3" t="s">
        <v>7</v>
      </c>
      <c r="J271" s="3" t="s">
        <v>7</v>
      </c>
      <c r="K271" s="3" t="s">
        <v>7</v>
      </c>
      <c r="L271" s="3" t="s">
        <v>7</v>
      </c>
      <c r="M271" s="2" t="s">
        <v>596</v>
      </c>
      <c r="N271" s="2" t="s">
        <v>597</v>
      </c>
      <c r="O271" s="2" t="s">
        <v>1335</v>
      </c>
      <c r="P271" s="2" t="s">
        <v>2904</v>
      </c>
      <c r="Q271" s="3" t="s">
        <v>2856</v>
      </c>
    </row>
    <row r="272" spans="1:17" hidden="1">
      <c r="A272" s="21" t="s">
        <v>2903</v>
      </c>
      <c r="B272" s="22" t="s">
        <v>938</v>
      </c>
      <c r="C272" s="21" t="s">
        <v>1843</v>
      </c>
      <c r="D272" s="21" t="s">
        <v>76</v>
      </c>
      <c r="E272" s="21" t="s">
        <v>809</v>
      </c>
      <c r="F272" s="21" t="s">
        <v>8</v>
      </c>
      <c r="G272" s="3" t="s">
        <v>1188</v>
      </c>
      <c r="H272" s="3" t="s">
        <v>7</v>
      </c>
      <c r="I272" s="3" t="s">
        <v>7</v>
      </c>
      <c r="J272" s="3" t="s">
        <v>7</v>
      </c>
      <c r="K272" s="3" t="s">
        <v>7</v>
      </c>
      <c r="L272" s="3" t="s">
        <v>7</v>
      </c>
      <c r="M272" s="2" t="s">
        <v>596</v>
      </c>
      <c r="N272" s="2" t="s">
        <v>597</v>
      </c>
      <c r="O272" s="2" t="s">
        <v>1335</v>
      </c>
      <c r="P272" s="2" t="s">
        <v>2904</v>
      </c>
      <c r="Q272" s="3" t="s">
        <v>2856</v>
      </c>
    </row>
    <row r="273" spans="1:17" hidden="1">
      <c r="A273" s="21" t="s">
        <v>2903</v>
      </c>
      <c r="B273" s="22" t="s">
        <v>934</v>
      </c>
      <c r="C273" s="21" t="s">
        <v>1831</v>
      </c>
      <c r="D273" s="21" t="s">
        <v>76</v>
      </c>
      <c r="E273" s="21" t="s">
        <v>807</v>
      </c>
      <c r="F273" s="21" t="s">
        <v>8</v>
      </c>
      <c r="G273" s="3" t="s">
        <v>1178</v>
      </c>
      <c r="H273" s="3" t="s">
        <v>7</v>
      </c>
      <c r="I273" s="3" t="s">
        <v>7</v>
      </c>
      <c r="J273" s="3" t="s">
        <v>7</v>
      </c>
      <c r="K273" s="3" t="s">
        <v>7</v>
      </c>
      <c r="L273" s="3" t="s">
        <v>7</v>
      </c>
      <c r="M273" s="2" t="s">
        <v>708</v>
      </c>
      <c r="N273" s="2" t="s">
        <v>709</v>
      </c>
      <c r="O273" s="2" t="s">
        <v>1335</v>
      </c>
      <c r="P273" s="2" t="s">
        <v>2904</v>
      </c>
      <c r="Q273" s="3" t="s">
        <v>2856</v>
      </c>
    </row>
    <row r="274" spans="1:17" hidden="1">
      <c r="A274" s="21" t="s">
        <v>2903</v>
      </c>
      <c r="B274" s="22" t="s">
        <v>951</v>
      </c>
      <c r="C274" s="21" t="s">
        <v>1869</v>
      </c>
      <c r="D274" s="21" t="s">
        <v>76</v>
      </c>
      <c r="E274" s="21" t="s">
        <v>813</v>
      </c>
      <c r="F274" s="21" t="s">
        <v>8</v>
      </c>
      <c r="G274" s="3" t="s">
        <v>1178</v>
      </c>
      <c r="H274" s="3" t="s">
        <v>7</v>
      </c>
      <c r="I274" s="3" t="s">
        <v>7</v>
      </c>
      <c r="J274" s="3" t="s">
        <v>7</v>
      </c>
      <c r="K274" s="3" t="s">
        <v>7</v>
      </c>
      <c r="L274" s="3" t="s">
        <v>7</v>
      </c>
      <c r="M274" s="2" t="s">
        <v>620</v>
      </c>
      <c r="N274" s="2" t="s">
        <v>621</v>
      </c>
      <c r="O274" s="2" t="s">
        <v>1335</v>
      </c>
      <c r="P274" s="2" t="s">
        <v>2904</v>
      </c>
      <c r="Q274" s="3" t="s">
        <v>2856</v>
      </c>
    </row>
    <row r="275" spans="1:17" hidden="1">
      <c r="A275" s="21" t="s">
        <v>2903</v>
      </c>
      <c r="B275" s="22" t="s">
        <v>952</v>
      </c>
      <c r="C275" s="21" t="s">
        <v>1870</v>
      </c>
      <c r="D275" s="21" t="s">
        <v>76</v>
      </c>
      <c r="E275" s="21" t="s">
        <v>813</v>
      </c>
      <c r="F275" s="21" t="s">
        <v>8</v>
      </c>
      <c r="G275" s="3" t="s">
        <v>1178</v>
      </c>
      <c r="H275" s="3" t="s">
        <v>7</v>
      </c>
      <c r="I275" s="3" t="s">
        <v>7</v>
      </c>
      <c r="J275" s="3" t="s">
        <v>7</v>
      </c>
      <c r="K275" s="3" t="s">
        <v>7</v>
      </c>
      <c r="L275" s="3" t="s">
        <v>7</v>
      </c>
      <c r="M275" s="2" t="s">
        <v>620</v>
      </c>
      <c r="N275" s="2" t="s">
        <v>621</v>
      </c>
      <c r="O275" s="2" t="s">
        <v>1335</v>
      </c>
      <c r="P275" s="2" t="s">
        <v>2904</v>
      </c>
      <c r="Q275" s="3" t="s">
        <v>2856</v>
      </c>
    </row>
    <row r="276" spans="1:17" hidden="1">
      <c r="A276" s="21" t="s">
        <v>2903</v>
      </c>
      <c r="B276" s="22" t="s">
        <v>953</v>
      </c>
      <c r="C276" s="21" t="s">
        <v>1871</v>
      </c>
      <c r="D276" s="21" t="s">
        <v>76</v>
      </c>
      <c r="E276" s="21" t="s">
        <v>813</v>
      </c>
      <c r="F276" s="21" t="s">
        <v>1180</v>
      </c>
      <c r="G276" s="3" t="s">
        <v>1178</v>
      </c>
      <c r="H276" s="3" t="s">
        <v>7</v>
      </c>
      <c r="I276" s="3" t="s">
        <v>7</v>
      </c>
      <c r="J276" s="3" t="s">
        <v>7</v>
      </c>
      <c r="K276" s="3" t="s">
        <v>7</v>
      </c>
      <c r="L276" s="3" t="s">
        <v>7</v>
      </c>
      <c r="M276" s="2" t="s">
        <v>620</v>
      </c>
      <c r="N276" s="2" t="s">
        <v>621</v>
      </c>
      <c r="O276" s="2" t="s">
        <v>1335</v>
      </c>
      <c r="P276" s="2" t="s">
        <v>2904</v>
      </c>
      <c r="Q276" s="3" t="s">
        <v>2856</v>
      </c>
    </row>
    <row r="277" spans="1:17" hidden="1">
      <c r="A277" s="21" t="s">
        <v>2903</v>
      </c>
      <c r="B277" s="22" t="s">
        <v>1498</v>
      </c>
      <c r="C277" s="21" t="s">
        <v>1847</v>
      </c>
      <c r="D277" s="21" t="s">
        <v>76</v>
      </c>
      <c r="E277" s="21" t="s">
        <v>810</v>
      </c>
      <c r="F277" s="21" t="s">
        <v>1409</v>
      </c>
      <c r="G277" s="3" t="s">
        <v>1188</v>
      </c>
      <c r="H277" s="3" t="s">
        <v>7</v>
      </c>
      <c r="I277" s="3" t="s">
        <v>7</v>
      </c>
      <c r="J277" s="3" t="s">
        <v>7</v>
      </c>
      <c r="K277" s="3" t="s">
        <v>7</v>
      </c>
      <c r="L277" s="3" t="s">
        <v>7</v>
      </c>
      <c r="M277" s="2" t="s">
        <v>556</v>
      </c>
      <c r="N277" s="2" t="s">
        <v>557</v>
      </c>
      <c r="O277" s="2" t="s">
        <v>1335</v>
      </c>
      <c r="P277" s="2" t="s">
        <v>2904</v>
      </c>
      <c r="Q277" s="3" t="s">
        <v>2856</v>
      </c>
    </row>
    <row r="278" spans="1:17" hidden="1">
      <c r="A278" s="21" t="s">
        <v>2903</v>
      </c>
      <c r="B278" s="22" t="s">
        <v>1501</v>
      </c>
      <c r="C278" s="21" t="s">
        <v>1852</v>
      </c>
      <c r="D278" s="21" t="s">
        <v>76</v>
      </c>
      <c r="E278" s="21" t="s">
        <v>811</v>
      </c>
      <c r="F278" s="21" t="s">
        <v>1409</v>
      </c>
      <c r="G278" s="3" t="s">
        <v>1187</v>
      </c>
      <c r="H278" s="3" t="s">
        <v>7</v>
      </c>
      <c r="I278" s="3" t="s">
        <v>7</v>
      </c>
      <c r="J278" s="3" t="s">
        <v>7</v>
      </c>
      <c r="K278" s="3" t="s">
        <v>7</v>
      </c>
      <c r="L278" s="3" t="s">
        <v>7</v>
      </c>
      <c r="M278" s="2" t="s">
        <v>674</v>
      </c>
      <c r="N278" s="2" t="s">
        <v>675</v>
      </c>
      <c r="O278" s="2" t="s">
        <v>1335</v>
      </c>
      <c r="P278" s="2" t="s">
        <v>2904</v>
      </c>
      <c r="Q278" s="3" t="s">
        <v>2856</v>
      </c>
    </row>
    <row r="279" spans="1:17" hidden="1">
      <c r="A279" s="21" t="s">
        <v>2903</v>
      </c>
      <c r="B279" s="22" t="s">
        <v>1502</v>
      </c>
      <c r="C279" s="21" t="s">
        <v>1856</v>
      </c>
      <c r="D279" s="21" t="s">
        <v>76</v>
      </c>
      <c r="E279" s="21" t="s">
        <v>811</v>
      </c>
      <c r="F279" s="21" t="s">
        <v>8</v>
      </c>
      <c r="G279" s="3" t="s">
        <v>1426</v>
      </c>
      <c r="H279" s="3" t="s">
        <v>7</v>
      </c>
      <c r="I279" s="3" t="s">
        <v>7</v>
      </c>
      <c r="J279" s="3" t="s">
        <v>7</v>
      </c>
      <c r="K279" s="3" t="s">
        <v>7</v>
      </c>
      <c r="L279" s="3" t="s">
        <v>7</v>
      </c>
      <c r="M279" s="2" t="s">
        <v>674</v>
      </c>
      <c r="N279" s="2" t="s">
        <v>675</v>
      </c>
      <c r="O279" s="2" t="s">
        <v>1335</v>
      </c>
      <c r="P279" s="2" t="s">
        <v>2904</v>
      </c>
      <c r="Q279" s="3" t="s">
        <v>2856</v>
      </c>
    </row>
    <row r="280" spans="1:17" hidden="1">
      <c r="A280" s="21" t="s">
        <v>2903</v>
      </c>
      <c r="B280" s="22" t="s">
        <v>1864</v>
      </c>
      <c r="C280" s="21" t="s">
        <v>1865</v>
      </c>
      <c r="D280" s="21" t="s">
        <v>76</v>
      </c>
      <c r="E280" s="21" t="s">
        <v>812</v>
      </c>
      <c r="F280" s="21" t="s">
        <v>1192</v>
      </c>
      <c r="G280" s="3" t="s">
        <v>1198</v>
      </c>
      <c r="H280" s="3" t="s">
        <v>7</v>
      </c>
      <c r="I280" s="3" t="s">
        <v>7</v>
      </c>
      <c r="J280" s="3" t="s">
        <v>7</v>
      </c>
      <c r="K280" s="3" t="s">
        <v>7</v>
      </c>
      <c r="L280" s="3" t="s">
        <v>7</v>
      </c>
      <c r="M280" s="2" t="s">
        <v>590</v>
      </c>
      <c r="N280" s="2" t="s">
        <v>591</v>
      </c>
      <c r="O280" s="2" t="s">
        <v>1335</v>
      </c>
      <c r="P280" s="2" t="s">
        <v>2904</v>
      </c>
      <c r="Q280" s="3" t="s">
        <v>2856</v>
      </c>
    </row>
    <row r="281" spans="1:17" hidden="1">
      <c r="A281" s="21" t="s">
        <v>2903</v>
      </c>
      <c r="B281" s="22" t="s">
        <v>1866</v>
      </c>
      <c r="C281" s="21" t="s">
        <v>1863</v>
      </c>
      <c r="D281" s="21" t="s">
        <v>76</v>
      </c>
      <c r="E281" s="21" t="s">
        <v>812</v>
      </c>
      <c r="F281" s="21" t="s">
        <v>1192</v>
      </c>
      <c r="G281" s="3" t="s">
        <v>1198</v>
      </c>
      <c r="H281" s="3" t="s">
        <v>7</v>
      </c>
      <c r="I281" s="3" t="s">
        <v>7</v>
      </c>
      <c r="J281" s="3" t="s">
        <v>7</v>
      </c>
      <c r="K281" s="3" t="s">
        <v>7</v>
      </c>
      <c r="L281" s="3" t="s">
        <v>7</v>
      </c>
      <c r="M281" s="2" t="s">
        <v>590</v>
      </c>
      <c r="N281" s="2" t="s">
        <v>591</v>
      </c>
      <c r="O281" s="2" t="s">
        <v>1335</v>
      </c>
      <c r="P281" s="2" t="s">
        <v>2904</v>
      </c>
      <c r="Q281" s="3" t="s">
        <v>2856</v>
      </c>
    </row>
    <row r="282" spans="1:17" hidden="1">
      <c r="A282" s="21" t="s">
        <v>2903</v>
      </c>
      <c r="B282" s="22" t="s">
        <v>1867</v>
      </c>
      <c r="C282" s="21" t="s">
        <v>1868</v>
      </c>
      <c r="D282" s="21" t="s">
        <v>76</v>
      </c>
      <c r="E282" s="21" t="s">
        <v>812</v>
      </c>
      <c r="F282" s="21" t="s">
        <v>1192</v>
      </c>
      <c r="G282" s="3" t="s">
        <v>1198</v>
      </c>
      <c r="H282" s="3" t="s">
        <v>7</v>
      </c>
      <c r="I282" s="3" t="s">
        <v>7</v>
      </c>
      <c r="J282" s="3" t="s">
        <v>7</v>
      </c>
      <c r="K282" s="3" t="s">
        <v>7</v>
      </c>
      <c r="L282" s="3" t="s">
        <v>7</v>
      </c>
      <c r="M282" s="2" t="s">
        <v>590</v>
      </c>
      <c r="N282" s="2" t="s">
        <v>591</v>
      </c>
      <c r="O282" s="2" t="s">
        <v>1335</v>
      </c>
      <c r="P282" s="2" t="s">
        <v>2904</v>
      </c>
      <c r="Q282" s="3" t="s">
        <v>2856</v>
      </c>
    </row>
    <row r="283" spans="1:17" hidden="1">
      <c r="A283" s="21" t="s">
        <v>2903</v>
      </c>
      <c r="B283" s="22" t="s">
        <v>1872</v>
      </c>
      <c r="C283" s="21" t="s">
        <v>1873</v>
      </c>
      <c r="D283" s="21" t="s">
        <v>76</v>
      </c>
      <c r="E283" s="21" t="s">
        <v>1874</v>
      </c>
      <c r="F283" s="21" t="s">
        <v>1192</v>
      </c>
      <c r="G283" s="3" t="s">
        <v>1198</v>
      </c>
      <c r="H283" s="3" t="s">
        <v>7</v>
      </c>
      <c r="I283" s="3" t="s">
        <v>7</v>
      </c>
      <c r="J283" s="3" t="s">
        <v>7</v>
      </c>
      <c r="K283" s="3" t="s">
        <v>7</v>
      </c>
      <c r="L283" s="3" t="s">
        <v>7</v>
      </c>
      <c r="M283" s="2" t="s">
        <v>2384</v>
      </c>
      <c r="N283" s="2" t="s">
        <v>2905</v>
      </c>
      <c r="O283" s="2" t="s">
        <v>1335</v>
      </c>
      <c r="P283" s="2" t="s">
        <v>2904</v>
      </c>
      <c r="Q283" s="3" t="s">
        <v>2856</v>
      </c>
    </row>
    <row r="284" spans="1:17" hidden="1">
      <c r="A284" s="63" t="s">
        <v>2903</v>
      </c>
      <c r="B284" s="65" t="s">
        <v>1875</v>
      </c>
      <c r="C284" s="63" t="s">
        <v>1876</v>
      </c>
      <c r="D284" s="63" t="s">
        <v>76</v>
      </c>
      <c r="E284" s="63" t="s">
        <v>1874</v>
      </c>
      <c r="F284" s="63" t="s">
        <v>1180</v>
      </c>
      <c r="G284" s="3" t="s">
        <v>1198</v>
      </c>
      <c r="H284" s="3" t="s">
        <v>7</v>
      </c>
      <c r="I284" s="3" t="s">
        <v>7</v>
      </c>
      <c r="J284" s="3" t="s">
        <v>7</v>
      </c>
      <c r="K284" s="3" t="s">
        <v>7</v>
      </c>
      <c r="L284" s="64" t="s">
        <v>7</v>
      </c>
      <c r="M284" s="63" t="s">
        <v>2384</v>
      </c>
      <c r="N284" s="63" t="s">
        <v>2905</v>
      </c>
      <c r="O284" s="63" t="s">
        <v>1335</v>
      </c>
      <c r="P284" s="2" t="s">
        <v>2904</v>
      </c>
      <c r="Q284" s="3" t="s">
        <v>2856</v>
      </c>
    </row>
    <row r="285" spans="1:17" hidden="1">
      <c r="A285" s="21" t="s">
        <v>2903</v>
      </c>
      <c r="B285" s="22" t="s">
        <v>1877</v>
      </c>
      <c r="C285" s="21" t="s">
        <v>1878</v>
      </c>
      <c r="D285" s="21" t="s">
        <v>76</v>
      </c>
      <c r="E285" s="21" t="s">
        <v>1874</v>
      </c>
      <c r="F285" s="21" t="s">
        <v>1180</v>
      </c>
      <c r="G285" s="3" t="s">
        <v>1198</v>
      </c>
      <c r="H285" s="3" t="s">
        <v>7</v>
      </c>
      <c r="I285" s="3" t="s">
        <v>7</v>
      </c>
      <c r="J285" s="3" t="s">
        <v>7</v>
      </c>
      <c r="K285" s="3" t="s">
        <v>7</v>
      </c>
      <c r="L285" s="3" t="s">
        <v>7</v>
      </c>
      <c r="M285" s="2" t="s">
        <v>2384</v>
      </c>
      <c r="N285" s="2" t="s">
        <v>2905</v>
      </c>
      <c r="O285" s="2" t="s">
        <v>1335</v>
      </c>
      <c r="P285" s="2" t="s">
        <v>2904</v>
      </c>
      <c r="Q285" s="3" t="s">
        <v>2856</v>
      </c>
    </row>
    <row r="286" spans="1:17" hidden="1">
      <c r="A286" s="21" t="s">
        <v>2903</v>
      </c>
      <c r="B286" s="22" t="s">
        <v>1879</v>
      </c>
      <c r="C286" s="21" t="s">
        <v>1880</v>
      </c>
      <c r="D286" s="21" t="s">
        <v>76</v>
      </c>
      <c r="E286" s="21" t="s">
        <v>1874</v>
      </c>
      <c r="F286" s="21" t="s">
        <v>1180</v>
      </c>
      <c r="G286" s="3" t="s">
        <v>1198</v>
      </c>
      <c r="H286" s="3" t="s">
        <v>7</v>
      </c>
      <c r="I286" s="3" t="s">
        <v>7</v>
      </c>
      <c r="J286" s="3" t="s">
        <v>7</v>
      </c>
      <c r="K286" s="3" t="s">
        <v>7</v>
      </c>
      <c r="L286" s="3" t="s">
        <v>7</v>
      </c>
      <c r="M286" s="2" t="s">
        <v>2384</v>
      </c>
      <c r="N286" s="2" t="s">
        <v>2905</v>
      </c>
      <c r="O286" s="2" t="s">
        <v>1335</v>
      </c>
      <c r="P286" s="2" t="s">
        <v>2904</v>
      </c>
      <c r="Q286" s="3" t="s">
        <v>2856</v>
      </c>
    </row>
    <row r="287" spans="1:17" hidden="1">
      <c r="A287" s="21" t="s">
        <v>2903</v>
      </c>
      <c r="B287" s="22" t="s">
        <v>1859</v>
      </c>
      <c r="C287" s="21" t="s">
        <v>1860</v>
      </c>
      <c r="D287" s="21" t="s">
        <v>76</v>
      </c>
      <c r="E287" s="21" t="s">
        <v>811</v>
      </c>
      <c r="F287" s="21" t="s">
        <v>1180</v>
      </c>
      <c r="G287" s="3" t="s">
        <v>1189</v>
      </c>
      <c r="H287" s="3" t="s">
        <v>7</v>
      </c>
      <c r="I287" s="3" t="s">
        <v>7</v>
      </c>
      <c r="J287" s="3" t="s">
        <v>7</v>
      </c>
      <c r="K287" s="3" t="s">
        <v>7</v>
      </c>
      <c r="L287" s="3" t="s">
        <v>7</v>
      </c>
      <c r="M287" s="2" t="s">
        <v>674</v>
      </c>
      <c r="N287" s="2" t="s">
        <v>675</v>
      </c>
      <c r="O287" s="2" t="s">
        <v>1335</v>
      </c>
      <c r="P287" s="2" t="s">
        <v>2904</v>
      </c>
      <c r="Q287" s="3" t="s">
        <v>2856</v>
      </c>
    </row>
    <row r="288" spans="1:17" hidden="1">
      <c r="A288" s="21" t="s">
        <v>2903</v>
      </c>
      <c r="B288" s="22" t="s">
        <v>2606</v>
      </c>
      <c r="C288" s="21" t="s">
        <v>1831</v>
      </c>
      <c r="D288" s="21" t="s">
        <v>76</v>
      </c>
      <c r="E288" s="21" t="s">
        <v>2607</v>
      </c>
      <c r="F288" s="21" t="s">
        <v>1192</v>
      </c>
      <c r="G288" s="3" t="s">
        <v>1185</v>
      </c>
      <c r="H288" s="3" t="s">
        <v>7</v>
      </c>
      <c r="I288" s="3" t="s">
        <v>7</v>
      </c>
      <c r="J288" s="3" t="s">
        <v>7</v>
      </c>
      <c r="K288" s="3" t="s">
        <v>7</v>
      </c>
      <c r="L288" s="3" t="s">
        <v>7</v>
      </c>
      <c r="M288" s="2" t="s">
        <v>2698</v>
      </c>
      <c r="N288" s="2" t="s">
        <v>2906</v>
      </c>
      <c r="O288" s="2" t="s">
        <v>1335</v>
      </c>
      <c r="P288" s="2" t="s">
        <v>2904</v>
      </c>
      <c r="Q288" s="3" t="s">
        <v>2856</v>
      </c>
    </row>
    <row r="289" spans="1:17" hidden="1">
      <c r="A289" s="21" t="s">
        <v>2903</v>
      </c>
      <c r="B289" s="22" t="s">
        <v>2608</v>
      </c>
      <c r="C289" s="21" t="s">
        <v>2609</v>
      </c>
      <c r="D289" s="21" t="s">
        <v>76</v>
      </c>
      <c r="E289" s="21" t="s">
        <v>2607</v>
      </c>
      <c r="F289" s="21" t="s">
        <v>1192</v>
      </c>
      <c r="G289" s="3" t="s">
        <v>1179</v>
      </c>
      <c r="H289" s="3" t="s">
        <v>7</v>
      </c>
      <c r="I289" s="3" t="s">
        <v>7</v>
      </c>
      <c r="J289" s="3" t="s">
        <v>7</v>
      </c>
      <c r="K289" s="3" t="s">
        <v>7</v>
      </c>
      <c r="L289" s="3" t="s">
        <v>7</v>
      </c>
      <c r="M289" s="2" t="s">
        <v>2698</v>
      </c>
      <c r="N289" s="2" t="s">
        <v>2906</v>
      </c>
      <c r="O289" s="2" t="s">
        <v>1335</v>
      </c>
      <c r="P289" s="2" t="s">
        <v>2904</v>
      </c>
      <c r="Q289" s="3" t="s">
        <v>2856</v>
      </c>
    </row>
    <row r="290" spans="1:17" hidden="1">
      <c r="A290" s="21" t="s">
        <v>2903</v>
      </c>
      <c r="B290" s="22" t="s">
        <v>2610</v>
      </c>
      <c r="C290" s="21" t="s">
        <v>2611</v>
      </c>
      <c r="D290" s="21" t="s">
        <v>76</v>
      </c>
      <c r="E290" s="21" t="s">
        <v>2607</v>
      </c>
      <c r="F290" s="21" t="s">
        <v>1192</v>
      </c>
      <c r="G290" s="3" t="s">
        <v>1179</v>
      </c>
      <c r="H290" s="3" t="s">
        <v>7</v>
      </c>
      <c r="I290" s="3" t="s">
        <v>7</v>
      </c>
      <c r="J290" s="3" t="s">
        <v>7</v>
      </c>
      <c r="K290" s="3" t="s">
        <v>7</v>
      </c>
      <c r="L290" s="3" t="s">
        <v>7</v>
      </c>
      <c r="M290" s="2" t="s">
        <v>2698</v>
      </c>
      <c r="N290" s="2" t="s">
        <v>2906</v>
      </c>
      <c r="O290" s="2" t="s">
        <v>1335</v>
      </c>
      <c r="P290" s="2" t="s">
        <v>2904</v>
      </c>
      <c r="Q290" s="3" t="s">
        <v>2856</v>
      </c>
    </row>
    <row r="291" spans="1:17" hidden="1">
      <c r="A291" s="21" t="s">
        <v>2903</v>
      </c>
      <c r="B291" s="22" t="s">
        <v>2612</v>
      </c>
      <c r="C291" s="21" t="s">
        <v>2613</v>
      </c>
      <c r="D291" s="21" t="s">
        <v>76</v>
      </c>
      <c r="E291" s="21" t="s">
        <v>2607</v>
      </c>
      <c r="F291" s="21" t="s">
        <v>1192</v>
      </c>
      <c r="G291" s="3" t="s">
        <v>1179</v>
      </c>
      <c r="H291" s="3" t="s">
        <v>7</v>
      </c>
      <c r="I291" s="3" t="s">
        <v>7</v>
      </c>
      <c r="J291" s="3" t="s">
        <v>7</v>
      </c>
      <c r="K291" s="3" t="s">
        <v>7</v>
      </c>
      <c r="L291" s="3" t="s">
        <v>7</v>
      </c>
      <c r="M291" s="2" t="s">
        <v>2698</v>
      </c>
      <c r="N291" s="2" t="s">
        <v>2906</v>
      </c>
      <c r="O291" s="2" t="s">
        <v>1335</v>
      </c>
      <c r="P291" s="2" t="s">
        <v>2904</v>
      </c>
      <c r="Q291" s="3" t="s">
        <v>2856</v>
      </c>
    </row>
    <row r="292" spans="1:17" hidden="1">
      <c r="A292" s="21" t="s">
        <v>2903</v>
      </c>
      <c r="B292" s="22" t="s">
        <v>2614</v>
      </c>
      <c r="C292" s="21" t="s">
        <v>2615</v>
      </c>
      <c r="D292" s="21" t="s">
        <v>76</v>
      </c>
      <c r="E292" s="21" t="s">
        <v>2607</v>
      </c>
      <c r="F292" s="21" t="s">
        <v>1192</v>
      </c>
      <c r="G292" s="3" t="s">
        <v>1179</v>
      </c>
      <c r="H292" s="3" t="s">
        <v>7</v>
      </c>
      <c r="I292" s="3" t="s">
        <v>7</v>
      </c>
      <c r="J292" s="3" t="s">
        <v>7</v>
      </c>
      <c r="K292" s="3" t="s">
        <v>7</v>
      </c>
      <c r="L292" s="3" t="s">
        <v>7</v>
      </c>
      <c r="M292" s="2" t="s">
        <v>2698</v>
      </c>
      <c r="N292" s="2" t="s">
        <v>2906</v>
      </c>
      <c r="O292" s="2" t="s">
        <v>1335</v>
      </c>
      <c r="P292" s="2" t="s">
        <v>2904</v>
      </c>
      <c r="Q292" s="3" t="s">
        <v>2856</v>
      </c>
    </row>
    <row r="293" spans="1:17" hidden="1">
      <c r="A293" s="21" t="s">
        <v>2903</v>
      </c>
      <c r="B293" s="22" t="s">
        <v>2616</v>
      </c>
      <c r="C293" s="21" t="s">
        <v>2617</v>
      </c>
      <c r="D293" s="21" t="s">
        <v>76</v>
      </c>
      <c r="E293" s="21" t="s">
        <v>2607</v>
      </c>
      <c r="F293" s="21" t="s">
        <v>1192</v>
      </c>
      <c r="G293" s="3" t="s">
        <v>1179</v>
      </c>
      <c r="H293" s="3" t="s">
        <v>7</v>
      </c>
      <c r="I293" s="3" t="s">
        <v>7</v>
      </c>
      <c r="J293" s="3" t="s">
        <v>7</v>
      </c>
      <c r="K293" s="3" t="s">
        <v>7</v>
      </c>
      <c r="L293" s="3" t="s">
        <v>7</v>
      </c>
      <c r="M293" s="2" t="s">
        <v>2698</v>
      </c>
      <c r="N293" s="2" t="s">
        <v>2906</v>
      </c>
      <c r="O293" s="2" t="s">
        <v>1335</v>
      </c>
      <c r="P293" s="2" t="s">
        <v>2904</v>
      </c>
      <c r="Q293" s="3" t="s">
        <v>2856</v>
      </c>
    </row>
    <row r="294" spans="1:17" hidden="1">
      <c r="A294" s="21" t="s">
        <v>2903</v>
      </c>
      <c r="B294" s="22" t="s">
        <v>1503</v>
      </c>
      <c r="C294" s="21" t="s">
        <v>1881</v>
      </c>
      <c r="D294" s="21" t="s">
        <v>2618</v>
      </c>
      <c r="E294" s="21" t="s">
        <v>1504</v>
      </c>
      <c r="F294" s="21" t="s">
        <v>8</v>
      </c>
      <c r="G294" s="3" t="s">
        <v>1485</v>
      </c>
      <c r="H294" s="3" t="s">
        <v>7</v>
      </c>
      <c r="I294" s="3" t="s">
        <v>7</v>
      </c>
      <c r="J294" s="3" t="s">
        <v>7</v>
      </c>
      <c r="K294" s="3" t="s">
        <v>7</v>
      </c>
      <c r="L294" s="3" t="s">
        <v>7</v>
      </c>
      <c r="M294" s="2" t="s">
        <v>668</v>
      </c>
      <c r="N294" s="2" t="s">
        <v>669</v>
      </c>
      <c r="O294" s="2" t="s">
        <v>1333</v>
      </c>
      <c r="P294" s="2" t="s">
        <v>2904</v>
      </c>
      <c r="Q294" s="3" t="s">
        <v>2856</v>
      </c>
    </row>
    <row r="295" spans="1:17" hidden="1">
      <c r="A295" s="21" t="s">
        <v>2903</v>
      </c>
      <c r="B295" s="22" t="s">
        <v>1882</v>
      </c>
      <c r="C295" s="21" t="s">
        <v>1883</v>
      </c>
      <c r="D295" s="21" t="s">
        <v>2618</v>
      </c>
      <c r="E295" s="21" t="s">
        <v>1504</v>
      </c>
      <c r="F295" s="21" t="s">
        <v>1181</v>
      </c>
      <c r="G295" s="3" t="s">
        <v>1184</v>
      </c>
      <c r="H295" s="3" t="s">
        <v>3071</v>
      </c>
      <c r="I295" s="3" t="s">
        <v>7</v>
      </c>
      <c r="J295" s="3" t="s">
        <v>3071</v>
      </c>
      <c r="K295" s="3" t="s">
        <v>3071</v>
      </c>
      <c r="L295" s="3" t="s">
        <v>7</v>
      </c>
      <c r="M295" s="2" t="s">
        <v>668</v>
      </c>
      <c r="N295" s="2" t="s">
        <v>669</v>
      </c>
      <c r="O295" s="2" t="s">
        <v>1333</v>
      </c>
      <c r="P295" s="2" t="s">
        <v>2904</v>
      </c>
      <c r="Q295" s="3" t="s">
        <v>2856</v>
      </c>
    </row>
    <row r="296" spans="1:17" hidden="1">
      <c r="A296" s="68" t="s">
        <v>2903</v>
      </c>
      <c r="B296" s="69" t="s">
        <v>1882</v>
      </c>
      <c r="C296" s="68" t="s">
        <v>1883</v>
      </c>
      <c r="D296" s="68" t="s">
        <v>2618</v>
      </c>
      <c r="E296" s="68" t="s">
        <v>1504</v>
      </c>
      <c r="F296" s="68" t="s">
        <v>1181</v>
      </c>
      <c r="G296" s="70" t="s">
        <v>1184</v>
      </c>
      <c r="H296" s="70" t="s">
        <v>3071</v>
      </c>
      <c r="I296" s="70" t="s">
        <v>7</v>
      </c>
      <c r="J296" s="70" t="s">
        <v>3071</v>
      </c>
      <c r="K296" s="70" t="s">
        <v>3071</v>
      </c>
      <c r="L296" s="70" t="s">
        <v>7</v>
      </c>
      <c r="M296" s="68" t="s">
        <v>668</v>
      </c>
      <c r="N296" s="68" t="s">
        <v>669</v>
      </c>
      <c r="O296" s="68" t="s">
        <v>1333</v>
      </c>
      <c r="P296" s="68" t="s">
        <v>2904</v>
      </c>
      <c r="Q296" s="70" t="s">
        <v>2856</v>
      </c>
    </row>
    <row r="297" spans="1:17" hidden="1">
      <c r="A297" s="21" t="s">
        <v>2903</v>
      </c>
      <c r="B297" s="22" t="s">
        <v>2436</v>
      </c>
      <c r="C297" s="21" t="s">
        <v>2437</v>
      </c>
      <c r="D297" s="21" t="s">
        <v>2618</v>
      </c>
      <c r="E297" s="21" t="s">
        <v>2438</v>
      </c>
      <c r="F297" s="21" t="s">
        <v>1192</v>
      </c>
      <c r="G297" s="3" t="s">
        <v>1198</v>
      </c>
      <c r="H297" s="3" t="s">
        <v>7</v>
      </c>
      <c r="I297" s="3" t="s">
        <v>7</v>
      </c>
      <c r="J297" s="3" t="s">
        <v>7</v>
      </c>
      <c r="K297" s="3" t="s">
        <v>7</v>
      </c>
      <c r="L297" s="3" t="s">
        <v>7</v>
      </c>
      <c r="M297" s="2" t="s">
        <v>594</v>
      </c>
      <c r="N297" s="2" t="s">
        <v>595</v>
      </c>
      <c r="O297" s="2" t="s">
        <v>1333</v>
      </c>
      <c r="P297" s="2" t="s">
        <v>2904</v>
      </c>
      <c r="Q297" s="3" t="s">
        <v>2856</v>
      </c>
    </row>
    <row r="298" spans="1:17" hidden="1">
      <c r="A298" s="21" t="s">
        <v>2903</v>
      </c>
      <c r="B298" s="22" t="s">
        <v>2439</v>
      </c>
      <c r="C298" s="21" t="s">
        <v>2440</v>
      </c>
      <c r="D298" s="21" t="s">
        <v>2618</v>
      </c>
      <c r="E298" s="21" t="s">
        <v>2438</v>
      </c>
      <c r="F298" s="21" t="s">
        <v>1180</v>
      </c>
      <c r="G298" s="3" t="s">
        <v>1186</v>
      </c>
      <c r="H298" s="3" t="s">
        <v>7</v>
      </c>
      <c r="I298" s="3" t="s">
        <v>7</v>
      </c>
      <c r="J298" s="3" t="s">
        <v>7</v>
      </c>
      <c r="K298" s="3" t="s">
        <v>7</v>
      </c>
      <c r="L298" s="3" t="s">
        <v>7</v>
      </c>
      <c r="M298" s="2" t="s">
        <v>594</v>
      </c>
      <c r="N298" s="2" t="s">
        <v>595</v>
      </c>
      <c r="O298" s="2" t="s">
        <v>1333</v>
      </c>
      <c r="P298" s="2" t="s">
        <v>2904</v>
      </c>
      <c r="Q298" s="3" t="s">
        <v>2856</v>
      </c>
    </row>
    <row r="299" spans="1:17" hidden="1">
      <c r="A299" s="21" t="s">
        <v>2903</v>
      </c>
      <c r="B299" s="22" t="s">
        <v>2441</v>
      </c>
      <c r="C299" s="21" t="s">
        <v>2442</v>
      </c>
      <c r="D299" s="21" t="s">
        <v>2618</v>
      </c>
      <c r="E299" s="21" t="s">
        <v>2438</v>
      </c>
      <c r="F299" s="21" t="s">
        <v>1180</v>
      </c>
      <c r="G299" s="3" t="s">
        <v>1186</v>
      </c>
      <c r="H299" s="3" t="s">
        <v>7</v>
      </c>
      <c r="I299" s="3" t="s">
        <v>7</v>
      </c>
      <c r="J299" s="3" t="s">
        <v>7</v>
      </c>
      <c r="K299" s="3" t="s">
        <v>7</v>
      </c>
      <c r="L299" s="3" t="s">
        <v>7</v>
      </c>
      <c r="M299" s="2" t="s">
        <v>594</v>
      </c>
      <c r="N299" s="2" t="s">
        <v>595</v>
      </c>
      <c r="O299" s="2" t="s">
        <v>1333</v>
      </c>
      <c r="P299" s="2" t="s">
        <v>2904</v>
      </c>
      <c r="Q299" s="3" t="s">
        <v>2856</v>
      </c>
    </row>
    <row r="300" spans="1:17" hidden="1">
      <c r="A300" s="21" t="s">
        <v>2903</v>
      </c>
      <c r="B300" s="22" t="s">
        <v>1505</v>
      </c>
      <c r="C300" s="21" t="s">
        <v>2619</v>
      </c>
      <c r="D300" s="21" t="s">
        <v>77</v>
      </c>
      <c r="E300" s="21" t="s">
        <v>814</v>
      </c>
      <c r="F300" s="21" t="s">
        <v>1192</v>
      </c>
      <c r="G300" s="3" t="s">
        <v>2461</v>
      </c>
      <c r="H300" s="3" t="s">
        <v>7</v>
      </c>
      <c r="I300" s="3" t="s">
        <v>7</v>
      </c>
      <c r="J300" s="3" t="s">
        <v>7</v>
      </c>
      <c r="K300" s="3" t="s">
        <v>7</v>
      </c>
      <c r="L300" s="3" t="s">
        <v>7</v>
      </c>
      <c r="M300" s="2" t="s">
        <v>692</v>
      </c>
      <c r="N300" s="2" t="s">
        <v>693</v>
      </c>
      <c r="O300" s="2" t="s">
        <v>1338</v>
      </c>
      <c r="P300" s="2" t="s">
        <v>2910</v>
      </c>
      <c r="Q300" s="3" t="s">
        <v>2856</v>
      </c>
    </row>
    <row r="301" spans="1:17" hidden="1">
      <c r="A301" s="21" t="s">
        <v>2903</v>
      </c>
      <c r="B301" s="22" t="s">
        <v>955</v>
      </c>
      <c r="C301" s="21" t="s">
        <v>1886</v>
      </c>
      <c r="D301" s="21" t="s">
        <v>77</v>
      </c>
      <c r="E301" s="21" t="s">
        <v>815</v>
      </c>
      <c r="F301" s="21" t="s">
        <v>8</v>
      </c>
      <c r="G301" s="3" t="s">
        <v>1414</v>
      </c>
      <c r="H301" s="3" t="s">
        <v>7</v>
      </c>
      <c r="I301" s="3" t="s">
        <v>7</v>
      </c>
      <c r="J301" s="3" t="s">
        <v>7</v>
      </c>
      <c r="K301" s="3" t="s">
        <v>7</v>
      </c>
      <c r="L301" s="3" t="s">
        <v>7</v>
      </c>
      <c r="M301" s="2" t="s">
        <v>676</v>
      </c>
      <c r="N301" s="2" t="s">
        <v>3030</v>
      </c>
      <c r="O301" s="2" t="s">
        <v>1338</v>
      </c>
      <c r="P301" s="2" t="s">
        <v>2910</v>
      </c>
      <c r="Q301" s="3" t="s">
        <v>2856</v>
      </c>
    </row>
    <row r="302" spans="1:17" hidden="1">
      <c r="A302" s="21" t="s">
        <v>2903</v>
      </c>
      <c r="B302" s="22" t="s">
        <v>1506</v>
      </c>
      <c r="C302" s="21" t="s">
        <v>2620</v>
      </c>
      <c r="D302" s="21" t="s">
        <v>77</v>
      </c>
      <c r="E302" s="21" t="s">
        <v>814</v>
      </c>
      <c r="F302" s="21" t="s">
        <v>1181</v>
      </c>
      <c r="G302" s="3" t="s">
        <v>2461</v>
      </c>
      <c r="H302" s="3" t="s">
        <v>3071</v>
      </c>
      <c r="I302" s="3" t="s">
        <v>7</v>
      </c>
      <c r="J302" s="3" t="s">
        <v>3071</v>
      </c>
      <c r="K302" s="3" t="s">
        <v>3071</v>
      </c>
      <c r="L302" s="3" t="s">
        <v>7</v>
      </c>
      <c r="M302" s="2" t="s">
        <v>692</v>
      </c>
      <c r="N302" s="2" t="s">
        <v>693</v>
      </c>
      <c r="O302" s="2" t="s">
        <v>1338</v>
      </c>
      <c r="P302" s="2" t="s">
        <v>2910</v>
      </c>
      <c r="Q302" s="3" t="s">
        <v>2856</v>
      </c>
    </row>
    <row r="303" spans="1:17" hidden="1">
      <c r="A303" s="21" t="s">
        <v>2903</v>
      </c>
      <c r="B303" s="22" t="s">
        <v>1507</v>
      </c>
      <c r="C303" s="21" t="s">
        <v>1885</v>
      </c>
      <c r="D303" s="21" t="s">
        <v>77</v>
      </c>
      <c r="E303" s="21" t="s">
        <v>815</v>
      </c>
      <c r="F303" s="21" t="s">
        <v>1409</v>
      </c>
      <c r="G303" s="3" t="s">
        <v>1182</v>
      </c>
      <c r="H303" s="3" t="s">
        <v>7</v>
      </c>
      <c r="I303" s="3" t="s">
        <v>7</v>
      </c>
      <c r="J303" s="3" t="s">
        <v>7</v>
      </c>
      <c r="K303" s="3" t="s">
        <v>7</v>
      </c>
      <c r="L303" s="3" t="s">
        <v>7</v>
      </c>
      <c r="M303" s="2" t="s">
        <v>676</v>
      </c>
      <c r="N303" s="2" t="s">
        <v>3030</v>
      </c>
      <c r="O303" s="2" t="s">
        <v>1338</v>
      </c>
      <c r="P303" s="2" t="s">
        <v>2910</v>
      </c>
      <c r="Q303" s="3" t="s">
        <v>2856</v>
      </c>
    </row>
    <row r="304" spans="1:17" hidden="1">
      <c r="A304" s="21" t="s">
        <v>2903</v>
      </c>
      <c r="B304" s="22" t="s">
        <v>954</v>
      </c>
      <c r="C304" s="21" t="s">
        <v>1884</v>
      </c>
      <c r="D304" s="21" t="s">
        <v>77</v>
      </c>
      <c r="E304" s="21" t="s">
        <v>814</v>
      </c>
      <c r="F304" s="21" t="s">
        <v>1180</v>
      </c>
      <c r="G304" s="3" t="s">
        <v>1182</v>
      </c>
      <c r="H304" s="3" t="s">
        <v>7</v>
      </c>
      <c r="I304" s="3" t="s">
        <v>7</v>
      </c>
      <c r="J304" s="3" t="s">
        <v>7</v>
      </c>
      <c r="K304" s="3" t="s">
        <v>7</v>
      </c>
      <c r="L304" s="3" t="s">
        <v>7</v>
      </c>
      <c r="M304" s="2" t="s">
        <v>692</v>
      </c>
      <c r="N304" s="2" t="s">
        <v>693</v>
      </c>
      <c r="O304" s="2" t="s">
        <v>1338</v>
      </c>
      <c r="P304" s="2" t="s">
        <v>2910</v>
      </c>
      <c r="Q304" s="3" t="s">
        <v>2856</v>
      </c>
    </row>
    <row r="305" spans="1:17" hidden="1">
      <c r="A305" s="21" t="s">
        <v>2903</v>
      </c>
      <c r="B305" s="22" t="s">
        <v>2965</v>
      </c>
      <c r="C305" s="21" t="s">
        <v>1885</v>
      </c>
      <c r="D305" s="21" t="s">
        <v>77</v>
      </c>
      <c r="E305" s="21" t="s">
        <v>2966</v>
      </c>
      <c r="F305" s="21" t="s">
        <v>1409</v>
      </c>
      <c r="G305" s="3" t="s">
        <v>2967</v>
      </c>
      <c r="H305" s="3" t="s">
        <v>7</v>
      </c>
      <c r="I305" s="3" t="s">
        <v>7</v>
      </c>
      <c r="J305" s="3" t="s">
        <v>7</v>
      </c>
      <c r="K305" s="3" t="s">
        <v>7</v>
      </c>
      <c r="L305" s="3" t="s">
        <v>7</v>
      </c>
      <c r="M305" s="2" t="s">
        <v>712</v>
      </c>
      <c r="N305" s="2" t="s">
        <v>713</v>
      </c>
      <c r="O305" s="2" t="s">
        <v>1338</v>
      </c>
      <c r="P305" s="2" t="s">
        <v>2910</v>
      </c>
      <c r="Q305" s="3" t="s">
        <v>2856</v>
      </c>
    </row>
    <row r="306" spans="1:17" hidden="1">
      <c r="A306" s="21" t="s">
        <v>2903</v>
      </c>
      <c r="B306" s="22" t="s">
        <v>2970</v>
      </c>
      <c r="C306" s="21" t="s">
        <v>1884</v>
      </c>
      <c r="D306" s="21" t="s">
        <v>77</v>
      </c>
      <c r="E306" s="21" t="s">
        <v>2966</v>
      </c>
      <c r="F306" s="21" t="s">
        <v>1181</v>
      </c>
      <c r="G306" s="3" t="s">
        <v>1416</v>
      </c>
      <c r="H306" s="3" t="s">
        <v>3071</v>
      </c>
      <c r="I306" s="3" t="s">
        <v>55</v>
      </c>
      <c r="J306" s="3" t="s">
        <v>3071</v>
      </c>
      <c r="K306" s="3" t="s">
        <v>3071</v>
      </c>
      <c r="L306" s="3" t="s">
        <v>55</v>
      </c>
      <c r="M306" s="2" t="s">
        <v>712</v>
      </c>
      <c r="N306" s="2" t="s">
        <v>713</v>
      </c>
      <c r="O306" s="2" t="s">
        <v>1338</v>
      </c>
      <c r="P306" s="2" t="s">
        <v>2910</v>
      </c>
      <c r="Q306" s="3" t="s">
        <v>2856</v>
      </c>
    </row>
    <row r="307" spans="1:17" hidden="1">
      <c r="A307" s="21" t="s">
        <v>2903</v>
      </c>
      <c r="B307" s="22" t="s">
        <v>2968</v>
      </c>
      <c r="C307" s="21" t="s">
        <v>2969</v>
      </c>
      <c r="D307" s="21" t="s">
        <v>77</v>
      </c>
      <c r="E307" s="21" t="s">
        <v>2966</v>
      </c>
      <c r="F307" s="21" t="s">
        <v>1192</v>
      </c>
      <c r="G307" s="3" t="s">
        <v>2461</v>
      </c>
      <c r="H307" s="3" t="s">
        <v>7</v>
      </c>
      <c r="I307" s="3" t="s">
        <v>7</v>
      </c>
      <c r="J307" s="3" t="s">
        <v>7</v>
      </c>
      <c r="K307" s="3" t="s">
        <v>7</v>
      </c>
      <c r="L307" s="3" t="s">
        <v>7</v>
      </c>
      <c r="M307" s="2" t="s">
        <v>712</v>
      </c>
      <c r="N307" s="2" t="s">
        <v>713</v>
      </c>
      <c r="O307" s="2" t="s">
        <v>1338</v>
      </c>
      <c r="P307" s="2" t="s">
        <v>2910</v>
      </c>
      <c r="Q307" s="3" t="s">
        <v>2856</v>
      </c>
    </row>
    <row r="308" spans="1:17" hidden="1">
      <c r="A308" s="21" t="s">
        <v>2903</v>
      </c>
      <c r="B308" s="22" t="s">
        <v>1508</v>
      </c>
      <c r="C308" s="21" t="s">
        <v>1887</v>
      </c>
      <c r="D308" s="21" t="s">
        <v>78</v>
      </c>
      <c r="E308" s="21" t="s">
        <v>816</v>
      </c>
      <c r="F308" s="21" t="s">
        <v>1409</v>
      </c>
      <c r="G308" s="3" t="s">
        <v>2751</v>
      </c>
      <c r="H308" s="3" t="s">
        <v>7</v>
      </c>
      <c r="I308" s="3" t="s">
        <v>7</v>
      </c>
      <c r="J308" s="3" t="s">
        <v>7</v>
      </c>
      <c r="K308" s="3" t="s">
        <v>7</v>
      </c>
      <c r="L308" s="3" t="s">
        <v>7</v>
      </c>
      <c r="M308" s="2" t="s">
        <v>640</v>
      </c>
      <c r="N308" s="2" t="s">
        <v>641</v>
      </c>
      <c r="O308" s="2" t="s">
        <v>1336</v>
      </c>
      <c r="P308" s="2" t="s">
        <v>2907</v>
      </c>
      <c r="Q308" s="3" t="s">
        <v>2856</v>
      </c>
    </row>
    <row r="309" spans="1:17" hidden="1">
      <c r="A309" s="21" t="s">
        <v>2903</v>
      </c>
      <c r="B309" s="22" t="s">
        <v>1509</v>
      </c>
      <c r="C309" s="21" t="s">
        <v>1888</v>
      </c>
      <c r="D309" s="21" t="s">
        <v>78</v>
      </c>
      <c r="E309" s="21" t="s">
        <v>816</v>
      </c>
      <c r="F309" s="21" t="s">
        <v>8</v>
      </c>
      <c r="G309" s="3" t="s">
        <v>2751</v>
      </c>
      <c r="H309" s="3" t="s">
        <v>7</v>
      </c>
      <c r="I309" s="3" t="s">
        <v>7</v>
      </c>
      <c r="J309" s="3" t="s">
        <v>7</v>
      </c>
      <c r="K309" s="3" t="s">
        <v>7</v>
      </c>
      <c r="L309" s="3" t="s">
        <v>7</v>
      </c>
      <c r="M309" s="2" t="s">
        <v>640</v>
      </c>
      <c r="N309" s="2" t="s">
        <v>641</v>
      </c>
      <c r="O309" s="2" t="s">
        <v>1336</v>
      </c>
      <c r="P309" s="2" t="s">
        <v>2907</v>
      </c>
      <c r="Q309" s="3" t="s">
        <v>2856</v>
      </c>
    </row>
    <row r="310" spans="1:17" hidden="1">
      <c r="A310" s="21" t="s">
        <v>2903</v>
      </c>
      <c r="B310" s="22" t="s">
        <v>956</v>
      </c>
      <c r="C310" s="21" t="s">
        <v>1889</v>
      </c>
      <c r="D310" s="21" t="s">
        <v>78</v>
      </c>
      <c r="E310" s="21" t="s">
        <v>816</v>
      </c>
      <c r="F310" s="21" t="s">
        <v>1181</v>
      </c>
      <c r="G310" s="3" t="s">
        <v>1412</v>
      </c>
      <c r="H310" s="3" t="s">
        <v>3071</v>
      </c>
      <c r="I310" s="3" t="s">
        <v>7</v>
      </c>
      <c r="J310" s="3" t="s">
        <v>3071</v>
      </c>
      <c r="K310" s="3" t="s">
        <v>3071</v>
      </c>
      <c r="L310" s="3" t="s">
        <v>7</v>
      </c>
      <c r="M310" s="2" t="s">
        <v>640</v>
      </c>
      <c r="N310" s="2" t="s">
        <v>641</v>
      </c>
      <c r="O310" s="2" t="s">
        <v>1336</v>
      </c>
      <c r="P310" s="2" t="s">
        <v>2907</v>
      </c>
      <c r="Q310" s="3" t="s">
        <v>2856</v>
      </c>
    </row>
    <row r="311" spans="1:17" hidden="1">
      <c r="A311" s="21" t="s">
        <v>2903</v>
      </c>
      <c r="B311" s="22" t="s">
        <v>2621</v>
      </c>
      <c r="C311" s="21" t="s">
        <v>2622</v>
      </c>
      <c r="D311" s="21" t="s">
        <v>78</v>
      </c>
      <c r="E311" s="21" t="s">
        <v>817</v>
      </c>
      <c r="F311" s="21" t="s">
        <v>1409</v>
      </c>
      <c r="G311" s="3" t="s">
        <v>1430</v>
      </c>
      <c r="H311" s="3" t="s">
        <v>7</v>
      </c>
      <c r="I311" s="3" t="s">
        <v>7</v>
      </c>
      <c r="J311" s="3" t="s">
        <v>7</v>
      </c>
      <c r="K311" s="3" t="s">
        <v>7</v>
      </c>
      <c r="L311" s="3" t="s">
        <v>7</v>
      </c>
      <c r="M311" s="2" t="s">
        <v>558</v>
      </c>
      <c r="N311" s="2" t="s">
        <v>559</v>
      </c>
      <c r="O311" s="2" t="s">
        <v>1336</v>
      </c>
      <c r="P311" s="2" t="s">
        <v>2907</v>
      </c>
      <c r="Q311" s="3" t="s">
        <v>2856</v>
      </c>
    </row>
    <row r="312" spans="1:17" hidden="1">
      <c r="A312" s="21" t="s">
        <v>2903</v>
      </c>
      <c r="B312" s="22" t="s">
        <v>957</v>
      </c>
      <c r="C312" s="21" t="s">
        <v>2622</v>
      </c>
      <c r="D312" s="21" t="s">
        <v>78</v>
      </c>
      <c r="E312" s="21" t="s">
        <v>817</v>
      </c>
      <c r="F312" s="21" t="s">
        <v>1192</v>
      </c>
      <c r="G312" s="3" t="s">
        <v>1412</v>
      </c>
      <c r="H312" s="3" t="s">
        <v>7</v>
      </c>
      <c r="I312" s="3" t="s">
        <v>7</v>
      </c>
      <c r="J312" s="3" t="s">
        <v>7</v>
      </c>
      <c r="K312" s="3" t="s">
        <v>7</v>
      </c>
      <c r="L312" s="3" t="s">
        <v>7</v>
      </c>
      <c r="M312" s="2" t="s">
        <v>558</v>
      </c>
      <c r="N312" s="2" t="s">
        <v>559</v>
      </c>
      <c r="O312" s="2" t="s">
        <v>1336</v>
      </c>
      <c r="P312" s="2" t="s">
        <v>2907</v>
      </c>
      <c r="Q312" s="3" t="s">
        <v>2856</v>
      </c>
    </row>
    <row r="313" spans="1:17" hidden="1">
      <c r="A313" s="21" t="s">
        <v>2903</v>
      </c>
      <c r="B313" s="22" t="s">
        <v>2757</v>
      </c>
      <c r="C313" s="21" t="s">
        <v>2758</v>
      </c>
      <c r="D313" s="21" t="s">
        <v>78</v>
      </c>
      <c r="E313" s="21" t="s">
        <v>817</v>
      </c>
      <c r="F313" s="21" t="s">
        <v>1180</v>
      </c>
      <c r="G313" s="3" t="s">
        <v>1198</v>
      </c>
      <c r="H313" s="3" t="s">
        <v>7</v>
      </c>
      <c r="I313" s="3" t="s">
        <v>7</v>
      </c>
      <c r="J313" s="3" t="s">
        <v>7</v>
      </c>
      <c r="K313" s="3" t="s">
        <v>7</v>
      </c>
      <c r="L313" s="3" t="s">
        <v>7</v>
      </c>
      <c r="M313" s="2" t="s">
        <v>558</v>
      </c>
      <c r="N313" s="2" t="s">
        <v>559</v>
      </c>
      <c r="O313" s="2" t="s">
        <v>1336</v>
      </c>
      <c r="P313" s="2" t="s">
        <v>2907</v>
      </c>
      <c r="Q313" s="3" t="s">
        <v>2856</v>
      </c>
    </row>
    <row r="314" spans="1:17" hidden="1">
      <c r="A314" s="21" t="s">
        <v>2903</v>
      </c>
      <c r="B314" s="22" t="s">
        <v>2753</v>
      </c>
      <c r="C314" s="21" t="s">
        <v>2754</v>
      </c>
      <c r="D314" s="21" t="s">
        <v>78</v>
      </c>
      <c r="E314" s="21" t="s">
        <v>817</v>
      </c>
      <c r="F314" s="21" t="s">
        <v>1192</v>
      </c>
      <c r="G314" s="3" t="s">
        <v>1179</v>
      </c>
      <c r="H314" s="3" t="s">
        <v>7</v>
      </c>
      <c r="I314" s="3" t="s">
        <v>7</v>
      </c>
      <c r="J314" s="3" t="s">
        <v>7</v>
      </c>
      <c r="K314" s="3" t="s">
        <v>7</v>
      </c>
      <c r="L314" s="3" t="s">
        <v>7</v>
      </c>
      <c r="M314" s="2" t="s">
        <v>558</v>
      </c>
      <c r="N314" s="2" t="s">
        <v>559</v>
      </c>
      <c r="O314" s="2" t="s">
        <v>1336</v>
      </c>
      <c r="P314" s="2" t="s">
        <v>2907</v>
      </c>
      <c r="Q314" s="3" t="s">
        <v>2856</v>
      </c>
    </row>
    <row r="315" spans="1:17" hidden="1">
      <c r="A315" s="21" t="s">
        <v>2903</v>
      </c>
      <c r="B315" s="22" t="s">
        <v>2755</v>
      </c>
      <c r="C315" s="21" t="s">
        <v>2756</v>
      </c>
      <c r="D315" s="21" t="s">
        <v>78</v>
      </c>
      <c r="E315" s="21" t="s">
        <v>817</v>
      </c>
      <c r="F315" s="21" t="s">
        <v>1181</v>
      </c>
      <c r="G315" s="3" t="s">
        <v>1179</v>
      </c>
      <c r="H315" s="3" t="s">
        <v>3071</v>
      </c>
      <c r="I315" s="3" t="s">
        <v>7</v>
      </c>
      <c r="J315" s="3" t="s">
        <v>3071</v>
      </c>
      <c r="K315" s="3" t="s">
        <v>3071</v>
      </c>
      <c r="L315" s="3" t="s">
        <v>7</v>
      </c>
      <c r="M315" s="2" t="s">
        <v>558</v>
      </c>
      <c r="N315" s="2" t="s">
        <v>559</v>
      </c>
      <c r="O315" s="2" t="s">
        <v>1336</v>
      </c>
      <c r="P315" s="2" t="s">
        <v>2907</v>
      </c>
      <c r="Q315" s="3" t="s">
        <v>2856</v>
      </c>
    </row>
    <row r="316" spans="1:17" hidden="1">
      <c r="A316" s="21" t="e">
        <v>#N/A</v>
      </c>
      <c r="B316" s="22" t="s">
        <v>1510</v>
      </c>
      <c r="C316" s="21" t="s">
        <v>1890</v>
      </c>
      <c r="D316" s="21" t="s">
        <v>79</v>
      </c>
      <c r="E316" s="21" t="s">
        <v>3285</v>
      </c>
      <c r="F316" s="21" t="s">
        <v>8</v>
      </c>
      <c r="G316" s="3" t="s">
        <v>1419</v>
      </c>
      <c r="H316" s="3" t="s">
        <v>7</v>
      </c>
      <c r="I316" s="3" t="s">
        <v>7</v>
      </c>
      <c r="J316" s="3" t="s">
        <v>7</v>
      </c>
      <c r="K316" s="3" t="s">
        <v>7</v>
      </c>
      <c r="L316" s="3" t="s">
        <v>7</v>
      </c>
      <c r="M316" s="2" t="s">
        <v>3286</v>
      </c>
      <c r="N316" s="2" t="e">
        <v>#N/A</v>
      </c>
      <c r="O316" s="2" t="e">
        <v>#N/A</v>
      </c>
      <c r="P316" s="2" t="e">
        <v>#N/A</v>
      </c>
      <c r="Q316" s="3" t="e">
        <v>#N/A</v>
      </c>
    </row>
    <row r="317" spans="1:17" hidden="1">
      <c r="A317" s="21" t="e">
        <v>#N/A</v>
      </c>
      <c r="B317" s="22" t="s">
        <v>958</v>
      </c>
      <c r="C317" s="21" t="s">
        <v>1891</v>
      </c>
      <c r="D317" s="21" t="s">
        <v>79</v>
      </c>
      <c r="E317" s="21" t="s">
        <v>3285</v>
      </c>
      <c r="F317" s="21" t="s">
        <v>8</v>
      </c>
      <c r="G317" s="3" t="s">
        <v>1414</v>
      </c>
      <c r="H317" s="3" t="s">
        <v>7</v>
      </c>
      <c r="I317" s="3" t="s">
        <v>7</v>
      </c>
      <c r="J317" s="3" t="s">
        <v>7</v>
      </c>
      <c r="K317" s="3" t="s">
        <v>7</v>
      </c>
      <c r="L317" s="3" t="s">
        <v>7</v>
      </c>
      <c r="M317" s="2" t="s">
        <v>3286</v>
      </c>
      <c r="N317" s="2" t="e">
        <v>#N/A</v>
      </c>
      <c r="O317" s="2" t="e">
        <v>#N/A</v>
      </c>
      <c r="P317" s="2" t="e">
        <v>#N/A</v>
      </c>
      <c r="Q317" s="3" t="e">
        <v>#N/A</v>
      </c>
    </row>
    <row r="318" spans="1:17" hidden="1">
      <c r="A318" s="21" t="s">
        <v>2903</v>
      </c>
      <c r="B318" s="22" t="s">
        <v>3166</v>
      </c>
      <c r="C318" s="21" t="s">
        <v>3167</v>
      </c>
      <c r="D318" s="21" t="s">
        <v>3160</v>
      </c>
      <c r="E318" s="21" t="s">
        <v>3161</v>
      </c>
      <c r="F318" s="21" t="s">
        <v>1192</v>
      </c>
      <c r="G318" s="3" t="s">
        <v>1182</v>
      </c>
      <c r="H318" s="3" t="s">
        <v>7</v>
      </c>
      <c r="I318" s="3" t="s">
        <v>7</v>
      </c>
      <c r="J318" s="3" t="s">
        <v>7</v>
      </c>
      <c r="K318" s="3" t="s">
        <v>7</v>
      </c>
      <c r="L318" s="3" t="s">
        <v>7</v>
      </c>
      <c r="M318" s="2" t="s">
        <v>572</v>
      </c>
      <c r="N318" s="2" t="s">
        <v>3168</v>
      </c>
      <c r="O318" s="2" t="s">
        <v>3169</v>
      </c>
      <c r="P318" s="2" t="s">
        <v>2927</v>
      </c>
      <c r="Q318" s="3" t="s">
        <v>2856</v>
      </c>
    </row>
    <row r="319" spans="1:17" hidden="1">
      <c r="A319" s="21" t="s">
        <v>2903</v>
      </c>
      <c r="B319" s="22" t="s">
        <v>3164</v>
      </c>
      <c r="C319" s="21" t="s">
        <v>3165</v>
      </c>
      <c r="D319" s="21" t="s">
        <v>3160</v>
      </c>
      <c r="E319" s="21" t="s">
        <v>3161</v>
      </c>
      <c r="F319" s="21" t="s">
        <v>1180</v>
      </c>
      <c r="G319" s="3" t="s">
        <v>1187</v>
      </c>
      <c r="H319" s="3" t="s">
        <v>7</v>
      </c>
      <c r="I319" s="3" t="s">
        <v>7</v>
      </c>
      <c r="J319" s="3" t="s">
        <v>7</v>
      </c>
      <c r="K319" s="3" t="s">
        <v>7</v>
      </c>
      <c r="L319" s="3" t="s">
        <v>7</v>
      </c>
      <c r="M319" s="2" t="s">
        <v>572</v>
      </c>
      <c r="N319" s="2" t="s">
        <v>3168</v>
      </c>
      <c r="O319" s="2" t="s">
        <v>3169</v>
      </c>
      <c r="P319" s="2" t="s">
        <v>2927</v>
      </c>
      <c r="Q319" s="3" t="s">
        <v>2856</v>
      </c>
    </row>
    <row r="320" spans="1:17" hidden="1">
      <c r="A320" s="21" t="s">
        <v>2903</v>
      </c>
      <c r="B320" s="22" t="s">
        <v>3158</v>
      </c>
      <c r="C320" s="21" t="s">
        <v>3159</v>
      </c>
      <c r="D320" s="21" t="s">
        <v>3160</v>
      </c>
      <c r="E320" s="21" t="s">
        <v>3161</v>
      </c>
      <c r="F320" s="21" t="s">
        <v>1181</v>
      </c>
      <c r="G320" s="3" t="s">
        <v>1186</v>
      </c>
      <c r="H320" s="3" t="s">
        <v>3071</v>
      </c>
      <c r="I320" s="3" t="s">
        <v>7</v>
      </c>
      <c r="J320" s="3" t="s">
        <v>3071</v>
      </c>
      <c r="K320" s="3" t="s">
        <v>3071</v>
      </c>
      <c r="L320" s="3" t="s">
        <v>7</v>
      </c>
      <c r="M320" s="2" t="s">
        <v>572</v>
      </c>
      <c r="N320" s="2" t="s">
        <v>3168</v>
      </c>
      <c r="O320" s="2" t="s">
        <v>3169</v>
      </c>
      <c r="P320" s="2" t="s">
        <v>2927</v>
      </c>
      <c r="Q320" s="3" t="s">
        <v>2856</v>
      </c>
    </row>
    <row r="321" spans="1:17" hidden="1">
      <c r="A321" s="21" t="s">
        <v>2903</v>
      </c>
      <c r="B321" s="22" t="s">
        <v>3162</v>
      </c>
      <c r="C321" s="21" t="s">
        <v>3163</v>
      </c>
      <c r="D321" s="21" t="s">
        <v>3160</v>
      </c>
      <c r="E321" s="21" t="s">
        <v>3161</v>
      </c>
      <c r="F321" s="21" t="s">
        <v>1181</v>
      </c>
      <c r="G321" s="3" t="s">
        <v>1179</v>
      </c>
      <c r="H321" s="3" t="s">
        <v>3071</v>
      </c>
      <c r="I321" s="3" t="s">
        <v>7</v>
      </c>
      <c r="J321" s="3" t="s">
        <v>3071</v>
      </c>
      <c r="K321" s="3" t="s">
        <v>3071</v>
      </c>
      <c r="L321" s="3" t="s">
        <v>7</v>
      </c>
      <c r="M321" s="2" t="s">
        <v>572</v>
      </c>
      <c r="N321" s="2" t="s">
        <v>3168</v>
      </c>
      <c r="O321" s="2" t="s">
        <v>3169</v>
      </c>
      <c r="P321" s="2" t="s">
        <v>2927</v>
      </c>
      <c r="Q321" s="3" t="s">
        <v>2856</v>
      </c>
    </row>
    <row r="322" spans="1:17" hidden="1">
      <c r="A322" s="21" t="s">
        <v>2903</v>
      </c>
      <c r="B322" s="22" t="s">
        <v>1511</v>
      </c>
      <c r="C322" s="21" t="s">
        <v>1892</v>
      </c>
      <c r="D322" s="21" t="s">
        <v>80</v>
      </c>
      <c r="E322" s="21" t="s">
        <v>818</v>
      </c>
      <c r="F322" s="21" t="s">
        <v>1409</v>
      </c>
      <c r="G322" s="3" t="s">
        <v>1412</v>
      </c>
      <c r="H322" s="3" t="s">
        <v>7</v>
      </c>
      <c r="I322" s="3" t="s">
        <v>7</v>
      </c>
      <c r="J322" s="3" t="s">
        <v>7</v>
      </c>
      <c r="K322" s="3" t="s">
        <v>7</v>
      </c>
      <c r="L322" s="3" t="s">
        <v>7</v>
      </c>
      <c r="M322" s="2" t="s">
        <v>624</v>
      </c>
      <c r="N322" s="2" t="s">
        <v>1344</v>
      </c>
      <c r="O322" s="2" t="s">
        <v>1343</v>
      </c>
      <c r="P322" s="2" t="s">
        <v>2913</v>
      </c>
      <c r="Q322" s="3" t="s">
        <v>2856</v>
      </c>
    </row>
    <row r="323" spans="1:17" hidden="1">
      <c r="A323" s="21" t="s">
        <v>2903</v>
      </c>
      <c r="B323" s="22" t="s">
        <v>1512</v>
      </c>
      <c r="C323" s="21" t="s">
        <v>1898</v>
      </c>
      <c r="D323" s="21" t="s">
        <v>80</v>
      </c>
      <c r="E323" s="21" t="s">
        <v>820</v>
      </c>
      <c r="F323" s="21" t="s">
        <v>1409</v>
      </c>
      <c r="G323" s="3" t="s">
        <v>1416</v>
      </c>
      <c r="H323" s="3" t="s">
        <v>7</v>
      </c>
      <c r="I323" s="3" t="s">
        <v>7</v>
      </c>
      <c r="J323" s="3" t="s">
        <v>7</v>
      </c>
      <c r="K323" s="3" t="s">
        <v>7</v>
      </c>
      <c r="L323" s="3" t="s">
        <v>7</v>
      </c>
      <c r="M323" s="2" t="s">
        <v>576</v>
      </c>
      <c r="N323" s="2" t="s">
        <v>577</v>
      </c>
      <c r="O323" s="2" t="s">
        <v>1343</v>
      </c>
      <c r="P323" s="2" t="s">
        <v>2913</v>
      </c>
      <c r="Q323" s="3" t="s">
        <v>2856</v>
      </c>
    </row>
    <row r="324" spans="1:17" hidden="1">
      <c r="A324" s="21" t="s">
        <v>2903</v>
      </c>
      <c r="B324" s="22" t="s">
        <v>1513</v>
      </c>
      <c r="C324" s="21" t="s">
        <v>1900</v>
      </c>
      <c r="D324" s="21" t="s">
        <v>80</v>
      </c>
      <c r="E324" s="21" t="s">
        <v>820</v>
      </c>
      <c r="F324" s="21" t="s">
        <v>1180</v>
      </c>
      <c r="G324" s="3" t="s">
        <v>1416</v>
      </c>
      <c r="H324" s="3" t="s">
        <v>7</v>
      </c>
      <c r="I324" s="3" t="s">
        <v>7</v>
      </c>
      <c r="J324" s="3" t="s">
        <v>7</v>
      </c>
      <c r="K324" s="3" t="s">
        <v>7</v>
      </c>
      <c r="L324" s="3" t="s">
        <v>7</v>
      </c>
      <c r="M324" s="2" t="s">
        <v>576</v>
      </c>
      <c r="N324" s="2" t="s">
        <v>577</v>
      </c>
      <c r="O324" s="2" t="s">
        <v>1343</v>
      </c>
      <c r="P324" s="2" t="s">
        <v>2913</v>
      </c>
      <c r="Q324" s="3" t="s">
        <v>2856</v>
      </c>
    </row>
    <row r="325" spans="1:17" hidden="1">
      <c r="A325" s="21" t="s">
        <v>2903</v>
      </c>
      <c r="B325" s="22" t="s">
        <v>959</v>
      </c>
      <c r="C325" s="21" t="s">
        <v>1893</v>
      </c>
      <c r="D325" s="21" t="s">
        <v>80</v>
      </c>
      <c r="E325" s="21" t="s">
        <v>818</v>
      </c>
      <c r="F325" s="21" t="s">
        <v>8</v>
      </c>
      <c r="G325" s="3" t="s">
        <v>1182</v>
      </c>
      <c r="H325" s="3" t="s">
        <v>7</v>
      </c>
      <c r="I325" s="3" t="s">
        <v>7</v>
      </c>
      <c r="J325" s="3" t="s">
        <v>7</v>
      </c>
      <c r="K325" s="3" t="s">
        <v>7</v>
      </c>
      <c r="L325" s="3" t="s">
        <v>7</v>
      </c>
      <c r="M325" s="2" t="s">
        <v>624</v>
      </c>
      <c r="N325" s="2" t="s">
        <v>1344</v>
      </c>
      <c r="O325" s="2" t="s">
        <v>1343</v>
      </c>
      <c r="P325" s="2" t="s">
        <v>2913</v>
      </c>
      <c r="Q325" s="3" t="s">
        <v>2856</v>
      </c>
    </row>
    <row r="326" spans="1:17" hidden="1">
      <c r="A326" s="21" t="s">
        <v>2903</v>
      </c>
      <c r="B326" s="22" t="s">
        <v>960</v>
      </c>
      <c r="C326" s="21" t="s">
        <v>1894</v>
      </c>
      <c r="D326" s="21" t="s">
        <v>80</v>
      </c>
      <c r="E326" s="21" t="s">
        <v>818</v>
      </c>
      <c r="F326" s="21" t="s">
        <v>1180</v>
      </c>
      <c r="G326" s="3" t="s">
        <v>1182</v>
      </c>
      <c r="H326" s="3" t="s">
        <v>7</v>
      </c>
      <c r="I326" s="3" t="s">
        <v>7</v>
      </c>
      <c r="J326" s="3" t="s">
        <v>7</v>
      </c>
      <c r="K326" s="3" t="s">
        <v>7</v>
      </c>
      <c r="L326" s="3" t="s">
        <v>7</v>
      </c>
      <c r="M326" s="2" t="s">
        <v>624</v>
      </c>
      <c r="N326" s="2" t="s">
        <v>1344</v>
      </c>
      <c r="O326" s="2" t="s">
        <v>1343</v>
      </c>
      <c r="P326" s="2" t="s">
        <v>2913</v>
      </c>
      <c r="Q326" s="3" t="s">
        <v>2856</v>
      </c>
    </row>
    <row r="327" spans="1:17" hidden="1">
      <c r="A327" s="21" t="s">
        <v>2903</v>
      </c>
      <c r="B327" s="22" t="s">
        <v>966</v>
      </c>
      <c r="C327" s="21" t="s">
        <v>1903</v>
      </c>
      <c r="D327" s="21" t="s">
        <v>80</v>
      </c>
      <c r="E327" s="21" t="s">
        <v>821</v>
      </c>
      <c r="F327" s="21" t="s">
        <v>1180</v>
      </c>
      <c r="G327" s="3" t="s">
        <v>1430</v>
      </c>
      <c r="H327" s="3" t="s">
        <v>7</v>
      </c>
      <c r="I327" s="3" t="s">
        <v>7</v>
      </c>
      <c r="J327" s="3" t="s">
        <v>7</v>
      </c>
      <c r="K327" s="3" t="s">
        <v>7</v>
      </c>
      <c r="L327" s="3" t="s">
        <v>7</v>
      </c>
      <c r="M327" s="2" t="s">
        <v>716</v>
      </c>
      <c r="N327" s="2" t="s">
        <v>717</v>
      </c>
      <c r="O327" s="2" t="s">
        <v>1343</v>
      </c>
      <c r="P327" s="2" t="s">
        <v>2913</v>
      </c>
      <c r="Q327" s="3" t="s">
        <v>2856</v>
      </c>
    </row>
    <row r="328" spans="1:17" hidden="1">
      <c r="A328" s="21" t="s">
        <v>2903</v>
      </c>
      <c r="B328" s="22" t="s">
        <v>962</v>
      </c>
      <c r="C328" s="21" t="s">
        <v>1897</v>
      </c>
      <c r="D328" s="21" t="s">
        <v>80</v>
      </c>
      <c r="E328" s="21" t="s">
        <v>819</v>
      </c>
      <c r="F328" s="21" t="s">
        <v>1180</v>
      </c>
      <c r="G328" s="3" t="s">
        <v>1414</v>
      </c>
      <c r="H328" s="3" t="s">
        <v>7</v>
      </c>
      <c r="I328" s="3" t="s">
        <v>7</v>
      </c>
      <c r="J328" s="3" t="s">
        <v>7</v>
      </c>
      <c r="K328" s="3" t="s">
        <v>7</v>
      </c>
      <c r="L328" s="3" t="s">
        <v>7</v>
      </c>
      <c r="M328" s="2" t="s">
        <v>626</v>
      </c>
      <c r="N328" s="2" t="s">
        <v>627</v>
      </c>
      <c r="O328" s="2" t="s">
        <v>1343</v>
      </c>
      <c r="P328" s="2" t="s">
        <v>2913</v>
      </c>
      <c r="Q328" s="3" t="s">
        <v>2856</v>
      </c>
    </row>
    <row r="329" spans="1:17" hidden="1">
      <c r="A329" s="21" t="s">
        <v>2903</v>
      </c>
      <c r="B329" s="22" t="s">
        <v>964</v>
      </c>
      <c r="C329" s="21" t="s">
        <v>1901</v>
      </c>
      <c r="D329" s="21" t="s">
        <v>80</v>
      </c>
      <c r="E329" s="21" t="s">
        <v>821</v>
      </c>
      <c r="F329" s="21" t="s">
        <v>8</v>
      </c>
      <c r="G329" s="3" t="s">
        <v>1184</v>
      </c>
      <c r="H329" s="3" t="s">
        <v>7</v>
      </c>
      <c r="I329" s="3" t="s">
        <v>7</v>
      </c>
      <c r="J329" s="3" t="s">
        <v>7</v>
      </c>
      <c r="K329" s="3" t="s">
        <v>7</v>
      </c>
      <c r="L329" s="3" t="s">
        <v>7</v>
      </c>
      <c r="M329" s="2" t="s">
        <v>716</v>
      </c>
      <c r="N329" s="2" t="s">
        <v>717</v>
      </c>
      <c r="O329" s="2" t="s">
        <v>1343</v>
      </c>
      <c r="P329" s="2" t="s">
        <v>2913</v>
      </c>
      <c r="Q329" s="3" t="s">
        <v>2856</v>
      </c>
    </row>
    <row r="330" spans="1:17" hidden="1">
      <c r="A330" s="21" t="s">
        <v>2903</v>
      </c>
      <c r="B330" s="22" t="s">
        <v>965</v>
      </c>
      <c r="C330" s="21" t="s">
        <v>1902</v>
      </c>
      <c r="D330" s="21" t="s">
        <v>80</v>
      </c>
      <c r="E330" s="21" t="s">
        <v>821</v>
      </c>
      <c r="F330" s="21" t="s">
        <v>8</v>
      </c>
      <c r="G330" s="3" t="s">
        <v>1184</v>
      </c>
      <c r="H330" s="3" t="s">
        <v>7</v>
      </c>
      <c r="I330" s="3" t="s">
        <v>7</v>
      </c>
      <c r="J330" s="3" t="s">
        <v>7</v>
      </c>
      <c r="K330" s="3" t="s">
        <v>7</v>
      </c>
      <c r="L330" s="3" t="s">
        <v>7</v>
      </c>
      <c r="M330" s="2" t="s">
        <v>716</v>
      </c>
      <c r="N330" s="2" t="s">
        <v>717</v>
      </c>
      <c r="O330" s="2" t="s">
        <v>1343</v>
      </c>
      <c r="P330" s="2" t="s">
        <v>2913</v>
      </c>
      <c r="Q330" s="3" t="s">
        <v>2856</v>
      </c>
    </row>
    <row r="331" spans="1:17" hidden="1">
      <c r="A331" s="21" t="s">
        <v>2903</v>
      </c>
      <c r="B331" s="22" t="s">
        <v>963</v>
      </c>
      <c r="C331" s="21" t="s">
        <v>1899</v>
      </c>
      <c r="D331" s="21" t="s">
        <v>80</v>
      </c>
      <c r="E331" s="21" t="s">
        <v>820</v>
      </c>
      <c r="F331" s="21" t="s">
        <v>8</v>
      </c>
      <c r="G331" s="3" t="s">
        <v>1184</v>
      </c>
      <c r="H331" s="3" t="s">
        <v>7</v>
      </c>
      <c r="I331" s="3" t="s">
        <v>7</v>
      </c>
      <c r="J331" s="3" t="s">
        <v>7</v>
      </c>
      <c r="K331" s="3" t="s">
        <v>7</v>
      </c>
      <c r="L331" s="3" t="s">
        <v>7</v>
      </c>
      <c r="M331" s="2" t="s">
        <v>576</v>
      </c>
      <c r="N331" s="2" t="s">
        <v>577</v>
      </c>
      <c r="O331" s="2" t="s">
        <v>1343</v>
      </c>
      <c r="P331" s="2" t="s">
        <v>2913</v>
      </c>
      <c r="Q331" s="3" t="s">
        <v>2856</v>
      </c>
    </row>
    <row r="332" spans="1:17" hidden="1">
      <c r="A332" s="21" t="s">
        <v>2903</v>
      </c>
      <c r="B332" s="22" t="s">
        <v>1199</v>
      </c>
      <c r="C332" s="21" t="s">
        <v>1896</v>
      </c>
      <c r="D332" s="21" t="s">
        <v>80</v>
      </c>
      <c r="E332" s="21" t="s">
        <v>819</v>
      </c>
      <c r="F332" s="21" t="s">
        <v>15</v>
      </c>
      <c r="G332" s="3" t="s">
        <v>1188</v>
      </c>
      <c r="H332" s="3" t="s">
        <v>3071</v>
      </c>
      <c r="I332" s="3" t="s">
        <v>3071</v>
      </c>
      <c r="J332" s="3" t="s">
        <v>3071</v>
      </c>
      <c r="K332" s="3" t="s">
        <v>3071</v>
      </c>
      <c r="L332" s="3" t="s">
        <v>7</v>
      </c>
      <c r="M332" s="2" t="s">
        <v>626</v>
      </c>
      <c r="N332" s="2" t="s">
        <v>627</v>
      </c>
      <c r="O332" s="2" t="s">
        <v>1343</v>
      </c>
      <c r="P332" s="2" t="s">
        <v>2913</v>
      </c>
      <c r="Q332" s="3" t="s">
        <v>2856</v>
      </c>
    </row>
    <row r="333" spans="1:17" hidden="1">
      <c r="A333" s="21" t="s">
        <v>2903</v>
      </c>
      <c r="B333" s="22" t="s">
        <v>961</v>
      </c>
      <c r="C333" s="21" t="s">
        <v>1895</v>
      </c>
      <c r="D333" s="21" t="s">
        <v>80</v>
      </c>
      <c r="E333" s="21" t="s">
        <v>819</v>
      </c>
      <c r="F333" s="21" t="s">
        <v>8</v>
      </c>
      <c r="G333" s="3" t="s">
        <v>1188</v>
      </c>
      <c r="H333" s="3" t="s">
        <v>7</v>
      </c>
      <c r="I333" s="3" t="s">
        <v>7</v>
      </c>
      <c r="J333" s="3" t="s">
        <v>7</v>
      </c>
      <c r="K333" s="3" t="s">
        <v>7</v>
      </c>
      <c r="L333" s="3" t="s">
        <v>7</v>
      </c>
      <c r="M333" s="2" t="s">
        <v>626</v>
      </c>
      <c r="N333" s="2" t="s">
        <v>627</v>
      </c>
      <c r="O333" s="2" t="s">
        <v>1343</v>
      </c>
      <c r="P333" s="2" t="s">
        <v>2913</v>
      </c>
      <c r="Q333" s="3" t="s">
        <v>2856</v>
      </c>
    </row>
    <row r="334" spans="1:17" hidden="1">
      <c r="A334" s="21" t="s">
        <v>2903</v>
      </c>
      <c r="B334" s="22" t="s">
        <v>2740</v>
      </c>
      <c r="C334" s="21" t="s">
        <v>2741</v>
      </c>
      <c r="D334" s="21" t="s">
        <v>80</v>
      </c>
      <c r="E334" s="21" t="s">
        <v>2742</v>
      </c>
      <c r="F334" s="21" t="s">
        <v>1192</v>
      </c>
      <c r="G334" s="3" t="s">
        <v>1179</v>
      </c>
      <c r="H334" s="3" t="s">
        <v>7</v>
      </c>
      <c r="I334" s="3" t="s">
        <v>7</v>
      </c>
      <c r="J334" s="3" t="s">
        <v>7</v>
      </c>
      <c r="K334" s="3" t="s">
        <v>7</v>
      </c>
      <c r="L334" s="3" t="s">
        <v>7</v>
      </c>
      <c r="M334" s="2" t="s">
        <v>1228</v>
      </c>
      <c r="N334" s="2" t="s">
        <v>2914</v>
      </c>
      <c r="O334" s="2" t="s">
        <v>1343</v>
      </c>
      <c r="P334" s="2" t="s">
        <v>2913</v>
      </c>
      <c r="Q334" s="3" t="s">
        <v>2856</v>
      </c>
    </row>
    <row r="335" spans="1:17" hidden="1">
      <c r="A335" s="21" t="s">
        <v>2903</v>
      </c>
      <c r="B335" s="22" t="s">
        <v>2743</v>
      </c>
      <c r="C335" s="21" t="s">
        <v>2744</v>
      </c>
      <c r="D335" s="21" t="s">
        <v>80</v>
      </c>
      <c r="E335" s="21" t="s">
        <v>2742</v>
      </c>
      <c r="F335" s="21" t="s">
        <v>1180</v>
      </c>
      <c r="G335" s="3" t="s">
        <v>1179</v>
      </c>
      <c r="H335" s="3" t="s">
        <v>7</v>
      </c>
      <c r="I335" s="3" t="s">
        <v>7</v>
      </c>
      <c r="J335" s="3" t="s">
        <v>7</v>
      </c>
      <c r="K335" s="3" t="s">
        <v>7</v>
      </c>
      <c r="L335" s="3" t="s">
        <v>7</v>
      </c>
      <c r="M335" s="18" t="s">
        <v>1228</v>
      </c>
      <c r="N335" s="18" t="s">
        <v>2914</v>
      </c>
      <c r="O335" s="18" t="s">
        <v>1343</v>
      </c>
      <c r="P335" s="18" t="s">
        <v>2913</v>
      </c>
      <c r="Q335" s="3" t="s">
        <v>2856</v>
      </c>
    </row>
    <row r="336" spans="1:17" hidden="1">
      <c r="A336" s="21" t="s">
        <v>2903</v>
      </c>
      <c r="B336" s="22" t="s">
        <v>2745</v>
      </c>
      <c r="C336" s="21" t="s">
        <v>2746</v>
      </c>
      <c r="D336" s="21" t="s">
        <v>80</v>
      </c>
      <c r="E336" s="21" t="s">
        <v>2742</v>
      </c>
      <c r="F336" s="21" t="s">
        <v>1180</v>
      </c>
      <c r="G336" s="3" t="s">
        <v>1179</v>
      </c>
      <c r="H336" s="3" t="s">
        <v>7</v>
      </c>
      <c r="I336" s="3" t="s">
        <v>7</v>
      </c>
      <c r="J336" s="3" t="s">
        <v>7</v>
      </c>
      <c r="K336" s="3" t="s">
        <v>7</v>
      </c>
      <c r="L336" s="3" t="s">
        <v>7</v>
      </c>
      <c r="M336" s="18" t="s">
        <v>1228</v>
      </c>
      <c r="N336" s="18" t="s">
        <v>2914</v>
      </c>
      <c r="O336" s="18" t="s">
        <v>1343</v>
      </c>
      <c r="P336" s="18" t="s">
        <v>2913</v>
      </c>
      <c r="Q336" s="3" t="s">
        <v>2856</v>
      </c>
    </row>
    <row r="337" spans="1:17" hidden="1">
      <c r="A337" s="21" t="s">
        <v>2903</v>
      </c>
      <c r="B337" s="22" t="s">
        <v>1515</v>
      </c>
      <c r="C337" s="21" t="s">
        <v>1904</v>
      </c>
      <c r="D337" s="21" t="s">
        <v>81</v>
      </c>
      <c r="E337" s="21" t="s">
        <v>1514</v>
      </c>
      <c r="F337" s="21" t="s">
        <v>1192</v>
      </c>
      <c r="G337" s="3" t="s">
        <v>1424</v>
      </c>
      <c r="H337" s="3" t="s">
        <v>7</v>
      </c>
      <c r="I337" s="3" t="s">
        <v>7</v>
      </c>
      <c r="J337" s="3" t="s">
        <v>7</v>
      </c>
      <c r="K337" s="3" t="s">
        <v>7</v>
      </c>
      <c r="L337" s="3" t="s">
        <v>7</v>
      </c>
      <c r="M337" s="18" t="s">
        <v>574</v>
      </c>
      <c r="N337" s="18" t="s">
        <v>575</v>
      </c>
      <c r="O337" s="18" t="s">
        <v>1342</v>
      </c>
      <c r="P337" s="18" t="s">
        <v>2913</v>
      </c>
      <c r="Q337" s="3" t="s">
        <v>2856</v>
      </c>
    </row>
    <row r="338" spans="1:17" hidden="1">
      <c r="A338" s="21">
        <v>0</v>
      </c>
      <c r="B338" s="22" t="s">
        <v>3287</v>
      </c>
      <c r="C338" s="21" t="s">
        <v>3288</v>
      </c>
      <c r="D338" s="21" t="s">
        <v>81</v>
      </c>
      <c r="E338" s="21" t="s">
        <v>3289</v>
      </c>
      <c r="F338" s="21" t="s">
        <v>1409</v>
      </c>
      <c r="G338" s="3" t="s">
        <v>1185</v>
      </c>
      <c r="H338" s="3" t="s">
        <v>7</v>
      </c>
      <c r="I338" s="3" t="s">
        <v>7</v>
      </c>
      <c r="J338" s="3" t="s">
        <v>55</v>
      </c>
      <c r="K338" s="3" t="s">
        <v>55</v>
      </c>
      <c r="L338" s="3" t="s">
        <v>55</v>
      </c>
      <c r="M338" s="2" t="s">
        <v>568</v>
      </c>
      <c r="N338" s="2" t="s">
        <v>3289</v>
      </c>
      <c r="O338" s="2">
        <v>0</v>
      </c>
      <c r="P338" s="2">
        <v>0</v>
      </c>
      <c r="Q338" s="3" t="s">
        <v>3199</v>
      </c>
    </row>
    <row r="339" spans="1:17" hidden="1">
      <c r="A339" s="21">
        <v>0</v>
      </c>
      <c r="B339" s="22" t="s">
        <v>3290</v>
      </c>
      <c r="C339" s="21" t="s">
        <v>3291</v>
      </c>
      <c r="D339" s="21" t="s">
        <v>81</v>
      </c>
      <c r="E339" s="21" t="s">
        <v>3289</v>
      </c>
      <c r="F339" s="21" t="s">
        <v>8</v>
      </c>
      <c r="G339" s="3" t="s">
        <v>1185</v>
      </c>
      <c r="H339" s="3" t="s">
        <v>7</v>
      </c>
      <c r="I339" s="3" t="s">
        <v>7</v>
      </c>
      <c r="J339" s="3" t="s">
        <v>7</v>
      </c>
      <c r="K339" s="3" t="s">
        <v>7</v>
      </c>
      <c r="L339" s="3" t="s">
        <v>7</v>
      </c>
      <c r="M339" s="2" t="s">
        <v>568</v>
      </c>
      <c r="N339" s="2" t="s">
        <v>3289</v>
      </c>
      <c r="O339" s="2">
        <v>0</v>
      </c>
      <c r="P339" s="2">
        <v>0</v>
      </c>
      <c r="Q339" s="3" t="s">
        <v>3199</v>
      </c>
    </row>
    <row r="340" spans="1:17" hidden="1">
      <c r="A340" s="21">
        <v>0</v>
      </c>
      <c r="B340" s="22" t="s">
        <v>3292</v>
      </c>
      <c r="C340" s="21" t="s">
        <v>3293</v>
      </c>
      <c r="D340" s="21" t="s">
        <v>81</v>
      </c>
      <c r="E340" s="21" t="s">
        <v>3289</v>
      </c>
      <c r="F340" s="21" t="s">
        <v>1180</v>
      </c>
      <c r="G340" s="3" t="s">
        <v>1185</v>
      </c>
      <c r="H340" s="3" t="s">
        <v>7</v>
      </c>
      <c r="I340" s="3" t="s">
        <v>7</v>
      </c>
      <c r="J340" s="3" t="s">
        <v>7</v>
      </c>
      <c r="K340" s="3" t="s">
        <v>7</v>
      </c>
      <c r="L340" s="3" t="s">
        <v>7</v>
      </c>
      <c r="M340" s="2" t="s">
        <v>568</v>
      </c>
      <c r="N340" s="2" t="s">
        <v>3289</v>
      </c>
      <c r="O340" s="2">
        <v>0</v>
      </c>
      <c r="P340" s="2">
        <v>0</v>
      </c>
      <c r="Q340" s="3" t="s">
        <v>3199</v>
      </c>
    </row>
    <row r="341" spans="1:17" hidden="1">
      <c r="A341" s="21" t="s">
        <v>2903</v>
      </c>
      <c r="B341" s="22" t="s">
        <v>2759</v>
      </c>
      <c r="C341" s="21" t="s">
        <v>2760</v>
      </c>
      <c r="D341" s="21" t="s">
        <v>81</v>
      </c>
      <c r="E341" s="21" t="s">
        <v>1514</v>
      </c>
      <c r="F341" s="21" t="s">
        <v>1192</v>
      </c>
      <c r="G341" s="3" t="s">
        <v>1189</v>
      </c>
      <c r="H341" s="3" t="s">
        <v>7</v>
      </c>
      <c r="I341" s="3" t="s">
        <v>7</v>
      </c>
      <c r="J341" s="3" t="s">
        <v>7</v>
      </c>
      <c r="K341" s="3" t="s">
        <v>7</v>
      </c>
      <c r="L341" s="3" t="s">
        <v>7</v>
      </c>
      <c r="M341" s="2" t="s">
        <v>574</v>
      </c>
      <c r="N341" s="2" t="s">
        <v>575</v>
      </c>
      <c r="O341" s="2" t="s">
        <v>1342</v>
      </c>
      <c r="P341" s="2" t="s">
        <v>2913</v>
      </c>
      <c r="Q341" s="3" t="s">
        <v>2856</v>
      </c>
    </row>
    <row r="342" spans="1:17" hidden="1">
      <c r="A342" s="21" t="s">
        <v>2903</v>
      </c>
      <c r="B342" s="22" t="s">
        <v>2761</v>
      </c>
      <c r="C342" s="21" t="s">
        <v>2762</v>
      </c>
      <c r="D342" s="21" t="s">
        <v>81</v>
      </c>
      <c r="E342" s="21" t="s">
        <v>1514</v>
      </c>
      <c r="F342" s="21" t="s">
        <v>1180</v>
      </c>
      <c r="G342" s="3" t="s">
        <v>1179</v>
      </c>
      <c r="H342" s="3" t="s">
        <v>7</v>
      </c>
      <c r="I342" s="3" t="s">
        <v>7</v>
      </c>
      <c r="J342" s="3" t="s">
        <v>7</v>
      </c>
      <c r="K342" s="3" t="s">
        <v>7</v>
      </c>
      <c r="L342" s="3" t="s">
        <v>7</v>
      </c>
      <c r="M342" s="2" t="s">
        <v>574</v>
      </c>
      <c r="N342" s="2" t="s">
        <v>575</v>
      </c>
      <c r="O342" s="2" t="s">
        <v>1342</v>
      </c>
      <c r="P342" s="2" t="s">
        <v>2913</v>
      </c>
      <c r="Q342" s="3" t="s">
        <v>2856</v>
      </c>
    </row>
    <row r="343" spans="1:17" hidden="1">
      <c r="A343" s="21" t="s">
        <v>2903</v>
      </c>
      <c r="B343" s="22" t="s">
        <v>2763</v>
      </c>
      <c r="C343" s="21" t="s">
        <v>2764</v>
      </c>
      <c r="D343" s="21" t="s">
        <v>81</v>
      </c>
      <c r="E343" s="21" t="s">
        <v>1514</v>
      </c>
      <c r="F343" s="21" t="s">
        <v>1180</v>
      </c>
      <c r="G343" s="3" t="s">
        <v>1186</v>
      </c>
      <c r="H343" s="3" t="s">
        <v>7</v>
      </c>
      <c r="I343" s="3" t="s">
        <v>7</v>
      </c>
      <c r="J343" s="3" t="s">
        <v>7</v>
      </c>
      <c r="K343" s="3" t="s">
        <v>7</v>
      </c>
      <c r="L343" s="3" t="s">
        <v>7</v>
      </c>
      <c r="M343" s="2" t="s">
        <v>574</v>
      </c>
      <c r="N343" s="2" t="s">
        <v>575</v>
      </c>
      <c r="O343" s="2" t="s">
        <v>1342</v>
      </c>
      <c r="P343" s="2" t="s">
        <v>2913</v>
      </c>
      <c r="Q343" s="3" t="s">
        <v>2856</v>
      </c>
    </row>
    <row r="344" spans="1:17" hidden="1">
      <c r="A344" s="21" t="s">
        <v>2903</v>
      </c>
      <c r="B344" s="22" t="s">
        <v>1516</v>
      </c>
      <c r="C344" s="21" t="s">
        <v>1906</v>
      </c>
      <c r="D344" s="21" t="s">
        <v>82</v>
      </c>
      <c r="E344" s="21" t="s">
        <v>822</v>
      </c>
      <c r="F344" s="21" t="s">
        <v>15</v>
      </c>
      <c r="G344" s="3" t="s">
        <v>1477</v>
      </c>
      <c r="H344" s="3" t="s">
        <v>3071</v>
      </c>
      <c r="I344" s="3" t="s">
        <v>3071</v>
      </c>
      <c r="J344" s="3" t="s">
        <v>3071</v>
      </c>
      <c r="K344" s="3" t="s">
        <v>3071</v>
      </c>
      <c r="L344" s="3" t="s">
        <v>7</v>
      </c>
      <c r="M344" s="2" t="s">
        <v>706</v>
      </c>
      <c r="N344" s="2" t="s">
        <v>707</v>
      </c>
      <c r="O344" s="2" t="s">
        <v>1346</v>
      </c>
      <c r="P344" s="2" t="s">
        <v>2917</v>
      </c>
      <c r="Q344" s="3" t="s">
        <v>2856</v>
      </c>
    </row>
    <row r="345" spans="1:17" hidden="1">
      <c r="A345" s="21" t="s">
        <v>2903</v>
      </c>
      <c r="B345" s="22" t="s">
        <v>968</v>
      </c>
      <c r="C345" s="21" t="s">
        <v>1907</v>
      </c>
      <c r="D345" s="21" t="s">
        <v>82</v>
      </c>
      <c r="E345" s="21" t="s">
        <v>822</v>
      </c>
      <c r="F345" s="21" t="s">
        <v>1180</v>
      </c>
      <c r="G345" s="3" t="s">
        <v>1188</v>
      </c>
      <c r="H345" s="3" t="s">
        <v>7</v>
      </c>
      <c r="I345" s="3" t="s">
        <v>7</v>
      </c>
      <c r="J345" s="3" t="s">
        <v>7</v>
      </c>
      <c r="K345" s="3" t="s">
        <v>7</v>
      </c>
      <c r="L345" s="3" t="s">
        <v>7</v>
      </c>
      <c r="M345" s="2" t="s">
        <v>706</v>
      </c>
      <c r="N345" s="2" t="s">
        <v>707</v>
      </c>
      <c r="O345" s="2" t="s">
        <v>1346</v>
      </c>
      <c r="P345" s="2" t="s">
        <v>2917</v>
      </c>
      <c r="Q345" s="3" t="s">
        <v>2856</v>
      </c>
    </row>
    <row r="346" spans="1:17" hidden="1">
      <c r="A346" s="21" t="s">
        <v>2903</v>
      </c>
      <c r="B346" s="22" t="s">
        <v>967</v>
      </c>
      <c r="C346" s="21" t="s">
        <v>1905</v>
      </c>
      <c r="D346" s="21" t="s">
        <v>82</v>
      </c>
      <c r="E346" s="21" t="s">
        <v>822</v>
      </c>
      <c r="F346" s="21" t="s">
        <v>1181</v>
      </c>
      <c r="G346" s="3" t="s">
        <v>1188</v>
      </c>
      <c r="H346" s="3" t="s">
        <v>3071</v>
      </c>
      <c r="I346" s="3" t="s">
        <v>7</v>
      </c>
      <c r="J346" s="3" t="s">
        <v>3071</v>
      </c>
      <c r="K346" s="3" t="s">
        <v>3071</v>
      </c>
      <c r="L346" s="3" t="s">
        <v>7</v>
      </c>
      <c r="M346" s="2" t="s">
        <v>706</v>
      </c>
      <c r="N346" s="2" t="s">
        <v>707</v>
      </c>
      <c r="O346" s="2" t="s">
        <v>1346</v>
      </c>
      <c r="P346" s="2" t="s">
        <v>2917</v>
      </c>
      <c r="Q346" s="3" t="s">
        <v>2856</v>
      </c>
    </row>
    <row r="347" spans="1:17" hidden="1">
      <c r="A347" s="21" t="s">
        <v>2903</v>
      </c>
      <c r="B347" s="22" t="s">
        <v>969</v>
      </c>
      <c r="C347" s="21" t="s">
        <v>2767</v>
      </c>
      <c r="D347" s="21" t="s">
        <v>82</v>
      </c>
      <c r="E347" s="21" t="s">
        <v>823</v>
      </c>
      <c r="F347" s="21" t="s">
        <v>1180</v>
      </c>
      <c r="G347" s="3" t="s">
        <v>1188</v>
      </c>
      <c r="H347" s="3" t="s">
        <v>7</v>
      </c>
      <c r="I347" s="3" t="s">
        <v>7</v>
      </c>
      <c r="J347" s="3" t="s">
        <v>7</v>
      </c>
      <c r="K347" s="3" t="s">
        <v>7</v>
      </c>
      <c r="L347" s="3" t="s">
        <v>7</v>
      </c>
      <c r="M347" s="2" t="s">
        <v>584</v>
      </c>
      <c r="N347" s="2" t="s">
        <v>585</v>
      </c>
      <c r="O347" s="2" t="s">
        <v>1346</v>
      </c>
      <c r="P347" s="2" t="s">
        <v>2917</v>
      </c>
      <c r="Q347" s="3" t="s">
        <v>2856</v>
      </c>
    </row>
    <row r="348" spans="1:17" hidden="1">
      <c r="A348" s="21" t="s">
        <v>2903</v>
      </c>
      <c r="B348" s="22" t="s">
        <v>970</v>
      </c>
      <c r="C348" s="21" t="s">
        <v>1908</v>
      </c>
      <c r="D348" s="21" t="s">
        <v>82</v>
      </c>
      <c r="E348" s="21" t="s">
        <v>823</v>
      </c>
      <c r="F348" s="21" t="s">
        <v>1192</v>
      </c>
      <c r="G348" s="3" t="s">
        <v>1178</v>
      </c>
      <c r="H348" s="3" t="s">
        <v>7</v>
      </c>
      <c r="I348" s="3" t="s">
        <v>7</v>
      </c>
      <c r="J348" s="3" t="s">
        <v>7</v>
      </c>
      <c r="K348" s="3" t="s">
        <v>7</v>
      </c>
      <c r="L348" s="3" t="s">
        <v>7</v>
      </c>
      <c r="M348" s="2" t="s">
        <v>584</v>
      </c>
      <c r="N348" s="2" t="s">
        <v>585</v>
      </c>
      <c r="O348" s="2" t="s">
        <v>1346</v>
      </c>
      <c r="P348" s="2" t="s">
        <v>2917</v>
      </c>
      <c r="Q348" s="3" t="s">
        <v>2856</v>
      </c>
    </row>
    <row r="349" spans="1:17" hidden="1">
      <c r="A349" s="21" t="s">
        <v>2903</v>
      </c>
      <c r="B349" s="22" t="s">
        <v>2765</v>
      </c>
      <c r="C349" s="21" t="s">
        <v>2766</v>
      </c>
      <c r="D349" s="21" t="s">
        <v>82</v>
      </c>
      <c r="E349" s="21" t="s">
        <v>823</v>
      </c>
      <c r="F349" s="21" t="s">
        <v>1181</v>
      </c>
      <c r="G349" s="3" t="s">
        <v>1179</v>
      </c>
      <c r="H349" s="3" t="s">
        <v>3071</v>
      </c>
      <c r="I349" s="3" t="s">
        <v>7</v>
      </c>
      <c r="J349" s="3" t="s">
        <v>3071</v>
      </c>
      <c r="K349" s="3" t="s">
        <v>3071</v>
      </c>
      <c r="L349" s="3" t="s">
        <v>7</v>
      </c>
      <c r="M349" s="2" t="s">
        <v>584</v>
      </c>
      <c r="N349" s="2" t="s">
        <v>585</v>
      </c>
      <c r="O349" s="2" t="s">
        <v>1346</v>
      </c>
      <c r="P349" s="2" t="s">
        <v>2917</v>
      </c>
      <c r="Q349" s="3" t="s">
        <v>2856</v>
      </c>
    </row>
    <row r="350" spans="1:17" hidden="1">
      <c r="A350" s="21" t="s">
        <v>2903</v>
      </c>
      <c r="B350" s="22" t="s">
        <v>1518</v>
      </c>
      <c r="C350" s="21" t="s">
        <v>1911</v>
      </c>
      <c r="D350" s="21" t="s">
        <v>83</v>
      </c>
      <c r="E350" s="21" t="s">
        <v>824</v>
      </c>
      <c r="F350" s="21" t="s">
        <v>1180</v>
      </c>
      <c r="G350" s="3" t="s">
        <v>1449</v>
      </c>
      <c r="H350" s="3" t="s">
        <v>7</v>
      </c>
      <c r="I350" s="3" t="s">
        <v>7</v>
      </c>
      <c r="J350" s="3" t="s">
        <v>7</v>
      </c>
      <c r="K350" s="3" t="s">
        <v>7</v>
      </c>
      <c r="L350" s="3" t="s">
        <v>7</v>
      </c>
      <c r="M350" s="2" t="s">
        <v>552</v>
      </c>
      <c r="N350" s="2" t="s">
        <v>553</v>
      </c>
      <c r="O350" s="2" t="s">
        <v>1346</v>
      </c>
      <c r="P350" s="2" t="s">
        <v>2917</v>
      </c>
      <c r="Q350" s="3" t="s">
        <v>2856</v>
      </c>
    </row>
    <row r="351" spans="1:17" hidden="1">
      <c r="A351" s="21" t="s">
        <v>2903</v>
      </c>
      <c r="B351" s="22" t="s">
        <v>971</v>
      </c>
      <c r="C351" s="21" t="s">
        <v>1909</v>
      </c>
      <c r="D351" s="21" t="s">
        <v>83</v>
      </c>
      <c r="E351" s="21" t="s">
        <v>824</v>
      </c>
      <c r="F351" s="21" t="s">
        <v>8</v>
      </c>
      <c r="G351" s="3" t="s">
        <v>1412</v>
      </c>
      <c r="H351" s="3" t="s">
        <v>7</v>
      </c>
      <c r="I351" s="3" t="s">
        <v>7</v>
      </c>
      <c r="J351" s="3" t="s">
        <v>7</v>
      </c>
      <c r="K351" s="3" t="s">
        <v>7</v>
      </c>
      <c r="L351" s="3" t="s">
        <v>7</v>
      </c>
      <c r="M351" s="2" t="s">
        <v>552</v>
      </c>
      <c r="N351" s="2" t="s">
        <v>553</v>
      </c>
      <c r="O351" s="2" t="s">
        <v>1346</v>
      </c>
      <c r="P351" s="2" t="s">
        <v>2917</v>
      </c>
      <c r="Q351" s="3" t="s">
        <v>2856</v>
      </c>
    </row>
    <row r="352" spans="1:17" hidden="1">
      <c r="A352" s="21" t="s">
        <v>2903</v>
      </c>
      <c r="B352" s="22" t="s">
        <v>1517</v>
      </c>
      <c r="C352" s="21" t="s">
        <v>1910</v>
      </c>
      <c r="D352" s="21" t="s">
        <v>83</v>
      </c>
      <c r="E352" s="21" t="s">
        <v>824</v>
      </c>
      <c r="F352" s="21" t="s">
        <v>1181</v>
      </c>
      <c r="G352" s="3" t="s">
        <v>1485</v>
      </c>
      <c r="H352" s="3" t="s">
        <v>3071</v>
      </c>
      <c r="I352" s="3" t="s">
        <v>7</v>
      </c>
      <c r="J352" s="3" t="s">
        <v>3071</v>
      </c>
      <c r="K352" s="3" t="s">
        <v>3071</v>
      </c>
      <c r="L352" s="3" t="s">
        <v>7</v>
      </c>
      <c r="M352" s="2" t="s">
        <v>552</v>
      </c>
      <c r="N352" s="2" t="s">
        <v>553</v>
      </c>
      <c r="O352" s="2" t="s">
        <v>1346</v>
      </c>
      <c r="P352" s="2" t="s">
        <v>2917</v>
      </c>
      <c r="Q352" s="3" t="s">
        <v>2856</v>
      </c>
    </row>
    <row r="353" spans="1:17" hidden="1">
      <c r="A353" s="21" t="s">
        <v>2903</v>
      </c>
      <c r="B353" s="22" t="s">
        <v>3152</v>
      </c>
      <c r="C353" s="21" t="s">
        <v>3153</v>
      </c>
      <c r="D353" s="21" t="s">
        <v>84</v>
      </c>
      <c r="E353" s="21" t="s">
        <v>825</v>
      </c>
      <c r="F353" s="21" t="s">
        <v>1192</v>
      </c>
      <c r="G353" s="3" t="s">
        <v>1179</v>
      </c>
      <c r="H353" s="3" t="s">
        <v>7</v>
      </c>
      <c r="I353" s="3" t="s">
        <v>7</v>
      </c>
      <c r="J353" s="3" t="s">
        <v>7</v>
      </c>
      <c r="K353" s="3" t="s">
        <v>7</v>
      </c>
      <c r="L353" s="3" t="s">
        <v>7</v>
      </c>
      <c r="M353" s="2" t="s">
        <v>1237</v>
      </c>
      <c r="N353" s="2" t="s">
        <v>1382</v>
      </c>
      <c r="O353" s="2" t="s">
        <v>2938</v>
      </c>
      <c r="P353" s="2" t="s">
        <v>2923</v>
      </c>
      <c r="Q353" s="3" t="s">
        <v>2856</v>
      </c>
    </row>
    <row r="354" spans="1:17" hidden="1">
      <c r="A354" s="21" t="s">
        <v>2903</v>
      </c>
      <c r="B354" s="22" t="s">
        <v>3156</v>
      </c>
      <c r="C354" s="21" t="s">
        <v>3157</v>
      </c>
      <c r="D354" s="21" t="s">
        <v>84</v>
      </c>
      <c r="E354" s="21" t="s">
        <v>825</v>
      </c>
      <c r="F354" s="21" t="s">
        <v>1180</v>
      </c>
      <c r="G354" s="3" t="s">
        <v>1179</v>
      </c>
      <c r="H354" s="3" t="s">
        <v>7</v>
      </c>
      <c r="I354" s="3" t="s">
        <v>7</v>
      </c>
      <c r="J354" s="3" t="s">
        <v>7</v>
      </c>
      <c r="K354" s="3" t="s">
        <v>7</v>
      </c>
      <c r="L354" s="3" t="s">
        <v>7</v>
      </c>
      <c r="M354" s="2" t="s">
        <v>1237</v>
      </c>
      <c r="N354" s="2" t="s">
        <v>1382</v>
      </c>
      <c r="O354" s="2" t="s">
        <v>2938</v>
      </c>
      <c r="P354" s="2" t="s">
        <v>2923</v>
      </c>
      <c r="Q354" s="3" t="s">
        <v>2856</v>
      </c>
    </row>
    <row r="355" spans="1:17" hidden="1">
      <c r="A355" s="21" t="s">
        <v>2903</v>
      </c>
      <c r="B355" s="22" t="s">
        <v>3154</v>
      </c>
      <c r="C355" s="21" t="s">
        <v>3155</v>
      </c>
      <c r="D355" s="21" t="s">
        <v>84</v>
      </c>
      <c r="E355" s="21" t="s">
        <v>825</v>
      </c>
      <c r="F355" s="21" t="s">
        <v>1181</v>
      </c>
      <c r="G355" s="3" t="s">
        <v>1179</v>
      </c>
      <c r="H355" s="3" t="s">
        <v>3071</v>
      </c>
      <c r="I355" s="3" t="s">
        <v>7</v>
      </c>
      <c r="J355" s="3" t="s">
        <v>3071</v>
      </c>
      <c r="K355" s="3" t="s">
        <v>3071</v>
      </c>
      <c r="L355" s="3" t="s">
        <v>7</v>
      </c>
      <c r="M355" s="2" t="s">
        <v>1237</v>
      </c>
      <c r="N355" s="2" t="s">
        <v>1382</v>
      </c>
      <c r="O355" s="2" t="s">
        <v>2938</v>
      </c>
      <c r="P355" s="2" t="s">
        <v>2923</v>
      </c>
      <c r="Q355" s="3" t="s">
        <v>2856</v>
      </c>
    </row>
    <row r="356" spans="1:17" hidden="1">
      <c r="A356" s="21" t="s">
        <v>2946</v>
      </c>
      <c r="B356" s="22" t="s">
        <v>1519</v>
      </c>
      <c r="C356" s="21" t="s">
        <v>1912</v>
      </c>
      <c r="D356" s="21" t="s">
        <v>85</v>
      </c>
      <c r="E356" s="21" t="s">
        <v>86</v>
      </c>
      <c r="F356" s="21" t="s">
        <v>1192</v>
      </c>
      <c r="G356" s="3" t="s">
        <v>1419</v>
      </c>
      <c r="H356" s="3" t="s">
        <v>7</v>
      </c>
      <c r="I356" s="3" t="s">
        <v>7</v>
      </c>
      <c r="J356" s="3" t="s">
        <v>7</v>
      </c>
      <c r="K356" s="3" t="s">
        <v>7</v>
      </c>
      <c r="L356" s="3" t="s">
        <v>7</v>
      </c>
      <c r="M356" s="2" t="s">
        <v>406</v>
      </c>
      <c r="N356" s="2" t="s">
        <v>407</v>
      </c>
      <c r="O356" s="2" t="s">
        <v>1387</v>
      </c>
      <c r="P356" s="2" t="s">
        <v>2947</v>
      </c>
      <c r="Q356" s="3" t="s">
        <v>2856</v>
      </c>
    </row>
    <row r="357" spans="1:17" hidden="1">
      <c r="A357" s="21" t="s">
        <v>2946</v>
      </c>
      <c r="B357" s="22" t="s">
        <v>972</v>
      </c>
      <c r="C357" s="21" t="s">
        <v>1913</v>
      </c>
      <c r="D357" s="21" t="s">
        <v>85</v>
      </c>
      <c r="E357" s="21" t="s">
        <v>86</v>
      </c>
      <c r="F357" s="21" t="s">
        <v>1192</v>
      </c>
      <c r="G357" s="3" t="s">
        <v>1430</v>
      </c>
      <c r="H357" s="3" t="s">
        <v>7</v>
      </c>
      <c r="I357" s="3" t="s">
        <v>7</v>
      </c>
      <c r="J357" s="3" t="s">
        <v>7</v>
      </c>
      <c r="K357" s="3" t="s">
        <v>7</v>
      </c>
      <c r="L357" s="3" t="s">
        <v>7</v>
      </c>
      <c r="M357" s="2" t="s">
        <v>406</v>
      </c>
      <c r="N357" s="2" t="s">
        <v>407</v>
      </c>
      <c r="O357" s="2" t="s">
        <v>1387</v>
      </c>
      <c r="P357" s="2" t="s">
        <v>2947</v>
      </c>
      <c r="Q357" s="3" t="s">
        <v>2856</v>
      </c>
    </row>
    <row r="358" spans="1:17" hidden="1">
      <c r="A358" s="21" t="s">
        <v>2946</v>
      </c>
      <c r="B358" s="22" t="s">
        <v>1520</v>
      </c>
      <c r="C358" s="21" t="s">
        <v>1914</v>
      </c>
      <c r="D358" s="21" t="s">
        <v>85</v>
      </c>
      <c r="E358" s="21" t="s">
        <v>86</v>
      </c>
      <c r="F358" s="21" t="s">
        <v>1180</v>
      </c>
      <c r="G358" s="3" t="s">
        <v>1457</v>
      </c>
      <c r="H358" s="3" t="s">
        <v>7</v>
      </c>
      <c r="I358" s="3" t="s">
        <v>7</v>
      </c>
      <c r="J358" s="3" t="s">
        <v>7</v>
      </c>
      <c r="K358" s="3" t="s">
        <v>7</v>
      </c>
      <c r="L358" s="3" t="s">
        <v>7</v>
      </c>
      <c r="M358" s="2" t="s">
        <v>406</v>
      </c>
      <c r="N358" s="2" t="s">
        <v>407</v>
      </c>
      <c r="O358" s="2" t="s">
        <v>1387</v>
      </c>
      <c r="P358" s="2" t="s">
        <v>2947</v>
      </c>
      <c r="Q358" s="3" t="s">
        <v>2856</v>
      </c>
    </row>
    <row r="359" spans="1:17" hidden="1">
      <c r="A359" s="21" t="s">
        <v>2946</v>
      </c>
      <c r="B359" s="22" t="s">
        <v>1915</v>
      </c>
      <c r="C359" s="21" t="s">
        <v>1916</v>
      </c>
      <c r="D359" s="21" t="s">
        <v>87</v>
      </c>
      <c r="E359" s="21" t="s">
        <v>88</v>
      </c>
      <c r="F359" s="21" t="s">
        <v>1192</v>
      </c>
      <c r="G359" s="3" t="s">
        <v>1410</v>
      </c>
      <c r="H359" s="3" t="s">
        <v>55</v>
      </c>
      <c r="I359" s="3" t="s">
        <v>55</v>
      </c>
      <c r="J359" s="3" t="s">
        <v>55</v>
      </c>
      <c r="K359" s="3" t="s">
        <v>55</v>
      </c>
      <c r="L359" s="3" t="s">
        <v>55</v>
      </c>
      <c r="M359" s="2" t="s">
        <v>358</v>
      </c>
      <c r="N359" s="2" t="s">
        <v>359</v>
      </c>
      <c r="O359" s="2" t="s">
        <v>1387</v>
      </c>
      <c r="P359" s="2" t="s">
        <v>2947</v>
      </c>
      <c r="Q359" s="3" t="s">
        <v>2856</v>
      </c>
    </row>
    <row r="360" spans="1:17" hidden="1">
      <c r="A360" s="21" t="s">
        <v>2946</v>
      </c>
      <c r="B360" s="22" t="s">
        <v>2720</v>
      </c>
      <c r="C360" s="21" t="s">
        <v>2721</v>
      </c>
      <c r="D360" s="21" t="s">
        <v>87</v>
      </c>
      <c r="E360" s="21" t="s">
        <v>88</v>
      </c>
      <c r="F360" s="21" t="s">
        <v>1192</v>
      </c>
      <c r="G360" s="3" t="s">
        <v>1189</v>
      </c>
      <c r="H360" s="3" t="s">
        <v>55</v>
      </c>
      <c r="I360" s="3" t="s">
        <v>55</v>
      </c>
      <c r="J360" s="3" t="s">
        <v>55</v>
      </c>
      <c r="K360" s="3" t="s">
        <v>55</v>
      </c>
      <c r="L360" s="3" t="s">
        <v>55</v>
      </c>
      <c r="M360" s="2" t="s">
        <v>358</v>
      </c>
      <c r="N360" s="2" t="s">
        <v>359</v>
      </c>
      <c r="O360" s="2" t="s">
        <v>1387</v>
      </c>
      <c r="P360" s="2" t="s">
        <v>2947</v>
      </c>
      <c r="Q360" s="3" t="s">
        <v>2856</v>
      </c>
    </row>
    <row r="361" spans="1:17" hidden="1">
      <c r="A361" s="21" t="s">
        <v>2946</v>
      </c>
      <c r="B361" s="22" t="s">
        <v>2718</v>
      </c>
      <c r="C361" s="21" t="s">
        <v>2719</v>
      </c>
      <c r="D361" s="21" t="s">
        <v>87</v>
      </c>
      <c r="E361" s="21" t="s">
        <v>88</v>
      </c>
      <c r="F361" s="21" t="s">
        <v>1180</v>
      </c>
      <c r="G361" s="3" t="s">
        <v>1186</v>
      </c>
      <c r="H361" s="3" t="s">
        <v>7</v>
      </c>
      <c r="I361" s="3" t="s">
        <v>7</v>
      </c>
      <c r="J361" s="3" t="s">
        <v>7</v>
      </c>
      <c r="K361" s="3" t="s">
        <v>7</v>
      </c>
      <c r="L361" s="3" t="s">
        <v>7</v>
      </c>
      <c r="M361" s="2" t="s">
        <v>358</v>
      </c>
      <c r="N361" s="2" t="s">
        <v>359</v>
      </c>
      <c r="O361" s="2" t="s">
        <v>1387</v>
      </c>
      <c r="P361" s="2" t="s">
        <v>2947</v>
      </c>
      <c r="Q361" s="3" t="s">
        <v>2856</v>
      </c>
    </row>
    <row r="362" spans="1:17" hidden="1">
      <c r="A362" s="21" t="s">
        <v>2946</v>
      </c>
      <c r="B362" s="22" t="s">
        <v>1521</v>
      </c>
      <c r="C362" s="21" t="s">
        <v>1917</v>
      </c>
      <c r="D362" s="21" t="s">
        <v>802</v>
      </c>
      <c r="E362" s="21" t="s">
        <v>89</v>
      </c>
      <c r="F362" s="21" t="s">
        <v>1409</v>
      </c>
      <c r="G362" s="3" t="s">
        <v>1477</v>
      </c>
      <c r="H362" s="3" t="s">
        <v>7</v>
      </c>
      <c r="I362" s="3" t="s">
        <v>7</v>
      </c>
      <c r="J362" s="3" t="s">
        <v>7</v>
      </c>
      <c r="K362" s="3" t="s">
        <v>7</v>
      </c>
      <c r="L362" s="3" t="s">
        <v>7</v>
      </c>
      <c r="M362" s="2" t="s">
        <v>356</v>
      </c>
      <c r="N362" s="2" t="s">
        <v>357</v>
      </c>
      <c r="O362" s="2" t="s">
        <v>1395</v>
      </c>
      <c r="P362" s="2" t="s">
        <v>2955</v>
      </c>
      <c r="Q362" s="3" t="s">
        <v>2856</v>
      </c>
    </row>
    <row r="363" spans="1:17" hidden="1">
      <c r="A363" s="21" t="s">
        <v>2946</v>
      </c>
      <c r="B363" s="22" t="s">
        <v>973</v>
      </c>
      <c r="C363" s="21" t="s">
        <v>1918</v>
      </c>
      <c r="D363" s="21" t="s">
        <v>802</v>
      </c>
      <c r="E363" s="21" t="s">
        <v>89</v>
      </c>
      <c r="F363" s="21" t="s">
        <v>1180</v>
      </c>
      <c r="G363" s="3" t="s">
        <v>1430</v>
      </c>
      <c r="H363" s="3" t="s">
        <v>7</v>
      </c>
      <c r="I363" s="3" t="s">
        <v>7</v>
      </c>
      <c r="J363" s="3" t="s">
        <v>7</v>
      </c>
      <c r="K363" s="3" t="s">
        <v>7</v>
      </c>
      <c r="L363" s="3" t="s">
        <v>7</v>
      </c>
      <c r="M363" s="2" t="s">
        <v>356</v>
      </c>
      <c r="N363" s="2" t="s">
        <v>357</v>
      </c>
      <c r="O363" s="2" t="s">
        <v>1395</v>
      </c>
      <c r="P363" s="2" t="s">
        <v>2955</v>
      </c>
      <c r="Q363" s="3" t="s">
        <v>2856</v>
      </c>
    </row>
    <row r="364" spans="1:17" hidden="1">
      <c r="A364" s="21" t="s">
        <v>2946</v>
      </c>
      <c r="B364" s="22" t="s">
        <v>1522</v>
      </c>
      <c r="C364" s="21" t="s">
        <v>1919</v>
      </c>
      <c r="D364" s="21" t="s">
        <v>802</v>
      </c>
      <c r="E364" s="21" t="s">
        <v>89</v>
      </c>
      <c r="F364" s="21" t="s">
        <v>1180</v>
      </c>
      <c r="G364" s="3" t="s">
        <v>1419</v>
      </c>
      <c r="H364" s="3" t="s">
        <v>7</v>
      </c>
      <c r="I364" s="3" t="s">
        <v>7</v>
      </c>
      <c r="J364" s="3" t="s">
        <v>7</v>
      </c>
      <c r="K364" s="3" t="s">
        <v>7</v>
      </c>
      <c r="L364" s="3" t="s">
        <v>7</v>
      </c>
      <c r="M364" s="2" t="s">
        <v>356</v>
      </c>
      <c r="N364" s="2" t="s">
        <v>357</v>
      </c>
      <c r="O364" s="2" t="s">
        <v>1395</v>
      </c>
      <c r="P364" s="2" t="s">
        <v>2955</v>
      </c>
      <c r="Q364" s="3" t="s">
        <v>2856</v>
      </c>
    </row>
    <row r="365" spans="1:17" hidden="1">
      <c r="A365" s="63" t="s">
        <v>2946</v>
      </c>
      <c r="B365" s="65" t="s">
        <v>1525</v>
      </c>
      <c r="C365" s="63" t="s">
        <v>1920</v>
      </c>
      <c r="D365" s="63" t="s">
        <v>1523</v>
      </c>
      <c r="E365" s="63" t="s">
        <v>1524</v>
      </c>
      <c r="F365" s="63" t="s">
        <v>1192</v>
      </c>
      <c r="G365" s="3" t="s">
        <v>1432</v>
      </c>
      <c r="H365" s="3" t="s">
        <v>7</v>
      </c>
      <c r="I365" s="3" t="s">
        <v>7</v>
      </c>
      <c r="J365" s="3" t="s">
        <v>7</v>
      </c>
      <c r="K365" s="3" t="s">
        <v>7</v>
      </c>
      <c r="L365" s="3" t="s">
        <v>7</v>
      </c>
      <c r="M365" s="63" t="s">
        <v>400</v>
      </c>
      <c r="N365" s="63" t="s">
        <v>401</v>
      </c>
      <c r="O365" s="63" t="s">
        <v>1398</v>
      </c>
      <c r="P365" s="63" t="s">
        <v>2955</v>
      </c>
      <c r="Q365" s="64" t="s">
        <v>2856</v>
      </c>
    </row>
    <row r="366" spans="1:17" hidden="1">
      <c r="A366" s="21" t="s">
        <v>2946</v>
      </c>
      <c r="B366" s="22" t="s">
        <v>1527</v>
      </c>
      <c r="C366" s="21" t="s">
        <v>1922</v>
      </c>
      <c r="D366" s="21" t="s">
        <v>1523</v>
      </c>
      <c r="E366" s="21" t="s">
        <v>1524</v>
      </c>
      <c r="F366" s="21" t="s">
        <v>1180</v>
      </c>
      <c r="G366" s="3" t="s">
        <v>1477</v>
      </c>
      <c r="H366" s="3" t="s">
        <v>7</v>
      </c>
      <c r="I366" s="3" t="s">
        <v>7</v>
      </c>
      <c r="J366" s="3" t="s">
        <v>7</v>
      </c>
      <c r="K366" s="3" t="s">
        <v>7</v>
      </c>
      <c r="L366" s="3" t="s">
        <v>7</v>
      </c>
      <c r="M366" s="2" t="s">
        <v>400</v>
      </c>
      <c r="N366" s="2" t="s">
        <v>401</v>
      </c>
      <c r="O366" s="2" t="s">
        <v>1398</v>
      </c>
      <c r="P366" s="2" t="s">
        <v>2955</v>
      </c>
      <c r="Q366" s="3" t="s">
        <v>2856</v>
      </c>
    </row>
    <row r="367" spans="1:17" hidden="1">
      <c r="A367" s="21" t="s">
        <v>2946</v>
      </c>
      <c r="B367" s="22" t="s">
        <v>1526</v>
      </c>
      <c r="C367" s="21" t="s">
        <v>1921</v>
      </c>
      <c r="D367" s="21" t="s">
        <v>1523</v>
      </c>
      <c r="E367" s="21" t="s">
        <v>1524</v>
      </c>
      <c r="F367" s="21" t="s">
        <v>1192</v>
      </c>
      <c r="G367" s="3" t="s">
        <v>1457</v>
      </c>
      <c r="H367" s="3" t="s">
        <v>7</v>
      </c>
      <c r="I367" s="3" t="s">
        <v>7</v>
      </c>
      <c r="J367" s="3" t="s">
        <v>7</v>
      </c>
      <c r="K367" s="3" t="s">
        <v>7</v>
      </c>
      <c r="L367" s="3" t="s">
        <v>7</v>
      </c>
      <c r="M367" s="2" t="s">
        <v>400</v>
      </c>
      <c r="N367" s="2" t="s">
        <v>401</v>
      </c>
      <c r="O367" s="2" t="s">
        <v>1398</v>
      </c>
      <c r="P367" s="2" t="s">
        <v>2955</v>
      </c>
      <c r="Q367" s="3" t="s">
        <v>2856</v>
      </c>
    </row>
    <row r="368" spans="1:17" hidden="1">
      <c r="A368" s="21">
        <v>0</v>
      </c>
      <c r="B368" s="22" t="s">
        <v>3294</v>
      </c>
      <c r="C368" s="21" t="s">
        <v>3295</v>
      </c>
      <c r="D368" s="21" t="s">
        <v>3296</v>
      </c>
      <c r="E368" s="21" t="s">
        <v>3297</v>
      </c>
      <c r="F368" s="21" t="s">
        <v>1180</v>
      </c>
      <c r="G368" s="3" t="s">
        <v>1430</v>
      </c>
      <c r="H368" s="3" t="s">
        <v>7</v>
      </c>
      <c r="I368" s="3" t="s">
        <v>7</v>
      </c>
      <c r="J368" s="3" t="s">
        <v>7</v>
      </c>
      <c r="K368" s="3" t="s">
        <v>7</v>
      </c>
      <c r="L368" s="3" t="s">
        <v>7</v>
      </c>
      <c r="M368" s="2" t="s">
        <v>380</v>
      </c>
      <c r="N368" s="2" t="s">
        <v>3297</v>
      </c>
      <c r="O368" s="2">
        <v>0</v>
      </c>
      <c r="P368" s="2">
        <v>0</v>
      </c>
      <c r="Q368" s="3" t="s">
        <v>3199</v>
      </c>
    </row>
    <row r="369" spans="1:17" hidden="1">
      <c r="A369" s="21">
        <v>0</v>
      </c>
      <c r="B369" s="22" t="s">
        <v>3298</v>
      </c>
      <c r="C369" s="21" t="s">
        <v>3299</v>
      </c>
      <c r="D369" s="21" t="s">
        <v>3296</v>
      </c>
      <c r="E369" s="21" t="s">
        <v>3297</v>
      </c>
      <c r="F369" s="21" t="s">
        <v>8</v>
      </c>
      <c r="G369" s="3" t="s">
        <v>1419</v>
      </c>
      <c r="H369" s="3" t="s">
        <v>7</v>
      </c>
      <c r="I369" s="3" t="s">
        <v>7</v>
      </c>
      <c r="J369" s="3" t="s">
        <v>7</v>
      </c>
      <c r="K369" s="3" t="s">
        <v>7</v>
      </c>
      <c r="L369" s="3" t="s">
        <v>7</v>
      </c>
      <c r="M369" s="2" t="s">
        <v>380</v>
      </c>
      <c r="N369" s="2" t="s">
        <v>3297</v>
      </c>
      <c r="O369" s="2">
        <v>0</v>
      </c>
      <c r="P369" s="2">
        <v>0</v>
      </c>
      <c r="Q369" s="3" t="s">
        <v>3199</v>
      </c>
    </row>
    <row r="370" spans="1:17" hidden="1">
      <c r="A370" s="21">
        <v>0</v>
      </c>
      <c r="B370" s="22" t="s">
        <v>3300</v>
      </c>
      <c r="C370" s="21" t="s">
        <v>3301</v>
      </c>
      <c r="D370" s="21" t="s">
        <v>3296</v>
      </c>
      <c r="E370" s="21" t="s">
        <v>3297</v>
      </c>
      <c r="F370" s="21" t="s">
        <v>1180</v>
      </c>
      <c r="G370" s="3" t="s">
        <v>1419</v>
      </c>
      <c r="H370" s="3" t="s">
        <v>7</v>
      </c>
      <c r="I370" s="3" t="s">
        <v>7</v>
      </c>
      <c r="J370" s="3" t="s">
        <v>7</v>
      </c>
      <c r="K370" s="3" t="s">
        <v>7</v>
      </c>
      <c r="L370" s="3" t="s">
        <v>7</v>
      </c>
      <c r="M370" s="2" t="s">
        <v>380</v>
      </c>
      <c r="N370" s="2" t="s">
        <v>3297</v>
      </c>
      <c r="O370" s="2">
        <v>0</v>
      </c>
      <c r="P370" s="2">
        <v>0</v>
      </c>
      <c r="Q370" s="3" t="s">
        <v>3199</v>
      </c>
    </row>
    <row r="371" spans="1:17" hidden="1">
      <c r="A371" s="21" t="s">
        <v>2946</v>
      </c>
      <c r="B371" s="22" t="s">
        <v>1528</v>
      </c>
      <c r="C371" s="21" t="s">
        <v>1924</v>
      </c>
      <c r="D371" s="21" t="s">
        <v>90</v>
      </c>
      <c r="E371" s="21" t="s">
        <v>91</v>
      </c>
      <c r="F371" s="21" t="s">
        <v>15</v>
      </c>
      <c r="G371" s="3" t="s">
        <v>1485</v>
      </c>
      <c r="H371" s="3" t="s">
        <v>3071</v>
      </c>
      <c r="I371" s="3" t="s">
        <v>3071</v>
      </c>
      <c r="J371" s="3" t="s">
        <v>3071</v>
      </c>
      <c r="K371" s="3" t="s">
        <v>3071</v>
      </c>
      <c r="L371" s="3" t="s">
        <v>7</v>
      </c>
      <c r="M371" s="2" t="s">
        <v>370</v>
      </c>
      <c r="N371" s="2" t="s">
        <v>371</v>
      </c>
      <c r="O371" s="2" t="s">
        <v>1401</v>
      </c>
      <c r="P371" s="2" t="s">
        <v>2956</v>
      </c>
      <c r="Q371" s="3" t="s">
        <v>2856</v>
      </c>
    </row>
    <row r="372" spans="1:17" hidden="1">
      <c r="A372" s="2" t="s">
        <v>2946</v>
      </c>
      <c r="B372" s="1" t="s">
        <v>1200</v>
      </c>
      <c r="C372" s="2" t="s">
        <v>1923</v>
      </c>
      <c r="D372" s="2" t="s">
        <v>90</v>
      </c>
      <c r="E372" s="2" t="s">
        <v>91</v>
      </c>
      <c r="F372" s="2" t="s">
        <v>1192</v>
      </c>
      <c r="G372" s="3" t="s">
        <v>1185</v>
      </c>
      <c r="H372" s="3" t="s">
        <v>7</v>
      </c>
      <c r="I372" s="3" t="s">
        <v>7</v>
      </c>
      <c r="J372" s="3" t="s">
        <v>7</v>
      </c>
      <c r="K372" s="3" t="s">
        <v>7</v>
      </c>
      <c r="L372" s="3" t="s">
        <v>7</v>
      </c>
      <c r="M372" s="2" t="s">
        <v>370</v>
      </c>
      <c r="N372" s="2" t="s">
        <v>371</v>
      </c>
      <c r="O372" s="2" t="s">
        <v>1401</v>
      </c>
      <c r="P372" s="2" t="s">
        <v>2956</v>
      </c>
      <c r="Q372" s="3" t="s">
        <v>2856</v>
      </c>
    </row>
    <row r="373" spans="1:17" hidden="1">
      <c r="A373" s="2" t="s">
        <v>2946</v>
      </c>
      <c r="B373" s="1" t="s">
        <v>2458</v>
      </c>
      <c r="C373" s="2" t="s">
        <v>2459</v>
      </c>
      <c r="D373" s="2" t="s">
        <v>1530</v>
      </c>
      <c r="E373" s="2" t="s">
        <v>1531</v>
      </c>
      <c r="F373" s="2" t="s">
        <v>2460</v>
      </c>
      <c r="G373" s="3" t="s">
        <v>1414</v>
      </c>
      <c r="H373" s="3" t="s">
        <v>55</v>
      </c>
      <c r="I373" s="3" t="s">
        <v>55</v>
      </c>
      <c r="J373" s="3" t="s">
        <v>55</v>
      </c>
      <c r="K373" s="3" t="s">
        <v>55</v>
      </c>
      <c r="L373" s="3" t="s">
        <v>55</v>
      </c>
      <c r="M373" s="2" t="s">
        <v>412</v>
      </c>
      <c r="N373" s="2" t="s">
        <v>413</v>
      </c>
      <c r="O373" s="2" t="s">
        <v>1396</v>
      </c>
      <c r="P373" s="2" t="s">
        <v>2955</v>
      </c>
      <c r="Q373" s="3" t="s">
        <v>2856</v>
      </c>
    </row>
    <row r="374" spans="1:17" hidden="1">
      <c r="A374" s="2" t="s">
        <v>2946</v>
      </c>
      <c r="B374" s="1" t="s">
        <v>1529</v>
      </c>
      <c r="C374" s="2" t="s">
        <v>1925</v>
      </c>
      <c r="D374" s="2" t="s">
        <v>1530</v>
      </c>
      <c r="E374" s="2" t="s">
        <v>1531</v>
      </c>
      <c r="F374" s="2" t="s">
        <v>8</v>
      </c>
      <c r="G374" s="3" t="s">
        <v>1485</v>
      </c>
      <c r="H374" s="3" t="s">
        <v>7</v>
      </c>
      <c r="I374" s="3" t="s">
        <v>7</v>
      </c>
      <c r="J374" s="3" t="s">
        <v>7</v>
      </c>
      <c r="K374" s="3" t="s">
        <v>7</v>
      </c>
      <c r="L374" s="3" t="s">
        <v>7</v>
      </c>
      <c r="M374" s="63" t="s">
        <v>412</v>
      </c>
      <c r="N374" s="63" t="s">
        <v>413</v>
      </c>
      <c r="O374" s="2" t="s">
        <v>1396</v>
      </c>
      <c r="P374" s="2" t="s">
        <v>2955</v>
      </c>
      <c r="Q374" s="3" t="s">
        <v>2856</v>
      </c>
    </row>
    <row r="375" spans="1:17" hidden="1">
      <c r="A375" s="2" t="s">
        <v>2946</v>
      </c>
      <c r="B375" s="1" t="s">
        <v>974</v>
      </c>
      <c r="C375" s="2" t="s">
        <v>1927</v>
      </c>
      <c r="D375" s="2" t="s">
        <v>92</v>
      </c>
      <c r="E375" s="2" t="s">
        <v>93</v>
      </c>
      <c r="F375" s="2" t="s">
        <v>8</v>
      </c>
      <c r="G375" s="3" t="s">
        <v>1412</v>
      </c>
      <c r="H375" s="3" t="s">
        <v>7</v>
      </c>
      <c r="I375" s="3" t="s">
        <v>7</v>
      </c>
      <c r="J375" s="3" t="s">
        <v>7</v>
      </c>
      <c r="K375" s="3" t="s">
        <v>7</v>
      </c>
      <c r="L375" s="3" t="s">
        <v>7</v>
      </c>
      <c r="M375" s="2" t="s">
        <v>394</v>
      </c>
      <c r="N375" s="2" t="s">
        <v>395</v>
      </c>
      <c r="O375" s="2" t="s">
        <v>1396</v>
      </c>
      <c r="P375" s="2" t="s">
        <v>2955</v>
      </c>
      <c r="Q375" s="3" t="s">
        <v>2856</v>
      </c>
    </row>
    <row r="376" spans="1:17" hidden="1">
      <c r="A376" s="2" t="s">
        <v>2946</v>
      </c>
      <c r="B376" s="4" t="s">
        <v>1532</v>
      </c>
      <c r="C376" s="2" t="s">
        <v>1926</v>
      </c>
      <c r="D376" s="2" t="s">
        <v>92</v>
      </c>
      <c r="E376" s="2" t="s">
        <v>93</v>
      </c>
      <c r="F376" s="2" t="s">
        <v>1409</v>
      </c>
      <c r="G376" s="5" t="s">
        <v>1430</v>
      </c>
      <c r="H376" s="3" t="s">
        <v>7</v>
      </c>
      <c r="I376" s="3" t="s">
        <v>7</v>
      </c>
      <c r="J376" s="3" t="s">
        <v>7</v>
      </c>
      <c r="K376" s="3" t="s">
        <v>7</v>
      </c>
      <c r="L376" s="3" t="s">
        <v>7</v>
      </c>
      <c r="M376" s="63" t="s">
        <v>394</v>
      </c>
      <c r="N376" s="63" t="s">
        <v>395</v>
      </c>
      <c r="O376" s="2" t="s">
        <v>1396</v>
      </c>
      <c r="P376" s="2" t="s">
        <v>2955</v>
      </c>
      <c r="Q376" s="3" t="s">
        <v>2856</v>
      </c>
    </row>
    <row r="377" spans="1:17">
      <c r="A377" s="2" t="s">
        <v>2876</v>
      </c>
      <c r="B377" s="4" t="s">
        <v>1201</v>
      </c>
      <c r="C377" s="2" t="s">
        <v>1928</v>
      </c>
      <c r="D377" s="2" t="s">
        <v>94</v>
      </c>
      <c r="E377" s="2" t="s">
        <v>95</v>
      </c>
      <c r="F377" s="2" t="s">
        <v>1192</v>
      </c>
      <c r="G377" s="5" t="s">
        <v>1188</v>
      </c>
      <c r="H377" s="3" t="s">
        <v>7</v>
      </c>
      <c r="I377" s="3" t="s">
        <v>7</v>
      </c>
      <c r="J377" s="3" t="s">
        <v>7</v>
      </c>
      <c r="K377" s="3" t="s">
        <v>7</v>
      </c>
      <c r="L377" s="3" t="s">
        <v>7</v>
      </c>
      <c r="M377" s="63" t="s">
        <v>536</v>
      </c>
      <c r="N377" s="63" t="s">
        <v>537</v>
      </c>
      <c r="O377" s="2" t="s">
        <v>1316</v>
      </c>
      <c r="P377" s="2" t="s">
        <v>2884</v>
      </c>
      <c r="Q377" s="3" t="s">
        <v>2856</v>
      </c>
    </row>
    <row r="378" spans="1:17">
      <c r="A378" s="2" t="s">
        <v>2876</v>
      </c>
      <c r="B378" s="1" t="s">
        <v>975</v>
      </c>
      <c r="C378" s="2" t="s">
        <v>1929</v>
      </c>
      <c r="D378" s="2" t="s">
        <v>94</v>
      </c>
      <c r="E378" s="2" t="s">
        <v>95</v>
      </c>
      <c r="F378" s="2" t="s">
        <v>1180</v>
      </c>
      <c r="G378" s="3" t="s">
        <v>1187</v>
      </c>
      <c r="H378" s="3" t="s">
        <v>7</v>
      </c>
      <c r="I378" s="3" t="s">
        <v>7</v>
      </c>
      <c r="J378" s="3" t="s">
        <v>7</v>
      </c>
      <c r="K378" s="3" t="s">
        <v>7</v>
      </c>
      <c r="L378" s="3" t="s">
        <v>7</v>
      </c>
      <c r="M378" s="2" t="s">
        <v>536</v>
      </c>
      <c r="N378" s="2" t="s">
        <v>537</v>
      </c>
      <c r="O378" s="2" t="s">
        <v>1316</v>
      </c>
      <c r="P378" s="2" t="s">
        <v>2884</v>
      </c>
      <c r="Q378" s="3" t="s">
        <v>2856</v>
      </c>
    </row>
    <row r="379" spans="1:17" hidden="1">
      <c r="A379" s="2" t="s">
        <v>2946</v>
      </c>
      <c r="B379" s="1" t="s">
        <v>1202</v>
      </c>
      <c r="C379" s="2" t="s">
        <v>1930</v>
      </c>
      <c r="D379" s="2" t="s">
        <v>96</v>
      </c>
      <c r="E379" s="2" t="s">
        <v>97</v>
      </c>
      <c r="F379" s="2" t="s">
        <v>1192</v>
      </c>
      <c r="G379" s="3" t="s">
        <v>1178</v>
      </c>
      <c r="H379" s="3" t="s">
        <v>7</v>
      </c>
      <c r="I379" s="3" t="s">
        <v>7</v>
      </c>
      <c r="J379" s="3" t="s">
        <v>7</v>
      </c>
      <c r="K379" s="3" t="s">
        <v>7</v>
      </c>
      <c r="L379" s="3" t="s">
        <v>7</v>
      </c>
      <c r="M379" s="2" t="s">
        <v>388</v>
      </c>
      <c r="N379" s="2" t="s">
        <v>389</v>
      </c>
      <c r="O379" s="2" t="s">
        <v>1400</v>
      </c>
      <c r="P379" s="2" t="s">
        <v>2956</v>
      </c>
      <c r="Q379" s="3" t="s">
        <v>2856</v>
      </c>
    </row>
    <row r="380" spans="1:17" hidden="1">
      <c r="A380" s="2" t="s">
        <v>2946</v>
      </c>
      <c r="B380" s="1" t="s">
        <v>976</v>
      </c>
      <c r="C380" s="2" t="s">
        <v>1931</v>
      </c>
      <c r="D380" s="2" t="s">
        <v>96</v>
      </c>
      <c r="E380" s="2" t="s">
        <v>97</v>
      </c>
      <c r="F380" s="2" t="s">
        <v>1181</v>
      </c>
      <c r="G380" s="3" t="s">
        <v>1178</v>
      </c>
      <c r="H380" s="3" t="s">
        <v>3071</v>
      </c>
      <c r="I380" s="3" t="s">
        <v>7</v>
      </c>
      <c r="J380" s="3" t="s">
        <v>3071</v>
      </c>
      <c r="K380" s="3" t="s">
        <v>3071</v>
      </c>
      <c r="L380" s="3" t="s">
        <v>7</v>
      </c>
      <c r="M380" s="2" t="s">
        <v>388</v>
      </c>
      <c r="N380" s="2" t="s">
        <v>389</v>
      </c>
      <c r="O380" s="2" t="s">
        <v>1400</v>
      </c>
      <c r="P380" s="2" t="s">
        <v>2956</v>
      </c>
      <c r="Q380" s="3" t="s">
        <v>2856</v>
      </c>
    </row>
    <row r="381" spans="1:17" hidden="1">
      <c r="A381" s="2" t="s">
        <v>2946</v>
      </c>
      <c r="B381" s="1" t="s">
        <v>977</v>
      </c>
      <c r="C381" s="2" t="s">
        <v>1932</v>
      </c>
      <c r="D381" s="2" t="s">
        <v>96</v>
      </c>
      <c r="E381" s="2" t="s">
        <v>97</v>
      </c>
      <c r="F381" s="2" t="s">
        <v>1180</v>
      </c>
      <c r="G381" s="3" t="s">
        <v>1198</v>
      </c>
      <c r="H381" s="3" t="s">
        <v>7</v>
      </c>
      <c r="I381" s="3" t="s">
        <v>7</v>
      </c>
      <c r="J381" s="3" t="s">
        <v>7</v>
      </c>
      <c r="K381" s="3" t="s">
        <v>7</v>
      </c>
      <c r="L381" s="3" t="s">
        <v>7</v>
      </c>
      <c r="M381" s="2" t="s">
        <v>388</v>
      </c>
      <c r="N381" s="2" t="s">
        <v>389</v>
      </c>
      <c r="O381" s="2" t="s">
        <v>1400</v>
      </c>
      <c r="P381" s="2" t="s">
        <v>2956</v>
      </c>
      <c r="Q381" s="3" t="s">
        <v>2856</v>
      </c>
    </row>
    <row r="382" spans="1:17" hidden="1">
      <c r="A382" s="2" t="s">
        <v>2946</v>
      </c>
      <c r="B382" s="1" t="s">
        <v>979</v>
      </c>
      <c r="C382" s="2" t="s">
        <v>1934</v>
      </c>
      <c r="D382" s="2" t="s">
        <v>96</v>
      </c>
      <c r="E382" s="2" t="s">
        <v>98</v>
      </c>
      <c r="F382" s="2" t="s">
        <v>1180</v>
      </c>
      <c r="G382" s="3" t="s">
        <v>1185</v>
      </c>
      <c r="H382" s="3" t="s">
        <v>7</v>
      </c>
      <c r="I382" s="3" t="s">
        <v>7</v>
      </c>
      <c r="J382" s="3" t="s">
        <v>7</v>
      </c>
      <c r="K382" s="3" t="s">
        <v>7</v>
      </c>
      <c r="L382" s="3" t="s">
        <v>7</v>
      </c>
      <c r="M382" s="2" t="s">
        <v>402</v>
      </c>
      <c r="N382" s="2" t="s">
        <v>403</v>
      </c>
      <c r="O382" s="2" t="s">
        <v>1400</v>
      </c>
      <c r="P382" s="2" t="s">
        <v>2956</v>
      </c>
      <c r="Q382" s="3" t="s">
        <v>2856</v>
      </c>
    </row>
    <row r="383" spans="1:17" hidden="1">
      <c r="A383" s="2" t="s">
        <v>2946</v>
      </c>
      <c r="B383" s="1" t="s">
        <v>979</v>
      </c>
      <c r="C383" s="2" t="s">
        <v>1934</v>
      </c>
      <c r="D383" s="2" t="s">
        <v>96</v>
      </c>
      <c r="E383" s="2" t="s">
        <v>98</v>
      </c>
      <c r="F383" s="2" t="s">
        <v>1180</v>
      </c>
      <c r="G383" s="3" t="s">
        <v>1185</v>
      </c>
      <c r="H383" s="3" t="s">
        <v>7</v>
      </c>
      <c r="I383" s="3" t="s">
        <v>7</v>
      </c>
      <c r="J383" s="3" t="s">
        <v>7</v>
      </c>
      <c r="K383" s="3" t="s">
        <v>7</v>
      </c>
      <c r="L383" s="3" t="s">
        <v>7</v>
      </c>
      <c r="M383" s="2" t="s">
        <v>402</v>
      </c>
      <c r="N383" s="2" t="s">
        <v>403</v>
      </c>
      <c r="O383" s="2" t="s">
        <v>1400</v>
      </c>
      <c r="P383" s="2" t="s">
        <v>2956</v>
      </c>
      <c r="Q383" s="3" t="s">
        <v>2856</v>
      </c>
    </row>
    <row r="384" spans="1:17" hidden="1">
      <c r="A384" s="2" t="s">
        <v>2946</v>
      </c>
      <c r="B384" s="1" t="s">
        <v>978</v>
      </c>
      <c r="C384" s="2" t="s">
        <v>1933</v>
      </c>
      <c r="D384" s="2" t="s">
        <v>96</v>
      </c>
      <c r="E384" s="2" t="s">
        <v>98</v>
      </c>
      <c r="F384" s="2" t="s">
        <v>1181</v>
      </c>
      <c r="G384" s="3" t="s">
        <v>1198</v>
      </c>
      <c r="H384" s="3" t="s">
        <v>3071</v>
      </c>
      <c r="I384" s="3" t="s">
        <v>7</v>
      </c>
      <c r="J384" s="3" t="s">
        <v>3071</v>
      </c>
      <c r="K384" s="3" t="s">
        <v>3071</v>
      </c>
      <c r="L384" s="3" t="s">
        <v>7</v>
      </c>
      <c r="M384" s="2" t="s">
        <v>402</v>
      </c>
      <c r="N384" s="2" t="s">
        <v>403</v>
      </c>
      <c r="O384" s="2" t="s">
        <v>1400</v>
      </c>
      <c r="P384" s="2" t="s">
        <v>2956</v>
      </c>
      <c r="Q384" s="3" t="s">
        <v>2856</v>
      </c>
    </row>
    <row r="385" spans="1:17" hidden="1">
      <c r="A385" s="2" t="s">
        <v>2946</v>
      </c>
      <c r="B385" s="1" t="s">
        <v>1533</v>
      </c>
      <c r="C385" s="2" t="s">
        <v>1937</v>
      </c>
      <c r="D385" s="2" t="s">
        <v>99</v>
      </c>
      <c r="E385" s="2" t="s">
        <v>101</v>
      </c>
      <c r="F385" s="2" t="s">
        <v>1192</v>
      </c>
      <c r="G385" s="3" t="s">
        <v>1457</v>
      </c>
      <c r="H385" s="3" t="s">
        <v>7</v>
      </c>
      <c r="I385" s="3" t="s">
        <v>7</v>
      </c>
      <c r="J385" s="3" t="s">
        <v>7</v>
      </c>
      <c r="K385" s="3" t="s">
        <v>7</v>
      </c>
      <c r="L385" s="3" t="s">
        <v>7</v>
      </c>
      <c r="M385" s="2" t="s">
        <v>348</v>
      </c>
      <c r="N385" s="2" t="s">
        <v>349</v>
      </c>
      <c r="O385" s="2" t="s">
        <v>1399</v>
      </c>
      <c r="P385" s="2" t="s">
        <v>2953</v>
      </c>
      <c r="Q385" s="3" t="s">
        <v>2856</v>
      </c>
    </row>
    <row r="386" spans="1:17" hidden="1">
      <c r="A386" s="2" t="s">
        <v>2946</v>
      </c>
      <c r="B386" s="1" t="s">
        <v>1534</v>
      </c>
      <c r="C386" s="2" t="s">
        <v>1938</v>
      </c>
      <c r="D386" s="2" t="s">
        <v>99</v>
      </c>
      <c r="E386" s="2" t="s">
        <v>102</v>
      </c>
      <c r="F386" s="2" t="s">
        <v>1192</v>
      </c>
      <c r="G386" s="3" t="s">
        <v>1419</v>
      </c>
      <c r="H386" s="3" t="s">
        <v>7</v>
      </c>
      <c r="I386" s="3" t="s">
        <v>7</v>
      </c>
      <c r="J386" s="3" t="s">
        <v>7</v>
      </c>
      <c r="K386" s="3" t="s">
        <v>7</v>
      </c>
      <c r="L386" s="3" t="s">
        <v>7</v>
      </c>
      <c r="M386" s="2" t="s">
        <v>398</v>
      </c>
      <c r="N386" s="2" t="s">
        <v>399</v>
      </c>
      <c r="O386" s="2" t="s">
        <v>1399</v>
      </c>
      <c r="P386" s="2" t="s">
        <v>2953</v>
      </c>
      <c r="Q386" s="3" t="s">
        <v>2856</v>
      </c>
    </row>
    <row r="387" spans="1:17" hidden="1">
      <c r="A387" s="2" t="s">
        <v>2946</v>
      </c>
      <c r="B387" s="1" t="s">
        <v>982</v>
      </c>
      <c r="C387" s="2" t="s">
        <v>1939</v>
      </c>
      <c r="D387" s="2" t="s">
        <v>99</v>
      </c>
      <c r="E387" s="2" t="s">
        <v>102</v>
      </c>
      <c r="F387" s="2" t="s">
        <v>1181</v>
      </c>
      <c r="G387" s="3" t="s">
        <v>1412</v>
      </c>
      <c r="H387" s="3" t="s">
        <v>3071</v>
      </c>
      <c r="I387" s="3" t="s">
        <v>7</v>
      </c>
      <c r="J387" s="3" t="s">
        <v>3071</v>
      </c>
      <c r="K387" s="3" t="s">
        <v>3071</v>
      </c>
      <c r="L387" s="3" t="s">
        <v>7</v>
      </c>
      <c r="M387" s="2" t="s">
        <v>398</v>
      </c>
      <c r="N387" s="2" t="s">
        <v>399</v>
      </c>
      <c r="O387" s="2" t="s">
        <v>1399</v>
      </c>
      <c r="P387" s="2" t="s">
        <v>2953</v>
      </c>
      <c r="Q387" s="3" t="s">
        <v>2856</v>
      </c>
    </row>
    <row r="388" spans="1:17" hidden="1">
      <c r="A388" s="2" t="s">
        <v>2946</v>
      </c>
      <c r="B388" s="1" t="s">
        <v>980</v>
      </c>
      <c r="C388" s="2" t="s">
        <v>1935</v>
      </c>
      <c r="D388" s="2" t="s">
        <v>99</v>
      </c>
      <c r="E388" s="2" t="s">
        <v>100</v>
      </c>
      <c r="F388" s="2" t="s">
        <v>1181</v>
      </c>
      <c r="G388" s="3" t="s">
        <v>1430</v>
      </c>
      <c r="H388" s="3" t="s">
        <v>3071</v>
      </c>
      <c r="I388" s="3" t="s">
        <v>7</v>
      </c>
      <c r="J388" s="3" t="s">
        <v>3071</v>
      </c>
      <c r="K388" s="3" t="s">
        <v>3071</v>
      </c>
      <c r="L388" s="3" t="s">
        <v>7</v>
      </c>
      <c r="M388" s="2" t="s">
        <v>360</v>
      </c>
      <c r="N388" s="2" t="s">
        <v>361</v>
      </c>
      <c r="O388" s="2" t="s">
        <v>1399</v>
      </c>
      <c r="P388" s="2" t="s">
        <v>2953</v>
      </c>
      <c r="Q388" s="3" t="s">
        <v>2856</v>
      </c>
    </row>
    <row r="389" spans="1:17" hidden="1">
      <c r="A389" s="2" t="s">
        <v>2946</v>
      </c>
      <c r="B389" s="1" t="s">
        <v>981</v>
      </c>
      <c r="C389" s="2" t="s">
        <v>1936</v>
      </c>
      <c r="D389" s="2" t="s">
        <v>99</v>
      </c>
      <c r="E389" s="2" t="s">
        <v>101</v>
      </c>
      <c r="F389" s="2" t="s">
        <v>1181</v>
      </c>
      <c r="G389" s="3" t="s">
        <v>1182</v>
      </c>
      <c r="H389" s="3" t="s">
        <v>3071</v>
      </c>
      <c r="I389" s="3" t="s">
        <v>7</v>
      </c>
      <c r="J389" s="3" t="s">
        <v>3071</v>
      </c>
      <c r="K389" s="3" t="s">
        <v>3071</v>
      </c>
      <c r="L389" s="3" t="s">
        <v>7</v>
      </c>
      <c r="M389" s="2" t="s">
        <v>348</v>
      </c>
      <c r="N389" s="2" t="s">
        <v>349</v>
      </c>
      <c r="O389" s="2" t="s">
        <v>1399</v>
      </c>
      <c r="P389" s="2" t="s">
        <v>2953</v>
      </c>
      <c r="Q389" s="3" t="s">
        <v>2856</v>
      </c>
    </row>
    <row r="390" spans="1:17" hidden="1">
      <c r="A390" s="2" t="s">
        <v>2946</v>
      </c>
      <c r="B390" s="1" t="s">
        <v>2768</v>
      </c>
      <c r="C390" s="2" t="s">
        <v>2769</v>
      </c>
      <c r="D390" s="2" t="s">
        <v>99</v>
      </c>
      <c r="E390" s="2" t="s">
        <v>100</v>
      </c>
      <c r="F390" s="2" t="s">
        <v>1192</v>
      </c>
      <c r="G390" s="3" t="s">
        <v>1179</v>
      </c>
      <c r="H390" s="3" t="s">
        <v>55</v>
      </c>
      <c r="I390" s="3" t="s">
        <v>55</v>
      </c>
      <c r="J390" s="3" t="s">
        <v>55</v>
      </c>
      <c r="K390" s="3" t="s">
        <v>55</v>
      </c>
      <c r="L390" s="3" t="s">
        <v>55</v>
      </c>
      <c r="M390" s="2" t="s">
        <v>360</v>
      </c>
      <c r="N390" s="2" t="s">
        <v>361</v>
      </c>
      <c r="O390" s="2" t="s">
        <v>1399</v>
      </c>
      <c r="P390" s="2" t="s">
        <v>2953</v>
      </c>
      <c r="Q390" s="3" t="s">
        <v>2856</v>
      </c>
    </row>
    <row r="391" spans="1:17" hidden="1">
      <c r="A391" s="2" t="s">
        <v>2946</v>
      </c>
      <c r="B391" s="1" t="s">
        <v>2770</v>
      </c>
      <c r="C391" s="2" t="s">
        <v>2771</v>
      </c>
      <c r="D391" s="2" t="s">
        <v>99</v>
      </c>
      <c r="E391" s="2" t="s">
        <v>101</v>
      </c>
      <c r="F391" s="2" t="s">
        <v>1192</v>
      </c>
      <c r="G391" s="3" t="s">
        <v>1186</v>
      </c>
      <c r="H391" s="3" t="s">
        <v>55</v>
      </c>
      <c r="I391" s="3" t="s">
        <v>55</v>
      </c>
      <c r="J391" s="3" t="s">
        <v>55</v>
      </c>
      <c r="K391" s="3" t="s">
        <v>55</v>
      </c>
      <c r="L391" s="3" t="s">
        <v>55</v>
      </c>
      <c r="M391" s="68" t="s">
        <v>3027</v>
      </c>
      <c r="N391" s="68" t="s">
        <v>3029</v>
      </c>
      <c r="O391" s="2" t="s">
        <v>1399</v>
      </c>
      <c r="P391" s="2" t="s">
        <v>2953</v>
      </c>
      <c r="Q391" s="3" t="s">
        <v>2856</v>
      </c>
    </row>
    <row r="392" spans="1:17" hidden="1">
      <c r="A392" s="2" t="s">
        <v>2946</v>
      </c>
      <c r="B392" s="1" t="s">
        <v>2770</v>
      </c>
      <c r="C392" s="2" t="s">
        <v>2771</v>
      </c>
      <c r="D392" s="2" t="s">
        <v>99</v>
      </c>
      <c r="E392" s="2" t="s">
        <v>101</v>
      </c>
      <c r="F392" s="2" t="s">
        <v>1192</v>
      </c>
      <c r="G392" s="3" t="s">
        <v>1186</v>
      </c>
      <c r="H392" s="3" t="s">
        <v>55</v>
      </c>
      <c r="I392" s="3" t="s">
        <v>55</v>
      </c>
      <c r="J392" s="3" t="s">
        <v>55</v>
      </c>
      <c r="K392" s="3" t="s">
        <v>55</v>
      </c>
      <c r="L392" s="3" t="s">
        <v>55</v>
      </c>
      <c r="M392" s="68" t="s">
        <v>3027</v>
      </c>
      <c r="N392" s="68" t="s">
        <v>3029</v>
      </c>
      <c r="O392" s="2" t="s">
        <v>1399</v>
      </c>
      <c r="P392" s="2" t="s">
        <v>2953</v>
      </c>
      <c r="Q392" s="3" t="s">
        <v>2856</v>
      </c>
    </row>
    <row r="393" spans="1:17" hidden="1">
      <c r="A393" s="2" t="s">
        <v>2946</v>
      </c>
      <c r="B393" s="1" t="s">
        <v>2772</v>
      </c>
      <c r="C393" s="2" t="s">
        <v>2773</v>
      </c>
      <c r="D393" s="2" t="s">
        <v>99</v>
      </c>
      <c r="E393" s="2" t="s">
        <v>101</v>
      </c>
      <c r="F393" s="2" t="s">
        <v>1180</v>
      </c>
      <c r="G393" s="3" t="s">
        <v>1189</v>
      </c>
      <c r="H393" s="3" t="s">
        <v>55</v>
      </c>
      <c r="I393" s="3" t="s">
        <v>55</v>
      </c>
      <c r="J393" s="3" t="s">
        <v>55</v>
      </c>
      <c r="K393" s="3" t="s">
        <v>55</v>
      </c>
      <c r="L393" s="3" t="s">
        <v>55</v>
      </c>
      <c r="M393" s="63" t="s">
        <v>348</v>
      </c>
      <c r="N393" s="63" t="s">
        <v>349</v>
      </c>
      <c r="O393" s="2" t="s">
        <v>1399</v>
      </c>
      <c r="P393" s="2" t="s">
        <v>2953</v>
      </c>
      <c r="Q393" s="3" t="s">
        <v>2856</v>
      </c>
    </row>
    <row r="394" spans="1:17" hidden="1">
      <c r="A394" s="2" t="s">
        <v>2946</v>
      </c>
      <c r="B394" s="1" t="s">
        <v>2774</v>
      </c>
      <c r="C394" s="2" t="s">
        <v>2775</v>
      </c>
      <c r="D394" s="2" t="s">
        <v>99</v>
      </c>
      <c r="E394" s="2" t="s">
        <v>102</v>
      </c>
      <c r="F394" s="2" t="s">
        <v>1180</v>
      </c>
      <c r="G394" s="3" t="s">
        <v>1179</v>
      </c>
      <c r="H394" s="3" t="s">
        <v>55</v>
      </c>
      <c r="I394" s="3" t="s">
        <v>55</v>
      </c>
      <c r="J394" s="3" t="s">
        <v>55</v>
      </c>
      <c r="K394" s="3" t="s">
        <v>55</v>
      </c>
      <c r="L394" s="3" t="s">
        <v>55</v>
      </c>
      <c r="M394" s="2" t="s">
        <v>398</v>
      </c>
      <c r="N394" s="2" t="s">
        <v>399</v>
      </c>
      <c r="O394" s="2" t="s">
        <v>1399</v>
      </c>
      <c r="P394" s="2" t="s">
        <v>2953</v>
      </c>
      <c r="Q394" s="3" t="s">
        <v>2856</v>
      </c>
    </row>
    <row r="395" spans="1:17" hidden="1">
      <c r="A395" s="2" t="s">
        <v>2946</v>
      </c>
      <c r="B395" s="1" t="s">
        <v>2971</v>
      </c>
      <c r="C395" s="2" t="s">
        <v>1937</v>
      </c>
      <c r="D395" s="2" t="s">
        <v>99</v>
      </c>
      <c r="E395" s="2" t="s">
        <v>102</v>
      </c>
      <c r="F395" s="2" t="s">
        <v>1192</v>
      </c>
      <c r="G395" s="3" t="s">
        <v>1457</v>
      </c>
      <c r="H395" s="3" t="s">
        <v>55</v>
      </c>
      <c r="I395" s="3" t="s">
        <v>55</v>
      </c>
      <c r="J395" s="3" t="s">
        <v>55</v>
      </c>
      <c r="K395" s="3" t="s">
        <v>55</v>
      </c>
      <c r="L395" s="3" t="s">
        <v>55</v>
      </c>
      <c r="M395" s="68" t="s">
        <v>360</v>
      </c>
      <c r="N395" s="68" t="s">
        <v>361</v>
      </c>
      <c r="O395" s="2" t="s">
        <v>1399</v>
      </c>
      <c r="P395" s="2" t="s">
        <v>2953</v>
      </c>
      <c r="Q395" s="3" t="s">
        <v>2856</v>
      </c>
    </row>
    <row r="396" spans="1:17" hidden="1">
      <c r="A396" s="2" t="s">
        <v>2946</v>
      </c>
      <c r="B396" s="1" t="s">
        <v>2972</v>
      </c>
      <c r="C396" s="2" t="s">
        <v>1938</v>
      </c>
      <c r="D396" s="2" t="s">
        <v>99</v>
      </c>
      <c r="E396" s="2" t="s">
        <v>2973</v>
      </c>
      <c r="F396" s="2" t="s">
        <v>1192</v>
      </c>
      <c r="G396" s="3" t="s">
        <v>1419</v>
      </c>
      <c r="H396" s="3" t="s">
        <v>7</v>
      </c>
      <c r="I396" s="3" t="s">
        <v>7</v>
      </c>
      <c r="J396" s="3" t="s">
        <v>7</v>
      </c>
      <c r="K396" s="3" t="s">
        <v>55</v>
      </c>
      <c r="L396" s="3" t="s">
        <v>55</v>
      </c>
      <c r="M396" s="2" t="s">
        <v>3027</v>
      </c>
      <c r="N396" s="2" t="s">
        <v>3029</v>
      </c>
      <c r="O396" s="2" t="s">
        <v>1399</v>
      </c>
      <c r="P396" s="2" t="s">
        <v>2953</v>
      </c>
      <c r="Q396" s="3" t="s">
        <v>2856</v>
      </c>
    </row>
    <row r="397" spans="1:17" hidden="1">
      <c r="A397" s="2" t="s">
        <v>2903</v>
      </c>
      <c r="B397" s="1" t="s">
        <v>2776</v>
      </c>
      <c r="C397" s="2" t="s">
        <v>2777</v>
      </c>
      <c r="D397" s="2" t="s">
        <v>2623</v>
      </c>
      <c r="E397" s="2" t="s">
        <v>1536</v>
      </c>
      <c r="F397" s="2" t="s">
        <v>1637</v>
      </c>
      <c r="G397" s="3" t="s">
        <v>1416</v>
      </c>
      <c r="H397" s="3" t="s">
        <v>3071</v>
      </c>
      <c r="I397" s="3" t="s">
        <v>3071</v>
      </c>
      <c r="J397" s="3" t="s">
        <v>3071</v>
      </c>
      <c r="K397" s="3" t="s">
        <v>3071</v>
      </c>
      <c r="L397" s="3" t="s">
        <v>7</v>
      </c>
      <c r="M397" s="2" t="s">
        <v>554</v>
      </c>
      <c r="N397" s="2" t="s">
        <v>555</v>
      </c>
      <c r="O397" s="2" t="s">
        <v>2926</v>
      </c>
      <c r="P397" s="2" t="s">
        <v>2907</v>
      </c>
      <c r="Q397" s="3" t="s">
        <v>2856</v>
      </c>
    </row>
    <row r="398" spans="1:17" hidden="1">
      <c r="A398" s="2" t="s">
        <v>2903</v>
      </c>
      <c r="B398" s="1" t="s">
        <v>1535</v>
      </c>
      <c r="C398" s="2" t="s">
        <v>1940</v>
      </c>
      <c r="D398" s="2" t="s">
        <v>2623</v>
      </c>
      <c r="E398" s="2" t="s">
        <v>1536</v>
      </c>
      <c r="F398" s="2" t="s">
        <v>1192</v>
      </c>
      <c r="G398" s="3" t="s">
        <v>1752</v>
      </c>
      <c r="H398" s="3" t="s">
        <v>7</v>
      </c>
      <c r="I398" s="3" t="s">
        <v>7</v>
      </c>
      <c r="J398" s="3" t="s">
        <v>7</v>
      </c>
      <c r="K398" s="3" t="s">
        <v>7</v>
      </c>
      <c r="L398" s="3" t="s">
        <v>7</v>
      </c>
      <c r="M398" s="2" t="s">
        <v>554</v>
      </c>
      <c r="N398" s="2" t="s">
        <v>555</v>
      </c>
      <c r="O398" s="2" t="s">
        <v>2926</v>
      </c>
      <c r="P398" s="2" t="s">
        <v>2907</v>
      </c>
      <c r="Q398" s="3" t="s">
        <v>2856</v>
      </c>
    </row>
    <row r="399" spans="1:17" hidden="1">
      <c r="A399" s="2" t="s">
        <v>2903</v>
      </c>
      <c r="B399" s="1" t="s">
        <v>2780</v>
      </c>
      <c r="C399" s="2" t="s">
        <v>2781</v>
      </c>
      <c r="D399" s="2" t="s">
        <v>2623</v>
      </c>
      <c r="E399" s="2" t="s">
        <v>1536</v>
      </c>
      <c r="F399" s="2" t="s">
        <v>1180</v>
      </c>
      <c r="G399" s="3" t="s">
        <v>1186</v>
      </c>
      <c r="H399" s="3" t="s">
        <v>7</v>
      </c>
      <c r="I399" s="3" t="s">
        <v>7</v>
      </c>
      <c r="J399" s="3" t="s">
        <v>7</v>
      </c>
      <c r="K399" s="3" t="s">
        <v>7</v>
      </c>
      <c r="L399" s="3" t="s">
        <v>7</v>
      </c>
      <c r="M399" s="2" t="s">
        <v>554</v>
      </c>
      <c r="N399" s="2" t="s">
        <v>555</v>
      </c>
      <c r="O399" s="2" t="s">
        <v>2926</v>
      </c>
      <c r="P399" s="2" t="s">
        <v>2907</v>
      </c>
      <c r="Q399" s="3" t="s">
        <v>2856</v>
      </c>
    </row>
    <row r="400" spans="1:17" hidden="1">
      <c r="A400" s="2" t="s">
        <v>2903</v>
      </c>
      <c r="B400" s="1" t="s">
        <v>2778</v>
      </c>
      <c r="C400" s="2" t="s">
        <v>2779</v>
      </c>
      <c r="D400" s="2" t="s">
        <v>2623</v>
      </c>
      <c r="E400" s="2" t="s">
        <v>1536</v>
      </c>
      <c r="F400" s="2" t="s">
        <v>1181</v>
      </c>
      <c r="G400" s="3" t="s">
        <v>1185</v>
      </c>
      <c r="H400" s="3" t="s">
        <v>3071</v>
      </c>
      <c r="I400" s="3" t="s">
        <v>7</v>
      </c>
      <c r="J400" s="3" t="s">
        <v>3071</v>
      </c>
      <c r="K400" s="3" t="s">
        <v>3071</v>
      </c>
      <c r="L400" s="3" t="s">
        <v>7</v>
      </c>
      <c r="M400" s="2" t="s">
        <v>554</v>
      </c>
      <c r="N400" s="2" t="s">
        <v>555</v>
      </c>
      <c r="O400" s="2" t="s">
        <v>2926</v>
      </c>
      <c r="P400" s="2" t="s">
        <v>2907</v>
      </c>
      <c r="Q400" s="3" t="s">
        <v>2856</v>
      </c>
    </row>
    <row r="401" spans="1:17" hidden="1">
      <c r="A401" s="2" t="s">
        <v>2946</v>
      </c>
      <c r="B401" s="1" t="s">
        <v>1537</v>
      </c>
      <c r="C401" s="2" t="s">
        <v>1941</v>
      </c>
      <c r="D401" s="2" t="s">
        <v>1538</v>
      </c>
      <c r="E401" s="2" t="s">
        <v>1539</v>
      </c>
      <c r="F401" s="2" t="s">
        <v>1409</v>
      </c>
      <c r="G401" s="3" t="s">
        <v>1485</v>
      </c>
      <c r="H401" s="3" t="s">
        <v>7</v>
      </c>
      <c r="I401" s="3" t="s">
        <v>7</v>
      </c>
      <c r="J401" s="3" t="s">
        <v>7</v>
      </c>
      <c r="K401" s="3" t="s">
        <v>7</v>
      </c>
      <c r="L401" s="3" t="s">
        <v>7</v>
      </c>
      <c r="M401" s="2" t="s">
        <v>414</v>
      </c>
      <c r="N401" s="2" t="s">
        <v>1392</v>
      </c>
      <c r="O401" s="2" t="s">
        <v>1391</v>
      </c>
      <c r="P401" s="2" t="s">
        <v>2947</v>
      </c>
      <c r="Q401" s="3" t="s">
        <v>2856</v>
      </c>
    </row>
    <row r="402" spans="1:17" hidden="1">
      <c r="A402" s="2" t="s">
        <v>2946</v>
      </c>
      <c r="B402" s="1" t="s">
        <v>1540</v>
      </c>
      <c r="C402" s="2" t="s">
        <v>1944</v>
      </c>
      <c r="D402" s="2" t="s">
        <v>1538</v>
      </c>
      <c r="E402" s="2" t="s">
        <v>1539</v>
      </c>
      <c r="F402" s="2" t="s">
        <v>1180</v>
      </c>
      <c r="G402" s="3" t="s">
        <v>1457</v>
      </c>
      <c r="H402" s="3" t="s">
        <v>7</v>
      </c>
      <c r="I402" s="3" t="s">
        <v>7</v>
      </c>
      <c r="J402" s="3" t="s">
        <v>7</v>
      </c>
      <c r="K402" s="3" t="s">
        <v>7</v>
      </c>
      <c r="L402" s="3" t="s">
        <v>7</v>
      </c>
      <c r="M402" s="2" t="s">
        <v>414</v>
      </c>
      <c r="N402" s="2" t="s">
        <v>1392</v>
      </c>
      <c r="O402" s="2" t="s">
        <v>1391</v>
      </c>
      <c r="P402" s="2" t="s">
        <v>2947</v>
      </c>
      <c r="Q402" s="3" t="s">
        <v>2856</v>
      </c>
    </row>
    <row r="403" spans="1:17" hidden="1">
      <c r="A403" s="2" t="s">
        <v>2946</v>
      </c>
      <c r="B403" s="1" t="s">
        <v>1942</v>
      </c>
      <c r="C403" s="2" t="s">
        <v>1943</v>
      </c>
      <c r="D403" s="2" t="s">
        <v>1538</v>
      </c>
      <c r="E403" s="2" t="s">
        <v>1539</v>
      </c>
      <c r="F403" s="2" t="s">
        <v>1181</v>
      </c>
      <c r="G403" s="3" t="s">
        <v>1182</v>
      </c>
      <c r="H403" s="3" t="s">
        <v>3071</v>
      </c>
      <c r="I403" s="3" t="s">
        <v>7</v>
      </c>
      <c r="J403" s="3" t="s">
        <v>3071</v>
      </c>
      <c r="K403" s="3" t="s">
        <v>3071</v>
      </c>
      <c r="L403" s="3" t="s">
        <v>7</v>
      </c>
      <c r="M403" s="2" t="s">
        <v>414</v>
      </c>
      <c r="N403" s="2" t="s">
        <v>1392</v>
      </c>
      <c r="O403" s="2" t="s">
        <v>1391</v>
      </c>
      <c r="P403" s="2" t="s">
        <v>2947</v>
      </c>
      <c r="Q403" s="3" t="s">
        <v>2856</v>
      </c>
    </row>
    <row r="404" spans="1:17" hidden="1">
      <c r="A404" s="2" t="s">
        <v>2946</v>
      </c>
      <c r="B404" s="1" t="s">
        <v>2521</v>
      </c>
      <c r="C404" s="2" t="s">
        <v>2522</v>
      </c>
      <c r="D404" s="2" t="s">
        <v>1538</v>
      </c>
      <c r="E404" s="2" t="s">
        <v>1539</v>
      </c>
      <c r="F404" s="2" t="s">
        <v>1192</v>
      </c>
      <c r="G404" s="3" t="s">
        <v>1188</v>
      </c>
      <c r="H404" s="3" t="s">
        <v>7</v>
      </c>
      <c r="I404" s="3" t="s">
        <v>7</v>
      </c>
      <c r="J404" s="3" t="s">
        <v>7</v>
      </c>
      <c r="K404" s="3" t="s">
        <v>7</v>
      </c>
      <c r="L404" s="3" t="s">
        <v>7</v>
      </c>
      <c r="M404" s="2" t="s">
        <v>414</v>
      </c>
      <c r="N404" s="2" t="s">
        <v>1392</v>
      </c>
      <c r="O404" s="2" t="s">
        <v>1391</v>
      </c>
      <c r="P404" s="2" t="s">
        <v>2947</v>
      </c>
      <c r="Q404" s="3" t="s">
        <v>2856</v>
      </c>
    </row>
    <row r="405" spans="1:17" hidden="1">
      <c r="A405" s="2" t="s">
        <v>2946</v>
      </c>
      <c r="B405" s="1" t="s">
        <v>2523</v>
      </c>
      <c r="C405" s="2" t="s">
        <v>2524</v>
      </c>
      <c r="D405" s="2" t="s">
        <v>1538</v>
      </c>
      <c r="E405" s="2" t="s">
        <v>1539</v>
      </c>
      <c r="F405" s="2" t="s">
        <v>1192</v>
      </c>
      <c r="G405" s="3" t="s">
        <v>1198</v>
      </c>
      <c r="H405" s="3" t="s">
        <v>7</v>
      </c>
      <c r="I405" s="3" t="s">
        <v>7</v>
      </c>
      <c r="J405" s="3" t="s">
        <v>7</v>
      </c>
      <c r="K405" s="3" t="s">
        <v>7</v>
      </c>
      <c r="L405" s="3" t="s">
        <v>7</v>
      </c>
      <c r="M405" s="2" t="s">
        <v>414</v>
      </c>
      <c r="N405" s="2" t="s">
        <v>1392</v>
      </c>
      <c r="O405" s="2" t="s">
        <v>1391</v>
      </c>
      <c r="P405" s="2" t="s">
        <v>2947</v>
      </c>
      <c r="Q405" s="3" t="s">
        <v>2856</v>
      </c>
    </row>
    <row r="406" spans="1:17" hidden="1">
      <c r="A406" s="2" t="s">
        <v>2946</v>
      </c>
      <c r="B406" s="1" t="s">
        <v>1541</v>
      </c>
      <c r="C406" s="2" t="s">
        <v>1945</v>
      </c>
      <c r="D406" s="2" t="s">
        <v>103</v>
      </c>
      <c r="E406" s="2" t="s">
        <v>104</v>
      </c>
      <c r="F406" s="2" t="s">
        <v>1192</v>
      </c>
      <c r="G406" s="3" t="s">
        <v>1485</v>
      </c>
      <c r="H406" s="3" t="s">
        <v>7</v>
      </c>
      <c r="I406" s="3" t="s">
        <v>7</v>
      </c>
      <c r="J406" s="3" t="s">
        <v>7</v>
      </c>
      <c r="K406" s="3" t="s">
        <v>7</v>
      </c>
      <c r="L406" s="3" t="s">
        <v>7</v>
      </c>
      <c r="M406" s="2" t="s">
        <v>362</v>
      </c>
      <c r="N406" s="2" t="s">
        <v>363</v>
      </c>
      <c r="O406" s="2" t="s">
        <v>1405</v>
      </c>
      <c r="P406" s="2" t="s">
        <v>2956</v>
      </c>
      <c r="Q406" s="3" t="s">
        <v>2856</v>
      </c>
    </row>
    <row r="407" spans="1:17" hidden="1">
      <c r="A407" s="2" t="s">
        <v>2946</v>
      </c>
      <c r="B407" s="1" t="s">
        <v>1542</v>
      </c>
      <c r="C407" s="2" t="s">
        <v>1946</v>
      </c>
      <c r="D407" s="2" t="s">
        <v>103</v>
      </c>
      <c r="E407" s="2" t="s">
        <v>104</v>
      </c>
      <c r="F407" s="2" t="s">
        <v>1192</v>
      </c>
      <c r="G407" s="3" t="s">
        <v>1485</v>
      </c>
      <c r="H407" s="3" t="s">
        <v>7</v>
      </c>
      <c r="I407" s="3" t="s">
        <v>7</v>
      </c>
      <c r="J407" s="3" t="s">
        <v>7</v>
      </c>
      <c r="K407" s="3" t="s">
        <v>7</v>
      </c>
      <c r="L407" s="3" t="s">
        <v>7</v>
      </c>
      <c r="M407" s="2" t="s">
        <v>362</v>
      </c>
      <c r="N407" s="2" t="s">
        <v>363</v>
      </c>
      <c r="O407" s="2" t="s">
        <v>1405</v>
      </c>
      <c r="P407" s="2" t="s">
        <v>2956</v>
      </c>
      <c r="Q407" s="3" t="s">
        <v>2856</v>
      </c>
    </row>
    <row r="408" spans="1:17" hidden="1">
      <c r="A408" s="2" t="s">
        <v>2946</v>
      </c>
      <c r="B408" s="1" t="s">
        <v>1543</v>
      </c>
      <c r="C408" s="2" t="s">
        <v>1947</v>
      </c>
      <c r="D408" s="2" t="s">
        <v>103</v>
      </c>
      <c r="E408" s="2" t="s">
        <v>104</v>
      </c>
      <c r="F408" s="2" t="s">
        <v>1192</v>
      </c>
      <c r="G408" s="3" t="s">
        <v>1419</v>
      </c>
      <c r="H408" s="3" t="s">
        <v>7</v>
      </c>
      <c r="I408" s="3" t="s">
        <v>7</v>
      </c>
      <c r="J408" s="3" t="s">
        <v>7</v>
      </c>
      <c r="K408" s="3" t="s">
        <v>7</v>
      </c>
      <c r="L408" s="3" t="s">
        <v>7</v>
      </c>
      <c r="M408" s="2" t="s">
        <v>362</v>
      </c>
      <c r="N408" s="2" t="s">
        <v>363</v>
      </c>
      <c r="O408" s="2" t="s">
        <v>1405</v>
      </c>
      <c r="P408" s="2" t="s">
        <v>2956</v>
      </c>
      <c r="Q408" s="3" t="s">
        <v>2856</v>
      </c>
    </row>
    <row r="409" spans="1:17" hidden="1">
      <c r="A409" s="2" t="s">
        <v>2946</v>
      </c>
      <c r="B409" s="1" t="s">
        <v>983</v>
      </c>
      <c r="C409" s="2" t="s">
        <v>1948</v>
      </c>
      <c r="D409" s="2" t="s">
        <v>103</v>
      </c>
      <c r="E409" s="2" t="s">
        <v>104</v>
      </c>
      <c r="F409" s="2" t="s">
        <v>1180</v>
      </c>
      <c r="G409" s="3" t="s">
        <v>1188</v>
      </c>
      <c r="H409" s="3" t="s">
        <v>7</v>
      </c>
      <c r="I409" s="3" t="s">
        <v>7</v>
      </c>
      <c r="J409" s="3" t="s">
        <v>7</v>
      </c>
      <c r="K409" s="3" t="s">
        <v>7</v>
      </c>
      <c r="L409" s="3" t="s">
        <v>7</v>
      </c>
      <c r="M409" s="63" t="s">
        <v>416</v>
      </c>
      <c r="N409" s="63" t="s">
        <v>2957</v>
      </c>
      <c r="O409" s="2" t="s">
        <v>1405</v>
      </c>
      <c r="P409" s="2" t="s">
        <v>2956</v>
      </c>
      <c r="Q409" s="3" t="s">
        <v>2856</v>
      </c>
    </row>
    <row r="410" spans="1:17" hidden="1">
      <c r="A410" s="2" t="s">
        <v>2946</v>
      </c>
      <c r="B410" s="1" t="s">
        <v>984</v>
      </c>
      <c r="C410" s="2" t="s">
        <v>1950</v>
      </c>
      <c r="D410" s="2" t="s">
        <v>103</v>
      </c>
      <c r="E410" s="2" t="s">
        <v>1204</v>
      </c>
      <c r="F410" s="2" t="s">
        <v>1180</v>
      </c>
      <c r="G410" s="3" t="s">
        <v>1185</v>
      </c>
      <c r="H410" s="3" t="s">
        <v>7</v>
      </c>
      <c r="I410" s="3" t="s">
        <v>7</v>
      </c>
      <c r="J410" s="3" t="s">
        <v>7</v>
      </c>
      <c r="K410" s="3" t="s">
        <v>7</v>
      </c>
      <c r="L410" s="3" t="s">
        <v>7</v>
      </c>
      <c r="M410" s="2" t="s">
        <v>416</v>
      </c>
      <c r="N410" s="2" t="s">
        <v>2957</v>
      </c>
      <c r="O410" s="2" t="s">
        <v>1405</v>
      </c>
      <c r="P410" s="2" t="s">
        <v>2956</v>
      </c>
      <c r="Q410" s="3" t="s">
        <v>2856</v>
      </c>
    </row>
    <row r="411" spans="1:17" hidden="1">
      <c r="A411" s="2" t="s">
        <v>2946</v>
      </c>
      <c r="B411" s="1" t="s">
        <v>1203</v>
      </c>
      <c r="C411" s="2" t="s">
        <v>1949</v>
      </c>
      <c r="D411" s="2" t="s">
        <v>103</v>
      </c>
      <c r="E411" s="2" t="s">
        <v>1204</v>
      </c>
      <c r="F411" s="2" t="s">
        <v>1192</v>
      </c>
      <c r="G411" s="3" t="s">
        <v>1184</v>
      </c>
      <c r="H411" s="3" t="s">
        <v>7</v>
      </c>
      <c r="I411" s="3" t="s">
        <v>7</v>
      </c>
      <c r="J411" s="3" t="s">
        <v>7</v>
      </c>
      <c r="K411" s="3" t="s">
        <v>7</v>
      </c>
      <c r="L411" s="3" t="s">
        <v>7</v>
      </c>
      <c r="M411" s="2" t="s">
        <v>416</v>
      </c>
      <c r="N411" s="2" t="s">
        <v>2957</v>
      </c>
      <c r="O411" s="2" t="s">
        <v>1405</v>
      </c>
      <c r="P411" s="2" t="s">
        <v>2956</v>
      </c>
      <c r="Q411" s="3" t="s">
        <v>2856</v>
      </c>
    </row>
    <row r="412" spans="1:17" hidden="1">
      <c r="A412" s="2" t="s">
        <v>2876</v>
      </c>
      <c r="B412" s="1" t="s">
        <v>1544</v>
      </c>
      <c r="C412" s="2" t="s">
        <v>1951</v>
      </c>
      <c r="D412" s="2" t="s">
        <v>105</v>
      </c>
      <c r="E412" s="2" t="s">
        <v>106</v>
      </c>
      <c r="F412" s="2" t="s">
        <v>1192</v>
      </c>
      <c r="G412" s="3" t="s">
        <v>1485</v>
      </c>
      <c r="H412" s="3" t="s">
        <v>7</v>
      </c>
      <c r="I412" s="3" t="s">
        <v>7</v>
      </c>
      <c r="J412" s="3" t="s">
        <v>7</v>
      </c>
      <c r="K412" s="3" t="s">
        <v>7</v>
      </c>
      <c r="L412" s="3" t="s">
        <v>7</v>
      </c>
      <c r="M412" s="2" t="s">
        <v>452</v>
      </c>
      <c r="N412" s="2" t="s">
        <v>453</v>
      </c>
      <c r="O412" s="2" t="s">
        <v>1304</v>
      </c>
      <c r="P412" s="2" t="s">
        <v>2881</v>
      </c>
      <c r="Q412" s="3" t="s">
        <v>2856</v>
      </c>
    </row>
    <row r="413" spans="1:17" hidden="1">
      <c r="A413" s="2" t="s">
        <v>2876</v>
      </c>
      <c r="B413" s="1" t="s">
        <v>985</v>
      </c>
      <c r="C413" s="2" t="s">
        <v>1952</v>
      </c>
      <c r="D413" s="2" t="s">
        <v>105</v>
      </c>
      <c r="E413" s="2" t="s">
        <v>106</v>
      </c>
      <c r="F413" s="2" t="s">
        <v>1181</v>
      </c>
      <c r="G413" s="3" t="s">
        <v>1430</v>
      </c>
      <c r="H413" s="3" t="s">
        <v>3071</v>
      </c>
      <c r="I413" s="3" t="s">
        <v>7</v>
      </c>
      <c r="J413" s="3" t="s">
        <v>3071</v>
      </c>
      <c r="K413" s="3" t="s">
        <v>3071</v>
      </c>
      <c r="L413" s="3" t="s">
        <v>7</v>
      </c>
      <c r="M413" s="2" t="s">
        <v>452</v>
      </c>
      <c r="N413" s="2" t="s">
        <v>453</v>
      </c>
      <c r="O413" s="2" t="s">
        <v>1304</v>
      </c>
      <c r="P413" s="2" t="s">
        <v>2881</v>
      </c>
      <c r="Q413" s="3" t="s">
        <v>2856</v>
      </c>
    </row>
    <row r="414" spans="1:17" hidden="1">
      <c r="A414" s="2" t="s">
        <v>2876</v>
      </c>
      <c r="B414" s="1" t="s">
        <v>986</v>
      </c>
      <c r="C414" s="2" t="s">
        <v>1953</v>
      </c>
      <c r="D414" s="2" t="s">
        <v>105</v>
      </c>
      <c r="E414" s="2" t="s">
        <v>106</v>
      </c>
      <c r="F414" s="2" t="s">
        <v>1180</v>
      </c>
      <c r="G414" s="3" t="s">
        <v>1188</v>
      </c>
      <c r="H414" s="3" t="s">
        <v>7</v>
      </c>
      <c r="I414" s="3" t="s">
        <v>7</v>
      </c>
      <c r="J414" s="3" t="s">
        <v>7</v>
      </c>
      <c r="K414" s="3" t="s">
        <v>7</v>
      </c>
      <c r="L414" s="3" t="s">
        <v>7</v>
      </c>
      <c r="M414" s="2" t="s">
        <v>452</v>
      </c>
      <c r="N414" s="2" t="s">
        <v>453</v>
      </c>
      <c r="O414" s="2" t="s">
        <v>1304</v>
      </c>
      <c r="P414" s="2" t="s">
        <v>2881</v>
      </c>
      <c r="Q414" s="3" t="s">
        <v>2856</v>
      </c>
    </row>
    <row r="415" spans="1:17" hidden="1">
      <c r="A415" s="2" t="s">
        <v>2871</v>
      </c>
      <c r="B415" s="1" t="s">
        <v>2443</v>
      </c>
      <c r="C415" s="2" t="s">
        <v>2444</v>
      </c>
      <c r="D415" s="2" t="s">
        <v>107</v>
      </c>
      <c r="E415" s="2" t="s">
        <v>108</v>
      </c>
      <c r="F415" s="2" t="s">
        <v>1192</v>
      </c>
      <c r="G415" s="3" t="s">
        <v>1186</v>
      </c>
      <c r="H415" s="3" t="s">
        <v>7</v>
      </c>
      <c r="I415" s="3" t="s">
        <v>7</v>
      </c>
      <c r="J415" s="3" t="s">
        <v>7</v>
      </c>
      <c r="K415" s="3" t="s">
        <v>7</v>
      </c>
      <c r="L415" s="3" t="s">
        <v>7</v>
      </c>
      <c r="M415" s="2" t="s">
        <v>256</v>
      </c>
      <c r="N415" s="2" t="s">
        <v>257</v>
      </c>
      <c r="O415" s="2" t="s">
        <v>1288</v>
      </c>
      <c r="P415" s="2" t="s">
        <v>2873</v>
      </c>
      <c r="Q415" s="3" t="s">
        <v>2856</v>
      </c>
    </row>
    <row r="416" spans="1:17" hidden="1">
      <c r="A416" s="2" t="s">
        <v>2871</v>
      </c>
      <c r="B416" s="1" t="s">
        <v>2445</v>
      </c>
      <c r="C416" s="2" t="s">
        <v>2446</v>
      </c>
      <c r="D416" s="2" t="s">
        <v>107</v>
      </c>
      <c r="E416" s="2" t="s">
        <v>108</v>
      </c>
      <c r="F416" s="2" t="s">
        <v>1192</v>
      </c>
      <c r="G416" s="3" t="s">
        <v>1178</v>
      </c>
      <c r="H416" s="3" t="s">
        <v>7</v>
      </c>
      <c r="I416" s="3" t="s">
        <v>7</v>
      </c>
      <c r="J416" s="3" t="s">
        <v>7</v>
      </c>
      <c r="K416" s="3" t="s">
        <v>7</v>
      </c>
      <c r="L416" s="3" t="s">
        <v>7</v>
      </c>
      <c r="M416" s="2" t="s">
        <v>256</v>
      </c>
      <c r="N416" s="2" t="s">
        <v>257</v>
      </c>
      <c r="O416" s="2" t="s">
        <v>1288</v>
      </c>
      <c r="P416" s="2" t="s">
        <v>2873</v>
      </c>
      <c r="Q416" s="3" t="s">
        <v>2856</v>
      </c>
    </row>
    <row r="417" spans="1:17" hidden="1">
      <c r="A417" s="2" t="s">
        <v>2871</v>
      </c>
      <c r="B417" s="1" t="s">
        <v>2447</v>
      </c>
      <c r="C417" s="2" t="s">
        <v>2448</v>
      </c>
      <c r="D417" s="2" t="s">
        <v>107</v>
      </c>
      <c r="E417" s="2" t="s">
        <v>108</v>
      </c>
      <c r="F417" s="2" t="s">
        <v>1181</v>
      </c>
      <c r="G417" s="3" t="s">
        <v>1186</v>
      </c>
      <c r="H417" s="3" t="s">
        <v>3071</v>
      </c>
      <c r="I417" s="3" t="s">
        <v>7</v>
      </c>
      <c r="J417" s="3" t="s">
        <v>3071</v>
      </c>
      <c r="K417" s="3" t="s">
        <v>3071</v>
      </c>
      <c r="L417" s="3" t="s">
        <v>7</v>
      </c>
      <c r="M417" s="2" t="s">
        <v>256</v>
      </c>
      <c r="N417" s="2" t="s">
        <v>257</v>
      </c>
      <c r="O417" s="2" t="s">
        <v>1288</v>
      </c>
      <c r="P417" s="2" t="s">
        <v>2873</v>
      </c>
      <c r="Q417" s="3" t="s">
        <v>2856</v>
      </c>
    </row>
    <row r="418" spans="1:17" hidden="1">
      <c r="A418" s="2" t="s">
        <v>2871</v>
      </c>
      <c r="B418" s="1" t="s">
        <v>1545</v>
      </c>
      <c r="C418" s="2" t="s">
        <v>1954</v>
      </c>
      <c r="D418" s="2" t="s">
        <v>109</v>
      </c>
      <c r="E418" s="2" t="s">
        <v>110</v>
      </c>
      <c r="F418" s="2" t="s">
        <v>1409</v>
      </c>
      <c r="G418" s="3" t="s">
        <v>1485</v>
      </c>
      <c r="H418" s="3" t="s">
        <v>7</v>
      </c>
      <c r="I418" s="3" t="s">
        <v>7</v>
      </c>
      <c r="J418" s="3" t="s">
        <v>7</v>
      </c>
      <c r="K418" s="3" t="s">
        <v>7</v>
      </c>
      <c r="L418" s="3" t="s">
        <v>7</v>
      </c>
      <c r="M418" s="2" t="s">
        <v>266</v>
      </c>
      <c r="N418" s="2" t="s">
        <v>267</v>
      </c>
      <c r="O418" s="2" t="s">
        <v>1281</v>
      </c>
      <c r="P418" s="2" t="s">
        <v>2872</v>
      </c>
      <c r="Q418" s="3" t="s">
        <v>2856</v>
      </c>
    </row>
    <row r="419" spans="1:17" hidden="1">
      <c r="A419" s="2" t="s">
        <v>2871</v>
      </c>
      <c r="B419" s="1" t="s">
        <v>1546</v>
      </c>
      <c r="C419" s="2" t="s">
        <v>1955</v>
      </c>
      <c r="D419" s="2" t="s">
        <v>109</v>
      </c>
      <c r="E419" s="2" t="s">
        <v>110</v>
      </c>
      <c r="F419" s="2" t="s">
        <v>8</v>
      </c>
      <c r="G419" s="3" t="s">
        <v>1432</v>
      </c>
      <c r="H419" s="3" t="s">
        <v>7</v>
      </c>
      <c r="I419" s="3" t="s">
        <v>7</v>
      </c>
      <c r="J419" s="3" t="s">
        <v>7</v>
      </c>
      <c r="K419" s="3" t="s">
        <v>7</v>
      </c>
      <c r="L419" s="3" t="s">
        <v>7</v>
      </c>
      <c r="M419" s="2" t="s">
        <v>266</v>
      </c>
      <c r="N419" s="2" t="s">
        <v>267</v>
      </c>
      <c r="O419" s="2" t="s">
        <v>1281</v>
      </c>
      <c r="P419" s="2" t="s">
        <v>2872</v>
      </c>
      <c r="Q419" s="3" t="s">
        <v>2856</v>
      </c>
    </row>
    <row r="420" spans="1:17" hidden="1">
      <c r="A420" s="2" t="s">
        <v>2871</v>
      </c>
      <c r="B420" s="1" t="s">
        <v>987</v>
      </c>
      <c r="C420" s="2" t="s">
        <v>1956</v>
      </c>
      <c r="D420" s="2" t="s">
        <v>109</v>
      </c>
      <c r="E420" s="2" t="s">
        <v>110</v>
      </c>
      <c r="F420" s="2" t="s">
        <v>8</v>
      </c>
      <c r="G420" s="3" t="s">
        <v>1430</v>
      </c>
      <c r="H420" s="3" t="s">
        <v>7</v>
      </c>
      <c r="I420" s="3" t="s">
        <v>7</v>
      </c>
      <c r="J420" s="3" t="s">
        <v>7</v>
      </c>
      <c r="K420" s="3" t="s">
        <v>7</v>
      </c>
      <c r="L420" s="3" t="s">
        <v>7</v>
      </c>
      <c r="M420" s="2" t="s">
        <v>266</v>
      </c>
      <c r="N420" s="2" t="s">
        <v>267</v>
      </c>
      <c r="O420" s="2" t="s">
        <v>1281</v>
      </c>
      <c r="P420" s="2" t="s">
        <v>2872</v>
      </c>
      <c r="Q420" s="3" t="s">
        <v>2856</v>
      </c>
    </row>
    <row r="421" spans="1:17" hidden="1">
      <c r="A421" s="2" t="s">
        <v>2871</v>
      </c>
      <c r="B421" s="1" t="s">
        <v>1957</v>
      </c>
      <c r="C421" s="2" t="s">
        <v>1958</v>
      </c>
      <c r="D421" s="2" t="s">
        <v>109</v>
      </c>
      <c r="E421" s="2" t="s">
        <v>110</v>
      </c>
      <c r="F421" s="2" t="s">
        <v>1181</v>
      </c>
      <c r="G421" s="3" t="s">
        <v>1485</v>
      </c>
      <c r="H421" s="3" t="s">
        <v>3071</v>
      </c>
      <c r="I421" s="3" t="s">
        <v>7</v>
      </c>
      <c r="J421" s="3" t="s">
        <v>3071</v>
      </c>
      <c r="K421" s="3" t="s">
        <v>3071</v>
      </c>
      <c r="L421" s="3" t="s">
        <v>7</v>
      </c>
      <c r="M421" s="2" t="s">
        <v>266</v>
      </c>
      <c r="N421" s="2" t="s">
        <v>267</v>
      </c>
      <c r="O421" s="2" t="s">
        <v>1281</v>
      </c>
      <c r="P421" s="2" t="s">
        <v>2872</v>
      </c>
      <c r="Q421" s="3" t="s">
        <v>2856</v>
      </c>
    </row>
    <row r="422" spans="1:17" hidden="1">
      <c r="A422" s="21" t="s">
        <v>2903</v>
      </c>
      <c r="B422" s="22" t="s">
        <v>1547</v>
      </c>
      <c r="C422" s="21" t="s">
        <v>1959</v>
      </c>
      <c r="D422" s="21" t="s">
        <v>111</v>
      </c>
      <c r="E422" s="21" t="s">
        <v>1548</v>
      </c>
      <c r="F422" s="21" t="s">
        <v>1192</v>
      </c>
      <c r="G422" s="3" t="s">
        <v>1416</v>
      </c>
      <c r="H422" s="3" t="s">
        <v>7</v>
      </c>
      <c r="I422" s="3" t="s">
        <v>7</v>
      </c>
      <c r="J422" s="3" t="s">
        <v>7</v>
      </c>
      <c r="K422" s="3" t="s">
        <v>7</v>
      </c>
      <c r="L422" s="3" t="s">
        <v>7</v>
      </c>
      <c r="M422" s="2" t="s">
        <v>642</v>
      </c>
      <c r="N422" s="2" t="s">
        <v>1355</v>
      </c>
      <c r="O422" s="2" t="s">
        <v>1354</v>
      </c>
      <c r="P422" s="2" t="s">
        <v>2917</v>
      </c>
      <c r="Q422" s="3" t="s">
        <v>2856</v>
      </c>
    </row>
    <row r="423" spans="1:17" hidden="1">
      <c r="A423" s="21" t="s">
        <v>2903</v>
      </c>
      <c r="B423" s="22" t="s">
        <v>1549</v>
      </c>
      <c r="C423" s="21" t="s">
        <v>1960</v>
      </c>
      <c r="D423" s="21" t="s">
        <v>111</v>
      </c>
      <c r="E423" s="21" t="s">
        <v>1548</v>
      </c>
      <c r="F423" s="21" t="s">
        <v>1180</v>
      </c>
      <c r="G423" s="3" t="s">
        <v>1416</v>
      </c>
      <c r="H423" s="3" t="s">
        <v>7</v>
      </c>
      <c r="I423" s="3" t="s">
        <v>7</v>
      </c>
      <c r="J423" s="3" t="s">
        <v>7</v>
      </c>
      <c r="K423" s="3" t="s">
        <v>7</v>
      </c>
      <c r="L423" s="3" t="s">
        <v>7</v>
      </c>
      <c r="M423" s="2" t="s">
        <v>642</v>
      </c>
      <c r="N423" s="2" t="s">
        <v>1355</v>
      </c>
      <c r="O423" s="2" t="s">
        <v>1354</v>
      </c>
      <c r="P423" s="2" t="s">
        <v>2917</v>
      </c>
      <c r="Q423" s="3" t="s">
        <v>2856</v>
      </c>
    </row>
    <row r="424" spans="1:17" hidden="1">
      <c r="A424" s="21" t="s">
        <v>2903</v>
      </c>
      <c r="B424" s="22" t="s">
        <v>1550</v>
      </c>
      <c r="C424" s="21" t="s">
        <v>1961</v>
      </c>
      <c r="D424" s="21" t="s">
        <v>111</v>
      </c>
      <c r="E424" s="21" t="s">
        <v>826</v>
      </c>
      <c r="F424" s="21" t="s">
        <v>1192</v>
      </c>
      <c r="G424" s="3" t="s">
        <v>1416</v>
      </c>
      <c r="H424" s="3" t="s">
        <v>7</v>
      </c>
      <c r="I424" s="3" t="s">
        <v>7</v>
      </c>
      <c r="J424" s="3" t="s">
        <v>7</v>
      </c>
      <c r="K424" s="3" t="s">
        <v>7</v>
      </c>
      <c r="L424" s="3" t="s">
        <v>7</v>
      </c>
      <c r="M424" s="2" t="s">
        <v>670</v>
      </c>
      <c r="N424" s="2" t="s">
        <v>671</v>
      </c>
      <c r="O424" s="2" t="s">
        <v>1354</v>
      </c>
      <c r="P424" s="2" t="s">
        <v>2917</v>
      </c>
      <c r="Q424" s="3" t="s">
        <v>2856</v>
      </c>
    </row>
    <row r="425" spans="1:17" hidden="1">
      <c r="A425" s="21" t="s">
        <v>2903</v>
      </c>
      <c r="B425" s="22" t="s">
        <v>988</v>
      </c>
      <c r="C425" s="21" t="s">
        <v>2784</v>
      </c>
      <c r="D425" s="21" t="s">
        <v>111</v>
      </c>
      <c r="E425" s="21" t="s">
        <v>826</v>
      </c>
      <c r="F425" s="21" t="s">
        <v>1180</v>
      </c>
      <c r="G425" s="3" t="s">
        <v>1412</v>
      </c>
      <c r="H425" s="3" t="s">
        <v>7</v>
      </c>
      <c r="I425" s="3" t="s">
        <v>7</v>
      </c>
      <c r="J425" s="3" t="s">
        <v>7</v>
      </c>
      <c r="K425" s="3" t="s">
        <v>7</v>
      </c>
      <c r="L425" s="3" t="s">
        <v>7</v>
      </c>
      <c r="M425" s="2" t="s">
        <v>670</v>
      </c>
      <c r="N425" s="2" t="s">
        <v>671</v>
      </c>
      <c r="O425" s="2" t="s">
        <v>1354</v>
      </c>
      <c r="P425" s="2" t="s">
        <v>2917</v>
      </c>
      <c r="Q425" s="3" t="s">
        <v>2856</v>
      </c>
    </row>
    <row r="426" spans="1:17" hidden="1">
      <c r="A426" s="21" t="s">
        <v>2903</v>
      </c>
      <c r="B426" s="22" t="s">
        <v>989</v>
      </c>
      <c r="C426" s="21" t="s">
        <v>1962</v>
      </c>
      <c r="D426" s="21" t="s">
        <v>111</v>
      </c>
      <c r="E426" s="21" t="s">
        <v>827</v>
      </c>
      <c r="F426" s="21" t="s">
        <v>8</v>
      </c>
      <c r="G426" s="3" t="s">
        <v>1412</v>
      </c>
      <c r="H426" s="3" t="s">
        <v>7</v>
      </c>
      <c r="I426" s="3" t="s">
        <v>7</v>
      </c>
      <c r="J426" s="3" t="s">
        <v>7</v>
      </c>
      <c r="K426" s="3" t="s">
        <v>7</v>
      </c>
      <c r="L426" s="3" t="s">
        <v>7</v>
      </c>
      <c r="M426" s="2" t="s">
        <v>608</v>
      </c>
      <c r="N426" s="2" t="s">
        <v>609</v>
      </c>
      <c r="O426" s="2" t="s">
        <v>1354</v>
      </c>
      <c r="P426" s="2" t="s">
        <v>2917</v>
      </c>
      <c r="Q426" s="3" t="s">
        <v>2856</v>
      </c>
    </row>
    <row r="427" spans="1:17" hidden="1">
      <c r="A427" s="21" t="s">
        <v>2903</v>
      </c>
      <c r="B427" s="22" t="s">
        <v>990</v>
      </c>
      <c r="C427" s="21" t="s">
        <v>1963</v>
      </c>
      <c r="D427" s="21" t="s">
        <v>111</v>
      </c>
      <c r="E427" s="21" t="s">
        <v>827</v>
      </c>
      <c r="F427" s="21" t="s">
        <v>8</v>
      </c>
      <c r="G427" s="3" t="s">
        <v>1182</v>
      </c>
      <c r="H427" s="3" t="s">
        <v>7</v>
      </c>
      <c r="I427" s="3" t="s">
        <v>7</v>
      </c>
      <c r="J427" s="3" t="s">
        <v>7</v>
      </c>
      <c r="K427" s="3" t="s">
        <v>7</v>
      </c>
      <c r="L427" s="3" t="s">
        <v>7</v>
      </c>
      <c r="M427" s="2" t="s">
        <v>608</v>
      </c>
      <c r="N427" s="2" t="s">
        <v>609</v>
      </c>
      <c r="O427" s="2" t="s">
        <v>1354</v>
      </c>
      <c r="P427" s="2" t="s">
        <v>2917</v>
      </c>
      <c r="Q427" s="3" t="s">
        <v>2856</v>
      </c>
    </row>
    <row r="428" spans="1:17" hidden="1">
      <c r="A428" s="21" t="s">
        <v>2903</v>
      </c>
      <c r="B428" s="22" t="s">
        <v>1964</v>
      </c>
      <c r="C428" s="21" t="s">
        <v>1965</v>
      </c>
      <c r="D428" s="21" t="s">
        <v>111</v>
      </c>
      <c r="E428" s="21" t="s">
        <v>827</v>
      </c>
      <c r="F428" s="21" t="s">
        <v>1181</v>
      </c>
      <c r="G428" s="3" t="s">
        <v>1187</v>
      </c>
      <c r="H428" s="3" t="s">
        <v>3071</v>
      </c>
      <c r="I428" s="3" t="s">
        <v>7</v>
      </c>
      <c r="J428" s="3" t="s">
        <v>3071</v>
      </c>
      <c r="K428" s="3" t="s">
        <v>3071</v>
      </c>
      <c r="L428" s="3" t="s">
        <v>7</v>
      </c>
      <c r="M428" s="2" t="s">
        <v>608</v>
      </c>
      <c r="N428" s="2" t="s">
        <v>609</v>
      </c>
      <c r="O428" s="2" t="s">
        <v>1354</v>
      </c>
      <c r="P428" s="2" t="s">
        <v>2917</v>
      </c>
      <c r="Q428" s="3" t="s">
        <v>2856</v>
      </c>
    </row>
    <row r="429" spans="1:17" hidden="1">
      <c r="A429" s="21" t="s">
        <v>2903</v>
      </c>
      <c r="B429" s="22" t="s">
        <v>993</v>
      </c>
      <c r="C429" s="21" t="s">
        <v>1968</v>
      </c>
      <c r="D429" s="21" t="s">
        <v>111</v>
      </c>
      <c r="E429" s="21" t="s">
        <v>1205</v>
      </c>
      <c r="F429" s="21" t="s">
        <v>1180</v>
      </c>
      <c r="G429" s="3" t="s">
        <v>1187</v>
      </c>
      <c r="H429" s="3" t="s">
        <v>7</v>
      </c>
      <c r="I429" s="3" t="s">
        <v>7</v>
      </c>
      <c r="J429" s="3" t="s">
        <v>7</v>
      </c>
      <c r="K429" s="3" t="s">
        <v>7</v>
      </c>
      <c r="L429" s="3" t="s">
        <v>7</v>
      </c>
      <c r="M429" s="2" t="s">
        <v>1231</v>
      </c>
      <c r="N429" s="2" t="s">
        <v>1356</v>
      </c>
      <c r="O429" s="2" t="s">
        <v>1354</v>
      </c>
      <c r="P429" s="2" t="s">
        <v>2917</v>
      </c>
      <c r="Q429" s="3" t="s">
        <v>2856</v>
      </c>
    </row>
    <row r="430" spans="1:17" hidden="1">
      <c r="A430" s="21" t="s">
        <v>2903</v>
      </c>
      <c r="B430" s="22" t="s">
        <v>991</v>
      </c>
      <c r="C430" s="21" t="s">
        <v>1966</v>
      </c>
      <c r="D430" s="21" t="s">
        <v>111</v>
      </c>
      <c r="E430" s="21" t="s">
        <v>1205</v>
      </c>
      <c r="F430" s="21" t="s">
        <v>8</v>
      </c>
      <c r="G430" s="3" t="s">
        <v>1187</v>
      </c>
      <c r="H430" s="3" t="s">
        <v>7</v>
      </c>
      <c r="I430" s="3" t="s">
        <v>7</v>
      </c>
      <c r="J430" s="3" t="s">
        <v>7</v>
      </c>
      <c r="K430" s="3" t="s">
        <v>7</v>
      </c>
      <c r="L430" s="3" t="s">
        <v>7</v>
      </c>
      <c r="M430" s="2" t="s">
        <v>1231</v>
      </c>
      <c r="N430" s="2" t="s">
        <v>1356</v>
      </c>
      <c r="O430" s="2" t="s">
        <v>1354</v>
      </c>
      <c r="P430" s="2" t="s">
        <v>2917</v>
      </c>
      <c r="Q430" s="3" t="s">
        <v>2856</v>
      </c>
    </row>
    <row r="431" spans="1:17" hidden="1">
      <c r="A431" s="21" t="s">
        <v>2903</v>
      </c>
      <c r="B431" s="22" t="s">
        <v>992</v>
      </c>
      <c r="C431" s="21" t="s">
        <v>1967</v>
      </c>
      <c r="D431" s="21" t="s">
        <v>111</v>
      </c>
      <c r="E431" s="21" t="s">
        <v>1205</v>
      </c>
      <c r="F431" s="21" t="s">
        <v>8</v>
      </c>
      <c r="G431" s="3" t="s">
        <v>1187</v>
      </c>
      <c r="H431" s="3" t="s">
        <v>7</v>
      </c>
      <c r="I431" s="3" t="s">
        <v>7</v>
      </c>
      <c r="J431" s="3" t="s">
        <v>7</v>
      </c>
      <c r="K431" s="3" t="s">
        <v>7</v>
      </c>
      <c r="L431" s="3" t="s">
        <v>7</v>
      </c>
      <c r="M431" s="2" t="s">
        <v>1231</v>
      </c>
      <c r="N431" s="2" t="s">
        <v>1356</v>
      </c>
      <c r="O431" s="2" t="s">
        <v>1354</v>
      </c>
      <c r="P431" s="2" t="s">
        <v>2917</v>
      </c>
      <c r="Q431" s="3" t="s">
        <v>2856</v>
      </c>
    </row>
    <row r="432" spans="1:17" hidden="1">
      <c r="A432" s="21" t="s">
        <v>2903</v>
      </c>
      <c r="B432" s="22" t="s">
        <v>2782</v>
      </c>
      <c r="C432" s="21" t="s">
        <v>2783</v>
      </c>
      <c r="D432" s="21" t="s">
        <v>111</v>
      </c>
      <c r="E432" s="21" t="s">
        <v>1548</v>
      </c>
      <c r="F432" s="21" t="s">
        <v>1180</v>
      </c>
      <c r="G432" s="3" t="s">
        <v>1186</v>
      </c>
      <c r="H432" s="3" t="s">
        <v>7</v>
      </c>
      <c r="I432" s="3" t="s">
        <v>7</v>
      </c>
      <c r="J432" s="3" t="s">
        <v>7</v>
      </c>
      <c r="K432" s="3" t="s">
        <v>7</v>
      </c>
      <c r="L432" s="3" t="s">
        <v>7</v>
      </c>
      <c r="M432" s="2" t="s">
        <v>642</v>
      </c>
      <c r="N432" s="2" t="s">
        <v>1355</v>
      </c>
      <c r="O432" s="2" t="s">
        <v>1354</v>
      </c>
      <c r="P432" s="2" t="s">
        <v>2917</v>
      </c>
      <c r="Q432" s="3" t="s">
        <v>2856</v>
      </c>
    </row>
    <row r="433" spans="1:17" hidden="1">
      <c r="A433" s="21" t="s">
        <v>2903</v>
      </c>
      <c r="B433" s="22" t="s">
        <v>2785</v>
      </c>
      <c r="C433" s="21" t="s">
        <v>2786</v>
      </c>
      <c r="D433" s="21" t="s">
        <v>111</v>
      </c>
      <c r="E433" s="21" t="s">
        <v>826</v>
      </c>
      <c r="F433" s="21" t="s">
        <v>1180</v>
      </c>
      <c r="G433" s="3" t="s">
        <v>1186</v>
      </c>
      <c r="H433" s="3" t="s">
        <v>7</v>
      </c>
      <c r="I433" s="3" t="s">
        <v>7</v>
      </c>
      <c r="J433" s="3" t="s">
        <v>7</v>
      </c>
      <c r="K433" s="3" t="s">
        <v>7</v>
      </c>
      <c r="L433" s="3" t="s">
        <v>7</v>
      </c>
      <c r="M433" s="2" t="s">
        <v>670</v>
      </c>
      <c r="N433" s="2" t="s">
        <v>671</v>
      </c>
      <c r="O433" s="2" t="s">
        <v>1354</v>
      </c>
      <c r="P433" s="2" t="s">
        <v>2917</v>
      </c>
      <c r="Q433" s="3" t="s">
        <v>2856</v>
      </c>
    </row>
    <row r="434" spans="1:17" hidden="1">
      <c r="A434" s="21" t="s">
        <v>2903</v>
      </c>
      <c r="B434" s="22" t="s">
        <v>2787</v>
      </c>
      <c r="C434" s="21" t="s">
        <v>2788</v>
      </c>
      <c r="D434" s="21" t="s">
        <v>111</v>
      </c>
      <c r="E434" s="21" t="s">
        <v>2789</v>
      </c>
      <c r="F434" s="21" t="s">
        <v>1192</v>
      </c>
      <c r="G434" s="3" t="s">
        <v>1198</v>
      </c>
      <c r="H434" s="3" t="s">
        <v>7</v>
      </c>
      <c r="I434" s="3" t="s">
        <v>7</v>
      </c>
      <c r="J434" s="3" t="s">
        <v>7</v>
      </c>
      <c r="K434" s="3" t="s">
        <v>7</v>
      </c>
      <c r="L434" s="3" t="s">
        <v>7</v>
      </c>
      <c r="M434" s="2" t="s">
        <v>1230</v>
      </c>
      <c r="N434" s="2" t="s">
        <v>2920</v>
      </c>
      <c r="O434" s="2" t="s">
        <v>1354</v>
      </c>
      <c r="P434" s="2" t="s">
        <v>2917</v>
      </c>
      <c r="Q434" s="3" t="s">
        <v>2856</v>
      </c>
    </row>
    <row r="435" spans="1:17" hidden="1">
      <c r="A435" s="21" t="s">
        <v>2903</v>
      </c>
      <c r="B435" s="22" t="s">
        <v>2790</v>
      </c>
      <c r="C435" s="21" t="s">
        <v>2791</v>
      </c>
      <c r="D435" s="21" t="s">
        <v>111</v>
      </c>
      <c r="E435" s="21" t="s">
        <v>2789</v>
      </c>
      <c r="F435" s="21" t="s">
        <v>1192</v>
      </c>
      <c r="G435" s="3" t="s">
        <v>1186</v>
      </c>
      <c r="H435" s="3" t="s">
        <v>7</v>
      </c>
      <c r="I435" s="3" t="s">
        <v>7</v>
      </c>
      <c r="J435" s="3" t="s">
        <v>7</v>
      </c>
      <c r="K435" s="3" t="s">
        <v>7</v>
      </c>
      <c r="L435" s="3" t="s">
        <v>7</v>
      </c>
      <c r="M435" s="2" t="s">
        <v>1230</v>
      </c>
      <c r="N435" s="2" t="s">
        <v>2920</v>
      </c>
      <c r="O435" s="2" t="s">
        <v>1354</v>
      </c>
      <c r="P435" s="2" t="s">
        <v>2917</v>
      </c>
      <c r="Q435" s="3" t="s">
        <v>2856</v>
      </c>
    </row>
    <row r="436" spans="1:17" hidden="1">
      <c r="A436" s="21" t="s">
        <v>2903</v>
      </c>
      <c r="B436" s="22" t="s">
        <v>2792</v>
      </c>
      <c r="C436" s="21" t="s">
        <v>2793</v>
      </c>
      <c r="D436" s="21" t="s">
        <v>111</v>
      </c>
      <c r="E436" s="21" t="s">
        <v>2789</v>
      </c>
      <c r="F436" s="21" t="s">
        <v>1180</v>
      </c>
      <c r="G436" s="3" t="s">
        <v>1186</v>
      </c>
      <c r="H436" s="3" t="s">
        <v>7</v>
      </c>
      <c r="I436" s="3" t="s">
        <v>7</v>
      </c>
      <c r="J436" s="3" t="s">
        <v>7</v>
      </c>
      <c r="K436" s="3" t="s">
        <v>7</v>
      </c>
      <c r="L436" s="3" t="s">
        <v>7</v>
      </c>
      <c r="M436" s="63" t="s">
        <v>1230</v>
      </c>
      <c r="N436" s="63" t="s">
        <v>2920</v>
      </c>
      <c r="O436" s="2" t="s">
        <v>1354</v>
      </c>
      <c r="P436" s="2" t="s">
        <v>2917</v>
      </c>
      <c r="Q436" s="3" t="s">
        <v>2856</v>
      </c>
    </row>
    <row r="437" spans="1:17" hidden="1">
      <c r="A437" s="21" t="s">
        <v>2903</v>
      </c>
      <c r="B437" s="22" t="s">
        <v>2794</v>
      </c>
      <c r="C437" s="21" t="s">
        <v>2795</v>
      </c>
      <c r="D437" s="21" t="s">
        <v>111</v>
      </c>
      <c r="E437" s="21" t="s">
        <v>2796</v>
      </c>
      <c r="F437" s="21" t="s">
        <v>1192</v>
      </c>
      <c r="G437" s="3" t="s">
        <v>1198</v>
      </c>
      <c r="H437" s="3" t="s">
        <v>7</v>
      </c>
      <c r="I437" s="3" t="s">
        <v>7</v>
      </c>
      <c r="J437" s="3" t="s">
        <v>7</v>
      </c>
      <c r="K437" s="3" t="s">
        <v>7</v>
      </c>
      <c r="L437" s="3" t="s">
        <v>7</v>
      </c>
      <c r="M437" s="2" t="s">
        <v>2555</v>
      </c>
      <c r="N437" s="2" t="s">
        <v>2921</v>
      </c>
      <c r="O437" s="2" t="s">
        <v>1354</v>
      </c>
      <c r="P437" s="2" t="s">
        <v>2917</v>
      </c>
      <c r="Q437" s="3" t="s">
        <v>2856</v>
      </c>
    </row>
    <row r="438" spans="1:17" hidden="1">
      <c r="A438" s="21" t="s">
        <v>2903</v>
      </c>
      <c r="B438" s="22" t="s">
        <v>2797</v>
      </c>
      <c r="C438" s="21" t="s">
        <v>2798</v>
      </c>
      <c r="D438" s="21" t="s">
        <v>111</v>
      </c>
      <c r="E438" s="21" t="s">
        <v>2796</v>
      </c>
      <c r="F438" s="21" t="s">
        <v>1192</v>
      </c>
      <c r="G438" s="3" t="s">
        <v>1186</v>
      </c>
      <c r="H438" s="3" t="s">
        <v>7</v>
      </c>
      <c r="I438" s="3" t="s">
        <v>7</v>
      </c>
      <c r="J438" s="3" t="s">
        <v>7</v>
      </c>
      <c r="K438" s="3" t="s">
        <v>7</v>
      </c>
      <c r="L438" s="3" t="s">
        <v>7</v>
      </c>
      <c r="M438" s="2" t="s">
        <v>2555</v>
      </c>
      <c r="N438" s="2" t="s">
        <v>2921</v>
      </c>
      <c r="O438" s="2" t="s">
        <v>1354</v>
      </c>
      <c r="P438" s="2" t="s">
        <v>2917</v>
      </c>
      <c r="Q438" s="3" t="s">
        <v>2856</v>
      </c>
    </row>
    <row r="439" spans="1:17" hidden="1">
      <c r="A439" s="21" t="s">
        <v>2903</v>
      </c>
      <c r="B439" s="22" t="s">
        <v>2799</v>
      </c>
      <c r="C439" s="21" t="s">
        <v>2800</v>
      </c>
      <c r="D439" s="21" t="s">
        <v>111</v>
      </c>
      <c r="E439" s="21" t="s">
        <v>2796</v>
      </c>
      <c r="F439" s="21" t="s">
        <v>1180</v>
      </c>
      <c r="G439" s="3" t="s">
        <v>1186</v>
      </c>
      <c r="H439" s="3" t="s">
        <v>7</v>
      </c>
      <c r="I439" s="3" t="s">
        <v>7</v>
      </c>
      <c r="J439" s="3" t="s">
        <v>7</v>
      </c>
      <c r="K439" s="3" t="s">
        <v>7</v>
      </c>
      <c r="L439" s="3" t="s">
        <v>7</v>
      </c>
      <c r="M439" s="2" t="s">
        <v>2555</v>
      </c>
      <c r="N439" s="2" t="s">
        <v>2921</v>
      </c>
      <c r="O439" s="2" t="s">
        <v>1354</v>
      </c>
      <c r="P439" s="2" t="s">
        <v>2917</v>
      </c>
      <c r="Q439" s="3" t="s">
        <v>2856</v>
      </c>
    </row>
    <row r="440" spans="1:17" hidden="1">
      <c r="A440" s="21" t="s">
        <v>2876</v>
      </c>
      <c r="B440" s="22" t="s">
        <v>1551</v>
      </c>
      <c r="C440" s="21" t="s">
        <v>1969</v>
      </c>
      <c r="D440" s="21" t="s">
        <v>112</v>
      </c>
      <c r="E440" s="21" t="s">
        <v>113</v>
      </c>
      <c r="F440" s="21" t="s">
        <v>1192</v>
      </c>
      <c r="G440" s="3" t="s">
        <v>1410</v>
      </c>
      <c r="H440" s="3" t="s">
        <v>7</v>
      </c>
      <c r="I440" s="3" t="s">
        <v>7</v>
      </c>
      <c r="J440" s="3" t="s">
        <v>7</v>
      </c>
      <c r="K440" s="3" t="s">
        <v>7</v>
      </c>
      <c r="L440" s="3" t="s">
        <v>7</v>
      </c>
      <c r="M440" s="2" t="s">
        <v>518</v>
      </c>
      <c r="N440" s="2" t="s">
        <v>519</v>
      </c>
      <c r="O440" s="2" t="s">
        <v>1306</v>
      </c>
      <c r="P440" s="2" t="s">
        <v>2884</v>
      </c>
      <c r="Q440" s="3" t="s">
        <v>2856</v>
      </c>
    </row>
    <row r="441" spans="1:17" hidden="1">
      <c r="A441" s="21" t="s">
        <v>2876</v>
      </c>
      <c r="B441" s="22" t="s">
        <v>1552</v>
      </c>
      <c r="C441" s="21" t="s">
        <v>1970</v>
      </c>
      <c r="D441" s="21" t="s">
        <v>112</v>
      </c>
      <c r="E441" s="21" t="s">
        <v>113</v>
      </c>
      <c r="F441" s="21" t="s">
        <v>1192</v>
      </c>
      <c r="G441" s="3" t="s">
        <v>1416</v>
      </c>
      <c r="H441" s="3" t="s">
        <v>7</v>
      </c>
      <c r="I441" s="3" t="s">
        <v>7</v>
      </c>
      <c r="J441" s="3" t="s">
        <v>7</v>
      </c>
      <c r="K441" s="3" t="s">
        <v>7</v>
      </c>
      <c r="L441" s="3" t="s">
        <v>7</v>
      </c>
      <c r="M441" s="2" t="s">
        <v>518</v>
      </c>
      <c r="N441" s="2" t="s">
        <v>519</v>
      </c>
      <c r="O441" s="2" t="s">
        <v>1306</v>
      </c>
      <c r="P441" s="2" t="s">
        <v>2884</v>
      </c>
      <c r="Q441" s="3" t="s">
        <v>2856</v>
      </c>
    </row>
    <row r="442" spans="1:17" hidden="1">
      <c r="A442" s="21" t="s">
        <v>2876</v>
      </c>
      <c r="B442" s="22" t="s">
        <v>995</v>
      </c>
      <c r="C442" s="21" t="s">
        <v>1977</v>
      </c>
      <c r="D442" s="21" t="s">
        <v>114</v>
      </c>
      <c r="E442" s="21" t="s">
        <v>116</v>
      </c>
      <c r="F442" s="21" t="s">
        <v>1181</v>
      </c>
      <c r="G442" s="3" t="s">
        <v>1182</v>
      </c>
      <c r="H442" s="3" t="s">
        <v>3071</v>
      </c>
      <c r="I442" s="3" t="s">
        <v>7</v>
      </c>
      <c r="J442" s="3" t="s">
        <v>3071</v>
      </c>
      <c r="K442" s="3" t="s">
        <v>3071</v>
      </c>
      <c r="L442" s="3" t="s">
        <v>7</v>
      </c>
      <c r="M442" s="2" t="s">
        <v>494</v>
      </c>
      <c r="N442" s="2" t="s">
        <v>495</v>
      </c>
      <c r="O442" s="2" t="s">
        <v>1312</v>
      </c>
      <c r="P442" s="2" t="s">
        <v>2881</v>
      </c>
      <c r="Q442" s="3" t="s">
        <v>2856</v>
      </c>
    </row>
    <row r="443" spans="1:17" hidden="1">
      <c r="A443" s="21" t="s">
        <v>2876</v>
      </c>
      <c r="B443" s="22" t="s">
        <v>1553</v>
      </c>
      <c r="C443" s="21" t="s">
        <v>1971</v>
      </c>
      <c r="D443" s="21" t="s">
        <v>114</v>
      </c>
      <c r="E443" s="21" t="s">
        <v>115</v>
      </c>
      <c r="F443" s="21" t="s">
        <v>1409</v>
      </c>
      <c r="G443" s="3" t="s">
        <v>1424</v>
      </c>
      <c r="H443" s="3" t="s">
        <v>7</v>
      </c>
      <c r="I443" s="3" t="s">
        <v>7</v>
      </c>
      <c r="J443" s="3" t="s">
        <v>7</v>
      </c>
      <c r="K443" s="3" t="s">
        <v>7</v>
      </c>
      <c r="L443" s="3" t="s">
        <v>7</v>
      </c>
      <c r="M443" s="2" t="s">
        <v>492</v>
      </c>
      <c r="N443" s="2" t="s">
        <v>1313</v>
      </c>
      <c r="O443" s="2" t="s">
        <v>1312</v>
      </c>
      <c r="P443" s="2" t="s">
        <v>2881</v>
      </c>
      <c r="Q443" s="3" t="s">
        <v>2856</v>
      </c>
    </row>
    <row r="444" spans="1:17" hidden="1">
      <c r="A444" s="21" t="s">
        <v>2876</v>
      </c>
      <c r="B444" s="22" t="s">
        <v>1554</v>
      </c>
      <c r="C444" s="21" t="s">
        <v>1975</v>
      </c>
      <c r="D444" s="21" t="s">
        <v>114</v>
      </c>
      <c r="E444" s="21" t="s">
        <v>116</v>
      </c>
      <c r="F444" s="21" t="s">
        <v>1192</v>
      </c>
      <c r="G444" s="3" t="s">
        <v>1182</v>
      </c>
      <c r="H444" s="3" t="s">
        <v>7</v>
      </c>
      <c r="I444" s="3" t="s">
        <v>7</v>
      </c>
      <c r="J444" s="3" t="s">
        <v>7</v>
      </c>
      <c r="K444" s="3" t="s">
        <v>7</v>
      </c>
      <c r="L444" s="3" t="s">
        <v>7</v>
      </c>
      <c r="M444" s="2" t="s">
        <v>494</v>
      </c>
      <c r="N444" s="2" t="s">
        <v>495</v>
      </c>
      <c r="O444" s="2" t="s">
        <v>1312</v>
      </c>
      <c r="P444" s="2" t="s">
        <v>2881</v>
      </c>
      <c r="Q444" s="3" t="s">
        <v>2856</v>
      </c>
    </row>
    <row r="445" spans="1:17" hidden="1">
      <c r="A445" s="21" t="s">
        <v>2876</v>
      </c>
      <c r="B445" s="22" t="s">
        <v>1206</v>
      </c>
      <c r="C445" s="21" t="s">
        <v>1976</v>
      </c>
      <c r="D445" s="21" t="s">
        <v>114</v>
      </c>
      <c r="E445" s="21" t="s">
        <v>116</v>
      </c>
      <c r="F445" s="21" t="s">
        <v>1192</v>
      </c>
      <c r="G445" s="3" t="s">
        <v>1198</v>
      </c>
      <c r="H445" s="3" t="s">
        <v>7</v>
      </c>
      <c r="I445" s="3" t="s">
        <v>7</v>
      </c>
      <c r="J445" s="3" t="s">
        <v>7</v>
      </c>
      <c r="K445" s="3" t="s">
        <v>7</v>
      </c>
      <c r="L445" s="3" t="s">
        <v>7</v>
      </c>
      <c r="M445" s="2" t="s">
        <v>494</v>
      </c>
      <c r="N445" s="2" t="s">
        <v>495</v>
      </c>
      <c r="O445" s="2" t="s">
        <v>1312</v>
      </c>
      <c r="P445" s="2" t="s">
        <v>2881</v>
      </c>
      <c r="Q445" s="3" t="s">
        <v>2856</v>
      </c>
    </row>
    <row r="446" spans="1:17" hidden="1">
      <c r="A446" s="21" t="s">
        <v>2876</v>
      </c>
      <c r="B446" s="22" t="s">
        <v>994</v>
      </c>
      <c r="C446" s="21" t="s">
        <v>1974</v>
      </c>
      <c r="D446" s="21" t="s">
        <v>114</v>
      </c>
      <c r="E446" s="21" t="s">
        <v>115</v>
      </c>
      <c r="F446" s="21" t="s">
        <v>1180</v>
      </c>
      <c r="G446" s="3" t="s">
        <v>1187</v>
      </c>
      <c r="H446" s="3" t="s">
        <v>7</v>
      </c>
      <c r="I446" s="3" t="s">
        <v>7</v>
      </c>
      <c r="J446" s="3" t="s">
        <v>7</v>
      </c>
      <c r="K446" s="3" t="s">
        <v>7</v>
      </c>
      <c r="L446" s="3" t="s">
        <v>7</v>
      </c>
      <c r="M446" s="2" t="s">
        <v>492</v>
      </c>
      <c r="N446" s="2" t="s">
        <v>1313</v>
      </c>
      <c r="O446" s="2" t="s">
        <v>1312</v>
      </c>
      <c r="P446" s="2" t="s">
        <v>2881</v>
      </c>
      <c r="Q446" s="3" t="s">
        <v>2856</v>
      </c>
    </row>
    <row r="447" spans="1:17" hidden="1">
      <c r="A447" s="21" t="s">
        <v>2876</v>
      </c>
      <c r="B447" s="22" t="s">
        <v>1972</v>
      </c>
      <c r="C447" s="21" t="s">
        <v>1973</v>
      </c>
      <c r="D447" s="21" t="s">
        <v>114</v>
      </c>
      <c r="E447" s="21" t="s">
        <v>115</v>
      </c>
      <c r="F447" s="21" t="s">
        <v>1192</v>
      </c>
      <c r="G447" s="3" t="s">
        <v>1198</v>
      </c>
      <c r="H447" s="3" t="s">
        <v>7</v>
      </c>
      <c r="I447" s="3" t="s">
        <v>7</v>
      </c>
      <c r="J447" s="3" t="s">
        <v>7</v>
      </c>
      <c r="K447" s="3" t="s">
        <v>7</v>
      </c>
      <c r="L447" s="3" t="s">
        <v>7</v>
      </c>
      <c r="M447" s="2" t="s">
        <v>492</v>
      </c>
      <c r="N447" s="2" t="s">
        <v>1313</v>
      </c>
      <c r="O447" s="2" t="s">
        <v>1312</v>
      </c>
      <c r="P447" s="2" t="s">
        <v>2881</v>
      </c>
      <c r="Q447" s="3" t="s">
        <v>2856</v>
      </c>
    </row>
    <row r="448" spans="1:17" hidden="1">
      <c r="A448" s="21" t="s">
        <v>2946</v>
      </c>
      <c r="B448" s="22" t="s">
        <v>1208</v>
      </c>
      <c r="C448" s="21" t="s">
        <v>1982</v>
      </c>
      <c r="D448" s="21" t="s">
        <v>1207</v>
      </c>
      <c r="E448" s="21" t="s">
        <v>118</v>
      </c>
      <c r="F448" s="21" t="s">
        <v>15</v>
      </c>
      <c r="G448" s="3" t="s">
        <v>1430</v>
      </c>
      <c r="H448" s="3" t="s">
        <v>3071</v>
      </c>
      <c r="I448" s="3" t="s">
        <v>3071</v>
      </c>
      <c r="J448" s="3" t="s">
        <v>3071</v>
      </c>
      <c r="K448" s="3" t="s">
        <v>3071</v>
      </c>
      <c r="L448" s="3" t="s">
        <v>7</v>
      </c>
      <c r="M448" s="2" t="s">
        <v>410</v>
      </c>
      <c r="N448" s="2" t="s">
        <v>411</v>
      </c>
      <c r="O448" s="2" t="s">
        <v>1394</v>
      </c>
      <c r="P448" s="2" t="s">
        <v>2953</v>
      </c>
      <c r="Q448" s="3" t="s">
        <v>2856</v>
      </c>
    </row>
    <row r="449" spans="1:17" hidden="1">
      <c r="A449" s="21" t="s">
        <v>2946</v>
      </c>
      <c r="B449" s="22" t="s">
        <v>1556</v>
      </c>
      <c r="C449" s="21" t="s">
        <v>1980</v>
      </c>
      <c r="D449" s="21" t="s">
        <v>1207</v>
      </c>
      <c r="E449" s="21" t="s">
        <v>118</v>
      </c>
      <c r="F449" s="21" t="s">
        <v>1409</v>
      </c>
      <c r="G449" s="3" t="s">
        <v>1430</v>
      </c>
      <c r="H449" s="3" t="s">
        <v>7</v>
      </c>
      <c r="I449" s="3" t="s">
        <v>7</v>
      </c>
      <c r="J449" s="3" t="s">
        <v>7</v>
      </c>
      <c r="K449" s="3" t="s">
        <v>7</v>
      </c>
      <c r="L449" s="3" t="s">
        <v>7</v>
      </c>
      <c r="M449" s="2" t="s">
        <v>410</v>
      </c>
      <c r="N449" s="2" t="s">
        <v>411</v>
      </c>
      <c r="O449" s="2" t="s">
        <v>1394</v>
      </c>
      <c r="P449" s="2" t="s">
        <v>2953</v>
      </c>
      <c r="Q449" s="3" t="s">
        <v>2856</v>
      </c>
    </row>
    <row r="450" spans="1:17" hidden="1">
      <c r="A450" s="21" t="s">
        <v>2946</v>
      </c>
      <c r="B450" s="22" t="s">
        <v>1555</v>
      </c>
      <c r="C450" s="21" t="s">
        <v>1978</v>
      </c>
      <c r="D450" s="21" t="s">
        <v>1207</v>
      </c>
      <c r="E450" s="21" t="s">
        <v>117</v>
      </c>
      <c r="F450" s="21" t="s">
        <v>1409</v>
      </c>
      <c r="G450" s="3" t="s">
        <v>1416</v>
      </c>
      <c r="H450" s="3" t="s">
        <v>7</v>
      </c>
      <c r="I450" s="3" t="s">
        <v>7</v>
      </c>
      <c r="J450" s="3" t="s">
        <v>7</v>
      </c>
      <c r="K450" s="3" t="s">
        <v>7</v>
      </c>
      <c r="L450" s="3" t="s">
        <v>7</v>
      </c>
      <c r="M450" s="2" t="s">
        <v>408</v>
      </c>
      <c r="N450" s="2" t="s">
        <v>409</v>
      </c>
      <c r="O450" s="2" t="s">
        <v>1394</v>
      </c>
      <c r="P450" s="2" t="s">
        <v>2953</v>
      </c>
      <c r="Q450" s="3" t="s">
        <v>2856</v>
      </c>
    </row>
    <row r="451" spans="1:17" hidden="1">
      <c r="A451" s="21" t="s">
        <v>2946</v>
      </c>
      <c r="B451" s="22" t="s">
        <v>998</v>
      </c>
      <c r="C451" s="21" t="s">
        <v>1983</v>
      </c>
      <c r="D451" s="21" t="s">
        <v>1207</v>
      </c>
      <c r="E451" s="21" t="s">
        <v>118</v>
      </c>
      <c r="F451" s="21" t="s">
        <v>1180</v>
      </c>
      <c r="G451" s="3" t="s">
        <v>1414</v>
      </c>
      <c r="H451" s="3" t="s">
        <v>7</v>
      </c>
      <c r="I451" s="3" t="s">
        <v>7</v>
      </c>
      <c r="J451" s="3" t="s">
        <v>7</v>
      </c>
      <c r="K451" s="3" t="s">
        <v>7</v>
      </c>
      <c r="L451" s="3" t="s">
        <v>7</v>
      </c>
      <c r="M451" s="2" t="s">
        <v>410</v>
      </c>
      <c r="N451" s="2" t="s">
        <v>411</v>
      </c>
      <c r="O451" s="2" t="s">
        <v>1394</v>
      </c>
      <c r="P451" s="2" t="s">
        <v>2953</v>
      </c>
      <c r="Q451" s="3" t="s">
        <v>2856</v>
      </c>
    </row>
    <row r="452" spans="1:17" hidden="1">
      <c r="A452" s="21" t="s">
        <v>2946</v>
      </c>
      <c r="B452" s="22" t="s">
        <v>997</v>
      </c>
      <c r="C452" s="21" t="s">
        <v>1981</v>
      </c>
      <c r="D452" s="21" t="s">
        <v>1207</v>
      </c>
      <c r="E452" s="21" t="s">
        <v>118</v>
      </c>
      <c r="F452" s="21" t="s">
        <v>8</v>
      </c>
      <c r="G452" s="3" t="s">
        <v>1182</v>
      </c>
      <c r="H452" s="3" t="s">
        <v>7</v>
      </c>
      <c r="I452" s="3" t="s">
        <v>7</v>
      </c>
      <c r="J452" s="3" t="s">
        <v>7</v>
      </c>
      <c r="K452" s="3" t="s">
        <v>7</v>
      </c>
      <c r="L452" s="3" t="s">
        <v>7</v>
      </c>
      <c r="M452" s="63" t="s">
        <v>368</v>
      </c>
      <c r="N452" s="63" t="s">
        <v>369</v>
      </c>
      <c r="O452" s="2" t="s">
        <v>1394</v>
      </c>
      <c r="P452" s="2" t="s">
        <v>2953</v>
      </c>
      <c r="Q452" s="3" t="s">
        <v>2856</v>
      </c>
    </row>
    <row r="453" spans="1:17" hidden="1">
      <c r="A453" s="21" t="s">
        <v>2946</v>
      </c>
      <c r="B453" s="22" t="s">
        <v>996</v>
      </c>
      <c r="C453" s="21" t="s">
        <v>1979</v>
      </c>
      <c r="D453" s="21" t="s">
        <v>1207</v>
      </c>
      <c r="E453" s="21" t="s">
        <v>117</v>
      </c>
      <c r="F453" s="21" t="s">
        <v>1181</v>
      </c>
      <c r="G453" s="3" t="s">
        <v>1182</v>
      </c>
      <c r="H453" s="3" t="s">
        <v>3071</v>
      </c>
      <c r="I453" s="3" t="s">
        <v>7</v>
      </c>
      <c r="J453" s="3" t="s">
        <v>3071</v>
      </c>
      <c r="K453" s="3" t="s">
        <v>3071</v>
      </c>
      <c r="L453" s="3" t="s">
        <v>7</v>
      </c>
      <c r="M453" s="2" t="s">
        <v>408</v>
      </c>
      <c r="N453" s="2" t="s">
        <v>409</v>
      </c>
      <c r="O453" s="2" t="s">
        <v>1394</v>
      </c>
      <c r="P453" s="2" t="s">
        <v>2953</v>
      </c>
      <c r="Q453" s="3" t="s">
        <v>2856</v>
      </c>
    </row>
    <row r="454" spans="1:17" hidden="1">
      <c r="A454" s="21" t="s">
        <v>2946</v>
      </c>
      <c r="B454" s="22" t="s">
        <v>2525</v>
      </c>
      <c r="C454" s="21" t="s">
        <v>2526</v>
      </c>
      <c r="D454" s="21" t="s">
        <v>1207</v>
      </c>
      <c r="E454" s="21" t="s">
        <v>117</v>
      </c>
      <c r="F454" s="21" t="s">
        <v>1192</v>
      </c>
      <c r="G454" s="3" t="s">
        <v>1198</v>
      </c>
      <c r="H454" s="3" t="s">
        <v>7</v>
      </c>
      <c r="I454" s="3" t="s">
        <v>7</v>
      </c>
      <c r="J454" s="3" t="s">
        <v>7</v>
      </c>
      <c r="K454" s="3" t="s">
        <v>7</v>
      </c>
      <c r="L454" s="3" t="s">
        <v>7</v>
      </c>
      <c r="M454" s="2" t="s">
        <v>408</v>
      </c>
      <c r="N454" s="2" t="s">
        <v>409</v>
      </c>
      <c r="O454" s="2" t="s">
        <v>1394</v>
      </c>
      <c r="P454" s="2" t="s">
        <v>2953</v>
      </c>
      <c r="Q454" s="3" t="s">
        <v>2856</v>
      </c>
    </row>
    <row r="455" spans="1:17" hidden="1">
      <c r="A455" s="21" t="s">
        <v>2903</v>
      </c>
      <c r="B455" s="22" t="s">
        <v>1557</v>
      </c>
      <c r="C455" s="21" t="s">
        <v>1984</v>
      </c>
      <c r="D455" s="21" t="s">
        <v>119</v>
      </c>
      <c r="E455" s="21" t="s">
        <v>828</v>
      </c>
      <c r="F455" s="21" t="s">
        <v>1192</v>
      </c>
      <c r="G455" s="3" t="s">
        <v>1485</v>
      </c>
      <c r="H455" s="3" t="s">
        <v>7</v>
      </c>
      <c r="I455" s="3" t="s">
        <v>7</v>
      </c>
      <c r="J455" s="3" t="s">
        <v>7</v>
      </c>
      <c r="K455" s="3" t="s">
        <v>7</v>
      </c>
      <c r="L455" s="3" t="s">
        <v>7</v>
      </c>
      <c r="M455" s="2" t="s">
        <v>628</v>
      </c>
      <c r="N455" s="2" t="s">
        <v>629</v>
      </c>
      <c r="O455" s="2" t="s">
        <v>1386</v>
      </c>
      <c r="P455" s="2" t="s">
        <v>2927</v>
      </c>
      <c r="Q455" s="3" t="s">
        <v>2856</v>
      </c>
    </row>
    <row r="456" spans="1:17" hidden="1">
      <c r="A456" s="21" t="s">
        <v>2903</v>
      </c>
      <c r="B456" s="22" t="s">
        <v>999</v>
      </c>
      <c r="C456" s="21" t="s">
        <v>1985</v>
      </c>
      <c r="D456" s="21" t="s">
        <v>119</v>
      </c>
      <c r="E456" s="21" t="s">
        <v>828</v>
      </c>
      <c r="F456" s="21" t="s">
        <v>1180</v>
      </c>
      <c r="G456" s="3" t="s">
        <v>1414</v>
      </c>
      <c r="H456" s="3" t="s">
        <v>7</v>
      </c>
      <c r="I456" s="3" t="s">
        <v>7</v>
      </c>
      <c r="J456" s="3" t="s">
        <v>7</v>
      </c>
      <c r="K456" s="3" t="s">
        <v>7</v>
      </c>
      <c r="L456" s="3" t="s">
        <v>7</v>
      </c>
      <c r="M456" s="2" t="s">
        <v>628</v>
      </c>
      <c r="N456" s="2" t="s">
        <v>629</v>
      </c>
      <c r="O456" s="2" t="s">
        <v>1386</v>
      </c>
      <c r="P456" s="2" t="s">
        <v>2927</v>
      </c>
      <c r="Q456" s="3" t="s">
        <v>2856</v>
      </c>
    </row>
    <row r="457" spans="1:17" hidden="1">
      <c r="A457" s="21" t="s">
        <v>2903</v>
      </c>
      <c r="B457" s="22" t="s">
        <v>1000</v>
      </c>
      <c r="C457" s="21" t="s">
        <v>1986</v>
      </c>
      <c r="D457" s="21" t="s">
        <v>119</v>
      </c>
      <c r="E457" s="21" t="s">
        <v>828</v>
      </c>
      <c r="F457" s="21" t="s">
        <v>1181</v>
      </c>
      <c r="G457" s="3" t="s">
        <v>1412</v>
      </c>
      <c r="H457" s="3" t="s">
        <v>3071</v>
      </c>
      <c r="I457" s="3" t="s">
        <v>7</v>
      </c>
      <c r="J457" s="3" t="s">
        <v>3071</v>
      </c>
      <c r="K457" s="3" t="s">
        <v>3071</v>
      </c>
      <c r="L457" s="3" t="s">
        <v>7</v>
      </c>
      <c r="M457" s="2" t="s">
        <v>628</v>
      </c>
      <c r="N457" s="2" t="s">
        <v>629</v>
      </c>
      <c r="O457" s="2" t="s">
        <v>1386</v>
      </c>
      <c r="P457" s="2" t="s">
        <v>2927</v>
      </c>
      <c r="Q457" s="3" t="s">
        <v>2856</v>
      </c>
    </row>
    <row r="458" spans="1:17" hidden="1">
      <c r="A458" s="21" t="s">
        <v>2903</v>
      </c>
      <c r="B458" s="22" t="s">
        <v>2466</v>
      </c>
      <c r="C458" s="21" t="s">
        <v>2467</v>
      </c>
      <c r="D458" s="21" t="s">
        <v>119</v>
      </c>
      <c r="E458" s="21" t="s">
        <v>829</v>
      </c>
      <c r="F458" s="21" t="s">
        <v>1192</v>
      </c>
      <c r="G458" s="3" t="s">
        <v>1416</v>
      </c>
      <c r="H458" s="3" t="s">
        <v>7</v>
      </c>
      <c r="I458" s="3" t="s">
        <v>7</v>
      </c>
      <c r="J458" s="3" t="s">
        <v>7</v>
      </c>
      <c r="K458" s="3" t="s">
        <v>7</v>
      </c>
      <c r="L458" s="3" t="s">
        <v>7</v>
      </c>
      <c r="M458" s="2" t="s">
        <v>646</v>
      </c>
      <c r="N458" s="2" t="s">
        <v>647</v>
      </c>
      <c r="O458" s="2" t="s">
        <v>1386</v>
      </c>
      <c r="P458" s="2" t="s">
        <v>2927</v>
      </c>
      <c r="Q458" s="3" t="s">
        <v>2856</v>
      </c>
    </row>
    <row r="459" spans="1:17" hidden="1">
      <c r="A459" s="21" t="s">
        <v>2903</v>
      </c>
      <c r="B459" s="22" t="s">
        <v>1003</v>
      </c>
      <c r="C459" s="21" t="s">
        <v>1991</v>
      </c>
      <c r="D459" s="21" t="s">
        <v>119</v>
      </c>
      <c r="E459" s="21" t="s">
        <v>829</v>
      </c>
      <c r="F459" s="21" t="s">
        <v>1180</v>
      </c>
      <c r="G459" s="3" t="s">
        <v>1412</v>
      </c>
      <c r="H459" s="3" t="s">
        <v>7</v>
      </c>
      <c r="I459" s="3" t="s">
        <v>7</v>
      </c>
      <c r="J459" s="3" t="s">
        <v>7</v>
      </c>
      <c r="K459" s="3" t="s">
        <v>7</v>
      </c>
      <c r="L459" s="3" t="s">
        <v>7</v>
      </c>
      <c r="M459" s="2" t="s">
        <v>646</v>
      </c>
      <c r="N459" s="2" t="s">
        <v>647</v>
      </c>
      <c r="O459" s="2" t="s">
        <v>1386</v>
      </c>
      <c r="P459" s="2" t="s">
        <v>2927</v>
      </c>
      <c r="Q459" s="3" t="s">
        <v>2856</v>
      </c>
    </row>
    <row r="460" spans="1:17" hidden="1">
      <c r="A460" s="21" t="s">
        <v>2903</v>
      </c>
      <c r="B460" s="22" t="s">
        <v>1001</v>
      </c>
      <c r="C460" s="21" t="s">
        <v>1989</v>
      </c>
      <c r="D460" s="21" t="s">
        <v>119</v>
      </c>
      <c r="E460" s="21" t="s">
        <v>828</v>
      </c>
      <c r="F460" s="21" t="s">
        <v>1180</v>
      </c>
      <c r="G460" s="3" t="s">
        <v>1412</v>
      </c>
      <c r="H460" s="3" t="s">
        <v>7</v>
      </c>
      <c r="I460" s="3" t="s">
        <v>7</v>
      </c>
      <c r="J460" s="3" t="s">
        <v>7</v>
      </c>
      <c r="K460" s="3" t="s">
        <v>7</v>
      </c>
      <c r="L460" s="3" t="s">
        <v>7</v>
      </c>
      <c r="M460" s="2" t="s">
        <v>628</v>
      </c>
      <c r="N460" s="2" t="s">
        <v>629</v>
      </c>
      <c r="O460" s="2" t="s">
        <v>1386</v>
      </c>
      <c r="P460" s="2" t="s">
        <v>2927</v>
      </c>
      <c r="Q460" s="3" t="s">
        <v>2856</v>
      </c>
    </row>
    <row r="461" spans="1:17" hidden="1">
      <c r="A461" s="21" t="s">
        <v>2903</v>
      </c>
      <c r="B461" s="22" t="s">
        <v>1987</v>
      </c>
      <c r="C461" s="21" t="s">
        <v>1988</v>
      </c>
      <c r="D461" s="21" t="s">
        <v>119</v>
      </c>
      <c r="E461" s="21" t="s">
        <v>828</v>
      </c>
      <c r="F461" s="21" t="s">
        <v>1637</v>
      </c>
      <c r="G461" s="3" t="s">
        <v>1457</v>
      </c>
      <c r="H461" s="3" t="s">
        <v>3071</v>
      </c>
      <c r="I461" s="3" t="s">
        <v>3071</v>
      </c>
      <c r="J461" s="3" t="s">
        <v>3071</v>
      </c>
      <c r="K461" s="3" t="s">
        <v>3071</v>
      </c>
      <c r="L461" s="3" t="s">
        <v>7</v>
      </c>
      <c r="M461" s="2" t="s">
        <v>628</v>
      </c>
      <c r="N461" s="2" t="s">
        <v>629</v>
      </c>
      <c r="O461" s="2" t="s">
        <v>1386</v>
      </c>
      <c r="P461" s="2" t="s">
        <v>2927</v>
      </c>
      <c r="Q461" s="3" t="s">
        <v>2856</v>
      </c>
    </row>
    <row r="462" spans="1:17" hidden="1">
      <c r="A462" s="21" t="s">
        <v>2903</v>
      </c>
      <c r="B462" s="22" t="s">
        <v>1005</v>
      </c>
      <c r="C462" s="21" t="s">
        <v>1993</v>
      </c>
      <c r="D462" s="21" t="s">
        <v>119</v>
      </c>
      <c r="E462" s="21" t="s">
        <v>830</v>
      </c>
      <c r="F462" s="21" t="s">
        <v>1192</v>
      </c>
      <c r="G462" s="3" t="s">
        <v>1412</v>
      </c>
      <c r="H462" s="3" t="s">
        <v>7</v>
      </c>
      <c r="I462" s="3" t="s">
        <v>7</v>
      </c>
      <c r="J462" s="3" t="s">
        <v>7</v>
      </c>
      <c r="K462" s="3" t="s">
        <v>7</v>
      </c>
      <c r="L462" s="3" t="s">
        <v>7</v>
      </c>
      <c r="M462" s="2" t="s">
        <v>564</v>
      </c>
      <c r="N462" s="2" t="s">
        <v>565</v>
      </c>
      <c r="O462" s="2" t="s">
        <v>1386</v>
      </c>
      <c r="P462" s="2" t="s">
        <v>2927</v>
      </c>
      <c r="Q462" s="3" t="s">
        <v>2856</v>
      </c>
    </row>
    <row r="463" spans="1:17" hidden="1">
      <c r="A463" s="21" t="s">
        <v>2903</v>
      </c>
      <c r="B463" s="22" t="s">
        <v>1004</v>
      </c>
      <c r="C463" s="21" t="s">
        <v>1992</v>
      </c>
      <c r="D463" s="21" t="s">
        <v>119</v>
      </c>
      <c r="E463" s="21" t="s">
        <v>829</v>
      </c>
      <c r="F463" s="21" t="s">
        <v>1181</v>
      </c>
      <c r="G463" s="3" t="s">
        <v>1182</v>
      </c>
      <c r="H463" s="3" t="s">
        <v>3071</v>
      </c>
      <c r="I463" s="3" t="s">
        <v>7</v>
      </c>
      <c r="J463" s="3" t="s">
        <v>3071</v>
      </c>
      <c r="K463" s="3" t="s">
        <v>3071</v>
      </c>
      <c r="L463" s="3" t="s">
        <v>7</v>
      </c>
      <c r="M463" s="2" t="s">
        <v>646</v>
      </c>
      <c r="N463" s="2" t="s">
        <v>647</v>
      </c>
      <c r="O463" s="2" t="s">
        <v>1386</v>
      </c>
      <c r="P463" s="2" t="s">
        <v>2927</v>
      </c>
      <c r="Q463" s="3" t="s">
        <v>2856</v>
      </c>
    </row>
    <row r="464" spans="1:17" hidden="1">
      <c r="A464" s="21" t="s">
        <v>2903</v>
      </c>
      <c r="B464" s="22" t="s">
        <v>1002</v>
      </c>
      <c r="C464" s="21" t="s">
        <v>1990</v>
      </c>
      <c r="D464" s="21" t="s">
        <v>119</v>
      </c>
      <c r="E464" s="21" t="s">
        <v>829</v>
      </c>
      <c r="F464" s="21" t="s">
        <v>1180</v>
      </c>
      <c r="G464" s="3" t="s">
        <v>1182</v>
      </c>
      <c r="H464" s="3" t="s">
        <v>7</v>
      </c>
      <c r="I464" s="3" t="s">
        <v>7</v>
      </c>
      <c r="J464" s="3" t="s">
        <v>7</v>
      </c>
      <c r="K464" s="3" t="s">
        <v>7</v>
      </c>
      <c r="L464" s="3" t="s">
        <v>7</v>
      </c>
      <c r="M464" s="2" t="s">
        <v>646</v>
      </c>
      <c r="N464" s="2" t="s">
        <v>647</v>
      </c>
      <c r="O464" s="2" t="s">
        <v>1386</v>
      </c>
      <c r="P464" s="2" t="s">
        <v>2927</v>
      </c>
      <c r="Q464" s="3" t="s">
        <v>2856</v>
      </c>
    </row>
    <row r="465" spans="1:17" hidden="1">
      <c r="A465" s="21" t="s">
        <v>2903</v>
      </c>
      <c r="B465" s="22" t="s">
        <v>1006</v>
      </c>
      <c r="C465" s="21" t="s">
        <v>1994</v>
      </c>
      <c r="D465" s="21" t="s">
        <v>119</v>
      </c>
      <c r="E465" s="21" t="s">
        <v>830</v>
      </c>
      <c r="F465" s="21" t="s">
        <v>1180</v>
      </c>
      <c r="G465" s="3" t="s">
        <v>1182</v>
      </c>
      <c r="H465" s="3" t="s">
        <v>7</v>
      </c>
      <c r="I465" s="3" t="s">
        <v>7</v>
      </c>
      <c r="J465" s="3" t="s">
        <v>7</v>
      </c>
      <c r="K465" s="3" t="s">
        <v>7</v>
      </c>
      <c r="L465" s="3" t="s">
        <v>7</v>
      </c>
      <c r="M465" s="2" t="s">
        <v>564</v>
      </c>
      <c r="N465" s="2" t="s">
        <v>565</v>
      </c>
      <c r="O465" s="2" t="s">
        <v>1386</v>
      </c>
      <c r="P465" s="2" t="s">
        <v>2927</v>
      </c>
      <c r="Q465" s="3" t="s">
        <v>2856</v>
      </c>
    </row>
    <row r="466" spans="1:17" hidden="1">
      <c r="A466" s="21" t="s">
        <v>2903</v>
      </c>
      <c r="B466" s="22" t="s">
        <v>2468</v>
      </c>
      <c r="C466" s="21" t="s">
        <v>1992</v>
      </c>
      <c r="D466" s="21" t="s">
        <v>119</v>
      </c>
      <c r="E466" s="21" t="s">
        <v>830</v>
      </c>
      <c r="F466" s="21" t="s">
        <v>1181</v>
      </c>
      <c r="G466" s="3" t="s">
        <v>1182</v>
      </c>
      <c r="H466" s="3" t="s">
        <v>3071</v>
      </c>
      <c r="I466" s="3" t="s">
        <v>7</v>
      </c>
      <c r="J466" s="3" t="s">
        <v>3071</v>
      </c>
      <c r="K466" s="3" t="s">
        <v>3071</v>
      </c>
      <c r="L466" s="3" t="s">
        <v>7</v>
      </c>
      <c r="M466" s="2" t="s">
        <v>564</v>
      </c>
      <c r="N466" s="2" t="s">
        <v>565</v>
      </c>
      <c r="O466" s="2" t="s">
        <v>1386</v>
      </c>
      <c r="P466" s="2" t="s">
        <v>2927</v>
      </c>
      <c r="Q466" s="3" t="s">
        <v>2856</v>
      </c>
    </row>
    <row r="467" spans="1:17" hidden="1">
      <c r="A467" s="21" t="s">
        <v>2903</v>
      </c>
      <c r="B467" s="22" t="s">
        <v>1995</v>
      </c>
      <c r="C467" s="21" t="s">
        <v>1996</v>
      </c>
      <c r="D467" s="21" t="s">
        <v>119</v>
      </c>
      <c r="E467" s="21" t="s">
        <v>830</v>
      </c>
      <c r="F467" s="21" t="s">
        <v>1181</v>
      </c>
      <c r="G467" s="3" t="s">
        <v>1182</v>
      </c>
      <c r="H467" s="3" t="s">
        <v>3071</v>
      </c>
      <c r="I467" s="3" t="s">
        <v>7</v>
      </c>
      <c r="J467" s="3" t="s">
        <v>3071</v>
      </c>
      <c r="K467" s="3" t="s">
        <v>3071</v>
      </c>
      <c r="L467" s="3" t="s">
        <v>7</v>
      </c>
      <c r="M467" s="2" t="s">
        <v>564</v>
      </c>
      <c r="N467" s="2" t="s">
        <v>565</v>
      </c>
      <c r="O467" s="2" t="s">
        <v>1386</v>
      </c>
      <c r="P467" s="2" t="s">
        <v>2927</v>
      </c>
      <c r="Q467" s="3" t="s">
        <v>2856</v>
      </c>
    </row>
    <row r="468" spans="1:17" hidden="1">
      <c r="A468" s="21" t="s">
        <v>2946</v>
      </c>
      <c r="B468" s="22" t="s">
        <v>3053</v>
      </c>
      <c r="C468" s="21" t="s">
        <v>3054</v>
      </c>
      <c r="D468" s="21" t="s">
        <v>3047</v>
      </c>
      <c r="E468" s="21" t="s">
        <v>3055</v>
      </c>
      <c r="F468" s="21" t="s">
        <v>1192</v>
      </c>
      <c r="G468" s="3" t="s">
        <v>1186</v>
      </c>
      <c r="H468" s="3" t="s">
        <v>55</v>
      </c>
      <c r="I468" s="3" t="s">
        <v>55</v>
      </c>
      <c r="J468" s="3" t="s">
        <v>55</v>
      </c>
      <c r="K468" s="3" t="s">
        <v>55</v>
      </c>
      <c r="L468" s="3" t="s">
        <v>55</v>
      </c>
      <c r="M468" s="2" t="s">
        <v>2959</v>
      </c>
      <c r="N468" s="2" t="s">
        <v>2960</v>
      </c>
      <c r="O468" s="2" t="s">
        <v>1407</v>
      </c>
      <c r="P468" s="2" t="s">
        <v>2953</v>
      </c>
      <c r="Q468" s="3" t="s">
        <v>2856</v>
      </c>
    </row>
    <row r="469" spans="1:17" hidden="1">
      <c r="A469" s="21" t="s">
        <v>2946</v>
      </c>
      <c r="B469" s="22" t="s">
        <v>3045</v>
      </c>
      <c r="C469" s="21" t="s">
        <v>3046</v>
      </c>
      <c r="D469" s="21" t="s">
        <v>3047</v>
      </c>
      <c r="E469" s="21" t="s">
        <v>3048</v>
      </c>
      <c r="F469" s="21" t="s">
        <v>1192</v>
      </c>
      <c r="G469" s="3" t="s">
        <v>2559</v>
      </c>
      <c r="H469" s="3" t="s">
        <v>55</v>
      </c>
      <c r="I469" s="3" t="s">
        <v>55</v>
      </c>
      <c r="J469" s="3" t="s">
        <v>55</v>
      </c>
      <c r="K469" s="3" t="s">
        <v>55</v>
      </c>
      <c r="L469" s="3" t="s">
        <v>55</v>
      </c>
      <c r="M469" s="2" t="s">
        <v>2554</v>
      </c>
      <c r="N469" s="2" t="s">
        <v>2958</v>
      </c>
      <c r="O469" s="2" t="s">
        <v>1407</v>
      </c>
      <c r="P469" s="2" t="s">
        <v>2953</v>
      </c>
      <c r="Q469" s="3" t="s">
        <v>2856</v>
      </c>
    </row>
    <row r="470" spans="1:17" hidden="1">
      <c r="A470" s="21" t="s">
        <v>2946</v>
      </c>
      <c r="B470" s="22" t="s">
        <v>3051</v>
      </c>
      <c r="C470" s="21" t="s">
        <v>3052</v>
      </c>
      <c r="D470" s="21" t="s">
        <v>3047</v>
      </c>
      <c r="E470" s="21" t="s">
        <v>3048</v>
      </c>
      <c r="F470" s="21" t="s">
        <v>1180</v>
      </c>
      <c r="G470" s="3" t="s">
        <v>2559</v>
      </c>
      <c r="H470" s="3" t="s">
        <v>55</v>
      </c>
      <c r="I470" s="3" t="s">
        <v>55</v>
      </c>
      <c r="J470" s="3" t="s">
        <v>55</v>
      </c>
      <c r="K470" s="3" t="s">
        <v>55</v>
      </c>
      <c r="L470" s="3" t="s">
        <v>55</v>
      </c>
      <c r="M470" s="18" t="s">
        <v>2554</v>
      </c>
      <c r="N470" s="18" t="s">
        <v>2958</v>
      </c>
      <c r="O470" s="18" t="s">
        <v>1407</v>
      </c>
      <c r="P470" s="18" t="s">
        <v>2953</v>
      </c>
      <c r="Q470" s="3" t="s">
        <v>2856</v>
      </c>
    </row>
    <row r="471" spans="1:17" hidden="1">
      <c r="A471" s="21" t="s">
        <v>2946</v>
      </c>
      <c r="B471" s="22" t="s">
        <v>3049</v>
      </c>
      <c r="C471" s="21" t="s">
        <v>3050</v>
      </c>
      <c r="D471" s="21" t="s">
        <v>3047</v>
      </c>
      <c r="E471" s="21" t="s">
        <v>3048</v>
      </c>
      <c r="F471" s="21" t="s">
        <v>1181</v>
      </c>
      <c r="G471" s="3" t="s">
        <v>1179</v>
      </c>
      <c r="H471" s="3" t="s">
        <v>3071</v>
      </c>
      <c r="I471" s="3" t="s">
        <v>55</v>
      </c>
      <c r="J471" s="3" t="s">
        <v>3071</v>
      </c>
      <c r="K471" s="3" t="s">
        <v>3071</v>
      </c>
      <c r="L471" s="3" t="s">
        <v>55</v>
      </c>
      <c r="M471" s="2" t="s">
        <v>2554</v>
      </c>
      <c r="N471" s="2" t="s">
        <v>2958</v>
      </c>
      <c r="O471" s="2" t="s">
        <v>1407</v>
      </c>
      <c r="P471" s="2" t="s">
        <v>2953</v>
      </c>
      <c r="Q471" s="3" t="s">
        <v>2856</v>
      </c>
    </row>
    <row r="472" spans="1:17" hidden="1">
      <c r="A472" s="21" t="s">
        <v>2946</v>
      </c>
      <c r="B472" s="22" t="s">
        <v>3056</v>
      </c>
      <c r="C472" s="21" t="s">
        <v>3057</v>
      </c>
      <c r="D472" s="21" t="s">
        <v>3047</v>
      </c>
      <c r="E472" s="21" t="s">
        <v>3055</v>
      </c>
      <c r="F472" s="21" t="s">
        <v>1181</v>
      </c>
      <c r="G472" s="3" t="s">
        <v>1179</v>
      </c>
      <c r="H472" s="3" t="s">
        <v>3071</v>
      </c>
      <c r="I472" s="3" t="s">
        <v>55</v>
      </c>
      <c r="J472" s="3" t="s">
        <v>3071</v>
      </c>
      <c r="K472" s="3" t="s">
        <v>3071</v>
      </c>
      <c r="L472" s="3" t="s">
        <v>55</v>
      </c>
      <c r="M472" s="18" t="s">
        <v>2959</v>
      </c>
      <c r="N472" s="18" t="s">
        <v>2960</v>
      </c>
      <c r="O472" s="18" t="s">
        <v>1407</v>
      </c>
      <c r="P472" s="18" t="s">
        <v>2953</v>
      </c>
      <c r="Q472" s="3" t="s">
        <v>2856</v>
      </c>
    </row>
    <row r="473" spans="1:17" hidden="1">
      <c r="A473" s="21" t="s">
        <v>2946</v>
      </c>
      <c r="B473" s="22" t="s">
        <v>3058</v>
      </c>
      <c r="C473" s="21" t="s">
        <v>3052</v>
      </c>
      <c r="D473" s="21" t="s">
        <v>3047</v>
      </c>
      <c r="E473" s="21" t="s">
        <v>3055</v>
      </c>
      <c r="F473" s="21" t="s">
        <v>1180</v>
      </c>
      <c r="G473" s="3" t="s">
        <v>2559</v>
      </c>
      <c r="H473" s="3" t="s">
        <v>55</v>
      </c>
      <c r="I473" s="3" t="s">
        <v>55</v>
      </c>
      <c r="J473" s="3" t="s">
        <v>55</v>
      </c>
      <c r="K473" s="3" t="s">
        <v>55</v>
      </c>
      <c r="L473" s="3" t="s">
        <v>55</v>
      </c>
      <c r="M473" s="2" t="s">
        <v>2959</v>
      </c>
      <c r="N473" s="2" t="s">
        <v>2960</v>
      </c>
      <c r="O473" s="2" t="s">
        <v>1407</v>
      </c>
      <c r="P473" s="2" t="s">
        <v>2953</v>
      </c>
      <c r="Q473" s="3" t="s">
        <v>2856</v>
      </c>
    </row>
    <row r="474" spans="1:17" hidden="1">
      <c r="A474" s="21" t="s">
        <v>2855</v>
      </c>
      <c r="B474" s="22" t="s">
        <v>1558</v>
      </c>
      <c r="C474" s="21" t="s">
        <v>1997</v>
      </c>
      <c r="D474" s="21" t="s">
        <v>120</v>
      </c>
      <c r="E474" s="21" t="s">
        <v>121</v>
      </c>
      <c r="F474" s="21" t="s">
        <v>1409</v>
      </c>
      <c r="G474" s="3" t="s">
        <v>1432</v>
      </c>
      <c r="H474" s="3" t="s">
        <v>7</v>
      </c>
      <c r="I474" s="3" t="s">
        <v>7</v>
      </c>
      <c r="J474" s="3" t="s">
        <v>7</v>
      </c>
      <c r="K474" s="3" t="s">
        <v>7</v>
      </c>
      <c r="L474" s="3" t="s">
        <v>7</v>
      </c>
      <c r="M474" s="2" t="s">
        <v>726</v>
      </c>
      <c r="N474" s="2" t="s">
        <v>1253</v>
      </c>
      <c r="O474" s="2" t="s">
        <v>1252</v>
      </c>
      <c r="P474" s="2" t="s">
        <v>2857</v>
      </c>
      <c r="Q474" s="3" t="s">
        <v>2856</v>
      </c>
    </row>
    <row r="475" spans="1:17" hidden="1">
      <c r="A475" s="21" t="s">
        <v>2855</v>
      </c>
      <c r="B475" s="22" t="s">
        <v>1007</v>
      </c>
      <c r="C475" s="21" t="s">
        <v>1998</v>
      </c>
      <c r="D475" s="21" t="s">
        <v>120</v>
      </c>
      <c r="E475" s="21" t="s">
        <v>121</v>
      </c>
      <c r="F475" s="21" t="s">
        <v>8</v>
      </c>
      <c r="G475" s="3" t="s">
        <v>1430</v>
      </c>
      <c r="H475" s="3" t="s">
        <v>7</v>
      </c>
      <c r="I475" s="3" t="s">
        <v>7</v>
      </c>
      <c r="J475" s="3" t="s">
        <v>7</v>
      </c>
      <c r="K475" s="3" t="s">
        <v>7</v>
      </c>
      <c r="L475" s="3" t="s">
        <v>7</v>
      </c>
      <c r="M475" s="2" t="s">
        <v>726</v>
      </c>
      <c r="N475" s="2" t="s">
        <v>1253</v>
      </c>
      <c r="O475" s="2" t="s">
        <v>1252</v>
      </c>
      <c r="P475" s="2" t="s">
        <v>2857</v>
      </c>
      <c r="Q475" s="3" t="s">
        <v>2856</v>
      </c>
    </row>
    <row r="476" spans="1:17" hidden="1">
      <c r="A476" s="21" t="s">
        <v>2855</v>
      </c>
      <c r="B476" s="22" t="s">
        <v>1559</v>
      </c>
      <c r="C476" s="21" t="s">
        <v>1999</v>
      </c>
      <c r="D476" s="21" t="s">
        <v>120</v>
      </c>
      <c r="E476" s="21" t="s">
        <v>121</v>
      </c>
      <c r="F476" s="21" t="s">
        <v>1180</v>
      </c>
      <c r="G476" s="3" t="s">
        <v>1432</v>
      </c>
      <c r="H476" s="3" t="s">
        <v>7</v>
      </c>
      <c r="I476" s="3" t="s">
        <v>7</v>
      </c>
      <c r="J476" s="3" t="s">
        <v>7</v>
      </c>
      <c r="K476" s="3" t="s">
        <v>7</v>
      </c>
      <c r="L476" s="3" t="s">
        <v>7</v>
      </c>
      <c r="M476" s="2" t="s">
        <v>726</v>
      </c>
      <c r="N476" s="2" t="s">
        <v>1253</v>
      </c>
      <c r="O476" s="2" t="s">
        <v>1252</v>
      </c>
      <c r="P476" s="2" t="s">
        <v>2857</v>
      </c>
      <c r="Q476" s="3" t="s">
        <v>2856</v>
      </c>
    </row>
    <row r="477" spans="1:17" hidden="1">
      <c r="A477" s="21" t="s">
        <v>2903</v>
      </c>
      <c r="B477" s="22" t="s">
        <v>1560</v>
      </c>
      <c r="C477" s="21" t="s">
        <v>3031</v>
      </c>
      <c r="D477" s="21" t="s">
        <v>122</v>
      </c>
      <c r="E477" s="21" t="s">
        <v>831</v>
      </c>
      <c r="F477" s="21" t="s">
        <v>1192</v>
      </c>
      <c r="G477" s="3" t="s">
        <v>1416</v>
      </c>
      <c r="H477" s="3" t="s">
        <v>7</v>
      </c>
      <c r="I477" s="3" t="s">
        <v>7</v>
      </c>
      <c r="J477" s="3" t="s">
        <v>7</v>
      </c>
      <c r="K477" s="3" t="s">
        <v>7</v>
      </c>
      <c r="L477" s="3" t="s">
        <v>7</v>
      </c>
      <c r="M477" s="2" t="s">
        <v>710</v>
      </c>
      <c r="N477" s="2" t="s">
        <v>711</v>
      </c>
      <c r="O477" s="2" t="s">
        <v>2922</v>
      </c>
      <c r="P477" s="2" t="s">
        <v>2923</v>
      </c>
      <c r="Q477" s="3" t="s">
        <v>2856</v>
      </c>
    </row>
    <row r="478" spans="1:17" hidden="1">
      <c r="A478" s="21" t="s">
        <v>2903</v>
      </c>
      <c r="B478" s="22" t="s">
        <v>1008</v>
      </c>
      <c r="C478" s="21" t="s">
        <v>3034</v>
      </c>
      <c r="D478" s="21" t="s">
        <v>122</v>
      </c>
      <c r="E478" s="21" t="s">
        <v>831</v>
      </c>
      <c r="F478" s="21" t="s">
        <v>1181</v>
      </c>
      <c r="G478" s="3" t="s">
        <v>1412</v>
      </c>
      <c r="H478" s="3" t="s">
        <v>3071</v>
      </c>
      <c r="I478" s="3" t="s">
        <v>7</v>
      </c>
      <c r="J478" s="3" t="s">
        <v>3071</v>
      </c>
      <c r="K478" s="3" t="s">
        <v>3071</v>
      </c>
      <c r="L478" s="3" t="s">
        <v>7</v>
      </c>
      <c r="M478" s="2" t="s">
        <v>710</v>
      </c>
      <c r="N478" s="2" t="s">
        <v>711</v>
      </c>
      <c r="O478" s="2" t="s">
        <v>2922</v>
      </c>
      <c r="P478" s="2" t="s">
        <v>2923</v>
      </c>
      <c r="Q478" s="3" t="s">
        <v>2856</v>
      </c>
    </row>
    <row r="479" spans="1:17" hidden="1">
      <c r="A479" s="21" t="s">
        <v>2903</v>
      </c>
      <c r="B479" s="22" t="s">
        <v>2000</v>
      </c>
      <c r="C479" s="21" t="s">
        <v>2001</v>
      </c>
      <c r="D479" s="21" t="s">
        <v>122</v>
      </c>
      <c r="E479" s="21" t="s">
        <v>831</v>
      </c>
      <c r="F479" s="21" t="s">
        <v>1637</v>
      </c>
      <c r="G479" s="3" t="s">
        <v>1432</v>
      </c>
      <c r="H479" s="3" t="s">
        <v>3071</v>
      </c>
      <c r="I479" s="3" t="s">
        <v>3071</v>
      </c>
      <c r="J479" s="3" t="s">
        <v>3071</v>
      </c>
      <c r="K479" s="3" t="s">
        <v>3071</v>
      </c>
      <c r="L479" s="3" t="s">
        <v>7</v>
      </c>
      <c r="M479" s="2" t="s">
        <v>710</v>
      </c>
      <c r="N479" s="2" t="s">
        <v>711</v>
      </c>
      <c r="O479" s="2" t="s">
        <v>2922</v>
      </c>
      <c r="P479" s="2" t="s">
        <v>2923</v>
      </c>
      <c r="Q479" s="3" t="s">
        <v>2856</v>
      </c>
    </row>
    <row r="480" spans="1:17" hidden="1">
      <c r="A480" s="21" t="s">
        <v>2903</v>
      </c>
      <c r="B480" s="22" t="s">
        <v>2002</v>
      </c>
      <c r="C480" s="21" t="s">
        <v>2003</v>
      </c>
      <c r="D480" s="21" t="s">
        <v>122</v>
      </c>
      <c r="E480" s="21" t="s">
        <v>831</v>
      </c>
      <c r="F480" s="21" t="s">
        <v>1637</v>
      </c>
      <c r="G480" s="3" t="s">
        <v>1430</v>
      </c>
      <c r="H480" s="3" t="s">
        <v>3071</v>
      </c>
      <c r="I480" s="3" t="s">
        <v>3071</v>
      </c>
      <c r="J480" s="3" t="s">
        <v>3071</v>
      </c>
      <c r="K480" s="3" t="s">
        <v>3071</v>
      </c>
      <c r="L480" s="3" t="s">
        <v>7</v>
      </c>
      <c r="M480" s="2" t="s">
        <v>710</v>
      </c>
      <c r="N480" s="2" t="s">
        <v>711</v>
      </c>
      <c r="O480" s="2" t="s">
        <v>2922</v>
      </c>
      <c r="P480" s="2" t="s">
        <v>2923</v>
      </c>
      <c r="Q480" s="3" t="s">
        <v>2856</v>
      </c>
    </row>
    <row r="481" spans="1:17" hidden="1">
      <c r="A481" s="21" t="s">
        <v>2903</v>
      </c>
      <c r="B481" s="22" t="s">
        <v>2004</v>
      </c>
      <c r="C481" s="21" t="s">
        <v>2005</v>
      </c>
      <c r="D481" s="21" t="s">
        <v>122</v>
      </c>
      <c r="E481" s="21" t="s">
        <v>831</v>
      </c>
      <c r="F481" s="21" t="s">
        <v>1637</v>
      </c>
      <c r="G481" s="3" t="s">
        <v>1414</v>
      </c>
      <c r="H481" s="3" t="s">
        <v>3071</v>
      </c>
      <c r="I481" s="3" t="s">
        <v>3071</v>
      </c>
      <c r="J481" s="3" t="s">
        <v>3071</v>
      </c>
      <c r="K481" s="3" t="s">
        <v>3071</v>
      </c>
      <c r="L481" s="3" t="s">
        <v>7</v>
      </c>
      <c r="M481" s="18" t="s">
        <v>710</v>
      </c>
      <c r="N481" s="18" t="s">
        <v>711</v>
      </c>
      <c r="O481" s="18" t="s">
        <v>2922</v>
      </c>
      <c r="P481" s="18" t="s">
        <v>2923</v>
      </c>
      <c r="Q481" s="3" t="s">
        <v>2856</v>
      </c>
    </row>
    <row r="482" spans="1:17" hidden="1">
      <c r="A482" s="21" t="s">
        <v>2903</v>
      </c>
      <c r="B482" s="22" t="s">
        <v>2006</v>
      </c>
      <c r="C482" s="21" t="s">
        <v>2007</v>
      </c>
      <c r="D482" s="21" t="s">
        <v>122</v>
      </c>
      <c r="E482" s="21" t="s">
        <v>831</v>
      </c>
      <c r="F482" s="21" t="s">
        <v>1637</v>
      </c>
      <c r="G482" s="3" t="s">
        <v>1184</v>
      </c>
      <c r="H482" s="3" t="s">
        <v>3071</v>
      </c>
      <c r="I482" s="3" t="s">
        <v>3071</v>
      </c>
      <c r="J482" s="3" t="s">
        <v>3071</v>
      </c>
      <c r="K482" s="3" t="s">
        <v>3071</v>
      </c>
      <c r="L482" s="3" t="s">
        <v>7</v>
      </c>
      <c r="M482" s="2" t="s">
        <v>710</v>
      </c>
      <c r="N482" s="2" t="s">
        <v>711</v>
      </c>
      <c r="O482" s="2" t="s">
        <v>2922</v>
      </c>
      <c r="P482" s="2" t="s">
        <v>2923</v>
      </c>
      <c r="Q482" s="3" t="s">
        <v>2856</v>
      </c>
    </row>
    <row r="483" spans="1:17" hidden="1">
      <c r="A483" s="21" t="s">
        <v>2903</v>
      </c>
      <c r="B483" s="22" t="s">
        <v>3032</v>
      </c>
      <c r="C483" s="21" t="s">
        <v>3033</v>
      </c>
      <c r="D483" s="21" t="s">
        <v>122</v>
      </c>
      <c r="E483" s="21" t="s">
        <v>831</v>
      </c>
      <c r="F483" s="21" t="s">
        <v>1192</v>
      </c>
      <c r="G483" s="3" t="s">
        <v>1184</v>
      </c>
      <c r="H483" s="3" t="s">
        <v>7</v>
      </c>
      <c r="I483" s="3" t="s">
        <v>7</v>
      </c>
      <c r="J483" s="3" t="s">
        <v>7</v>
      </c>
      <c r="K483" s="3" t="s">
        <v>7</v>
      </c>
      <c r="L483" s="3" t="s">
        <v>7</v>
      </c>
      <c r="M483" s="2" t="s">
        <v>710</v>
      </c>
      <c r="N483" s="2" t="s">
        <v>711</v>
      </c>
      <c r="O483" s="2" t="s">
        <v>2922</v>
      </c>
      <c r="P483" s="2" t="s">
        <v>2923</v>
      </c>
      <c r="Q483" s="3" t="s">
        <v>2856</v>
      </c>
    </row>
    <row r="484" spans="1:17" hidden="1">
      <c r="A484" s="21" t="s">
        <v>2903</v>
      </c>
      <c r="B484" s="22" t="s">
        <v>2008</v>
      </c>
      <c r="C484" s="21" t="s">
        <v>2009</v>
      </c>
      <c r="D484" s="21" t="s">
        <v>122</v>
      </c>
      <c r="E484" s="21" t="s">
        <v>831</v>
      </c>
      <c r="F484" s="21" t="s">
        <v>1637</v>
      </c>
      <c r="G484" s="3" t="s">
        <v>1188</v>
      </c>
      <c r="H484" s="3" t="s">
        <v>3071</v>
      </c>
      <c r="I484" s="3" t="s">
        <v>3071</v>
      </c>
      <c r="J484" s="3" t="s">
        <v>3071</v>
      </c>
      <c r="K484" s="3" t="s">
        <v>3071</v>
      </c>
      <c r="L484" s="3" t="s">
        <v>7</v>
      </c>
      <c r="M484" s="2" t="s">
        <v>710</v>
      </c>
      <c r="N484" s="2" t="s">
        <v>711</v>
      </c>
      <c r="O484" s="2" t="s">
        <v>2922</v>
      </c>
      <c r="P484" s="2" t="s">
        <v>2923</v>
      </c>
      <c r="Q484" s="3" t="s">
        <v>2856</v>
      </c>
    </row>
    <row r="485" spans="1:17" hidden="1">
      <c r="A485" s="21" t="s">
        <v>2903</v>
      </c>
      <c r="B485" s="22" t="s">
        <v>2010</v>
      </c>
      <c r="C485" s="21" t="s">
        <v>2011</v>
      </c>
      <c r="D485" s="21" t="s">
        <v>122</v>
      </c>
      <c r="E485" s="21" t="s">
        <v>831</v>
      </c>
      <c r="F485" s="21" t="s">
        <v>1637</v>
      </c>
      <c r="G485" s="3" t="s">
        <v>1188</v>
      </c>
      <c r="H485" s="3" t="s">
        <v>3071</v>
      </c>
      <c r="I485" s="3" t="s">
        <v>3071</v>
      </c>
      <c r="J485" s="3" t="s">
        <v>3071</v>
      </c>
      <c r="K485" s="3" t="s">
        <v>3071</v>
      </c>
      <c r="L485" s="3" t="s">
        <v>7</v>
      </c>
      <c r="M485" s="2" t="s">
        <v>710</v>
      </c>
      <c r="N485" s="2" t="s">
        <v>711</v>
      </c>
      <c r="O485" s="2" t="s">
        <v>2922</v>
      </c>
      <c r="P485" s="2" t="s">
        <v>2923</v>
      </c>
      <c r="Q485" s="3" t="s">
        <v>2856</v>
      </c>
    </row>
    <row r="486" spans="1:17" hidden="1">
      <c r="A486" s="21" t="s">
        <v>2903</v>
      </c>
      <c r="B486" s="22" t="s">
        <v>1009</v>
      </c>
      <c r="C486" s="21" t="s">
        <v>3035</v>
      </c>
      <c r="D486" s="21" t="s">
        <v>122</v>
      </c>
      <c r="E486" s="21" t="s">
        <v>831</v>
      </c>
      <c r="F486" s="21" t="s">
        <v>1180</v>
      </c>
      <c r="G486" s="3" t="s">
        <v>1188</v>
      </c>
      <c r="H486" s="3" t="s">
        <v>7</v>
      </c>
      <c r="I486" s="3" t="s">
        <v>7</v>
      </c>
      <c r="J486" s="3" t="s">
        <v>7</v>
      </c>
      <c r="K486" s="3" t="s">
        <v>7</v>
      </c>
      <c r="L486" s="3" t="s">
        <v>7</v>
      </c>
      <c r="M486" s="63" t="s">
        <v>710</v>
      </c>
      <c r="N486" s="63" t="s">
        <v>711</v>
      </c>
      <c r="O486" s="18" t="s">
        <v>2922</v>
      </c>
      <c r="P486" s="18" t="s">
        <v>2923</v>
      </c>
      <c r="Q486" s="3" t="s">
        <v>2856</v>
      </c>
    </row>
    <row r="487" spans="1:17" hidden="1">
      <c r="A487" s="21" t="s">
        <v>2903</v>
      </c>
      <c r="B487" s="22" t="s">
        <v>3036</v>
      </c>
      <c r="C487" s="21" t="s">
        <v>3037</v>
      </c>
      <c r="D487" s="21" t="s">
        <v>122</v>
      </c>
      <c r="E487" s="21" t="s">
        <v>831</v>
      </c>
      <c r="F487" s="21" t="s">
        <v>1180</v>
      </c>
      <c r="G487" s="3" t="s">
        <v>1188</v>
      </c>
      <c r="H487" s="3" t="s">
        <v>7</v>
      </c>
      <c r="I487" s="3" t="s">
        <v>7</v>
      </c>
      <c r="J487" s="3" t="s">
        <v>7</v>
      </c>
      <c r="K487" s="3" t="s">
        <v>7</v>
      </c>
      <c r="L487" s="3" t="s">
        <v>7</v>
      </c>
      <c r="M487" s="2" t="s">
        <v>710</v>
      </c>
      <c r="N487" s="2" t="s">
        <v>711</v>
      </c>
      <c r="O487" s="2" t="s">
        <v>2922</v>
      </c>
      <c r="P487" s="2" t="s">
        <v>2923</v>
      </c>
      <c r="Q487" s="3" t="s">
        <v>2856</v>
      </c>
    </row>
    <row r="488" spans="1:17" hidden="1">
      <c r="A488" s="21" t="s">
        <v>2861</v>
      </c>
      <c r="B488" s="22" t="s">
        <v>1561</v>
      </c>
      <c r="C488" s="21" t="s">
        <v>2013</v>
      </c>
      <c r="D488" s="21" t="s">
        <v>123</v>
      </c>
      <c r="E488" s="21" t="s">
        <v>124</v>
      </c>
      <c r="F488" s="21" t="s">
        <v>1180</v>
      </c>
      <c r="G488" s="3" t="s">
        <v>1457</v>
      </c>
      <c r="H488" s="3" t="s">
        <v>7</v>
      </c>
      <c r="I488" s="3" t="s">
        <v>7</v>
      </c>
      <c r="J488" s="3" t="s">
        <v>7</v>
      </c>
      <c r="K488" s="3" t="s">
        <v>7</v>
      </c>
      <c r="L488" s="3" t="s">
        <v>7</v>
      </c>
      <c r="M488" s="2" t="s">
        <v>336</v>
      </c>
      <c r="N488" s="2" t="s">
        <v>337</v>
      </c>
      <c r="O488" s="2" t="s">
        <v>1274</v>
      </c>
      <c r="P488" s="2" t="s">
        <v>2864</v>
      </c>
      <c r="Q488" s="3" t="s">
        <v>2856</v>
      </c>
    </row>
    <row r="489" spans="1:17" hidden="1">
      <c r="A489" s="21" t="s">
        <v>2861</v>
      </c>
      <c r="B489" s="22" t="s">
        <v>1010</v>
      </c>
      <c r="C489" s="21" t="s">
        <v>2012</v>
      </c>
      <c r="D489" s="21" t="s">
        <v>123</v>
      </c>
      <c r="E489" s="21" t="s">
        <v>124</v>
      </c>
      <c r="F489" s="21" t="s">
        <v>1192</v>
      </c>
      <c r="G489" s="3" t="s">
        <v>1182</v>
      </c>
      <c r="H489" s="3" t="s">
        <v>7</v>
      </c>
      <c r="I489" s="3" t="s">
        <v>7</v>
      </c>
      <c r="J489" s="3" t="s">
        <v>7</v>
      </c>
      <c r="K489" s="3" t="s">
        <v>7</v>
      </c>
      <c r="L489" s="3" t="s">
        <v>7</v>
      </c>
      <c r="M489" s="63" t="s">
        <v>336</v>
      </c>
      <c r="N489" s="63" t="s">
        <v>337</v>
      </c>
      <c r="O489" s="2" t="s">
        <v>1274</v>
      </c>
      <c r="P489" s="2" t="s">
        <v>2864</v>
      </c>
      <c r="Q489" s="3" t="s">
        <v>2856</v>
      </c>
    </row>
    <row r="490" spans="1:17" hidden="1">
      <c r="A490" s="21" t="s">
        <v>2861</v>
      </c>
      <c r="B490" s="22" t="s">
        <v>2624</v>
      </c>
      <c r="C490" s="21" t="s">
        <v>2625</v>
      </c>
      <c r="D490" s="21" t="s">
        <v>123</v>
      </c>
      <c r="E490" s="21" t="s">
        <v>124</v>
      </c>
      <c r="F490" s="21" t="s">
        <v>1181</v>
      </c>
      <c r="G490" s="3" t="s">
        <v>1187</v>
      </c>
      <c r="H490" s="3" t="s">
        <v>3071</v>
      </c>
      <c r="I490" s="3" t="s">
        <v>7</v>
      </c>
      <c r="J490" s="3" t="s">
        <v>3071</v>
      </c>
      <c r="K490" s="3" t="s">
        <v>3071</v>
      </c>
      <c r="L490" s="3" t="s">
        <v>7</v>
      </c>
      <c r="M490" s="2" t="s">
        <v>336</v>
      </c>
      <c r="N490" s="2" t="s">
        <v>337</v>
      </c>
      <c r="O490" s="2" t="s">
        <v>1274</v>
      </c>
      <c r="P490" s="2" t="s">
        <v>2864</v>
      </c>
      <c r="Q490" s="3" t="s">
        <v>2856</v>
      </c>
    </row>
    <row r="491" spans="1:17" hidden="1">
      <c r="A491" s="21" t="s">
        <v>2876</v>
      </c>
      <c r="B491" s="22" t="s">
        <v>2398</v>
      </c>
      <c r="C491" s="21" t="s">
        <v>2399</v>
      </c>
      <c r="D491" s="21" t="s">
        <v>125</v>
      </c>
      <c r="E491" s="21" t="s">
        <v>126</v>
      </c>
      <c r="F491" s="21" t="s">
        <v>1192</v>
      </c>
      <c r="G491" s="3" t="s">
        <v>1189</v>
      </c>
      <c r="H491" s="3" t="s">
        <v>7</v>
      </c>
      <c r="I491" s="3" t="s">
        <v>7</v>
      </c>
      <c r="J491" s="3" t="s">
        <v>7</v>
      </c>
      <c r="K491" s="3" t="s">
        <v>7</v>
      </c>
      <c r="L491" s="3" t="s">
        <v>7</v>
      </c>
      <c r="M491" s="2" t="s">
        <v>454</v>
      </c>
      <c r="N491" s="2" t="s">
        <v>455</v>
      </c>
      <c r="O491" s="2" t="s">
        <v>1307</v>
      </c>
      <c r="P491" s="2" t="s">
        <v>2882</v>
      </c>
      <c r="Q491" s="3" t="s">
        <v>2856</v>
      </c>
    </row>
    <row r="492" spans="1:17" hidden="1">
      <c r="A492" s="21" t="s">
        <v>2876</v>
      </c>
      <c r="B492" s="22" t="s">
        <v>1012</v>
      </c>
      <c r="C492" s="21" t="s">
        <v>2015</v>
      </c>
      <c r="D492" s="21" t="s">
        <v>125</v>
      </c>
      <c r="E492" s="21" t="s">
        <v>126</v>
      </c>
      <c r="F492" s="21" t="s">
        <v>1180</v>
      </c>
      <c r="G492" s="3" t="s">
        <v>1189</v>
      </c>
      <c r="H492" s="3" t="s">
        <v>7</v>
      </c>
      <c r="I492" s="3" t="s">
        <v>7</v>
      </c>
      <c r="J492" s="3" t="s">
        <v>7</v>
      </c>
      <c r="K492" s="3" t="s">
        <v>7</v>
      </c>
      <c r="L492" s="3" t="s">
        <v>7</v>
      </c>
      <c r="M492" s="2" t="s">
        <v>454</v>
      </c>
      <c r="N492" s="2" t="s">
        <v>455</v>
      </c>
      <c r="O492" s="2" t="s">
        <v>1307</v>
      </c>
      <c r="P492" s="2" t="s">
        <v>2882</v>
      </c>
      <c r="Q492" s="3" t="s">
        <v>2856</v>
      </c>
    </row>
    <row r="493" spans="1:17" hidden="1">
      <c r="A493" s="21" t="s">
        <v>2876</v>
      </c>
      <c r="B493" s="22" t="s">
        <v>1011</v>
      </c>
      <c r="C493" s="21" t="s">
        <v>2014</v>
      </c>
      <c r="D493" s="21" t="s">
        <v>125</v>
      </c>
      <c r="E493" s="21" t="s">
        <v>126</v>
      </c>
      <c r="F493" s="21" t="s">
        <v>1181</v>
      </c>
      <c r="G493" s="3" t="s">
        <v>1189</v>
      </c>
      <c r="H493" s="3" t="s">
        <v>3071</v>
      </c>
      <c r="I493" s="3" t="s">
        <v>7</v>
      </c>
      <c r="J493" s="3" t="s">
        <v>3071</v>
      </c>
      <c r="K493" s="3" t="s">
        <v>3071</v>
      </c>
      <c r="L493" s="3" t="s">
        <v>7</v>
      </c>
      <c r="M493" s="2" t="s">
        <v>454</v>
      </c>
      <c r="N493" s="2" t="s">
        <v>455</v>
      </c>
      <c r="O493" s="2" t="s">
        <v>1307</v>
      </c>
      <c r="P493" s="2" t="s">
        <v>2882</v>
      </c>
      <c r="Q493" s="3" t="s">
        <v>2856</v>
      </c>
    </row>
    <row r="494" spans="1:17" hidden="1">
      <c r="A494" s="21" t="s">
        <v>2855</v>
      </c>
      <c r="B494" s="22" t="s">
        <v>1562</v>
      </c>
      <c r="C494" s="21" t="s">
        <v>2016</v>
      </c>
      <c r="D494" s="21" t="s">
        <v>2974</v>
      </c>
      <c r="E494" s="21" t="s">
        <v>127</v>
      </c>
      <c r="F494" s="21" t="s">
        <v>1409</v>
      </c>
      <c r="G494" s="3" t="s">
        <v>1437</v>
      </c>
      <c r="H494" s="3" t="s">
        <v>7</v>
      </c>
      <c r="I494" s="3" t="s">
        <v>7</v>
      </c>
      <c r="J494" s="3" t="s">
        <v>7</v>
      </c>
      <c r="K494" s="3" t="s">
        <v>7</v>
      </c>
      <c r="L494" s="3" t="s">
        <v>7</v>
      </c>
      <c r="M494" s="2" t="s">
        <v>722</v>
      </c>
      <c r="N494" s="2" t="s">
        <v>2854</v>
      </c>
      <c r="O494" s="2" t="s">
        <v>1251</v>
      </c>
      <c r="P494" s="2" t="s">
        <v>2857</v>
      </c>
      <c r="Q494" s="3" t="s">
        <v>2856</v>
      </c>
    </row>
    <row r="495" spans="1:17" hidden="1">
      <c r="A495" s="21" t="s">
        <v>2855</v>
      </c>
      <c r="B495" s="22" t="s">
        <v>1013</v>
      </c>
      <c r="C495" s="21" t="s">
        <v>2017</v>
      </c>
      <c r="D495" s="21" t="s">
        <v>2974</v>
      </c>
      <c r="E495" s="21" t="s">
        <v>127</v>
      </c>
      <c r="F495" s="21" t="s">
        <v>8</v>
      </c>
      <c r="G495" s="3" t="s">
        <v>1412</v>
      </c>
      <c r="H495" s="3" t="s">
        <v>7</v>
      </c>
      <c r="I495" s="3" t="s">
        <v>7</v>
      </c>
      <c r="J495" s="3" t="s">
        <v>7</v>
      </c>
      <c r="K495" s="3" t="s">
        <v>7</v>
      </c>
      <c r="L495" s="3" t="s">
        <v>7</v>
      </c>
      <c r="M495" s="2" t="s">
        <v>722</v>
      </c>
      <c r="N495" s="2" t="s">
        <v>2854</v>
      </c>
      <c r="O495" s="2" t="s">
        <v>1251</v>
      </c>
      <c r="P495" s="2" t="s">
        <v>2857</v>
      </c>
      <c r="Q495" s="3" t="s">
        <v>2856</v>
      </c>
    </row>
    <row r="496" spans="1:17" hidden="1">
      <c r="A496" s="21" t="s">
        <v>2855</v>
      </c>
      <c r="B496" s="22" t="s">
        <v>1563</v>
      </c>
      <c r="C496" s="21" t="s">
        <v>2018</v>
      </c>
      <c r="D496" s="21" t="s">
        <v>2974</v>
      </c>
      <c r="E496" s="21" t="s">
        <v>127</v>
      </c>
      <c r="F496" s="21" t="s">
        <v>1180</v>
      </c>
      <c r="G496" s="3" t="s">
        <v>1437</v>
      </c>
      <c r="H496" s="3" t="s">
        <v>7</v>
      </c>
      <c r="I496" s="3" t="s">
        <v>7</v>
      </c>
      <c r="J496" s="3" t="s">
        <v>7</v>
      </c>
      <c r="K496" s="3" t="s">
        <v>7</v>
      </c>
      <c r="L496" s="3" t="s">
        <v>7</v>
      </c>
      <c r="M496" s="2" t="s">
        <v>722</v>
      </c>
      <c r="N496" s="2" t="s">
        <v>2854</v>
      </c>
      <c r="O496" s="2" t="s">
        <v>1251</v>
      </c>
      <c r="P496" s="2" t="s">
        <v>2857</v>
      </c>
      <c r="Q496" s="3" t="s">
        <v>2856</v>
      </c>
    </row>
    <row r="497" spans="1:17">
      <c r="A497" s="21" t="s">
        <v>2876</v>
      </c>
      <c r="B497" s="22" t="s">
        <v>1017</v>
      </c>
      <c r="C497" s="21" t="s">
        <v>2027</v>
      </c>
      <c r="D497" s="21" t="s">
        <v>128</v>
      </c>
      <c r="E497" s="21" t="s">
        <v>130</v>
      </c>
      <c r="F497" s="21" t="s">
        <v>1180</v>
      </c>
      <c r="G497" s="3" t="s">
        <v>1430</v>
      </c>
      <c r="H497" s="3" t="s">
        <v>7</v>
      </c>
      <c r="I497" s="3" t="s">
        <v>7</v>
      </c>
      <c r="J497" s="3" t="s">
        <v>7</v>
      </c>
      <c r="K497" s="3" t="s">
        <v>7</v>
      </c>
      <c r="L497" s="3" t="s">
        <v>7</v>
      </c>
      <c r="M497" s="2" t="s">
        <v>538</v>
      </c>
      <c r="N497" s="2" t="s">
        <v>539</v>
      </c>
      <c r="O497" s="2" t="s">
        <v>1316</v>
      </c>
      <c r="P497" s="2" t="s">
        <v>2884</v>
      </c>
      <c r="Q497" s="3" t="s">
        <v>2856</v>
      </c>
    </row>
    <row r="498" spans="1:17">
      <c r="A498" s="21" t="s">
        <v>2876</v>
      </c>
      <c r="B498" s="22" t="s">
        <v>1015</v>
      </c>
      <c r="C498" s="21" t="s">
        <v>2021</v>
      </c>
      <c r="D498" s="21" t="s">
        <v>128</v>
      </c>
      <c r="E498" s="21" t="s">
        <v>129</v>
      </c>
      <c r="F498" s="21" t="s">
        <v>1180</v>
      </c>
      <c r="G498" s="3" t="s">
        <v>1184</v>
      </c>
      <c r="H498" s="3" t="s">
        <v>7</v>
      </c>
      <c r="I498" s="3" t="s">
        <v>7</v>
      </c>
      <c r="J498" s="3" t="s">
        <v>7</v>
      </c>
      <c r="K498" s="3" t="s">
        <v>7</v>
      </c>
      <c r="L498" s="3" t="s">
        <v>7</v>
      </c>
      <c r="M498" s="68" t="s">
        <v>536</v>
      </c>
      <c r="N498" s="68" t="s">
        <v>537</v>
      </c>
      <c r="O498" s="18" t="s">
        <v>1316</v>
      </c>
      <c r="P498" s="18" t="s">
        <v>2884</v>
      </c>
      <c r="Q498" s="3" t="s">
        <v>2856</v>
      </c>
    </row>
    <row r="499" spans="1:17">
      <c r="A499" s="21" t="s">
        <v>2876</v>
      </c>
      <c r="B499" s="22" t="s">
        <v>1565</v>
      </c>
      <c r="C499" s="21" t="s">
        <v>2023</v>
      </c>
      <c r="D499" s="21" t="s">
        <v>128</v>
      </c>
      <c r="E499" s="21" t="s">
        <v>130</v>
      </c>
      <c r="F499" s="21" t="s">
        <v>1409</v>
      </c>
      <c r="G499" s="3" t="s">
        <v>1187</v>
      </c>
      <c r="H499" s="3" t="s">
        <v>7</v>
      </c>
      <c r="I499" s="3" t="s">
        <v>7</v>
      </c>
      <c r="J499" s="3" t="s">
        <v>7</v>
      </c>
      <c r="K499" s="3" t="s">
        <v>7</v>
      </c>
      <c r="L499" s="3" t="s">
        <v>7</v>
      </c>
      <c r="M499" s="2" t="s">
        <v>538</v>
      </c>
      <c r="N499" s="2" t="s">
        <v>539</v>
      </c>
      <c r="O499" s="2" t="s">
        <v>1316</v>
      </c>
      <c r="P499" s="2" t="s">
        <v>2884</v>
      </c>
      <c r="Q499" s="3" t="s">
        <v>2856</v>
      </c>
    </row>
    <row r="500" spans="1:17">
      <c r="A500" s="21" t="s">
        <v>2876</v>
      </c>
      <c r="B500" s="22" t="s">
        <v>1014</v>
      </c>
      <c r="C500" s="21" t="s">
        <v>2020</v>
      </c>
      <c r="D500" s="21" t="s">
        <v>128</v>
      </c>
      <c r="E500" s="21" t="s">
        <v>129</v>
      </c>
      <c r="F500" s="21" t="s">
        <v>1192</v>
      </c>
      <c r="G500" s="3" t="s">
        <v>1187</v>
      </c>
      <c r="H500" s="3" t="s">
        <v>7</v>
      </c>
      <c r="I500" s="3" t="s">
        <v>7</v>
      </c>
      <c r="J500" s="3" t="s">
        <v>7</v>
      </c>
      <c r="K500" s="3" t="s">
        <v>7</v>
      </c>
      <c r="L500" s="3" t="s">
        <v>7</v>
      </c>
      <c r="M500" s="2" t="s">
        <v>418</v>
      </c>
      <c r="N500" s="2" t="s">
        <v>419</v>
      </c>
      <c r="O500" s="2" t="s">
        <v>1316</v>
      </c>
      <c r="P500" s="2" t="s">
        <v>2884</v>
      </c>
      <c r="Q500" s="3" t="s">
        <v>2856</v>
      </c>
    </row>
    <row r="501" spans="1:17">
      <c r="A501" s="21" t="s">
        <v>2876</v>
      </c>
      <c r="B501" s="22" t="s">
        <v>1564</v>
      </c>
      <c r="C501" s="21" t="s">
        <v>2019</v>
      </c>
      <c r="D501" s="21" t="s">
        <v>128</v>
      </c>
      <c r="E501" s="21" t="s">
        <v>129</v>
      </c>
      <c r="F501" s="21" t="s">
        <v>1181</v>
      </c>
      <c r="G501" s="3" t="s">
        <v>1187</v>
      </c>
      <c r="H501" s="3" t="s">
        <v>3071</v>
      </c>
      <c r="I501" s="3" t="s">
        <v>7</v>
      </c>
      <c r="J501" s="3" t="s">
        <v>3071</v>
      </c>
      <c r="K501" s="3" t="s">
        <v>3071</v>
      </c>
      <c r="L501" s="3" t="s">
        <v>7</v>
      </c>
      <c r="M501" s="2" t="s">
        <v>418</v>
      </c>
      <c r="N501" s="2" t="s">
        <v>419</v>
      </c>
      <c r="O501" s="2" t="s">
        <v>1316</v>
      </c>
      <c r="P501" s="2" t="s">
        <v>2884</v>
      </c>
      <c r="Q501" s="3" t="s">
        <v>2856</v>
      </c>
    </row>
    <row r="502" spans="1:17">
      <c r="A502" s="21" t="s">
        <v>2876</v>
      </c>
      <c r="B502" s="22" t="s">
        <v>1209</v>
      </c>
      <c r="C502" s="21" t="s">
        <v>2024</v>
      </c>
      <c r="D502" s="21" t="s">
        <v>128</v>
      </c>
      <c r="E502" s="21" t="s">
        <v>130</v>
      </c>
      <c r="F502" s="21" t="s">
        <v>1192</v>
      </c>
      <c r="G502" s="3" t="s">
        <v>1185</v>
      </c>
      <c r="H502" s="3" t="s">
        <v>7</v>
      </c>
      <c r="I502" s="3" t="s">
        <v>7</v>
      </c>
      <c r="J502" s="3" t="s">
        <v>7</v>
      </c>
      <c r="K502" s="3" t="s">
        <v>7</v>
      </c>
      <c r="L502" s="3" t="s">
        <v>7</v>
      </c>
      <c r="M502" s="2" t="s">
        <v>538</v>
      </c>
      <c r="N502" s="2" t="s">
        <v>539</v>
      </c>
      <c r="O502" s="2" t="s">
        <v>1316</v>
      </c>
      <c r="P502" s="2" t="s">
        <v>2884</v>
      </c>
      <c r="Q502" s="3" t="s">
        <v>2856</v>
      </c>
    </row>
    <row r="503" spans="1:17">
      <c r="A503" s="21" t="s">
        <v>2876</v>
      </c>
      <c r="B503" s="22" t="s">
        <v>1016</v>
      </c>
      <c r="C503" s="21" t="s">
        <v>2022</v>
      </c>
      <c r="D503" s="21" t="s">
        <v>128</v>
      </c>
      <c r="E503" s="21" t="s">
        <v>129</v>
      </c>
      <c r="F503" s="21" t="s">
        <v>1180</v>
      </c>
      <c r="G503" s="3" t="s">
        <v>1178</v>
      </c>
      <c r="H503" s="3" t="s">
        <v>7</v>
      </c>
      <c r="I503" s="3" t="s">
        <v>7</v>
      </c>
      <c r="J503" s="3" t="s">
        <v>7</v>
      </c>
      <c r="K503" s="3" t="s">
        <v>7</v>
      </c>
      <c r="L503" s="3" t="s">
        <v>7</v>
      </c>
      <c r="M503" s="18" t="s">
        <v>418</v>
      </c>
      <c r="N503" s="18" t="s">
        <v>419</v>
      </c>
      <c r="O503" s="18" t="s">
        <v>1316</v>
      </c>
      <c r="P503" s="18" t="s">
        <v>2884</v>
      </c>
      <c r="Q503" s="3" t="s">
        <v>2856</v>
      </c>
    </row>
    <row r="504" spans="1:17">
      <c r="A504" s="21" t="s">
        <v>2876</v>
      </c>
      <c r="B504" s="22" t="s">
        <v>2025</v>
      </c>
      <c r="C504" s="21" t="s">
        <v>2026</v>
      </c>
      <c r="D504" s="21" t="s">
        <v>128</v>
      </c>
      <c r="E504" s="21" t="s">
        <v>130</v>
      </c>
      <c r="F504" s="21" t="s">
        <v>1181</v>
      </c>
      <c r="G504" s="3" t="s">
        <v>1704</v>
      </c>
      <c r="H504" s="3" t="s">
        <v>3071</v>
      </c>
      <c r="I504" s="3" t="s">
        <v>7</v>
      </c>
      <c r="J504" s="3" t="s">
        <v>3071</v>
      </c>
      <c r="K504" s="3" t="s">
        <v>3071</v>
      </c>
      <c r="L504" s="3" t="s">
        <v>7</v>
      </c>
      <c r="M504" s="68" t="s">
        <v>442</v>
      </c>
      <c r="N504" s="68" t="s">
        <v>443</v>
      </c>
      <c r="O504" s="18" t="s">
        <v>1316</v>
      </c>
      <c r="P504" s="18" t="s">
        <v>2884</v>
      </c>
      <c r="Q504" s="3" t="s">
        <v>2856</v>
      </c>
    </row>
    <row r="505" spans="1:17" hidden="1">
      <c r="A505" s="21" t="s">
        <v>2871</v>
      </c>
      <c r="B505" s="22" t="s">
        <v>1566</v>
      </c>
      <c r="C505" s="21" t="s">
        <v>2028</v>
      </c>
      <c r="D505" s="21" t="s">
        <v>1567</v>
      </c>
      <c r="E505" s="21" t="s">
        <v>1568</v>
      </c>
      <c r="F505" s="21" t="s">
        <v>1409</v>
      </c>
      <c r="G505" s="3" t="s">
        <v>1424</v>
      </c>
      <c r="H505" s="3" t="s">
        <v>7</v>
      </c>
      <c r="I505" s="3" t="s">
        <v>7</v>
      </c>
      <c r="J505" s="3" t="s">
        <v>7</v>
      </c>
      <c r="K505" s="3" t="s">
        <v>7</v>
      </c>
      <c r="L505" s="3" t="s">
        <v>7</v>
      </c>
      <c r="M505" s="2" t="s">
        <v>244</v>
      </c>
      <c r="N505" s="2" t="s">
        <v>245</v>
      </c>
      <c r="O505" s="2" t="s">
        <v>1289</v>
      </c>
      <c r="P505" s="2" t="s">
        <v>2873</v>
      </c>
      <c r="Q505" s="3" t="s">
        <v>2856</v>
      </c>
    </row>
    <row r="506" spans="1:17" hidden="1">
      <c r="A506" s="21" t="s">
        <v>2871</v>
      </c>
      <c r="B506" s="22" t="s">
        <v>1569</v>
      </c>
      <c r="C506" s="21" t="s">
        <v>2031</v>
      </c>
      <c r="D506" s="21" t="s">
        <v>1567</v>
      </c>
      <c r="E506" s="21" t="s">
        <v>1568</v>
      </c>
      <c r="F506" s="21" t="s">
        <v>1180</v>
      </c>
      <c r="G506" s="3" t="s">
        <v>1457</v>
      </c>
      <c r="H506" s="3" t="s">
        <v>7</v>
      </c>
      <c r="I506" s="3" t="s">
        <v>7</v>
      </c>
      <c r="J506" s="3" t="s">
        <v>7</v>
      </c>
      <c r="K506" s="3" t="s">
        <v>7</v>
      </c>
      <c r="L506" s="3" t="s">
        <v>7</v>
      </c>
      <c r="M506" s="2" t="s">
        <v>244</v>
      </c>
      <c r="N506" s="2" t="s">
        <v>245</v>
      </c>
      <c r="O506" s="2" t="s">
        <v>1289</v>
      </c>
      <c r="P506" s="2" t="s">
        <v>2873</v>
      </c>
      <c r="Q506" s="3" t="s">
        <v>2856</v>
      </c>
    </row>
    <row r="507" spans="1:17" hidden="1">
      <c r="A507" s="21" t="s">
        <v>2871</v>
      </c>
      <c r="B507" s="22" t="s">
        <v>2029</v>
      </c>
      <c r="C507" s="21" t="s">
        <v>2030</v>
      </c>
      <c r="D507" s="21" t="s">
        <v>1567</v>
      </c>
      <c r="E507" s="21" t="s">
        <v>1568</v>
      </c>
      <c r="F507" s="21" t="s">
        <v>1181</v>
      </c>
      <c r="G507" s="3" t="s">
        <v>1414</v>
      </c>
      <c r="H507" s="3" t="s">
        <v>3071</v>
      </c>
      <c r="I507" s="3" t="s">
        <v>7</v>
      </c>
      <c r="J507" s="3" t="s">
        <v>3071</v>
      </c>
      <c r="K507" s="3" t="s">
        <v>3071</v>
      </c>
      <c r="L507" s="3" t="s">
        <v>7</v>
      </c>
      <c r="M507" s="2" t="s">
        <v>244</v>
      </c>
      <c r="N507" s="2" t="s">
        <v>245</v>
      </c>
      <c r="O507" s="2" t="s">
        <v>1289</v>
      </c>
      <c r="P507" s="2" t="s">
        <v>2873</v>
      </c>
      <c r="Q507" s="3" t="s">
        <v>2856</v>
      </c>
    </row>
    <row r="508" spans="1:17" hidden="1">
      <c r="A508" s="21" t="s">
        <v>2946</v>
      </c>
      <c r="B508" s="22" t="s">
        <v>1570</v>
      </c>
      <c r="C508" s="21" t="s">
        <v>2032</v>
      </c>
      <c r="D508" s="21" t="s">
        <v>131</v>
      </c>
      <c r="E508" s="21" t="s">
        <v>132</v>
      </c>
      <c r="F508" s="21" t="s">
        <v>1192</v>
      </c>
      <c r="G508" s="3" t="s">
        <v>1419</v>
      </c>
      <c r="H508" s="3" t="s">
        <v>7</v>
      </c>
      <c r="I508" s="3" t="s">
        <v>7</v>
      </c>
      <c r="J508" s="3" t="s">
        <v>7</v>
      </c>
      <c r="K508" s="3" t="s">
        <v>7</v>
      </c>
      <c r="L508" s="3" t="s">
        <v>7</v>
      </c>
      <c r="M508" s="2" t="s">
        <v>390</v>
      </c>
      <c r="N508" s="2" t="s">
        <v>391</v>
      </c>
      <c r="O508" s="2" t="s">
        <v>1406</v>
      </c>
      <c r="P508" s="2" t="s">
        <v>2956</v>
      </c>
      <c r="Q508" s="3" t="s">
        <v>2856</v>
      </c>
    </row>
    <row r="509" spans="1:17" hidden="1">
      <c r="A509" s="21" t="s">
        <v>2946</v>
      </c>
      <c r="B509" s="22" t="s">
        <v>1018</v>
      </c>
      <c r="C509" s="21" t="s">
        <v>2033</v>
      </c>
      <c r="D509" s="21" t="s">
        <v>131</v>
      </c>
      <c r="E509" s="21" t="s">
        <v>132</v>
      </c>
      <c r="F509" s="21" t="s">
        <v>1180</v>
      </c>
      <c r="G509" s="3" t="s">
        <v>1187</v>
      </c>
      <c r="H509" s="3" t="s">
        <v>7</v>
      </c>
      <c r="I509" s="3" t="s">
        <v>7</v>
      </c>
      <c r="J509" s="3" t="s">
        <v>7</v>
      </c>
      <c r="K509" s="3" t="s">
        <v>7</v>
      </c>
      <c r="L509" s="3" t="s">
        <v>7</v>
      </c>
      <c r="M509" s="2" t="s">
        <v>390</v>
      </c>
      <c r="N509" s="2" t="s">
        <v>391</v>
      </c>
      <c r="O509" s="2" t="s">
        <v>1406</v>
      </c>
      <c r="P509" s="2" t="s">
        <v>2956</v>
      </c>
      <c r="Q509" s="3" t="s">
        <v>2856</v>
      </c>
    </row>
    <row r="510" spans="1:17" hidden="1">
      <c r="A510" s="21" t="s">
        <v>2946</v>
      </c>
      <c r="B510" s="22" t="s">
        <v>2462</v>
      </c>
      <c r="C510" s="21" t="s">
        <v>2463</v>
      </c>
      <c r="D510" s="21" t="s">
        <v>131</v>
      </c>
      <c r="E510" s="21" t="s">
        <v>132</v>
      </c>
      <c r="F510" s="21" t="s">
        <v>1409</v>
      </c>
      <c r="G510" s="3" t="s">
        <v>1186</v>
      </c>
      <c r="H510" s="3" t="s">
        <v>55</v>
      </c>
      <c r="I510" s="3" t="s">
        <v>55</v>
      </c>
      <c r="J510" s="3" t="s">
        <v>55</v>
      </c>
      <c r="K510" s="3" t="s">
        <v>55</v>
      </c>
      <c r="L510" s="3" t="s">
        <v>55</v>
      </c>
      <c r="M510" s="2" t="s">
        <v>390</v>
      </c>
      <c r="N510" s="2" t="s">
        <v>391</v>
      </c>
      <c r="O510" s="2" t="s">
        <v>1406</v>
      </c>
      <c r="P510" s="2" t="s">
        <v>2956</v>
      </c>
      <c r="Q510" s="3" t="s">
        <v>2856</v>
      </c>
    </row>
    <row r="511" spans="1:17" hidden="1">
      <c r="A511" s="21" t="s">
        <v>2876</v>
      </c>
      <c r="B511" s="22" t="s">
        <v>1210</v>
      </c>
      <c r="C511" s="21" t="s">
        <v>2034</v>
      </c>
      <c r="D511" s="21" t="s">
        <v>133</v>
      </c>
      <c r="E511" s="21" t="s">
        <v>134</v>
      </c>
      <c r="F511" s="21" t="s">
        <v>1192</v>
      </c>
      <c r="G511" s="3" t="s">
        <v>1198</v>
      </c>
      <c r="H511" s="3" t="s">
        <v>7</v>
      </c>
      <c r="I511" s="3" t="s">
        <v>7</v>
      </c>
      <c r="J511" s="3" t="s">
        <v>7</v>
      </c>
      <c r="K511" s="3" t="s">
        <v>7</v>
      </c>
      <c r="L511" s="3" t="s">
        <v>7</v>
      </c>
      <c r="M511" s="2" t="s">
        <v>474</v>
      </c>
      <c r="N511" s="2" t="s">
        <v>475</v>
      </c>
      <c r="O511" s="2" t="s">
        <v>1314</v>
      </c>
      <c r="P511" s="2" t="s">
        <v>2884</v>
      </c>
      <c r="Q511" s="3" t="s">
        <v>2856</v>
      </c>
    </row>
    <row r="512" spans="1:17" hidden="1">
      <c r="A512" s="21" t="s">
        <v>2876</v>
      </c>
      <c r="B512" s="22" t="s">
        <v>1019</v>
      </c>
      <c r="C512" s="21" t="s">
        <v>2035</v>
      </c>
      <c r="D512" s="21" t="s">
        <v>133</v>
      </c>
      <c r="E512" s="21" t="s">
        <v>134</v>
      </c>
      <c r="F512" s="21" t="s">
        <v>1181</v>
      </c>
      <c r="G512" s="3" t="s">
        <v>1188</v>
      </c>
      <c r="H512" s="3" t="s">
        <v>3071</v>
      </c>
      <c r="I512" s="3" t="s">
        <v>7</v>
      </c>
      <c r="J512" s="3" t="s">
        <v>3071</v>
      </c>
      <c r="K512" s="3" t="s">
        <v>3071</v>
      </c>
      <c r="L512" s="3" t="s">
        <v>7</v>
      </c>
      <c r="M512" s="2" t="s">
        <v>474</v>
      </c>
      <c r="N512" s="2" t="s">
        <v>475</v>
      </c>
      <c r="O512" s="2" t="s">
        <v>1314</v>
      </c>
      <c r="P512" s="2" t="s">
        <v>2884</v>
      </c>
      <c r="Q512" s="3" t="s">
        <v>2856</v>
      </c>
    </row>
    <row r="513" spans="1:17" hidden="1">
      <c r="A513" s="21" t="s">
        <v>2876</v>
      </c>
      <c r="B513" s="22" t="s">
        <v>2036</v>
      </c>
      <c r="C513" s="21" t="s">
        <v>2037</v>
      </c>
      <c r="D513" s="21" t="s">
        <v>133</v>
      </c>
      <c r="E513" s="21" t="s">
        <v>134</v>
      </c>
      <c r="F513" s="21" t="s">
        <v>1192</v>
      </c>
      <c r="G513" s="3" t="s">
        <v>1186</v>
      </c>
      <c r="H513" s="3" t="s">
        <v>7</v>
      </c>
      <c r="I513" s="3" t="s">
        <v>7</v>
      </c>
      <c r="J513" s="3" t="s">
        <v>7</v>
      </c>
      <c r="K513" s="3" t="s">
        <v>7</v>
      </c>
      <c r="L513" s="3" t="s">
        <v>7</v>
      </c>
      <c r="M513" s="2" t="s">
        <v>474</v>
      </c>
      <c r="N513" s="2" t="s">
        <v>475</v>
      </c>
      <c r="O513" s="2" t="s">
        <v>1314</v>
      </c>
      <c r="P513" s="2" t="s">
        <v>2884</v>
      </c>
      <c r="Q513" s="3" t="s">
        <v>2856</v>
      </c>
    </row>
    <row r="514" spans="1:17" hidden="1">
      <c r="A514" s="21" t="s">
        <v>2876</v>
      </c>
      <c r="B514" s="22" t="s">
        <v>2626</v>
      </c>
      <c r="C514" s="21" t="s">
        <v>2627</v>
      </c>
      <c r="D514" s="21" t="s">
        <v>133</v>
      </c>
      <c r="E514" s="21" t="s">
        <v>134</v>
      </c>
      <c r="F514" s="21" t="s">
        <v>1192</v>
      </c>
      <c r="G514" s="3" t="s">
        <v>1186</v>
      </c>
      <c r="H514" s="3" t="s">
        <v>55</v>
      </c>
      <c r="I514" s="3" t="s">
        <v>7</v>
      </c>
      <c r="J514" s="3" t="s">
        <v>55</v>
      </c>
      <c r="K514" s="3" t="s">
        <v>55</v>
      </c>
      <c r="L514" s="3" t="s">
        <v>55</v>
      </c>
      <c r="M514" s="2" t="s">
        <v>474</v>
      </c>
      <c r="N514" s="2" t="s">
        <v>475</v>
      </c>
      <c r="O514" s="2" t="s">
        <v>1314</v>
      </c>
      <c r="P514" s="2" t="s">
        <v>2884</v>
      </c>
      <c r="Q514" s="3" t="s">
        <v>2856</v>
      </c>
    </row>
    <row r="515" spans="1:17" hidden="1">
      <c r="A515" s="21" t="s">
        <v>2876</v>
      </c>
      <c r="B515" s="22" t="s">
        <v>2628</v>
      </c>
      <c r="C515" s="21" t="s">
        <v>2629</v>
      </c>
      <c r="D515" s="21" t="s">
        <v>133</v>
      </c>
      <c r="E515" s="21" t="s">
        <v>134</v>
      </c>
      <c r="F515" s="21" t="s">
        <v>1192</v>
      </c>
      <c r="G515" s="3" t="s">
        <v>1179</v>
      </c>
      <c r="H515" s="3" t="s">
        <v>55</v>
      </c>
      <c r="I515" s="3" t="s">
        <v>55</v>
      </c>
      <c r="J515" s="3" t="s">
        <v>55</v>
      </c>
      <c r="K515" s="3" t="s">
        <v>55</v>
      </c>
      <c r="L515" s="3" t="s">
        <v>55</v>
      </c>
      <c r="M515" s="2" t="s">
        <v>474</v>
      </c>
      <c r="N515" s="2" t="s">
        <v>475</v>
      </c>
      <c r="O515" s="2" t="s">
        <v>1314</v>
      </c>
      <c r="P515" s="2" t="s">
        <v>2884</v>
      </c>
      <c r="Q515" s="3" t="s">
        <v>2856</v>
      </c>
    </row>
    <row r="516" spans="1:17" hidden="1">
      <c r="A516" s="21" t="s">
        <v>2876</v>
      </c>
      <c r="B516" s="22" t="s">
        <v>1571</v>
      </c>
      <c r="C516" s="21" t="s">
        <v>2038</v>
      </c>
      <c r="D516" s="21" t="s">
        <v>1572</v>
      </c>
      <c r="E516" s="21" t="s">
        <v>1573</v>
      </c>
      <c r="F516" s="21" t="s">
        <v>1192</v>
      </c>
      <c r="G516" s="3" t="s">
        <v>1432</v>
      </c>
      <c r="H516" s="3" t="s">
        <v>7</v>
      </c>
      <c r="I516" s="3" t="s">
        <v>7</v>
      </c>
      <c r="J516" s="3" t="s">
        <v>7</v>
      </c>
      <c r="K516" s="3" t="s">
        <v>7</v>
      </c>
      <c r="L516" s="3" t="s">
        <v>7</v>
      </c>
      <c r="M516" s="2" t="s">
        <v>456</v>
      </c>
      <c r="N516" s="2" t="s">
        <v>457</v>
      </c>
      <c r="O516" s="2" t="s">
        <v>1305</v>
      </c>
      <c r="P516" s="2" t="s">
        <v>2882</v>
      </c>
      <c r="Q516" s="3" t="s">
        <v>2856</v>
      </c>
    </row>
    <row r="517" spans="1:17" hidden="1">
      <c r="A517" s="21" t="s">
        <v>2876</v>
      </c>
      <c r="B517" s="22" t="s">
        <v>1574</v>
      </c>
      <c r="C517" s="21" t="s">
        <v>2039</v>
      </c>
      <c r="D517" s="21" t="s">
        <v>1572</v>
      </c>
      <c r="E517" s="21" t="s">
        <v>1573</v>
      </c>
      <c r="F517" s="21" t="s">
        <v>1181</v>
      </c>
      <c r="G517" s="3" t="s">
        <v>2461</v>
      </c>
      <c r="H517" s="3" t="s">
        <v>3071</v>
      </c>
      <c r="I517" s="3" t="s">
        <v>7</v>
      </c>
      <c r="J517" s="3" t="s">
        <v>3071</v>
      </c>
      <c r="K517" s="3" t="s">
        <v>3071</v>
      </c>
      <c r="L517" s="3" t="s">
        <v>7</v>
      </c>
      <c r="M517" s="2" t="s">
        <v>456</v>
      </c>
      <c r="N517" s="2" t="s">
        <v>457</v>
      </c>
      <c r="O517" s="2" t="s">
        <v>1305</v>
      </c>
      <c r="P517" s="2" t="s">
        <v>2882</v>
      </c>
      <c r="Q517" s="3" t="s">
        <v>2856</v>
      </c>
    </row>
    <row r="518" spans="1:17" hidden="1">
      <c r="A518" s="21" t="s">
        <v>2876</v>
      </c>
      <c r="B518" s="22" t="s">
        <v>2040</v>
      </c>
      <c r="C518" s="21" t="s">
        <v>2041</v>
      </c>
      <c r="D518" s="21" t="s">
        <v>1572</v>
      </c>
      <c r="E518" s="21" t="s">
        <v>1573</v>
      </c>
      <c r="F518" s="21" t="s">
        <v>1180</v>
      </c>
      <c r="G518" s="3" t="s">
        <v>1186</v>
      </c>
      <c r="H518" s="3" t="s">
        <v>7</v>
      </c>
      <c r="I518" s="3" t="s">
        <v>7</v>
      </c>
      <c r="J518" s="3" t="s">
        <v>7</v>
      </c>
      <c r="K518" s="3" t="s">
        <v>7</v>
      </c>
      <c r="L518" s="3" t="s">
        <v>7</v>
      </c>
      <c r="M518" s="2" t="s">
        <v>456</v>
      </c>
      <c r="N518" s="2" t="s">
        <v>457</v>
      </c>
      <c r="O518" s="2" t="s">
        <v>1305</v>
      </c>
      <c r="P518" s="2" t="s">
        <v>2882</v>
      </c>
      <c r="Q518" s="3" t="s">
        <v>2856</v>
      </c>
    </row>
    <row r="519" spans="1:17" hidden="1">
      <c r="A519" s="21" t="s">
        <v>2876</v>
      </c>
      <c r="B519" s="22" t="s">
        <v>1020</v>
      </c>
      <c r="C519" s="21" t="s">
        <v>2042</v>
      </c>
      <c r="D519" s="21" t="s">
        <v>135</v>
      </c>
      <c r="E519" s="21" t="s">
        <v>136</v>
      </c>
      <c r="F519" s="21" t="s">
        <v>8</v>
      </c>
      <c r="G519" s="3" t="s">
        <v>1182</v>
      </c>
      <c r="H519" s="3" t="s">
        <v>7</v>
      </c>
      <c r="I519" s="3" t="s">
        <v>7</v>
      </c>
      <c r="J519" s="3" t="s">
        <v>7</v>
      </c>
      <c r="K519" s="3" t="s">
        <v>7</v>
      </c>
      <c r="L519" s="3" t="s">
        <v>7</v>
      </c>
      <c r="M519" s="2" t="s">
        <v>422</v>
      </c>
      <c r="N519" s="2" t="s">
        <v>423</v>
      </c>
      <c r="O519" s="2" t="s">
        <v>1303</v>
      </c>
      <c r="P519" s="2" t="s">
        <v>2880</v>
      </c>
      <c r="Q519" s="3" t="s">
        <v>2856</v>
      </c>
    </row>
    <row r="520" spans="1:17" hidden="1">
      <c r="A520" s="21" t="s">
        <v>2876</v>
      </c>
      <c r="B520" s="22" t="s">
        <v>1021</v>
      </c>
      <c r="C520" s="21" t="s">
        <v>2043</v>
      </c>
      <c r="D520" s="21" t="s">
        <v>135</v>
      </c>
      <c r="E520" s="21" t="s">
        <v>136</v>
      </c>
      <c r="F520" s="21" t="s">
        <v>8</v>
      </c>
      <c r="G520" s="3" t="s">
        <v>1184</v>
      </c>
      <c r="H520" s="3" t="s">
        <v>7</v>
      </c>
      <c r="I520" s="3" t="s">
        <v>7</v>
      </c>
      <c r="J520" s="3" t="s">
        <v>7</v>
      </c>
      <c r="K520" s="3" t="s">
        <v>7</v>
      </c>
      <c r="L520" s="3" t="s">
        <v>7</v>
      </c>
      <c r="M520" s="2" t="s">
        <v>422</v>
      </c>
      <c r="N520" s="2" t="s">
        <v>423</v>
      </c>
      <c r="O520" s="2" t="s">
        <v>1303</v>
      </c>
      <c r="P520" s="2" t="s">
        <v>2880</v>
      </c>
      <c r="Q520" s="3" t="s">
        <v>2856</v>
      </c>
    </row>
    <row r="521" spans="1:17" hidden="1">
      <c r="A521" s="21" t="s">
        <v>2876</v>
      </c>
      <c r="B521" s="22" t="s">
        <v>2044</v>
      </c>
      <c r="C521" s="21" t="s">
        <v>2042</v>
      </c>
      <c r="D521" s="21" t="s">
        <v>135</v>
      </c>
      <c r="E521" s="21" t="s">
        <v>136</v>
      </c>
      <c r="F521" s="21" t="s">
        <v>1192</v>
      </c>
      <c r="G521" s="3" t="s">
        <v>1412</v>
      </c>
      <c r="H521" s="3" t="s">
        <v>7</v>
      </c>
      <c r="I521" s="3" t="s">
        <v>7</v>
      </c>
      <c r="J521" s="3" t="s">
        <v>7</v>
      </c>
      <c r="K521" s="3" t="s">
        <v>7</v>
      </c>
      <c r="L521" s="3" t="s">
        <v>7</v>
      </c>
      <c r="M521" s="2" t="s">
        <v>422</v>
      </c>
      <c r="N521" s="2" t="s">
        <v>423</v>
      </c>
      <c r="O521" s="2" t="s">
        <v>1303</v>
      </c>
      <c r="P521" s="2" t="s">
        <v>2880</v>
      </c>
      <c r="Q521" s="3" t="s">
        <v>2856</v>
      </c>
    </row>
    <row r="522" spans="1:17" hidden="1">
      <c r="A522" s="21" t="s">
        <v>2876</v>
      </c>
      <c r="B522" s="22" t="s">
        <v>2045</v>
      </c>
      <c r="C522" s="21" t="s">
        <v>2046</v>
      </c>
      <c r="D522" s="21" t="s">
        <v>135</v>
      </c>
      <c r="E522" s="21" t="s">
        <v>136</v>
      </c>
      <c r="F522" s="21" t="s">
        <v>1180</v>
      </c>
      <c r="G522" s="3" t="s">
        <v>1186</v>
      </c>
      <c r="H522" s="3" t="s">
        <v>7</v>
      </c>
      <c r="I522" s="3" t="s">
        <v>7</v>
      </c>
      <c r="J522" s="3" t="s">
        <v>7</v>
      </c>
      <c r="K522" s="3" t="s">
        <v>7</v>
      </c>
      <c r="L522" s="3" t="s">
        <v>7</v>
      </c>
      <c r="M522" s="2" t="s">
        <v>422</v>
      </c>
      <c r="N522" s="2" t="s">
        <v>423</v>
      </c>
      <c r="O522" s="2" t="s">
        <v>1303</v>
      </c>
      <c r="P522" s="2" t="s">
        <v>2880</v>
      </c>
      <c r="Q522" s="3" t="s">
        <v>2856</v>
      </c>
    </row>
    <row r="523" spans="1:17" hidden="1">
      <c r="A523" s="21" t="s">
        <v>2876</v>
      </c>
      <c r="B523" s="22" t="s">
        <v>1575</v>
      </c>
      <c r="C523" s="21" t="s">
        <v>2047</v>
      </c>
      <c r="D523" s="21" t="s">
        <v>137</v>
      </c>
      <c r="E523" s="21" t="s">
        <v>138</v>
      </c>
      <c r="F523" s="21" t="s">
        <v>8</v>
      </c>
      <c r="G523" s="3" t="s">
        <v>1419</v>
      </c>
      <c r="H523" s="3" t="s">
        <v>7</v>
      </c>
      <c r="I523" s="3" t="s">
        <v>7</v>
      </c>
      <c r="J523" s="3" t="s">
        <v>7</v>
      </c>
      <c r="K523" s="3" t="s">
        <v>7</v>
      </c>
      <c r="L523" s="3" t="s">
        <v>7</v>
      </c>
      <c r="M523" s="2" t="s">
        <v>504</v>
      </c>
      <c r="N523" s="2" t="s">
        <v>505</v>
      </c>
      <c r="O523" s="2" t="s">
        <v>1299</v>
      </c>
      <c r="P523" s="2" t="s">
        <v>2878</v>
      </c>
      <c r="Q523" s="3" t="s">
        <v>2856</v>
      </c>
    </row>
    <row r="524" spans="1:17" hidden="1">
      <c r="A524" s="21" t="s">
        <v>2876</v>
      </c>
      <c r="B524" s="22" t="s">
        <v>1023</v>
      </c>
      <c r="C524" s="21" t="s">
        <v>2049</v>
      </c>
      <c r="D524" s="21" t="s">
        <v>137</v>
      </c>
      <c r="E524" s="21" t="s">
        <v>138</v>
      </c>
      <c r="F524" s="21" t="s">
        <v>1180</v>
      </c>
      <c r="G524" s="3" t="s">
        <v>1412</v>
      </c>
      <c r="H524" s="3" t="s">
        <v>7</v>
      </c>
      <c r="I524" s="3" t="s">
        <v>7</v>
      </c>
      <c r="J524" s="3" t="s">
        <v>7</v>
      </c>
      <c r="K524" s="3" t="s">
        <v>7</v>
      </c>
      <c r="L524" s="3" t="s">
        <v>7</v>
      </c>
      <c r="M524" s="2" t="s">
        <v>504</v>
      </c>
      <c r="N524" s="2" t="s">
        <v>505</v>
      </c>
      <c r="O524" s="2" t="s">
        <v>1299</v>
      </c>
      <c r="P524" s="2" t="s">
        <v>2878</v>
      </c>
      <c r="Q524" s="3" t="s">
        <v>2856</v>
      </c>
    </row>
    <row r="525" spans="1:17" hidden="1">
      <c r="A525" s="21" t="s">
        <v>2876</v>
      </c>
      <c r="B525" s="22" t="s">
        <v>1022</v>
      </c>
      <c r="C525" s="21" t="s">
        <v>2048</v>
      </c>
      <c r="D525" s="21" t="s">
        <v>137</v>
      </c>
      <c r="E525" s="21" t="s">
        <v>138</v>
      </c>
      <c r="F525" s="21" t="s">
        <v>1180</v>
      </c>
      <c r="G525" s="3" t="s">
        <v>1412</v>
      </c>
      <c r="H525" s="3" t="s">
        <v>7</v>
      </c>
      <c r="I525" s="3" t="s">
        <v>7</v>
      </c>
      <c r="J525" s="3" t="s">
        <v>7</v>
      </c>
      <c r="K525" s="3" t="s">
        <v>7</v>
      </c>
      <c r="L525" s="3" t="s">
        <v>7</v>
      </c>
      <c r="M525" s="2" t="s">
        <v>504</v>
      </c>
      <c r="N525" s="2" t="s">
        <v>505</v>
      </c>
      <c r="O525" s="2" t="s">
        <v>1299</v>
      </c>
      <c r="P525" s="2" t="s">
        <v>2878</v>
      </c>
      <c r="Q525" s="3" t="s">
        <v>2856</v>
      </c>
    </row>
    <row r="526" spans="1:17" hidden="1">
      <c r="A526" s="21" t="s">
        <v>2871</v>
      </c>
      <c r="B526" s="22" t="s">
        <v>1578</v>
      </c>
      <c r="C526" s="21" t="s">
        <v>2056</v>
      </c>
      <c r="D526" s="21" t="s">
        <v>139</v>
      </c>
      <c r="E526" s="21" t="s">
        <v>2975</v>
      </c>
      <c r="F526" s="21" t="s">
        <v>1409</v>
      </c>
      <c r="G526" s="3" t="s">
        <v>1457</v>
      </c>
      <c r="H526" s="3" t="s">
        <v>7</v>
      </c>
      <c r="I526" s="3" t="s">
        <v>7</v>
      </c>
      <c r="J526" s="3" t="s">
        <v>7</v>
      </c>
      <c r="K526" s="3" t="s">
        <v>7</v>
      </c>
      <c r="L526" s="3" t="s">
        <v>7</v>
      </c>
      <c r="M526" s="18" t="s">
        <v>278</v>
      </c>
      <c r="N526" s="18" t="s">
        <v>279</v>
      </c>
      <c r="O526" s="18" t="s">
        <v>1283</v>
      </c>
      <c r="P526" s="18" t="s">
        <v>2872</v>
      </c>
      <c r="Q526" s="3" t="s">
        <v>2856</v>
      </c>
    </row>
    <row r="527" spans="1:17" hidden="1">
      <c r="A527" s="21" t="s">
        <v>2871</v>
      </c>
      <c r="B527" s="22" t="s">
        <v>1028</v>
      </c>
      <c r="C527" s="21" t="s">
        <v>2057</v>
      </c>
      <c r="D527" s="21" t="s">
        <v>139</v>
      </c>
      <c r="E527" s="21" t="s">
        <v>2975</v>
      </c>
      <c r="F527" s="21" t="s">
        <v>8</v>
      </c>
      <c r="G527" s="3" t="s">
        <v>1430</v>
      </c>
      <c r="H527" s="3" t="s">
        <v>7</v>
      </c>
      <c r="I527" s="3" t="s">
        <v>7</v>
      </c>
      <c r="J527" s="3" t="s">
        <v>7</v>
      </c>
      <c r="K527" s="3" t="s">
        <v>7</v>
      </c>
      <c r="L527" s="3" t="s">
        <v>7</v>
      </c>
      <c r="M527" s="18" t="s">
        <v>278</v>
      </c>
      <c r="N527" s="18" t="s">
        <v>279</v>
      </c>
      <c r="O527" s="18" t="s">
        <v>1283</v>
      </c>
      <c r="P527" s="18" t="s">
        <v>2872</v>
      </c>
      <c r="Q527" s="3" t="s">
        <v>2856</v>
      </c>
    </row>
    <row r="528" spans="1:17" hidden="1">
      <c r="A528" s="21" t="s">
        <v>2871</v>
      </c>
      <c r="B528" s="22" t="s">
        <v>1029</v>
      </c>
      <c r="C528" s="21" t="s">
        <v>2058</v>
      </c>
      <c r="D528" s="21" t="s">
        <v>139</v>
      </c>
      <c r="E528" s="21" t="s">
        <v>2975</v>
      </c>
      <c r="F528" s="21" t="s">
        <v>8</v>
      </c>
      <c r="G528" s="3" t="s">
        <v>1414</v>
      </c>
      <c r="H528" s="3" t="s">
        <v>7</v>
      </c>
      <c r="I528" s="3" t="s">
        <v>7</v>
      </c>
      <c r="J528" s="3" t="s">
        <v>7</v>
      </c>
      <c r="K528" s="3" t="s">
        <v>7</v>
      </c>
      <c r="L528" s="3" t="s">
        <v>7</v>
      </c>
      <c r="M528" s="2" t="s">
        <v>278</v>
      </c>
      <c r="N528" s="2" t="s">
        <v>279</v>
      </c>
      <c r="O528" s="2" t="s">
        <v>1283</v>
      </c>
      <c r="P528" s="2" t="s">
        <v>2872</v>
      </c>
      <c r="Q528" s="3" t="s">
        <v>2856</v>
      </c>
    </row>
    <row r="529" spans="1:17" hidden="1">
      <c r="A529" s="21" t="s">
        <v>2871</v>
      </c>
      <c r="B529" s="22" t="s">
        <v>1030</v>
      </c>
      <c r="C529" s="21" t="s">
        <v>2059</v>
      </c>
      <c r="D529" s="21" t="s">
        <v>139</v>
      </c>
      <c r="E529" s="21" t="s">
        <v>2975</v>
      </c>
      <c r="F529" s="21" t="s">
        <v>1180</v>
      </c>
      <c r="G529" s="3" t="s">
        <v>1430</v>
      </c>
      <c r="H529" s="3" t="s">
        <v>7</v>
      </c>
      <c r="I529" s="3" t="s">
        <v>7</v>
      </c>
      <c r="J529" s="3" t="s">
        <v>7</v>
      </c>
      <c r="K529" s="3" t="s">
        <v>7</v>
      </c>
      <c r="L529" s="3" t="s">
        <v>7</v>
      </c>
      <c r="M529" s="2" t="s">
        <v>278</v>
      </c>
      <c r="N529" s="2" t="s">
        <v>279</v>
      </c>
      <c r="O529" s="2" t="s">
        <v>1283</v>
      </c>
      <c r="P529" s="2" t="s">
        <v>2872</v>
      </c>
      <c r="Q529" s="3" t="s">
        <v>2856</v>
      </c>
    </row>
    <row r="530" spans="1:17" hidden="1">
      <c r="A530" s="21" t="s">
        <v>2871</v>
      </c>
      <c r="B530" s="22" t="s">
        <v>1576</v>
      </c>
      <c r="C530" s="21" t="s">
        <v>2050</v>
      </c>
      <c r="D530" s="21" t="s">
        <v>139</v>
      </c>
      <c r="E530" s="21" t="s">
        <v>140</v>
      </c>
      <c r="F530" s="21" t="s">
        <v>8</v>
      </c>
      <c r="G530" s="3" t="s">
        <v>1416</v>
      </c>
      <c r="H530" s="3" t="s">
        <v>7</v>
      </c>
      <c r="I530" s="3" t="s">
        <v>7</v>
      </c>
      <c r="J530" s="3" t="s">
        <v>7</v>
      </c>
      <c r="K530" s="3" t="s">
        <v>7</v>
      </c>
      <c r="L530" s="3" t="s">
        <v>7</v>
      </c>
      <c r="M530" s="2" t="s">
        <v>248</v>
      </c>
      <c r="N530" s="2" t="s">
        <v>249</v>
      </c>
      <c r="O530" s="2" t="s">
        <v>1283</v>
      </c>
      <c r="P530" s="2" t="s">
        <v>2872</v>
      </c>
      <c r="Q530" s="3" t="s">
        <v>2856</v>
      </c>
    </row>
    <row r="531" spans="1:17" hidden="1">
      <c r="A531" s="21" t="s">
        <v>2871</v>
      </c>
      <c r="B531" s="22" t="s">
        <v>1026</v>
      </c>
      <c r="C531" s="21" t="s">
        <v>2053</v>
      </c>
      <c r="D531" s="21" t="s">
        <v>139</v>
      </c>
      <c r="E531" s="21" t="s">
        <v>141</v>
      </c>
      <c r="F531" s="21" t="s">
        <v>8</v>
      </c>
      <c r="G531" s="3" t="s">
        <v>1182</v>
      </c>
      <c r="H531" s="3" t="s">
        <v>7</v>
      </c>
      <c r="I531" s="3" t="s">
        <v>7</v>
      </c>
      <c r="J531" s="3" t="s">
        <v>7</v>
      </c>
      <c r="K531" s="3" t="s">
        <v>7</v>
      </c>
      <c r="L531" s="3" t="s">
        <v>7</v>
      </c>
      <c r="M531" s="2" t="s">
        <v>274</v>
      </c>
      <c r="N531" s="2" t="s">
        <v>275</v>
      </c>
      <c r="O531" s="2" t="s">
        <v>1283</v>
      </c>
      <c r="P531" s="2" t="s">
        <v>2872</v>
      </c>
      <c r="Q531" s="3" t="s">
        <v>2856</v>
      </c>
    </row>
    <row r="532" spans="1:17" hidden="1">
      <c r="A532" s="21" t="s">
        <v>2871</v>
      </c>
      <c r="B532" s="22" t="s">
        <v>1577</v>
      </c>
      <c r="C532" s="21" t="s">
        <v>2054</v>
      </c>
      <c r="D532" s="21" t="s">
        <v>139</v>
      </c>
      <c r="E532" s="21" t="s">
        <v>141</v>
      </c>
      <c r="F532" s="21" t="s">
        <v>8</v>
      </c>
      <c r="G532" s="3" t="s">
        <v>1457</v>
      </c>
      <c r="H532" s="3" t="s">
        <v>7</v>
      </c>
      <c r="I532" s="3" t="s">
        <v>7</v>
      </c>
      <c r="J532" s="3" t="s">
        <v>7</v>
      </c>
      <c r="K532" s="3" t="s">
        <v>7</v>
      </c>
      <c r="L532" s="3" t="s">
        <v>7</v>
      </c>
      <c r="M532" s="2" t="s">
        <v>274</v>
      </c>
      <c r="N532" s="2" t="s">
        <v>275</v>
      </c>
      <c r="O532" s="2" t="s">
        <v>1283</v>
      </c>
      <c r="P532" s="2" t="s">
        <v>2872</v>
      </c>
      <c r="Q532" s="3" t="s">
        <v>2856</v>
      </c>
    </row>
    <row r="533" spans="1:17" hidden="1">
      <c r="A533" s="21" t="s">
        <v>2871</v>
      </c>
      <c r="B533" s="22" t="s">
        <v>1579</v>
      </c>
      <c r="C533" s="21" t="s">
        <v>2060</v>
      </c>
      <c r="D533" s="21" t="s">
        <v>139</v>
      </c>
      <c r="E533" s="21" t="s">
        <v>142</v>
      </c>
      <c r="F533" s="21" t="s">
        <v>1409</v>
      </c>
      <c r="G533" s="3" t="s">
        <v>1410</v>
      </c>
      <c r="H533" s="3" t="s">
        <v>7</v>
      </c>
      <c r="I533" s="3" t="s">
        <v>7</v>
      </c>
      <c r="J533" s="3" t="s">
        <v>7</v>
      </c>
      <c r="K533" s="3" t="s">
        <v>7</v>
      </c>
      <c r="L533" s="3" t="s">
        <v>7</v>
      </c>
      <c r="M533" s="2" t="s">
        <v>262</v>
      </c>
      <c r="N533" s="2" t="s">
        <v>263</v>
      </c>
      <c r="O533" s="2" t="s">
        <v>1283</v>
      </c>
      <c r="P533" s="2" t="s">
        <v>2872</v>
      </c>
      <c r="Q533" s="3" t="s">
        <v>2856</v>
      </c>
    </row>
    <row r="534" spans="1:17" hidden="1">
      <c r="A534" s="21" t="s">
        <v>2871</v>
      </c>
      <c r="B534" s="22" t="s">
        <v>2062</v>
      </c>
      <c r="C534" s="21" t="s">
        <v>2063</v>
      </c>
      <c r="D534" s="21" t="s">
        <v>139</v>
      </c>
      <c r="E534" s="21" t="s">
        <v>142</v>
      </c>
      <c r="F534" s="21" t="s">
        <v>1181</v>
      </c>
      <c r="G534" s="3" t="s">
        <v>1414</v>
      </c>
      <c r="H534" s="3" t="s">
        <v>3071</v>
      </c>
      <c r="I534" s="3" t="s">
        <v>7</v>
      </c>
      <c r="J534" s="3" t="s">
        <v>3071</v>
      </c>
      <c r="K534" s="3" t="s">
        <v>3071</v>
      </c>
      <c r="L534" s="3" t="s">
        <v>7</v>
      </c>
      <c r="M534" s="2" t="s">
        <v>262</v>
      </c>
      <c r="N534" s="2" t="s">
        <v>263</v>
      </c>
      <c r="O534" s="2" t="s">
        <v>1283</v>
      </c>
      <c r="P534" s="2" t="s">
        <v>2872</v>
      </c>
      <c r="Q534" s="3" t="s">
        <v>2856</v>
      </c>
    </row>
    <row r="535" spans="1:17" hidden="1">
      <c r="A535" s="21" t="s">
        <v>2871</v>
      </c>
      <c r="B535" s="22" t="s">
        <v>1024</v>
      </c>
      <c r="C535" s="21" t="s">
        <v>2051</v>
      </c>
      <c r="D535" s="21" t="s">
        <v>139</v>
      </c>
      <c r="E535" s="21" t="s">
        <v>140</v>
      </c>
      <c r="F535" s="21" t="s">
        <v>8</v>
      </c>
      <c r="G535" s="3" t="s">
        <v>1182</v>
      </c>
      <c r="H535" s="3" t="s">
        <v>7</v>
      </c>
      <c r="I535" s="3" t="s">
        <v>7</v>
      </c>
      <c r="J535" s="3" t="s">
        <v>7</v>
      </c>
      <c r="K535" s="3" t="s">
        <v>7</v>
      </c>
      <c r="L535" s="3" t="s">
        <v>7</v>
      </c>
      <c r="M535" s="2" t="s">
        <v>248</v>
      </c>
      <c r="N535" s="2" t="s">
        <v>249</v>
      </c>
      <c r="O535" s="2" t="s">
        <v>1283</v>
      </c>
      <c r="P535" s="2" t="s">
        <v>2872</v>
      </c>
      <c r="Q535" s="3" t="s">
        <v>2856</v>
      </c>
    </row>
    <row r="536" spans="1:17" hidden="1">
      <c r="A536" s="21" t="s">
        <v>2871</v>
      </c>
      <c r="B536" s="22" t="s">
        <v>1025</v>
      </c>
      <c r="C536" s="21" t="s">
        <v>2052</v>
      </c>
      <c r="D536" s="21" t="s">
        <v>139</v>
      </c>
      <c r="E536" s="21" t="s">
        <v>140</v>
      </c>
      <c r="F536" s="21" t="s">
        <v>1180</v>
      </c>
      <c r="G536" s="3" t="s">
        <v>1182</v>
      </c>
      <c r="H536" s="3" t="s">
        <v>7</v>
      </c>
      <c r="I536" s="3" t="s">
        <v>7</v>
      </c>
      <c r="J536" s="3" t="s">
        <v>7</v>
      </c>
      <c r="K536" s="3" t="s">
        <v>7</v>
      </c>
      <c r="L536" s="3" t="s">
        <v>7</v>
      </c>
      <c r="M536" s="2" t="s">
        <v>248</v>
      </c>
      <c r="N536" s="2" t="s">
        <v>249</v>
      </c>
      <c r="O536" s="2" t="s">
        <v>1283</v>
      </c>
      <c r="P536" s="2" t="s">
        <v>2872</v>
      </c>
      <c r="Q536" s="3" t="s">
        <v>2856</v>
      </c>
    </row>
    <row r="537" spans="1:17" hidden="1">
      <c r="A537" s="21" t="s">
        <v>2871</v>
      </c>
      <c r="B537" s="22" t="s">
        <v>1032</v>
      </c>
      <c r="C537" s="21" t="s">
        <v>2064</v>
      </c>
      <c r="D537" s="21" t="s">
        <v>139</v>
      </c>
      <c r="E537" s="21" t="s">
        <v>142</v>
      </c>
      <c r="F537" s="21" t="s">
        <v>1180</v>
      </c>
      <c r="G537" s="3" t="s">
        <v>1182</v>
      </c>
      <c r="H537" s="3" t="s">
        <v>7</v>
      </c>
      <c r="I537" s="3" t="s">
        <v>7</v>
      </c>
      <c r="J537" s="3" t="s">
        <v>7</v>
      </c>
      <c r="K537" s="3" t="s">
        <v>7</v>
      </c>
      <c r="L537" s="3" t="s">
        <v>7</v>
      </c>
      <c r="M537" s="2" t="s">
        <v>262</v>
      </c>
      <c r="N537" s="2" t="s">
        <v>263</v>
      </c>
      <c r="O537" s="2" t="s">
        <v>1283</v>
      </c>
      <c r="P537" s="2" t="s">
        <v>2872</v>
      </c>
      <c r="Q537" s="3" t="s">
        <v>2856</v>
      </c>
    </row>
    <row r="538" spans="1:17" hidden="1">
      <c r="A538" s="21" t="s">
        <v>2871</v>
      </c>
      <c r="B538" s="22" t="s">
        <v>1031</v>
      </c>
      <c r="C538" s="21" t="s">
        <v>2061</v>
      </c>
      <c r="D538" s="21" t="s">
        <v>139</v>
      </c>
      <c r="E538" s="21" t="s">
        <v>142</v>
      </c>
      <c r="F538" s="21" t="s">
        <v>8</v>
      </c>
      <c r="G538" s="3" t="s">
        <v>1182</v>
      </c>
      <c r="H538" s="3" t="s">
        <v>7</v>
      </c>
      <c r="I538" s="3" t="s">
        <v>7</v>
      </c>
      <c r="J538" s="3" t="s">
        <v>7</v>
      </c>
      <c r="K538" s="3" t="s">
        <v>7</v>
      </c>
      <c r="L538" s="3" t="s">
        <v>7</v>
      </c>
      <c r="M538" s="2" t="s">
        <v>262</v>
      </c>
      <c r="N538" s="2" t="s">
        <v>263</v>
      </c>
      <c r="O538" s="2" t="s">
        <v>1283</v>
      </c>
      <c r="P538" s="2" t="s">
        <v>2872</v>
      </c>
      <c r="Q538" s="3" t="s">
        <v>2856</v>
      </c>
    </row>
    <row r="539" spans="1:17" hidden="1">
      <c r="A539" s="21" t="s">
        <v>2871</v>
      </c>
      <c r="B539" s="22" t="s">
        <v>1027</v>
      </c>
      <c r="C539" s="21" t="s">
        <v>2055</v>
      </c>
      <c r="D539" s="21" t="s">
        <v>139</v>
      </c>
      <c r="E539" s="21" t="s">
        <v>141</v>
      </c>
      <c r="F539" s="21" t="s">
        <v>1180</v>
      </c>
      <c r="G539" s="3" t="s">
        <v>1182</v>
      </c>
      <c r="H539" s="3" t="s">
        <v>7</v>
      </c>
      <c r="I539" s="3" t="s">
        <v>7</v>
      </c>
      <c r="J539" s="3" t="s">
        <v>7</v>
      </c>
      <c r="K539" s="3" t="s">
        <v>7</v>
      </c>
      <c r="L539" s="3" t="s">
        <v>7</v>
      </c>
      <c r="M539" s="2" t="s">
        <v>274</v>
      </c>
      <c r="N539" s="2" t="s">
        <v>275</v>
      </c>
      <c r="O539" s="2" t="s">
        <v>1283</v>
      </c>
      <c r="P539" s="2" t="s">
        <v>2872</v>
      </c>
      <c r="Q539" s="3" t="s">
        <v>2856</v>
      </c>
    </row>
    <row r="540" spans="1:17" hidden="1">
      <c r="A540" s="21" t="s">
        <v>2871</v>
      </c>
      <c r="B540" s="22" t="s">
        <v>3302</v>
      </c>
      <c r="C540" s="21" t="s">
        <v>2053</v>
      </c>
      <c r="D540" s="21" t="s">
        <v>139</v>
      </c>
      <c r="E540" s="21" t="s">
        <v>140</v>
      </c>
      <c r="F540" s="21" t="s">
        <v>1180</v>
      </c>
      <c r="G540" s="3" t="s">
        <v>1430</v>
      </c>
      <c r="H540" s="3" t="s">
        <v>7</v>
      </c>
      <c r="I540" s="3" t="s">
        <v>7</v>
      </c>
      <c r="J540" s="3" t="s">
        <v>7</v>
      </c>
      <c r="K540" s="3" t="s">
        <v>55</v>
      </c>
      <c r="L540" s="3" t="s">
        <v>55</v>
      </c>
      <c r="M540" s="2" t="s">
        <v>248</v>
      </c>
      <c r="N540" s="2" t="s">
        <v>249</v>
      </c>
      <c r="O540" s="2" t="s">
        <v>1283</v>
      </c>
      <c r="P540" s="2" t="s">
        <v>2872</v>
      </c>
      <c r="Q540" s="3" t="s">
        <v>2856</v>
      </c>
    </row>
    <row r="541" spans="1:17" hidden="1">
      <c r="A541" s="21" t="s">
        <v>2871</v>
      </c>
      <c r="B541" s="22" t="s">
        <v>3303</v>
      </c>
      <c r="C541" s="21" t="s">
        <v>2060</v>
      </c>
      <c r="D541" s="21" t="s">
        <v>139</v>
      </c>
      <c r="E541" s="21" t="s">
        <v>140</v>
      </c>
      <c r="F541" s="21" t="s">
        <v>1181</v>
      </c>
      <c r="G541" s="3" t="s">
        <v>2559</v>
      </c>
      <c r="H541" s="3" t="s">
        <v>3071</v>
      </c>
      <c r="I541" s="3" t="s">
        <v>55</v>
      </c>
      <c r="J541" s="3" t="s">
        <v>3071</v>
      </c>
      <c r="K541" s="3" t="s">
        <v>3071</v>
      </c>
      <c r="L541" s="3" t="s">
        <v>55</v>
      </c>
      <c r="M541" s="2" t="s">
        <v>248</v>
      </c>
      <c r="N541" s="2" t="s">
        <v>249</v>
      </c>
      <c r="O541" s="2" t="s">
        <v>1283</v>
      </c>
      <c r="P541" s="2" t="s">
        <v>2872</v>
      </c>
      <c r="Q541" s="3" t="s">
        <v>2856</v>
      </c>
    </row>
    <row r="542" spans="1:17" hidden="1">
      <c r="A542" s="21" t="s">
        <v>2871</v>
      </c>
      <c r="B542" s="22" t="s">
        <v>3304</v>
      </c>
      <c r="C542" s="21" t="s">
        <v>3305</v>
      </c>
      <c r="D542" s="21" t="s">
        <v>139</v>
      </c>
      <c r="E542" s="21" t="s">
        <v>141</v>
      </c>
      <c r="F542" s="21" t="s">
        <v>1181</v>
      </c>
      <c r="G542" s="3" t="s">
        <v>1179</v>
      </c>
      <c r="H542" s="3" t="s">
        <v>3071</v>
      </c>
      <c r="I542" s="3" t="s">
        <v>55</v>
      </c>
      <c r="J542" s="3" t="s">
        <v>3071</v>
      </c>
      <c r="K542" s="3" t="s">
        <v>3071</v>
      </c>
      <c r="L542" s="3" t="s">
        <v>55</v>
      </c>
      <c r="M542" s="2" t="s">
        <v>274</v>
      </c>
      <c r="N542" s="2" t="s">
        <v>275</v>
      </c>
      <c r="O542" s="2" t="s">
        <v>1283</v>
      </c>
      <c r="P542" s="2" t="s">
        <v>2872</v>
      </c>
      <c r="Q542" s="3" t="s">
        <v>2856</v>
      </c>
    </row>
    <row r="543" spans="1:17" hidden="1">
      <c r="A543" s="21" t="s">
        <v>2871</v>
      </c>
      <c r="B543" s="22" t="s">
        <v>3306</v>
      </c>
      <c r="C543" s="21" t="s">
        <v>3307</v>
      </c>
      <c r="D543" s="21" t="s">
        <v>139</v>
      </c>
      <c r="E543" s="21" t="s">
        <v>141</v>
      </c>
      <c r="F543" s="21" t="s">
        <v>1192</v>
      </c>
      <c r="G543" s="3" t="s">
        <v>1189</v>
      </c>
      <c r="H543" s="3" t="s">
        <v>7</v>
      </c>
      <c r="I543" s="3" t="s">
        <v>7</v>
      </c>
      <c r="J543" s="3" t="s">
        <v>7</v>
      </c>
      <c r="K543" s="3" t="s">
        <v>7</v>
      </c>
      <c r="L543" s="3" t="s">
        <v>7</v>
      </c>
      <c r="M543" s="2" t="s">
        <v>274</v>
      </c>
      <c r="N543" s="2" t="s">
        <v>275</v>
      </c>
      <c r="O543" s="2" t="s">
        <v>1283</v>
      </c>
      <c r="P543" s="2" t="s">
        <v>2872</v>
      </c>
      <c r="Q543" s="3" t="s">
        <v>2856</v>
      </c>
    </row>
    <row r="544" spans="1:17" hidden="1">
      <c r="A544" s="21" t="s">
        <v>2903</v>
      </c>
      <c r="B544" s="22" t="s">
        <v>1580</v>
      </c>
      <c r="C544" s="21" t="s">
        <v>2065</v>
      </c>
      <c r="D544" s="21" t="s">
        <v>143</v>
      </c>
      <c r="E544" s="21" t="s">
        <v>832</v>
      </c>
      <c r="F544" s="21" t="s">
        <v>1192</v>
      </c>
      <c r="G544" s="3" t="s">
        <v>1424</v>
      </c>
      <c r="H544" s="3" t="s">
        <v>7</v>
      </c>
      <c r="I544" s="3" t="s">
        <v>7</v>
      </c>
      <c r="J544" s="3" t="s">
        <v>7</v>
      </c>
      <c r="K544" s="3" t="s">
        <v>7</v>
      </c>
      <c r="L544" s="3" t="s">
        <v>7</v>
      </c>
      <c r="M544" s="2" t="s">
        <v>598</v>
      </c>
      <c r="N544" s="2" t="s">
        <v>599</v>
      </c>
      <c r="O544" s="2" t="s">
        <v>1339</v>
      </c>
      <c r="P544" s="2" t="s">
        <v>2910</v>
      </c>
      <c r="Q544" s="3" t="s">
        <v>2856</v>
      </c>
    </row>
    <row r="545" spans="1:17" hidden="1">
      <c r="A545" s="21" t="s">
        <v>2903</v>
      </c>
      <c r="B545" s="22" t="s">
        <v>2803</v>
      </c>
      <c r="C545" s="21" t="s">
        <v>2804</v>
      </c>
      <c r="D545" s="21" t="s">
        <v>143</v>
      </c>
      <c r="E545" s="21" t="s">
        <v>832</v>
      </c>
      <c r="F545" s="21" t="s">
        <v>1180</v>
      </c>
      <c r="G545" s="3" t="s">
        <v>1187</v>
      </c>
      <c r="H545" s="3" t="s">
        <v>7</v>
      </c>
      <c r="I545" s="3" t="s">
        <v>7</v>
      </c>
      <c r="J545" s="3" t="s">
        <v>7</v>
      </c>
      <c r="K545" s="3" t="s">
        <v>7</v>
      </c>
      <c r="L545" s="3" t="s">
        <v>7</v>
      </c>
      <c r="M545" s="2" t="s">
        <v>598</v>
      </c>
      <c r="N545" s="2" t="s">
        <v>599</v>
      </c>
      <c r="O545" s="2" t="s">
        <v>1339</v>
      </c>
      <c r="P545" s="2" t="s">
        <v>2910</v>
      </c>
      <c r="Q545" s="3" t="s">
        <v>2856</v>
      </c>
    </row>
    <row r="546" spans="1:17" hidden="1">
      <c r="A546" s="21" t="s">
        <v>2903</v>
      </c>
      <c r="B546" s="22" t="s">
        <v>2801</v>
      </c>
      <c r="C546" s="21" t="s">
        <v>2802</v>
      </c>
      <c r="D546" s="21" t="s">
        <v>143</v>
      </c>
      <c r="E546" s="21" t="s">
        <v>832</v>
      </c>
      <c r="F546" s="21" t="s">
        <v>1181</v>
      </c>
      <c r="G546" s="3" t="s">
        <v>1182</v>
      </c>
      <c r="H546" s="3" t="s">
        <v>3071</v>
      </c>
      <c r="I546" s="3" t="s">
        <v>7</v>
      </c>
      <c r="J546" s="3" t="s">
        <v>3071</v>
      </c>
      <c r="K546" s="3" t="s">
        <v>3071</v>
      </c>
      <c r="L546" s="3" t="s">
        <v>7</v>
      </c>
      <c r="M546" s="2" t="s">
        <v>598</v>
      </c>
      <c r="N546" s="2" t="s">
        <v>599</v>
      </c>
      <c r="O546" s="2" t="s">
        <v>1339</v>
      </c>
      <c r="P546" s="2" t="s">
        <v>2910</v>
      </c>
      <c r="Q546" s="3" t="s">
        <v>2856</v>
      </c>
    </row>
    <row r="547" spans="1:17" hidden="1">
      <c r="A547" s="21" t="s">
        <v>2876</v>
      </c>
      <c r="B547" s="22" t="s">
        <v>1582</v>
      </c>
      <c r="C547" s="21" t="s">
        <v>2068</v>
      </c>
      <c r="D547" s="21" t="s">
        <v>144</v>
      </c>
      <c r="E547" s="21" t="s">
        <v>145</v>
      </c>
      <c r="F547" s="21" t="s">
        <v>1181</v>
      </c>
      <c r="G547" s="3" t="s">
        <v>1437</v>
      </c>
      <c r="H547" s="3" t="s">
        <v>3071</v>
      </c>
      <c r="I547" s="3" t="s">
        <v>7</v>
      </c>
      <c r="J547" s="3" t="s">
        <v>3071</v>
      </c>
      <c r="K547" s="3" t="s">
        <v>3071</v>
      </c>
      <c r="L547" s="3" t="s">
        <v>7</v>
      </c>
      <c r="M547" s="2" t="s">
        <v>424</v>
      </c>
      <c r="N547" s="2" t="s">
        <v>425</v>
      </c>
      <c r="O547" s="2" t="s">
        <v>1317</v>
      </c>
      <c r="P547" s="2" t="s">
        <v>2882</v>
      </c>
      <c r="Q547" s="3" t="s">
        <v>2856</v>
      </c>
    </row>
    <row r="548" spans="1:17" hidden="1">
      <c r="A548" s="21" t="s">
        <v>2876</v>
      </c>
      <c r="B548" s="22" t="s">
        <v>1033</v>
      </c>
      <c r="C548" s="21" t="s">
        <v>2067</v>
      </c>
      <c r="D548" s="21" t="s">
        <v>144</v>
      </c>
      <c r="E548" s="21" t="s">
        <v>145</v>
      </c>
      <c r="F548" s="21" t="s">
        <v>1192</v>
      </c>
      <c r="G548" s="3" t="s">
        <v>1412</v>
      </c>
      <c r="H548" s="3" t="s">
        <v>7</v>
      </c>
      <c r="I548" s="3" t="s">
        <v>7</v>
      </c>
      <c r="J548" s="3" t="s">
        <v>7</v>
      </c>
      <c r="K548" s="3" t="s">
        <v>7</v>
      </c>
      <c r="L548" s="3" t="s">
        <v>7</v>
      </c>
      <c r="M548" s="2" t="s">
        <v>424</v>
      </c>
      <c r="N548" s="2" t="s">
        <v>425</v>
      </c>
      <c r="O548" s="2" t="s">
        <v>1317</v>
      </c>
      <c r="P548" s="2" t="s">
        <v>2882</v>
      </c>
      <c r="Q548" s="3" t="s">
        <v>2856</v>
      </c>
    </row>
    <row r="549" spans="1:17" hidden="1">
      <c r="A549" s="21" t="s">
        <v>2876</v>
      </c>
      <c r="B549" s="22" t="s">
        <v>1581</v>
      </c>
      <c r="C549" s="21" t="s">
        <v>2066</v>
      </c>
      <c r="D549" s="21" t="s">
        <v>144</v>
      </c>
      <c r="E549" s="21" t="s">
        <v>145</v>
      </c>
      <c r="F549" s="21" t="s">
        <v>1409</v>
      </c>
      <c r="G549" s="3" t="s">
        <v>1457</v>
      </c>
      <c r="H549" s="3" t="s">
        <v>7</v>
      </c>
      <c r="I549" s="3" t="s">
        <v>7</v>
      </c>
      <c r="J549" s="3" t="s">
        <v>7</v>
      </c>
      <c r="K549" s="3" t="s">
        <v>7</v>
      </c>
      <c r="L549" s="3" t="s">
        <v>7</v>
      </c>
      <c r="M549" s="2" t="s">
        <v>424</v>
      </c>
      <c r="N549" s="2" t="s">
        <v>425</v>
      </c>
      <c r="O549" s="2" t="s">
        <v>1317</v>
      </c>
      <c r="P549" s="2" t="s">
        <v>2882</v>
      </c>
      <c r="Q549" s="3" t="s">
        <v>2856</v>
      </c>
    </row>
    <row r="550" spans="1:17" hidden="1">
      <c r="A550" s="21" t="s">
        <v>2876</v>
      </c>
      <c r="B550" s="22" t="s">
        <v>2069</v>
      </c>
      <c r="C550" s="21" t="s">
        <v>2070</v>
      </c>
      <c r="D550" s="21" t="s">
        <v>144</v>
      </c>
      <c r="E550" s="21" t="s">
        <v>145</v>
      </c>
      <c r="F550" s="21" t="s">
        <v>1180</v>
      </c>
      <c r="G550" s="3" t="s">
        <v>1198</v>
      </c>
      <c r="H550" s="3" t="s">
        <v>7</v>
      </c>
      <c r="I550" s="3" t="s">
        <v>7</v>
      </c>
      <c r="J550" s="3" t="s">
        <v>7</v>
      </c>
      <c r="K550" s="3" t="s">
        <v>7</v>
      </c>
      <c r="L550" s="3" t="s">
        <v>7</v>
      </c>
      <c r="M550" s="2" t="s">
        <v>424</v>
      </c>
      <c r="N550" s="2" t="s">
        <v>425</v>
      </c>
      <c r="O550" s="2" t="s">
        <v>1317</v>
      </c>
      <c r="P550" s="2" t="s">
        <v>2882</v>
      </c>
      <c r="Q550" s="3" t="s">
        <v>2856</v>
      </c>
    </row>
    <row r="551" spans="1:17" hidden="1">
      <c r="A551" s="21" t="s">
        <v>2903</v>
      </c>
      <c r="B551" s="22" t="s">
        <v>1034</v>
      </c>
      <c r="C551" s="21" t="s">
        <v>2071</v>
      </c>
      <c r="D551" s="21" t="s">
        <v>146</v>
      </c>
      <c r="E551" s="21" t="s">
        <v>833</v>
      </c>
      <c r="F551" s="21" t="s">
        <v>8</v>
      </c>
      <c r="G551" s="3" t="s">
        <v>1412</v>
      </c>
      <c r="H551" s="3" t="s">
        <v>7</v>
      </c>
      <c r="I551" s="3" t="s">
        <v>7</v>
      </c>
      <c r="J551" s="3" t="s">
        <v>7</v>
      </c>
      <c r="K551" s="3" t="s">
        <v>7</v>
      </c>
      <c r="L551" s="3" t="s">
        <v>7</v>
      </c>
      <c r="M551" s="2" t="s">
        <v>714</v>
      </c>
      <c r="N551" s="2" t="s">
        <v>715</v>
      </c>
      <c r="O551" s="2" t="s">
        <v>1358</v>
      </c>
      <c r="P551" s="2" t="s">
        <v>2923</v>
      </c>
      <c r="Q551" s="3" t="s">
        <v>2856</v>
      </c>
    </row>
    <row r="552" spans="1:17" hidden="1">
      <c r="A552" s="21" t="s">
        <v>2903</v>
      </c>
      <c r="B552" s="22" t="s">
        <v>1035</v>
      </c>
      <c r="C552" s="21" t="s">
        <v>2072</v>
      </c>
      <c r="D552" s="21" t="s">
        <v>146</v>
      </c>
      <c r="E552" s="21" t="s">
        <v>833</v>
      </c>
      <c r="F552" s="21" t="s">
        <v>8</v>
      </c>
      <c r="G552" s="3" t="s">
        <v>1182</v>
      </c>
      <c r="H552" s="3" t="s">
        <v>7</v>
      </c>
      <c r="I552" s="3" t="s">
        <v>7</v>
      </c>
      <c r="J552" s="3" t="s">
        <v>7</v>
      </c>
      <c r="K552" s="3" t="s">
        <v>7</v>
      </c>
      <c r="L552" s="3" t="s">
        <v>7</v>
      </c>
      <c r="M552" s="2" t="s">
        <v>714</v>
      </c>
      <c r="N552" s="2" t="s">
        <v>715</v>
      </c>
      <c r="O552" s="2" t="s">
        <v>1358</v>
      </c>
      <c r="P552" s="2" t="s">
        <v>2923</v>
      </c>
      <c r="Q552" s="3" t="s">
        <v>2856</v>
      </c>
    </row>
    <row r="553" spans="1:17" hidden="1">
      <c r="A553" s="21" t="s">
        <v>2903</v>
      </c>
      <c r="B553" s="22" t="s">
        <v>1036</v>
      </c>
      <c r="C553" s="21" t="s">
        <v>2073</v>
      </c>
      <c r="D553" s="21" t="s">
        <v>146</v>
      </c>
      <c r="E553" s="21" t="s">
        <v>833</v>
      </c>
      <c r="F553" s="21" t="s">
        <v>1180</v>
      </c>
      <c r="G553" s="3" t="s">
        <v>1182</v>
      </c>
      <c r="H553" s="3" t="s">
        <v>7</v>
      </c>
      <c r="I553" s="3" t="s">
        <v>7</v>
      </c>
      <c r="J553" s="3" t="s">
        <v>7</v>
      </c>
      <c r="K553" s="3" t="s">
        <v>7</v>
      </c>
      <c r="L553" s="3" t="s">
        <v>7</v>
      </c>
      <c r="M553" s="2" t="s">
        <v>714</v>
      </c>
      <c r="N553" s="2" t="s">
        <v>715</v>
      </c>
      <c r="O553" s="2" t="s">
        <v>1358</v>
      </c>
      <c r="P553" s="2" t="s">
        <v>2923</v>
      </c>
      <c r="Q553" s="3" t="s">
        <v>2856</v>
      </c>
    </row>
    <row r="554" spans="1:17" hidden="1">
      <c r="A554" s="21" t="s">
        <v>2903</v>
      </c>
      <c r="B554" s="22" t="s">
        <v>1037</v>
      </c>
      <c r="C554" s="21" t="s">
        <v>2074</v>
      </c>
      <c r="D554" s="21" t="s">
        <v>147</v>
      </c>
      <c r="E554" s="21" t="s">
        <v>834</v>
      </c>
      <c r="F554" s="21" t="s">
        <v>8</v>
      </c>
      <c r="G554" s="3" t="s">
        <v>1412</v>
      </c>
      <c r="H554" s="3" t="s">
        <v>7</v>
      </c>
      <c r="I554" s="3" t="s">
        <v>7</v>
      </c>
      <c r="J554" s="3" t="s">
        <v>7</v>
      </c>
      <c r="K554" s="3" t="s">
        <v>7</v>
      </c>
      <c r="L554" s="3" t="s">
        <v>7</v>
      </c>
      <c r="M554" s="2" t="s">
        <v>644</v>
      </c>
      <c r="N554" s="2" t="s">
        <v>645</v>
      </c>
      <c r="O554" s="2" t="s">
        <v>1368</v>
      </c>
      <c r="P554" s="2" t="s">
        <v>2917</v>
      </c>
      <c r="Q554" s="3" t="s">
        <v>2856</v>
      </c>
    </row>
    <row r="555" spans="1:17" hidden="1">
      <c r="A555" s="21" t="s">
        <v>2903</v>
      </c>
      <c r="B555" s="22" t="s">
        <v>1039</v>
      </c>
      <c r="C555" s="21" t="s">
        <v>2076</v>
      </c>
      <c r="D555" s="21" t="s">
        <v>147</v>
      </c>
      <c r="E555" s="21" t="s">
        <v>834</v>
      </c>
      <c r="F555" s="21" t="s">
        <v>1180</v>
      </c>
      <c r="G555" s="3" t="s">
        <v>1412</v>
      </c>
      <c r="H555" s="3" t="s">
        <v>7</v>
      </c>
      <c r="I555" s="3" t="s">
        <v>7</v>
      </c>
      <c r="J555" s="3" t="s">
        <v>7</v>
      </c>
      <c r="K555" s="3" t="s">
        <v>7</v>
      </c>
      <c r="L555" s="3" t="s">
        <v>7</v>
      </c>
      <c r="M555" s="2" t="s">
        <v>644</v>
      </c>
      <c r="N555" s="2" t="s">
        <v>645</v>
      </c>
      <c r="O555" s="2" t="s">
        <v>1368</v>
      </c>
      <c r="P555" s="2" t="s">
        <v>2917</v>
      </c>
      <c r="Q555" s="3" t="s">
        <v>2856</v>
      </c>
    </row>
    <row r="556" spans="1:17" hidden="1">
      <c r="A556" s="21" t="s">
        <v>2903</v>
      </c>
      <c r="B556" s="22" t="s">
        <v>2550</v>
      </c>
      <c r="C556" s="21" t="s">
        <v>2551</v>
      </c>
      <c r="D556" s="21" t="s">
        <v>147</v>
      </c>
      <c r="E556" s="21" t="s">
        <v>834</v>
      </c>
      <c r="F556" s="21" t="s">
        <v>1181</v>
      </c>
      <c r="G556" s="3" t="s">
        <v>2549</v>
      </c>
      <c r="H556" s="3" t="s">
        <v>3071</v>
      </c>
      <c r="I556" s="3" t="s">
        <v>7</v>
      </c>
      <c r="J556" s="3" t="s">
        <v>3071</v>
      </c>
      <c r="K556" s="3" t="s">
        <v>3071</v>
      </c>
      <c r="L556" s="3" t="s">
        <v>7</v>
      </c>
      <c r="M556" s="2" t="s">
        <v>644</v>
      </c>
      <c r="N556" s="2" t="s">
        <v>645</v>
      </c>
      <c r="O556" s="2" t="s">
        <v>1368</v>
      </c>
      <c r="P556" s="2" t="s">
        <v>2917</v>
      </c>
      <c r="Q556" s="3" t="s">
        <v>2856</v>
      </c>
    </row>
    <row r="557" spans="1:17" hidden="1">
      <c r="A557" s="21" t="s">
        <v>2903</v>
      </c>
      <c r="B557" s="22" t="s">
        <v>1038</v>
      </c>
      <c r="C557" s="21" t="s">
        <v>2075</v>
      </c>
      <c r="D557" s="21" t="s">
        <v>147</v>
      </c>
      <c r="E557" s="21" t="s">
        <v>834</v>
      </c>
      <c r="F557" s="21" t="s">
        <v>8</v>
      </c>
      <c r="G557" s="3" t="s">
        <v>1184</v>
      </c>
      <c r="H557" s="3" t="s">
        <v>7</v>
      </c>
      <c r="I557" s="3" t="s">
        <v>7</v>
      </c>
      <c r="J557" s="3" t="s">
        <v>7</v>
      </c>
      <c r="K557" s="3" t="s">
        <v>7</v>
      </c>
      <c r="L557" s="3" t="s">
        <v>7</v>
      </c>
      <c r="M557" s="2" t="s">
        <v>644</v>
      </c>
      <c r="N557" s="2" t="s">
        <v>645</v>
      </c>
      <c r="O557" s="2" t="s">
        <v>1368</v>
      </c>
      <c r="P557" s="2" t="s">
        <v>2917</v>
      </c>
      <c r="Q557" s="3" t="s">
        <v>2856</v>
      </c>
    </row>
    <row r="558" spans="1:17" hidden="1">
      <c r="A558" s="21" t="s">
        <v>2903</v>
      </c>
      <c r="B558" s="22" t="s">
        <v>1583</v>
      </c>
      <c r="C558" s="21" t="s">
        <v>2077</v>
      </c>
      <c r="D558" s="21" t="s">
        <v>147</v>
      </c>
      <c r="E558" s="21" t="s">
        <v>834</v>
      </c>
      <c r="F558" s="21" t="s">
        <v>1180</v>
      </c>
      <c r="G558" s="3" t="s">
        <v>1457</v>
      </c>
      <c r="H558" s="3" t="s">
        <v>7</v>
      </c>
      <c r="I558" s="3" t="s">
        <v>7</v>
      </c>
      <c r="J558" s="3" t="s">
        <v>7</v>
      </c>
      <c r="K558" s="3" t="s">
        <v>7</v>
      </c>
      <c r="L558" s="3" t="s">
        <v>7</v>
      </c>
      <c r="M558" s="2" t="s">
        <v>644</v>
      </c>
      <c r="N558" s="2" t="s">
        <v>645</v>
      </c>
      <c r="O558" s="2" t="s">
        <v>1368</v>
      </c>
      <c r="P558" s="2" t="s">
        <v>2917</v>
      </c>
      <c r="Q558" s="3" t="s">
        <v>2856</v>
      </c>
    </row>
    <row r="559" spans="1:17" hidden="1">
      <c r="A559" s="21" t="s">
        <v>2903</v>
      </c>
      <c r="B559" s="22" t="s">
        <v>1043</v>
      </c>
      <c r="C559" s="21" t="s">
        <v>2081</v>
      </c>
      <c r="D559" s="21" t="s">
        <v>799</v>
      </c>
      <c r="E559" s="21" t="s">
        <v>835</v>
      </c>
      <c r="F559" s="21" t="s">
        <v>1180</v>
      </c>
      <c r="G559" s="3" t="s">
        <v>1412</v>
      </c>
      <c r="H559" s="3" t="s">
        <v>7</v>
      </c>
      <c r="I559" s="3" t="s">
        <v>7</v>
      </c>
      <c r="J559" s="3" t="s">
        <v>7</v>
      </c>
      <c r="K559" s="3" t="s">
        <v>7</v>
      </c>
      <c r="L559" s="3" t="s">
        <v>7</v>
      </c>
      <c r="M559" s="2" t="s">
        <v>600</v>
      </c>
      <c r="N559" s="2" t="s">
        <v>601</v>
      </c>
      <c r="O559" s="2" t="s">
        <v>1353</v>
      </c>
      <c r="P559" s="2" t="s">
        <v>2917</v>
      </c>
      <c r="Q559" s="3" t="s">
        <v>2856</v>
      </c>
    </row>
    <row r="560" spans="1:17" hidden="1">
      <c r="A560" s="21" t="s">
        <v>2903</v>
      </c>
      <c r="B560" s="22" t="s">
        <v>1044</v>
      </c>
      <c r="C560" s="21" t="s">
        <v>2082</v>
      </c>
      <c r="D560" s="21" t="s">
        <v>799</v>
      </c>
      <c r="E560" s="21" t="s">
        <v>836</v>
      </c>
      <c r="F560" s="21" t="s">
        <v>8</v>
      </c>
      <c r="G560" s="3" t="s">
        <v>1182</v>
      </c>
      <c r="H560" s="3" t="s">
        <v>7</v>
      </c>
      <c r="I560" s="3" t="s">
        <v>7</v>
      </c>
      <c r="J560" s="3" t="s">
        <v>7</v>
      </c>
      <c r="K560" s="3" t="s">
        <v>7</v>
      </c>
      <c r="L560" s="3" t="s">
        <v>7</v>
      </c>
      <c r="M560" s="2" t="s">
        <v>578</v>
      </c>
      <c r="N560" s="2" t="s">
        <v>579</v>
      </c>
      <c r="O560" s="2" t="s">
        <v>1353</v>
      </c>
      <c r="P560" s="2" t="s">
        <v>2917</v>
      </c>
      <c r="Q560" s="3" t="s">
        <v>2856</v>
      </c>
    </row>
    <row r="561" spans="1:17" hidden="1">
      <c r="A561" s="21" t="s">
        <v>2903</v>
      </c>
      <c r="B561" s="22" t="s">
        <v>1040</v>
      </c>
      <c r="C561" s="21" t="s">
        <v>2078</v>
      </c>
      <c r="D561" s="21" t="s">
        <v>799</v>
      </c>
      <c r="E561" s="21" t="s">
        <v>835</v>
      </c>
      <c r="F561" s="21" t="s">
        <v>8</v>
      </c>
      <c r="G561" s="3" t="s">
        <v>1184</v>
      </c>
      <c r="H561" s="3" t="s">
        <v>7</v>
      </c>
      <c r="I561" s="3" t="s">
        <v>7</v>
      </c>
      <c r="J561" s="3" t="s">
        <v>7</v>
      </c>
      <c r="K561" s="3" t="s">
        <v>7</v>
      </c>
      <c r="L561" s="3" t="s">
        <v>7</v>
      </c>
      <c r="M561" s="2" t="s">
        <v>600</v>
      </c>
      <c r="N561" s="2" t="s">
        <v>601</v>
      </c>
      <c r="O561" s="2" t="s">
        <v>1353</v>
      </c>
      <c r="P561" s="2" t="s">
        <v>2917</v>
      </c>
      <c r="Q561" s="3" t="s">
        <v>2856</v>
      </c>
    </row>
    <row r="562" spans="1:17" hidden="1">
      <c r="A562" s="21" t="s">
        <v>2903</v>
      </c>
      <c r="B562" s="22" t="s">
        <v>1041</v>
      </c>
      <c r="C562" s="21" t="s">
        <v>2079</v>
      </c>
      <c r="D562" s="21" t="s">
        <v>799</v>
      </c>
      <c r="E562" s="21" t="s">
        <v>835</v>
      </c>
      <c r="F562" s="21" t="s">
        <v>1181</v>
      </c>
      <c r="G562" s="3" t="s">
        <v>1188</v>
      </c>
      <c r="H562" s="3" t="s">
        <v>3071</v>
      </c>
      <c r="I562" s="3" t="s">
        <v>7</v>
      </c>
      <c r="J562" s="3" t="s">
        <v>3071</v>
      </c>
      <c r="K562" s="3" t="s">
        <v>3071</v>
      </c>
      <c r="L562" s="3" t="s">
        <v>7</v>
      </c>
      <c r="M562" s="2" t="s">
        <v>600</v>
      </c>
      <c r="N562" s="2" t="s">
        <v>601</v>
      </c>
      <c r="O562" s="2" t="s">
        <v>1353</v>
      </c>
      <c r="P562" s="2" t="s">
        <v>2917</v>
      </c>
      <c r="Q562" s="3" t="s">
        <v>2856</v>
      </c>
    </row>
    <row r="563" spans="1:17" hidden="1">
      <c r="A563" s="21" t="s">
        <v>2903</v>
      </c>
      <c r="B563" s="22" t="s">
        <v>1046</v>
      </c>
      <c r="C563" s="21" t="s">
        <v>2084</v>
      </c>
      <c r="D563" s="21" t="s">
        <v>799</v>
      </c>
      <c r="E563" s="21" t="s">
        <v>836</v>
      </c>
      <c r="F563" s="21" t="s">
        <v>1180</v>
      </c>
      <c r="G563" s="3" t="s">
        <v>1412</v>
      </c>
      <c r="H563" s="3" t="s">
        <v>7</v>
      </c>
      <c r="I563" s="3" t="s">
        <v>7</v>
      </c>
      <c r="J563" s="3" t="s">
        <v>7</v>
      </c>
      <c r="K563" s="3" t="s">
        <v>7</v>
      </c>
      <c r="L563" s="3" t="s">
        <v>7</v>
      </c>
      <c r="M563" s="2" t="s">
        <v>578</v>
      </c>
      <c r="N563" s="2" t="s">
        <v>579</v>
      </c>
      <c r="O563" s="2" t="s">
        <v>1353</v>
      </c>
      <c r="P563" s="2" t="s">
        <v>2917</v>
      </c>
      <c r="Q563" s="3" t="s">
        <v>2856</v>
      </c>
    </row>
    <row r="564" spans="1:17" hidden="1">
      <c r="A564" s="21" t="s">
        <v>2903</v>
      </c>
      <c r="B564" s="22" t="s">
        <v>1045</v>
      </c>
      <c r="C564" s="21" t="s">
        <v>2083</v>
      </c>
      <c r="D564" s="21" t="s">
        <v>799</v>
      </c>
      <c r="E564" s="21" t="s">
        <v>836</v>
      </c>
      <c r="F564" s="21" t="s">
        <v>1181</v>
      </c>
      <c r="G564" s="3" t="s">
        <v>1188</v>
      </c>
      <c r="H564" s="3" t="s">
        <v>3071</v>
      </c>
      <c r="I564" s="3" t="s">
        <v>7</v>
      </c>
      <c r="J564" s="3" t="s">
        <v>3071</v>
      </c>
      <c r="K564" s="3" t="s">
        <v>3071</v>
      </c>
      <c r="L564" s="3" t="s">
        <v>7</v>
      </c>
      <c r="M564" s="2" t="s">
        <v>578</v>
      </c>
      <c r="N564" s="2" t="s">
        <v>579</v>
      </c>
      <c r="O564" s="2" t="s">
        <v>1353</v>
      </c>
      <c r="P564" s="2" t="s">
        <v>2917</v>
      </c>
      <c r="Q564" s="3" t="s">
        <v>2856</v>
      </c>
    </row>
    <row r="565" spans="1:17" hidden="1">
      <c r="A565" s="21" t="s">
        <v>2903</v>
      </c>
      <c r="B565" s="22" t="s">
        <v>1042</v>
      </c>
      <c r="C565" s="21" t="s">
        <v>2080</v>
      </c>
      <c r="D565" s="21" t="s">
        <v>799</v>
      </c>
      <c r="E565" s="21" t="s">
        <v>835</v>
      </c>
      <c r="F565" s="21" t="s">
        <v>1181</v>
      </c>
      <c r="G565" s="3" t="s">
        <v>1187</v>
      </c>
      <c r="H565" s="3" t="s">
        <v>3071</v>
      </c>
      <c r="I565" s="3" t="s">
        <v>7</v>
      </c>
      <c r="J565" s="3" t="s">
        <v>3071</v>
      </c>
      <c r="K565" s="3" t="s">
        <v>3071</v>
      </c>
      <c r="L565" s="3" t="s">
        <v>7</v>
      </c>
      <c r="M565" s="2" t="s">
        <v>600</v>
      </c>
      <c r="N565" s="2" t="s">
        <v>601</v>
      </c>
      <c r="O565" s="2" t="s">
        <v>1353</v>
      </c>
      <c r="P565" s="2" t="s">
        <v>2917</v>
      </c>
      <c r="Q565" s="3" t="s">
        <v>2856</v>
      </c>
    </row>
    <row r="566" spans="1:17" hidden="1">
      <c r="A566" s="21">
        <v>0</v>
      </c>
      <c r="B566" s="22" t="s">
        <v>3308</v>
      </c>
      <c r="C566" s="21" t="s">
        <v>2085</v>
      </c>
      <c r="D566" s="21" t="s">
        <v>148</v>
      </c>
      <c r="E566" s="21" t="s">
        <v>3309</v>
      </c>
      <c r="F566" s="21" t="s">
        <v>1192</v>
      </c>
      <c r="G566" s="3" t="s">
        <v>1449</v>
      </c>
      <c r="H566" s="3" t="s">
        <v>7</v>
      </c>
      <c r="I566" s="3" t="s">
        <v>7</v>
      </c>
      <c r="J566" s="3" t="s">
        <v>7</v>
      </c>
      <c r="K566" s="3" t="s">
        <v>7</v>
      </c>
      <c r="L566" s="3" t="s">
        <v>7</v>
      </c>
      <c r="M566" s="2" t="s">
        <v>346</v>
      </c>
      <c r="N566" s="2" t="s">
        <v>3309</v>
      </c>
      <c r="O566" s="2">
        <v>0</v>
      </c>
      <c r="P566" s="2">
        <v>0</v>
      </c>
      <c r="Q566" s="3" t="s">
        <v>3199</v>
      </c>
    </row>
    <row r="567" spans="1:17" hidden="1">
      <c r="A567" s="21" t="s">
        <v>2946</v>
      </c>
      <c r="B567" s="22" t="s">
        <v>1584</v>
      </c>
      <c r="C567" s="21" t="s">
        <v>2086</v>
      </c>
      <c r="D567" s="21" t="s">
        <v>148</v>
      </c>
      <c r="E567" s="21" t="s">
        <v>1211</v>
      </c>
      <c r="F567" s="21" t="s">
        <v>1181</v>
      </c>
      <c r="G567" s="3" t="s">
        <v>1457</v>
      </c>
      <c r="H567" s="3" t="s">
        <v>3071</v>
      </c>
      <c r="I567" s="3" t="s">
        <v>7</v>
      </c>
      <c r="J567" s="3" t="s">
        <v>3071</v>
      </c>
      <c r="K567" s="3" t="s">
        <v>3071</v>
      </c>
      <c r="L567" s="3" t="s">
        <v>7</v>
      </c>
      <c r="M567" s="2" t="s">
        <v>392</v>
      </c>
      <c r="N567" s="2" t="s">
        <v>393</v>
      </c>
      <c r="O567" s="2" t="s">
        <v>1404</v>
      </c>
      <c r="P567" s="2" t="s">
        <v>2956</v>
      </c>
      <c r="Q567" s="3" t="s">
        <v>2856</v>
      </c>
    </row>
    <row r="568" spans="1:17" hidden="1">
      <c r="A568" s="21" t="s">
        <v>2946</v>
      </c>
      <c r="B568" s="22" t="s">
        <v>1047</v>
      </c>
      <c r="C568" s="21" t="s">
        <v>2087</v>
      </c>
      <c r="D568" s="21" t="s">
        <v>148</v>
      </c>
      <c r="E568" s="21" t="s">
        <v>1211</v>
      </c>
      <c r="F568" s="21" t="s">
        <v>1180</v>
      </c>
      <c r="G568" s="3" t="s">
        <v>1412</v>
      </c>
      <c r="H568" s="3" t="s">
        <v>7</v>
      </c>
      <c r="I568" s="3" t="s">
        <v>7</v>
      </c>
      <c r="J568" s="3" t="s">
        <v>7</v>
      </c>
      <c r="K568" s="3" t="s">
        <v>7</v>
      </c>
      <c r="L568" s="3" t="s">
        <v>7</v>
      </c>
      <c r="M568" s="2" t="s">
        <v>392</v>
      </c>
      <c r="N568" s="2" t="s">
        <v>393</v>
      </c>
      <c r="O568" s="2" t="s">
        <v>1404</v>
      </c>
      <c r="P568" s="2" t="s">
        <v>2956</v>
      </c>
      <c r="Q568" s="3" t="s">
        <v>2856</v>
      </c>
    </row>
    <row r="569" spans="1:17" hidden="1">
      <c r="A569" s="21" t="s">
        <v>2946</v>
      </c>
      <c r="B569" s="22" t="s">
        <v>1585</v>
      </c>
      <c r="C569" s="21" t="s">
        <v>2088</v>
      </c>
      <c r="D569" s="21" t="s">
        <v>148</v>
      </c>
      <c r="E569" s="21" t="s">
        <v>1211</v>
      </c>
      <c r="F569" s="21" t="s">
        <v>1180</v>
      </c>
      <c r="G569" s="3" t="s">
        <v>1416</v>
      </c>
      <c r="H569" s="3" t="s">
        <v>7</v>
      </c>
      <c r="I569" s="3" t="s">
        <v>7</v>
      </c>
      <c r="J569" s="3" t="s">
        <v>7</v>
      </c>
      <c r="K569" s="3" t="s">
        <v>7</v>
      </c>
      <c r="L569" s="3" t="s">
        <v>7</v>
      </c>
      <c r="M569" s="2" t="s">
        <v>392</v>
      </c>
      <c r="N569" s="2" t="s">
        <v>393</v>
      </c>
      <c r="O569" s="2" t="s">
        <v>1404</v>
      </c>
      <c r="P569" s="2" t="s">
        <v>2956</v>
      </c>
      <c r="Q569" s="3" t="s">
        <v>2856</v>
      </c>
    </row>
    <row r="570" spans="1:17" hidden="1">
      <c r="A570" s="21" t="s">
        <v>2946</v>
      </c>
      <c r="B570" s="22" t="s">
        <v>2527</v>
      </c>
      <c r="C570" s="21" t="s">
        <v>2085</v>
      </c>
      <c r="D570" s="21" t="s">
        <v>148</v>
      </c>
      <c r="E570" s="21" t="s">
        <v>1211</v>
      </c>
      <c r="F570" s="21" t="s">
        <v>1192</v>
      </c>
      <c r="G570" s="3" t="s">
        <v>1435</v>
      </c>
      <c r="H570" s="3" t="s">
        <v>55</v>
      </c>
      <c r="I570" s="3" t="s">
        <v>55</v>
      </c>
      <c r="J570" s="3" t="s">
        <v>55</v>
      </c>
      <c r="K570" s="3" t="s">
        <v>55</v>
      </c>
      <c r="L570" s="3" t="s">
        <v>55</v>
      </c>
      <c r="M570" s="2" t="s">
        <v>392</v>
      </c>
      <c r="N570" s="2" t="s">
        <v>393</v>
      </c>
      <c r="O570" s="2" t="s">
        <v>1404</v>
      </c>
      <c r="P570" s="2" t="s">
        <v>2956</v>
      </c>
      <c r="Q570" s="3" t="s">
        <v>2856</v>
      </c>
    </row>
    <row r="571" spans="1:17" hidden="1">
      <c r="A571" s="21" t="s">
        <v>2876</v>
      </c>
      <c r="B571" s="22" t="s">
        <v>2090</v>
      </c>
      <c r="C571" s="21" t="s">
        <v>2091</v>
      </c>
      <c r="D571" s="21" t="s">
        <v>149</v>
      </c>
      <c r="E571" s="21" t="s">
        <v>1644</v>
      </c>
      <c r="F571" s="21" t="s">
        <v>1180</v>
      </c>
      <c r="G571" s="3" t="s">
        <v>1419</v>
      </c>
      <c r="H571" s="3" t="s">
        <v>7</v>
      </c>
      <c r="I571" s="3" t="s">
        <v>7</v>
      </c>
      <c r="J571" s="3" t="s">
        <v>7</v>
      </c>
      <c r="K571" s="3" t="s">
        <v>7</v>
      </c>
      <c r="L571" s="3" t="s">
        <v>7</v>
      </c>
      <c r="M571" s="2" t="s">
        <v>438</v>
      </c>
      <c r="N571" s="2" t="s">
        <v>439</v>
      </c>
      <c r="O571" s="2" t="s">
        <v>1298</v>
      </c>
      <c r="P571" s="2" t="s">
        <v>2878</v>
      </c>
      <c r="Q571" s="3" t="s">
        <v>2856</v>
      </c>
    </row>
    <row r="572" spans="1:17" hidden="1">
      <c r="A572" s="21" t="s">
        <v>2876</v>
      </c>
      <c r="B572" s="22" t="s">
        <v>1586</v>
      </c>
      <c r="C572" s="21" t="s">
        <v>2094</v>
      </c>
      <c r="D572" s="21" t="s">
        <v>149</v>
      </c>
      <c r="E572" s="21" t="s">
        <v>1587</v>
      </c>
      <c r="F572" s="21" t="s">
        <v>1180</v>
      </c>
      <c r="G572" s="3" t="s">
        <v>1424</v>
      </c>
      <c r="H572" s="3" t="s">
        <v>7</v>
      </c>
      <c r="I572" s="3" t="s">
        <v>7</v>
      </c>
      <c r="J572" s="3" t="s">
        <v>7</v>
      </c>
      <c r="K572" s="3" t="s">
        <v>7</v>
      </c>
      <c r="L572" s="3" t="s">
        <v>7</v>
      </c>
      <c r="M572" s="2" t="s">
        <v>460</v>
      </c>
      <c r="N572" s="2" t="s">
        <v>461</v>
      </c>
      <c r="O572" s="2" t="s">
        <v>1298</v>
      </c>
      <c r="P572" s="2" t="s">
        <v>2878</v>
      </c>
      <c r="Q572" s="3" t="s">
        <v>2856</v>
      </c>
    </row>
    <row r="573" spans="1:17" hidden="1">
      <c r="A573" s="21" t="s">
        <v>2876</v>
      </c>
      <c r="B573" s="22" t="s">
        <v>2092</v>
      </c>
      <c r="C573" s="21" t="s">
        <v>2093</v>
      </c>
      <c r="D573" s="21" t="s">
        <v>149</v>
      </c>
      <c r="E573" s="21" t="s">
        <v>1587</v>
      </c>
      <c r="F573" s="21" t="s">
        <v>1192</v>
      </c>
      <c r="G573" s="3" t="s">
        <v>1430</v>
      </c>
      <c r="H573" s="3" t="s">
        <v>7</v>
      </c>
      <c r="I573" s="3" t="s">
        <v>7</v>
      </c>
      <c r="J573" s="3" t="s">
        <v>7</v>
      </c>
      <c r="K573" s="3" t="s">
        <v>7</v>
      </c>
      <c r="L573" s="3" t="s">
        <v>7</v>
      </c>
      <c r="M573" s="2" t="s">
        <v>460</v>
      </c>
      <c r="N573" s="2" t="s">
        <v>461</v>
      </c>
      <c r="O573" s="2" t="s">
        <v>1298</v>
      </c>
      <c r="P573" s="2" t="s">
        <v>2878</v>
      </c>
      <c r="Q573" s="3" t="s">
        <v>2856</v>
      </c>
    </row>
    <row r="574" spans="1:17" hidden="1">
      <c r="A574" s="21" t="s">
        <v>2876</v>
      </c>
      <c r="B574" s="22" t="s">
        <v>1051</v>
      </c>
      <c r="C574" s="21" t="s">
        <v>1656</v>
      </c>
      <c r="D574" s="21" t="s">
        <v>149</v>
      </c>
      <c r="E574" s="21" t="s">
        <v>152</v>
      </c>
      <c r="F574" s="21" t="s">
        <v>1192</v>
      </c>
      <c r="G574" s="3" t="s">
        <v>1412</v>
      </c>
      <c r="H574" s="3" t="s">
        <v>7</v>
      </c>
      <c r="I574" s="3" t="s">
        <v>7</v>
      </c>
      <c r="J574" s="3" t="s">
        <v>7</v>
      </c>
      <c r="K574" s="3" t="s">
        <v>7</v>
      </c>
      <c r="L574" s="3" t="s">
        <v>7</v>
      </c>
      <c r="M574" s="2" t="s">
        <v>522</v>
      </c>
      <c r="N574" s="2" t="s">
        <v>523</v>
      </c>
      <c r="O574" s="2" t="s">
        <v>1298</v>
      </c>
      <c r="P574" s="2" t="s">
        <v>2878</v>
      </c>
      <c r="Q574" s="3" t="s">
        <v>2856</v>
      </c>
    </row>
    <row r="575" spans="1:17" hidden="1">
      <c r="A575" s="21" t="s">
        <v>2876</v>
      </c>
      <c r="B575" s="22" t="s">
        <v>1050</v>
      </c>
      <c r="C575" s="21" t="s">
        <v>1653</v>
      </c>
      <c r="D575" s="21" t="s">
        <v>149</v>
      </c>
      <c r="E575" s="21" t="s">
        <v>151</v>
      </c>
      <c r="F575" s="21" t="s">
        <v>1180</v>
      </c>
      <c r="G575" s="3" t="s">
        <v>1184</v>
      </c>
      <c r="H575" s="3" t="s">
        <v>7</v>
      </c>
      <c r="I575" s="3" t="s">
        <v>7</v>
      </c>
      <c r="J575" s="3" t="s">
        <v>7</v>
      </c>
      <c r="K575" s="3" t="s">
        <v>7</v>
      </c>
      <c r="L575" s="3" t="s">
        <v>7</v>
      </c>
      <c r="M575" s="18" t="s">
        <v>510</v>
      </c>
      <c r="N575" s="18" t="s">
        <v>511</v>
      </c>
      <c r="O575" s="18" t="s">
        <v>1298</v>
      </c>
      <c r="P575" s="18" t="s">
        <v>2878</v>
      </c>
      <c r="Q575" s="3" t="s">
        <v>2856</v>
      </c>
    </row>
    <row r="576" spans="1:17" hidden="1">
      <c r="A576" s="21" t="s">
        <v>2876</v>
      </c>
      <c r="B576" s="22" t="s">
        <v>1052</v>
      </c>
      <c r="C576" s="21" t="s">
        <v>1657</v>
      </c>
      <c r="D576" s="21" t="s">
        <v>149</v>
      </c>
      <c r="E576" s="21" t="s">
        <v>152</v>
      </c>
      <c r="F576" s="21" t="s">
        <v>1180</v>
      </c>
      <c r="G576" s="3" t="s">
        <v>1185</v>
      </c>
      <c r="H576" s="3" t="s">
        <v>7</v>
      </c>
      <c r="I576" s="3" t="s">
        <v>7</v>
      </c>
      <c r="J576" s="3" t="s">
        <v>7</v>
      </c>
      <c r="K576" s="3" t="s">
        <v>7</v>
      </c>
      <c r="L576" s="3" t="s">
        <v>7</v>
      </c>
      <c r="M576" s="2" t="s">
        <v>522</v>
      </c>
      <c r="N576" s="2" t="s">
        <v>523</v>
      </c>
      <c r="O576" s="2" t="s">
        <v>1298</v>
      </c>
      <c r="P576" s="2" t="s">
        <v>2878</v>
      </c>
      <c r="Q576" s="3" t="s">
        <v>2856</v>
      </c>
    </row>
    <row r="577" spans="1:17" hidden="1">
      <c r="A577" s="21" t="s">
        <v>2876</v>
      </c>
      <c r="B577" s="22" t="s">
        <v>1048</v>
      </c>
      <c r="C577" s="21" t="s">
        <v>1638</v>
      </c>
      <c r="D577" s="21" t="s">
        <v>149</v>
      </c>
      <c r="E577" s="21" t="s">
        <v>150</v>
      </c>
      <c r="F577" s="21" t="s">
        <v>1180</v>
      </c>
      <c r="G577" s="3" t="s">
        <v>1187</v>
      </c>
      <c r="H577" s="3" t="s">
        <v>7</v>
      </c>
      <c r="I577" s="3" t="s">
        <v>7</v>
      </c>
      <c r="J577" s="3" t="s">
        <v>7</v>
      </c>
      <c r="K577" s="3" t="s">
        <v>7</v>
      </c>
      <c r="L577" s="3" t="s">
        <v>7</v>
      </c>
      <c r="M577" s="2" t="s">
        <v>426</v>
      </c>
      <c r="N577" s="2" t="s">
        <v>427</v>
      </c>
      <c r="O577" s="2" t="s">
        <v>1298</v>
      </c>
      <c r="P577" s="2" t="s">
        <v>2878</v>
      </c>
      <c r="Q577" s="3" t="s">
        <v>2856</v>
      </c>
    </row>
    <row r="578" spans="1:17" hidden="1">
      <c r="A578" s="21" t="s">
        <v>2876</v>
      </c>
      <c r="B578" s="22" t="s">
        <v>1639</v>
      </c>
      <c r="C578" s="21" t="s">
        <v>1640</v>
      </c>
      <c r="D578" s="21" t="s">
        <v>149</v>
      </c>
      <c r="E578" s="21" t="s">
        <v>150</v>
      </c>
      <c r="F578" s="21" t="s">
        <v>1180</v>
      </c>
      <c r="G578" s="3" t="s">
        <v>1189</v>
      </c>
      <c r="H578" s="3" t="s">
        <v>7</v>
      </c>
      <c r="I578" s="3" t="s">
        <v>7</v>
      </c>
      <c r="J578" s="3" t="s">
        <v>7</v>
      </c>
      <c r="K578" s="3" t="s">
        <v>7</v>
      </c>
      <c r="L578" s="3" t="s">
        <v>7</v>
      </c>
      <c r="M578" s="2" t="s">
        <v>426</v>
      </c>
      <c r="N578" s="2" t="s">
        <v>427</v>
      </c>
      <c r="O578" s="2" t="s">
        <v>1298</v>
      </c>
      <c r="P578" s="2" t="s">
        <v>2878</v>
      </c>
      <c r="Q578" s="3" t="s">
        <v>2856</v>
      </c>
    </row>
    <row r="579" spans="1:17" hidden="1">
      <c r="A579" s="21" t="s">
        <v>2876</v>
      </c>
      <c r="B579" s="22" t="s">
        <v>1647</v>
      </c>
      <c r="C579" s="21" t="s">
        <v>1648</v>
      </c>
      <c r="D579" s="21" t="s">
        <v>149</v>
      </c>
      <c r="E579" s="21" t="s">
        <v>1587</v>
      </c>
      <c r="F579" s="21" t="s">
        <v>1181</v>
      </c>
      <c r="G579" s="3" t="s">
        <v>1185</v>
      </c>
      <c r="H579" s="3" t="s">
        <v>3071</v>
      </c>
      <c r="I579" s="3" t="s">
        <v>7</v>
      </c>
      <c r="J579" s="3" t="s">
        <v>3071</v>
      </c>
      <c r="K579" s="3" t="s">
        <v>3071</v>
      </c>
      <c r="L579" s="3" t="s">
        <v>7</v>
      </c>
      <c r="M579" s="2" t="s">
        <v>460</v>
      </c>
      <c r="N579" s="2" t="s">
        <v>461</v>
      </c>
      <c r="O579" s="2" t="s">
        <v>1298</v>
      </c>
      <c r="P579" s="2" t="s">
        <v>2878</v>
      </c>
      <c r="Q579" s="3" t="s">
        <v>2856</v>
      </c>
    </row>
    <row r="580" spans="1:17" hidden="1">
      <c r="A580" s="21" t="s">
        <v>2876</v>
      </c>
      <c r="B580" s="22" t="s">
        <v>1645</v>
      </c>
      <c r="C580" s="21" t="s">
        <v>1646</v>
      </c>
      <c r="D580" s="21" t="s">
        <v>149</v>
      </c>
      <c r="E580" s="21" t="s">
        <v>1644</v>
      </c>
      <c r="F580" s="21" t="s">
        <v>1180</v>
      </c>
      <c r="G580" s="3" t="s">
        <v>1185</v>
      </c>
      <c r="H580" s="3" t="s">
        <v>7</v>
      </c>
      <c r="I580" s="3" t="s">
        <v>7</v>
      </c>
      <c r="J580" s="3" t="s">
        <v>7</v>
      </c>
      <c r="K580" s="3" t="s">
        <v>7</v>
      </c>
      <c r="L580" s="3" t="s">
        <v>7</v>
      </c>
      <c r="M580" s="2" t="s">
        <v>438</v>
      </c>
      <c r="N580" s="2" t="s">
        <v>439</v>
      </c>
      <c r="O580" s="2" t="s">
        <v>1298</v>
      </c>
      <c r="P580" s="2" t="s">
        <v>2878</v>
      </c>
      <c r="Q580" s="3" t="s">
        <v>2856</v>
      </c>
    </row>
    <row r="581" spans="1:17" hidden="1">
      <c r="A581" s="21" t="s">
        <v>2876</v>
      </c>
      <c r="B581" s="22" t="s">
        <v>1049</v>
      </c>
      <c r="C581" s="21" t="s">
        <v>1641</v>
      </c>
      <c r="D581" s="21" t="s">
        <v>149</v>
      </c>
      <c r="E581" s="21" t="s">
        <v>150</v>
      </c>
      <c r="F581" s="21" t="s">
        <v>1180</v>
      </c>
      <c r="G581" s="3" t="s">
        <v>1189</v>
      </c>
      <c r="H581" s="3" t="s">
        <v>7</v>
      </c>
      <c r="I581" s="3" t="s">
        <v>7</v>
      </c>
      <c r="J581" s="3" t="s">
        <v>7</v>
      </c>
      <c r="K581" s="3" t="s">
        <v>7</v>
      </c>
      <c r="L581" s="3" t="s">
        <v>7</v>
      </c>
      <c r="M581" s="2" t="s">
        <v>426</v>
      </c>
      <c r="N581" s="2" t="s">
        <v>427</v>
      </c>
      <c r="O581" s="2" t="s">
        <v>1298</v>
      </c>
      <c r="P581" s="2" t="s">
        <v>2878</v>
      </c>
      <c r="Q581" s="3" t="s">
        <v>2856</v>
      </c>
    </row>
    <row r="582" spans="1:17" hidden="1">
      <c r="A582" s="21" t="s">
        <v>2876</v>
      </c>
      <c r="B582" s="22" t="s">
        <v>3310</v>
      </c>
      <c r="C582" s="21" t="s">
        <v>3311</v>
      </c>
      <c r="D582" s="21" t="s">
        <v>149</v>
      </c>
      <c r="E582" s="21" t="s">
        <v>150</v>
      </c>
      <c r="F582" s="21" t="s">
        <v>1637</v>
      </c>
      <c r="G582" s="3" t="s">
        <v>1185</v>
      </c>
      <c r="H582" s="3" t="s">
        <v>3071</v>
      </c>
      <c r="I582" s="3" t="s">
        <v>3071</v>
      </c>
      <c r="J582" s="3" t="s">
        <v>3071</v>
      </c>
      <c r="K582" s="3" t="s">
        <v>3071</v>
      </c>
      <c r="L582" s="3" t="s">
        <v>7</v>
      </c>
      <c r="M582" s="2" t="s">
        <v>426</v>
      </c>
      <c r="N582" s="2" t="s">
        <v>427</v>
      </c>
      <c r="O582" s="2" t="s">
        <v>1298</v>
      </c>
      <c r="P582" s="2" t="s">
        <v>2878</v>
      </c>
      <c r="Q582" s="3" t="s">
        <v>2856</v>
      </c>
    </row>
    <row r="583" spans="1:17" hidden="1">
      <c r="A583" s="21" t="s">
        <v>2876</v>
      </c>
      <c r="B583" s="22" t="s">
        <v>1651</v>
      </c>
      <c r="C583" s="21" t="s">
        <v>1652</v>
      </c>
      <c r="D583" s="21" t="s">
        <v>149</v>
      </c>
      <c r="E583" s="21" t="s">
        <v>151</v>
      </c>
      <c r="F583" s="21" t="s">
        <v>1637</v>
      </c>
      <c r="G583" s="3" t="s">
        <v>1189</v>
      </c>
      <c r="H583" s="3" t="s">
        <v>3071</v>
      </c>
      <c r="I583" s="3" t="s">
        <v>3071</v>
      </c>
      <c r="J583" s="3" t="s">
        <v>3071</v>
      </c>
      <c r="K583" s="3" t="s">
        <v>3071</v>
      </c>
      <c r="L583" s="3" t="s">
        <v>7</v>
      </c>
      <c r="M583" s="2" t="s">
        <v>510</v>
      </c>
      <c r="N583" s="2" t="s">
        <v>511</v>
      </c>
      <c r="O583" s="2" t="s">
        <v>1298</v>
      </c>
      <c r="P583" s="2" t="s">
        <v>2878</v>
      </c>
      <c r="Q583" s="3" t="s">
        <v>2856</v>
      </c>
    </row>
    <row r="584" spans="1:17" hidden="1">
      <c r="A584" s="21" t="s">
        <v>2876</v>
      </c>
      <c r="B584" s="22" t="s">
        <v>1649</v>
      </c>
      <c r="C584" s="21" t="s">
        <v>1650</v>
      </c>
      <c r="D584" s="21" t="s">
        <v>149</v>
      </c>
      <c r="E584" s="21" t="s">
        <v>151</v>
      </c>
      <c r="F584" s="21" t="s">
        <v>1192</v>
      </c>
      <c r="G584" s="3" t="s">
        <v>1187</v>
      </c>
      <c r="H584" s="3" t="s">
        <v>7</v>
      </c>
      <c r="I584" s="3" t="s">
        <v>7</v>
      </c>
      <c r="J584" s="3" t="s">
        <v>7</v>
      </c>
      <c r="K584" s="3" t="s">
        <v>7</v>
      </c>
      <c r="L584" s="3" t="s">
        <v>7</v>
      </c>
      <c r="M584" s="2" t="s">
        <v>510</v>
      </c>
      <c r="N584" s="2" t="s">
        <v>511</v>
      </c>
      <c r="O584" s="2" t="s">
        <v>1298</v>
      </c>
      <c r="P584" s="2" t="s">
        <v>2878</v>
      </c>
      <c r="Q584" s="3" t="s">
        <v>2856</v>
      </c>
    </row>
    <row r="585" spans="1:17" hidden="1">
      <c r="A585" s="21" t="s">
        <v>2876</v>
      </c>
      <c r="B585" s="22" t="s">
        <v>1654</v>
      </c>
      <c r="C585" s="21" t="s">
        <v>1655</v>
      </c>
      <c r="D585" s="21" t="s">
        <v>149</v>
      </c>
      <c r="E585" s="21" t="s">
        <v>151</v>
      </c>
      <c r="F585" s="21" t="s">
        <v>1180</v>
      </c>
      <c r="G585" s="3" t="s">
        <v>1198</v>
      </c>
      <c r="H585" s="3" t="s">
        <v>7</v>
      </c>
      <c r="I585" s="3" t="s">
        <v>7</v>
      </c>
      <c r="J585" s="3" t="s">
        <v>7</v>
      </c>
      <c r="K585" s="3" t="s">
        <v>7</v>
      </c>
      <c r="L585" s="3" t="s">
        <v>7</v>
      </c>
      <c r="M585" s="2" t="s">
        <v>510</v>
      </c>
      <c r="N585" s="2" t="s">
        <v>511</v>
      </c>
      <c r="O585" s="2" t="s">
        <v>1298</v>
      </c>
      <c r="P585" s="2" t="s">
        <v>2878</v>
      </c>
      <c r="Q585" s="3" t="s">
        <v>2856</v>
      </c>
    </row>
    <row r="586" spans="1:17" hidden="1">
      <c r="A586" s="21" t="s">
        <v>2876</v>
      </c>
      <c r="B586" s="22" t="s">
        <v>1642</v>
      </c>
      <c r="C586" s="21" t="s">
        <v>1643</v>
      </c>
      <c r="D586" s="21" t="s">
        <v>149</v>
      </c>
      <c r="E586" s="21" t="s">
        <v>1644</v>
      </c>
      <c r="F586" s="21" t="s">
        <v>1192</v>
      </c>
      <c r="G586" s="3" t="s">
        <v>1198</v>
      </c>
      <c r="H586" s="3" t="s">
        <v>7</v>
      </c>
      <c r="I586" s="3" t="s">
        <v>7</v>
      </c>
      <c r="J586" s="3" t="s">
        <v>7</v>
      </c>
      <c r="K586" s="3" t="s">
        <v>7</v>
      </c>
      <c r="L586" s="3" t="s">
        <v>7</v>
      </c>
      <c r="M586" s="2" t="s">
        <v>438</v>
      </c>
      <c r="N586" s="2" t="s">
        <v>439</v>
      </c>
      <c r="O586" s="2" t="s">
        <v>1298</v>
      </c>
      <c r="P586" s="2" t="s">
        <v>2878</v>
      </c>
      <c r="Q586" s="3" t="s">
        <v>2856</v>
      </c>
    </row>
    <row r="587" spans="1:17" hidden="1">
      <c r="A587" s="21" t="s">
        <v>2876</v>
      </c>
      <c r="B587" s="22" t="s">
        <v>2805</v>
      </c>
      <c r="C587" s="21" t="s">
        <v>2806</v>
      </c>
      <c r="D587" s="21" t="s">
        <v>149</v>
      </c>
      <c r="E587" s="21" t="s">
        <v>152</v>
      </c>
      <c r="F587" s="21" t="s">
        <v>1192</v>
      </c>
      <c r="G587" s="3" t="s">
        <v>2559</v>
      </c>
      <c r="H587" s="3" t="s">
        <v>7</v>
      </c>
      <c r="I587" s="3" t="s">
        <v>7</v>
      </c>
      <c r="J587" s="3" t="s">
        <v>7</v>
      </c>
      <c r="K587" s="3" t="s">
        <v>7</v>
      </c>
      <c r="L587" s="3" t="s">
        <v>7</v>
      </c>
      <c r="M587" s="2" t="s">
        <v>522</v>
      </c>
      <c r="N587" s="2" t="s">
        <v>523</v>
      </c>
      <c r="O587" s="2" t="s">
        <v>1298</v>
      </c>
      <c r="P587" s="2" t="s">
        <v>2878</v>
      </c>
      <c r="Q587" s="3" t="s">
        <v>2856</v>
      </c>
    </row>
    <row r="588" spans="1:17" hidden="1">
      <c r="A588" s="21" t="s">
        <v>2876</v>
      </c>
      <c r="B588" s="22" t="s">
        <v>2809</v>
      </c>
      <c r="C588" s="21" t="s">
        <v>2810</v>
      </c>
      <c r="D588" s="21" t="s">
        <v>149</v>
      </c>
      <c r="E588" s="21" t="s">
        <v>2808</v>
      </c>
      <c r="F588" s="21" t="s">
        <v>1180</v>
      </c>
      <c r="G588" s="3" t="s">
        <v>2559</v>
      </c>
      <c r="H588" s="3" t="s">
        <v>7</v>
      </c>
      <c r="I588" s="3" t="s">
        <v>7</v>
      </c>
      <c r="J588" s="3" t="s">
        <v>7</v>
      </c>
      <c r="K588" s="3" t="s">
        <v>7</v>
      </c>
      <c r="L588" s="3" t="s">
        <v>7</v>
      </c>
      <c r="M588" s="2" t="s">
        <v>2850</v>
      </c>
      <c r="N588" s="2" t="s">
        <v>2879</v>
      </c>
      <c r="O588" s="2" t="s">
        <v>1298</v>
      </c>
      <c r="P588" s="2" t="s">
        <v>2878</v>
      </c>
      <c r="Q588" s="3" t="s">
        <v>2856</v>
      </c>
    </row>
    <row r="589" spans="1:17" hidden="1">
      <c r="A589" s="21" t="s">
        <v>2876</v>
      </c>
      <c r="B589" s="22" t="s">
        <v>2811</v>
      </c>
      <c r="C589" s="21" t="s">
        <v>2812</v>
      </c>
      <c r="D589" s="21" t="s">
        <v>149</v>
      </c>
      <c r="E589" s="21" t="s">
        <v>2808</v>
      </c>
      <c r="F589" s="21" t="s">
        <v>1180</v>
      </c>
      <c r="G589" s="3" t="s">
        <v>1179</v>
      </c>
      <c r="H589" s="3" t="s">
        <v>7</v>
      </c>
      <c r="I589" s="3" t="s">
        <v>7</v>
      </c>
      <c r="J589" s="3" t="s">
        <v>7</v>
      </c>
      <c r="K589" s="3" t="s">
        <v>7</v>
      </c>
      <c r="L589" s="3" t="s">
        <v>7</v>
      </c>
      <c r="M589" s="2" t="s">
        <v>2850</v>
      </c>
      <c r="N589" s="2" t="s">
        <v>2879</v>
      </c>
      <c r="O589" s="2" t="s">
        <v>1298</v>
      </c>
      <c r="P589" s="2" t="s">
        <v>2878</v>
      </c>
      <c r="Q589" s="3" t="s">
        <v>2856</v>
      </c>
    </row>
    <row r="590" spans="1:17" hidden="1">
      <c r="A590" s="21" t="s">
        <v>2876</v>
      </c>
      <c r="B590" s="22" t="s">
        <v>2807</v>
      </c>
      <c r="C590" s="21" t="s">
        <v>2089</v>
      </c>
      <c r="D590" s="21" t="s">
        <v>149</v>
      </c>
      <c r="E590" s="21" t="s">
        <v>2808</v>
      </c>
      <c r="F590" s="21" t="s">
        <v>1192</v>
      </c>
      <c r="G590" s="3" t="s">
        <v>2548</v>
      </c>
      <c r="H590" s="3" t="s">
        <v>7</v>
      </c>
      <c r="I590" s="3" t="s">
        <v>7</v>
      </c>
      <c r="J590" s="3" t="s">
        <v>7</v>
      </c>
      <c r="K590" s="3" t="s">
        <v>7</v>
      </c>
      <c r="L590" s="3" t="s">
        <v>7</v>
      </c>
      <c r="M590" s="2" t="s">
        <v>2850</v>
      </c>
      <c r="N590" s="2" t="s">
        <v>2879</v>
      </c>
      <c r="O590" s="2" t="s">
        <v>1298</v>
      </c>
      <c r="P590" s="2" t="s">
        <v>2878</v>
      </c>
      <c r="Q590" s="3" t="s">
        <v>2856</v>
      </c>
    </row>
    <row r="591" spans="1:17" hidden="1">
      <c r="A591" s="21" t="s">
        <v>2876</v>
      </c>
      <c r="B591" s="22" t="s">
        <v>3312</v>
      </c>
      <c r="C591" s="21" t="s">
        <v>3313</v>
      </c>
      <c r="D591" s="21" t="s">
        <v>149</v>
      </c>
      <c r="E591" s="21" t="s">
        <v>151</v>
      </c>
      <c r="F591" s="21" t="s">
        <v>1192</v>
      </c>
      <c r="G591" s="3" t="s">
        <v>2559</v>
      </c>
      <c r="H591" s="3" t="s">
        <v>55</v>
      </c>
      <c r="I591" s="3" t="s">
        <v>55</v>
      </c>
      <c r="J591" s="3" t="s">
        <v>55</v>
      </c>
      <c r="K591" s="3" t="s">
        <v>55</v>
      </c>
      <c r="L591" s="3" t="s">
        <v>55</v>
      </c>
      <c r="M591" s="2" t="s">
        <v>510</v>
      </c>
      <c r="N591" s="2" t="s">
        <v>511</v>
      </c>
      <c r="O591" s="2" t="s">
        <v>1298</v>
      </c>
      <c r="P591" s="2" t="s">
        <v>2878</v>
      </c>
      <c r="Q591" s="3" t="s">
        <v>2856</v>
      </c>
    </row>
    <row r="592" spans="1:17" hidden="1">
      <c r="A592" s="63" t="s">
        <v>2876</v>
      </c>
      <c r="B592" s="65" t="s">
        <v>1588</v>
      </c>
      <c r="C592" s="63" t="s">
        <v>2095</v>
      </c>
      <c r="D592" s="63" t="s">
        <v>153</v>
      </c>
      <c r="E592" s="63" t="s">
        <v>154</v>
      </c>
      <c r="F592" s="63" t="s">
        <v>1409</v>
      </c>
      <c r="G592" s="3" t="s">
        <v>1457</v>
      </c>
      <c r="H592" s="3" t="s">
        <v>7</v>
      </c>
      <c r="I592" s="3" t="s">
        <v>7</v>
      </c>
      <c r="J592" s="3" t="s">
        <v>7</v>
      </c>
      <c r="K592" s="3" t="s">
        <v>7</v>
      </c>
      <c r="L592" s="64" t="s">
        <v>7</v>
      </c>
      <c r="M592" s="63" t="s">
        <v>476</v>
      </c>
      <c r="N592" s="63" t="s">
        <v>477</v>
      </c>
      <c r="O592" s="63" t="s">
        <v>1295</v>
      </c>
      <c r="P592" s="2" t="s">
        <v>2877</v>
      </c>
      <c r="Q592" s="3" t="s">
        <v>2856</v>
      </c>
    </row>
    <row r="593" spans="1:17" hidden="1">
      <c r="A593" s="21" t="s">
        <v>2876</v>
      </c>
      <c r="B593" s="22" t="s">
        <v>1589</v>
      </c>
      <c r="C593" s="21" t="s">
        <v>2097</v>
      </c>
      <c r="D593" s="21" t="s">
        <v>153</v>
      </c>
      <c r="E593" s="21" t="s">
        <v>154</v>
      </c>
      <c r="F593" s="21" t="s">
        <v>1180</v>
      </c>
      <c r="G593" s="3" t="s">
        <v>1457</v>
      </c>
      <c r="H593" s="3" t="s">
        <v>7</v>
      </c>
      <c r="I593" s="3" t="s">
        <v>7</v>
      </c>
      <c r="J593" s="3" t="s">
        <v>7</v>
      </c>
      <c r="K593" s="3" t="s">
        <v>7</v>
      </c>
      <c r="L593" s="3" t="s">
        <v>7</v>
      </c>
      <c r="M593" s="2" t="s">
        <v>476</v>
      </c>
      <c r="N593" s="2" t="s">
        <v>477</v>
      </c>
      <c r="O593" s="2" t="s">
        <v>1295</v>
      </c>
      <c r="P593" s="2" t="s">
        <v>2877</v>
      </c>
      <c r="Q593" s="3" t="s">
        <v>2856</v>
      </c>
    </row>
    <row r="594" spans="1:17" hidden="1">
      <c r="A594" s="21" t="s">
        <v>2876</v>
      </c>
      <c r="B594" s="22" t="s">
        <v>1053</v>
      </c>
      <c r="C594" s="21" t="s">
        <v>2096</v>
      </c>
      <c r="D594" s="21" t="s">
        <v>153</v>
      </c>
      <c r="E594" s="21" t="s">
        <v>154</v>
      </c>
      <c r="F594" s="21" t="s">
        <v>1181</v>
      </c>
      <c r="G594" s="3" t="s">
        <v>1187</v>
      </c>
      <c r="H594" s="3" t="s">
        <v>3071</v>
      </c>
      <c r="I594" s="3" t="s">
        <v>7</v>
      </c>
      <c r="J594" s="3" t="s">
        <v>3071</v>
      </c>
      <c r="K594" s="3" t="s">
        <v>3071</v>
      </c>
      <c r="L594" s="3" t="s">
        <v>7</v>
      </c>
      <c r="M594" s="2" t="s">
        <v>476</v>
      </c>
      <c r="N594" s="2" t="s">
        <v>477</v>
      </c>
      <c r="O594" s="2" t="s">
        <v>1295</v>
      </c>
      <c r="P594" s="2" t="s">
        <v>2877</v>
      </c>
      <c r="Q594" s="3" t="s">
        <v>2856</v>
      </c>
    </row>
    <row r="595" spans="1:17" hidden="1">
      <c r="A595" s="21" t="s">
        <v>2876</v>
      </c>
      <c r="B595" s="23" t="s">
        <v>1590</v>
      </c>
      <c r="C595" s="21" t="s">
        <v>2098</v>
      </c>
      <c r="D595" s="21" t="s">
        <v>155</v>
      </c>
      <c r="E595" s="21" t="s">
        <v>156</v>
      </c>
      <c r="F595" s="21" t="s">
        <v>1192</v>
      </c>
      <c r="G595" s="5" t="s">
        <v>1416</v>
      </c>
      <c r="H595" s="3" t="s">
        <v>7</v>
      </c>
      <c r="I595" s="3" t="s">
        <v>7</v>
      </c>
      <c r="J595" s="3" t="s">
        <v>7</v>
      </c>
      <c r="K595" s="3" t="s">
        <v>7</v>
      </c>
      <c r="L595" s="3" t="s">
        <v>7</v>
      </c>
      <c r="M595" s="2" t="s">
        <v>430</v>
      </c>
      <c r="N595" s="2" t="s">
        <v>431</v>
      </c>
      <c r="O595" s="2" t="s">
        <v>1309</v>
      </c>
      <c r="P595" s="2" t="s">
        <v>2882</v>
      </c>
      <c r="Q595" s="3" t="s">
        <v>2856</v>
      </c>
    </row>
    <row r="596" spans="1:17" hidden="1">
      <c r="A596" s="21" t="s">
        <v>2876</v>
      </c>
      <c r="B596" s="22" t="s">
        <v>1591</v>
      </c>
      <c r="C596" s="21" t="s">
        <v>2099</v>
      </c>
      <c r="D596" s="21" t="s">
        <v>155</v>
      </c>
      <c r="E596" s="21" t="s">
        <v>156</v>
      </c>
      <c r="F596" s="21" t="s">
        <v>1192</v>
      </c>
      <c r="G596" s="3" t="s">
        <v>1419</v>
      </c>
      <c r="H596" s="3" t="s">
        <v>7</v>
      </c>
      <c r="I596" s="3" t="s">
        <v>7</v>
      </c>
      <c r="J596" s="3" t="s">
        <v>7</v>
      </c>
      <c r="K596" s="3" t="s">
        <v>7</v>
      </c>
      <c r="L596" s="3" t="s">
        <v>7</v>
      </c>
      <c r="M596" s="2" t="s">
        <v>430</v>
      </c>
      <c r="N596" s="2" t="s">
        <v>431</v>
      </c>
      <c r="O596" s="2" t="s">
        <v>1309</v>
      </c>
      <c r="P596" s="2" t="s">
        <v>2882</v>
      </c>
      <c r="Q596" s="3" t="s">
        <v>2856</v>
      </c>
    </row>
    <row r="597" spans="1:17" hidden="1">
      <c r="A597" s="21" t="s">
        <v>2876</v>
      </c>
      <c r="B597" s="22" t="s">
        <v>1592</v>
      </c>
      <c r="C597" s="21" t="s">
        <v>2100</v>
      </c>
      <c r="D597" s="21" t="s">
        <v>155</v>
      </c>
      <c r="E597" s="21" t="s">
        <v>156</v>
      </c>
      <c r="F597" s="21" t="s">
        <v>1181</v>
      </c>
      <c r="G597" s="3" t="s">
        <v>1416</v>
      </c>
      <c r="H597" s="3" t="s">
        <v>3071</v>
      </c>
      <c r="I597" s="3" t="s">
        <v>7</v>
      </c>
      <c r="J597" s="3" t="s">
        <v>3071</v>
      </c>
      <c r="K597" s="3" t="s">
        <v>3071</v>
      </c>
      <c r="L597" s="3" t="s">
        <v>7</v>
      </c>
      <c r="M597" s="2" t="s">
        <v>430</v>
      </c>
      <c r="N597" s="2" t="s">
        <v>431</v>
      </c>
      <c r="O597" s="2" t="s">
        <v>1309</v>
      </c>
      <c r="P597" s="2" t="s">
        <v>2882</v>
      </c>
      <c r="Q597" s="3" t="s">
        <v>2856</v>
      </c>
    </row>
    <row r="598" spans="1:17" hidden="1">
      <c r="A598" s="21" t="s">
        <v>2876</v>
      </c>
      <c r="B598" s="22" t="s">
        <v>1054</v>
      </c>
      <c r="C598" s="21" t="s">
        <v>2101</v>
      </c>
      <c r="D598" s="21" t="s">
        <v>155</v>
      </c>
      <c r="E598" s="21" t="s">
        <v>156</v>
      </c>
      <c r="F598" s="21" t="s">
        <v>1180</v>
      </c>
      <c r="G598" s="3" t="s">
        <v>1184</v>
      </c>
      <c r="H598" s="3" t="s">
        <v>7</v>
      </c>
      <c r="I598" s="3" t="s">
        <v>7</v>
      </c>
      <c r="J598" s="3" t="s">
        <v>7</v>
      </c>
      <c r="K598" s="3" t="s">
        <v>7</v>
      </c>
      <c r="L598" s="3" t="s">
        <v>7</v>
      </c>
      <c r="M598" s="2" t="s">
        <v>430</v>
      </c>
      <c r="N598" s="2" t="s">
        <v>431</v>
      </c>
      <c r="O598" s="2" t="s">
        <v>1309</v>
      </c>
      <c r="P598" s="2" t="s">
        <v>2882</v>
      </c>
      <c r="Q598" s="3" t="s">
        <v>2856</v>
      </c>
    </row>
    <row r="599" spans="1:17" hidden="1">
      <c r="A599" s="21" t="s">
        <v>2876</v>
      </c>
      <c r="B599" s="22" t="s">
        <v>1057</v>
      </c>
      <c r="C599" s="21" t="s">
        <v>2104</v>
      </c>
      <c r="D599" s="21" t="s">
        <v>157</v>
      </c>
      <c r="E599" s="21" t="s">
        <v>158</v>
      </c>
      <c r="F599" s="21" t="s">
        <v>1181</v>
      </c>
      <c r="G599" s="3" t="s">
        <v>1430</v>
      </c>
      <c r="H599" s="3" t="s">
        <v>3071</v>
      </c>
      <c r="I599" s="3" t="s">
        <v>7</v>
      </c>
      <c r="J599" s="3" t="s">
        <v>3071</v>
      </c>
      <c r="K599" s="3" t="s">
        <v>3071</v>
      </c>
      <c r="L599" s="3" t="s">
        <v>7</v>
      </c>
      <c r="M599" s="2" t="s">
        <v>496</v>
      </c>
      <c r="N599" s="2" t="s">
        <v>497</v>
      </c>
      <c r="O599" s="2" t="s">
        <v>2883</v>
      </c>
      <c r="P599" s="2" t="s">
        <v>2882</v>
      </c>
      <c r="Q599" s="3" t="s">
        <v>2856</v>
      </c>
    </row>
    <row r="600" spans="1:17" hidden="1">
      <c r="A600" s="21" t="s">
        <v>2876</v>
      </c>
      <c r="B600" s="22" t="s">
        <v>1055</v>
      </c>
      <c r="C600" s="21" t="s">
        <v>2102</v>
      </c>
      <c r="D600" s="21" t="s">
        <v>157</v>
      </c>
      <c r="E600" s="21" t="s">
        <v>158</v>
      </c>
      <c r="F600" s="21" t="s">
        <v>1192</v>
      </c>
      <c r="G600" s="3" t="s">
        <v>1184</v>
      </c>
      <c r="H600" s="3" t="s">
        <v>7</v>
      </c>
      <c r="I600" s="3" t="s">
        <v>7</v>
      </c>
      <c r="J600" s="3" t="s">
        <v>7</v>
      </c>
      <c r="K600" s="3" t="s">
        <v>7</v>
      </c>
      <c r="L600" s="3" t="s">
        <v>7</v>
      </c>
      <c r="M600" s="2" t="s">
        <v>496</v>
      </c>
      <c r="N600" s="2" t="s">
        <v>497</v>
      </c>
      <c r="O600" s="2" t="s">
        <v>2883</v>
      </c>
      <c r="P600" s="2" t="s">
        <v>2882</v>
      </c>
      <c r="Q600" s="3" t="s">
        <v>2856</v>
      </c>
    </row>
    <row r="601" spans="1:17" hidden="1">
      <c r="A601" s="21" t="s">
        <v>2876</v>
      </c>
      <c r="B601" s="22" t="s">
        <v>1056</v>
      </c>
      <c r="C601" s="21" t="s">
        <v>2103</v>
      </c>
      <c r="D601" s="21" t="s">
        <v>157</v>
      </c>
      <c r="E601" s="21" t="s">
        <v>158</v>
      </c>
      <c r="F601" s="21" t="s">
        <v>1180</v>
      </c>
      <c r="G601" s="3" t="s">
        <v>1189</v>
      </c>
      <c r="H601" s="3" t="s">
        <v>7</v>
      </c>
      <c r="I601" s="3" t="s">
        <v>7</v>
      </c>
      <c r="J601" s="3" t="s">
        <v>7</v>
      </c>
      <c r="K601" s="3" t="s">
        <v>7</v>
      </c>
      <c r="L601" s="3" t="s">
        <v>7</v>
      </c>
      <c r="M601" s="2" t="s">
        <v>496</v>
      </c>
      <c r="N601" s="2" t="s">
        <v>497</v>
      </c>
      <c r="O601" s="2" t="s">
        <v>2883</v>
      </c>
      <c r="P601" s="2" t="s">
        <v>2882</v>
      </c>
      <c r="Q601" s="3" t="s">
        <v>2856</v>
      </c>
    </row>
    <row r="602" spans="1:17" hidden="1">
      <c r="A602" s="21" t="s">
        <v>2861</v>
      </c>
      <c r="B602" s="22" t="s">
        <v>1058</v>
      </c>
      <c r="C602" s="21" t="s">
        <v>2108</v>
      </c>
      <c r="D602" s="21" t="s">
        <v>159</v>
      </c>
      <c r="E602" s="21" t="s">
        <v>160</v>
      </c>
      <c r="F602" s="21" t="s">
        <v>1180</v>
      </c>
      <c r="G602" s="3" t="s">
        <v>1189</v>
      </c>
      <c r="H602" s="3" t="s">
        <v>7</v>
      </c>
      <c r="I602" s="3" t="s">
        <v>7</v>
      </c>
      <c r="J602" s="3" t="s">
        <v>7</v>
      </c>
      <c r="K602" s="3" t="s">
        <v>7</v>
      </c>
      <c r="L602" s="3" t="s">
        <v>7</v>
      </c>
      <c r="M602" s="2" t="s">
        <v>320</v>
      </c>
      <c r="N602" s="2" t="s">
        <v>321</v>
      </c>
      <c r="O602" s="2" t="s">
        <v>1259</v>
      </c>
      <c r="P602" s="2" t="s">
        <v>2862</v>
      </c>
      <c r="Q602" s="3" t="s">
        <v>2856</v>
      </c>
    </row>
    <row r="603" spans="1:17" hidden="1">
      <c r="A603" s="21" t="s">
        <v>2861</v>
      </c>
      <c r="B603" s="22" t="s">
        <v>2109</v>
      </c>
      <c r="C603" s="21" t="s">
        <v>2110</v>
      </c>
      <c r="D603" s="21" t="s">
        <v>159</v>
      </c>
      <c r="E603" s="21" t="s">
        <v>2111</v>
      </c>
      <c r="F603" s="21" t="s">
        <v>2107</v>
      </c>
      <c r="G603" s="3" t="s">
        <v>1198</v>
      </c>
      <c r="H603" s="3" t="s">
        <v>7</v>
      </c>
      <c r="I603" s="3" t="s">
        <v>7</v>
      </c>
      <c r="J603" s="3" t="s">
        <v>7</v>
      </c>
      <c r="K603" s="3" t="s">
        <v>7</v>
      </c>
      <c r="L603" s="3" t="s">
        <v>7</v>
      </c>
      <c r="M603" s="2" t="s">
        <v>1223</v>
      </c>
      <c r="N603" s="2" t="s">
        <v>1260</v>
      </c>
      <c r="O603" s="2" t="s">
        <v>1259</v>
      </c>
      <c r="P603" s="2" t="s">
        <v>2862</v>
      </c>
      <c r="Q603" s="3" t="s">
        <v>2856</v>
      </c>
    </row>
    <row r="604" spans="1:17" hidden="1">
      <c r="A604" s="68" t="s">
        <v>2861</v>
      </c>
      <c r="B604" s="69" t="s">
        <v>2109</v>
      </c>
      <c r="C604" s="68" t="s">
        <v>2110</v>
      </c>
      <c r="D604" s="68" t="s">
        <v>159</v>
      </c>
      <c r="E604" s="68" t="s">
        <v>2111</v>
      </c>
      <c r="F604" s="68" t="s">
        <v>2107</v>
      </c>
      <c r="G604" s="70" t="s">
        <v>1198</v>
      </c>
      <c r="H604" s="70" t="s">
        <v>7</v>
      </c>
      <c r="I604" s="70" t="s">
        <v>7</v>
      </c>
      <c r="J604" s="70" t="s">
        <v>7</v>
      </c>
      <c r="K604" s="70" t="s">
        <v>7</v>
      </c>
      <c r="L604" s="70" t="s">
        <v>7</v>
      </c>
      <c r="M604" s="68" t="s">
        <v>1223</v>
      </c>
      <c r="N604" s="68" t="s">
        <v>1260</v>
      </c>
      <c r="O604" s="68" t="s">
        <v>1259</v>
      </c>
      <c r="P604" s="68" t="s">
        <v>2862</v>
      </c>
      <c r="Q604" s="70" t="s">
        <v>2856</v>
      </c>
    </row>
    <row r="605" spans="1:17" hidden="1">
      <c r="A605" s="21" t="s">
        <v>2861</v>
      </c>
      <c r="B605" s="22" t="s">
        <v>2105</v>
      </c>
      <c r="C605" s="21" t="s">
        <v>2106</v>
      </c>
      <c r="D605" s="21" t="s">
        <v>159</v>
      </c>
      <c r="E605" s="21" t="s">
        <v>160</v>
      </c>
      <c r="F605" s="21" t="s">
        <v>2107</v>
      </c>
      <c r="G605" s="3" t="s">
        <v>1198</v>
      </c>
      <c r="H605" s="3" t="s">
        <v>7</v>
      </c>
      <c r="I605" s="3" t="s">
        <v>7</v>
      </c>
      <c r="J605" s="3" t="s">
        <v>7</v>
      </c>
      <c r="K605" s="3" t="s">
        <v>7</v>
      </c>
      <c r="L605" s="3" t="s">
        <v>7</v>
      </c>
      <c r="M605" s="2" t="s">
        <v>320</v>
      </c>
      <c r="N605" s="2" t="s">
        <v>321</v>
      </c>
      <c r="O605" s="2" t="s">
        <v>1259</v>
      </c>
      <c r="P605" s="2" t="s">
        <v>2862</v>
      </c>
      <c r="Q605" s="3" t="s">
        <v>2856</v>
      </c>
    </row>
    <row r="606" spans="1:17" hidden="1">
      <c r="A606" s="21" t="s">
        <v>2861</v>
      </c>
      <c r="B606" s="22" t="s">
        <v>2632</v>
      </c>
      <c r="C606" s="21" t="s">
        <v>2633</v>
      </c>
      <c r="D606" s="21" t="s">
        <v>159</v>
      </c>
      <c r="E606" s="21" t="s">
        <v>2111</v>
      </c>
      <c r="F606" s="21" t="s">
        <v>1181</v>
      </c>
      <c r="G606" s="3" t="s">
        <v>1179</v>
      </c>
      <c r="H606" s="3" t="s">
        <v>3071</v>
      </c>
      <c r="I606" s="3" t="s">
        <v>7</v>
      </c>
      <c r="J606" s="3" t="s">
        <v>3071</v>
      </c>
      <c r="K606" s="3" t="s">
        <v>3071</v>
      </c>
      <c r="L606" s="3" t="s">
        <v>7</v>
      </c>
      <c r="M606" s="2" t="s">
        <v>1223</v>
      </c>
      <c r="N606" s="2" t="s">
        <v>1260</v>
      </c>
      <c r="O606" s="2" t="s">
        <v>1259</v>
      </c>
      <c r="P606" s="2" t="s">
        <v>2862</v>
      </c>
      <c r="Q606" s="3" t="s">
        <v>2856</v>
      </c>
    </row>
    <row r="607" spans="1:17" hidden="1">
      <c r="A607" s="21" t="s">
        <v>2861</v>
      </c>
      <c r="B607" s="22" t="s">
        <v>2630</v>
      </c>
      <c r="C607" s="21" t="s">
        <v>2631</v>
      </c>
      <c r="D607" s="21" t="s">
        <v>159</v>
      </c>
      <c r="E607" s="21" t="s">
        <v>160</v>
      </c>
      <c r="F607" s="21" t="s">
        <v>1181</v>
      </c>
      <c r="G607" s="3" t="s">
        <v>1179</v>
      </c>
      <c r="H607" s="3" t="s">
        <v>3071</v>
      </c>
      <c r="I607" s="3" t="s">
        <v>7</v>
      </c>
      <c r="J607" s="3" t="s">
        <v>3071</v>
      </c>
      <c r="K607" s="3" t="s">
        <v>3071</v>
      </c>
      <c r="L607" s="3" t="s">
        <v>7</v>
      </c>
      <c r="M607" s="2" t="s">
        <v>320</v>
      </c>
      <c r="N607" s="2" t="s">
        <v>321</v>
      </c>
      <c r="O607" s="2" t="s">
        <v>1259</v>
      </c>
      <c r="P607" s="2" t="s">
        <v>2862</v>
      </c>
      <c r="Q607" s="3" t="s">
        <v>2856</v>
      </c>
    </row>
    <row r="608" spans="1:17" hidden="1">
      <c r="A608" s="21" t="s">
        <v>2946</v>
      </c>
      <c r="B608" s="22" t="s">
        <v>1593</v>
      </c>
      <c r="C608" s="21" t="s">
        <v>2112</v>
      </c>
      <c r="D608" s="21" t="s">
        <v>161</v>
      </c>
      <c r="E608" s="21" t="s">
        <v>162</v>
      </c>
      <c r="F608" s="21" t="s">
        <v>1409</v>
      </c>
      <c r="G608" s="3" t="s">
        <v>1435</v>
      </c>
      <c r="H608" s="3" t="s">
        <v>7</v>
      </c>
      <c r="I608" s="3" t="s">
        <v>7</v>
      </c>
      <c r="J608" s="3" t="s">
        <v>7</v>
      </c>
      <c r="K608" s="3" t="s">
        <v>7</v>
      </c>
      <c r="L608" s="3" t="s">
        <v>7</v>
      </c>
      <c r="M608" s="2" t="s">
        <v>382</v>
      </c>
      <c r="N608" s="2" t="s">
        <v>383</v>
      </c>
      <c r="O608" s="2" t="s">
        <v>1395</v>
      </c>
      <c r="P608" s="2" t="s">
        <v>2955</v>
      </c>
      <c r="Q608" s="3" t="s">
        <v>2856</v>
      </c>
    </row>
    <row r="609" spans="1:17" hidden="1">
      <c r="A609" s="68" t="s">
        <v>2946</v>
      </c>
      <c r="B609" s="69" t="s">
        <v>1593</v>
      </c>
      <c r="C609" s="68" t="s">
        <v>2112</v>
      </c>
      <c r="D609" s="68" t="s">
        <v>161</v>
      </c>
      <c r="E609" s="68" t="s">
        <v>162</v>
      </c>
      <c r="F609" s="68" t="s">
        <v>1409</v>
      </c>
      <c r="G609" s="70" t="s">
        <v>1435</v>
      </c>
      <c r="H609" s="70" t="s">
        <v>7</v>
      </c>
      <c r="I609" s="70" t="s">
        <v>7</v>
      </c>
      <c r="J609" s="70" t="s">
        <v>7</v>
      </c>
      <c r="K609" s="70" t="s">
        <v>7</v>
      </c>
      <c r="L609" s="70" t="s">
        <v>7</v>
      </c>
      <c r="M609" s="68" t="s">
        <v>382</v>
      </c>
      <c r="N609" s="68" t="s">
        <v>383</v>
      </c>
      <c r="O609" s="68" t="s">
        <v>1395</v>
      </c>
      <c r="P609" s="68" t="s">
        <v>2955</v>
      </c>
      <c r="Q609" s="70" t="s">
        <v>2856</v>
      </c>
    </row>
    <row r="610" spans="1:17" hidden="1">
      <c r="A610" s="21" t="s">
        <v>2946</v>
      </c>
      <c r="B610" s="22" t="s">
        <v>1059</v>
      </c>
      <c r="C610" s="21" t="s">
        <v>2113</v>
      </c>
      <c r="D610" s="21" t="s">
        <v>161</v>
      </c>
      <c r="E610" s="21" t="s">
        <v>162</v>
      </c>
      <c r="F610" s="21" t="s">
        <v>1181</v>
      </c>
      <c r="G610" s="3" t="s">
        <v>1412</v>
      </c>
      <c r="H610" s="3" t="s">
        <v>3071</v>
      </c>
      <c r="I610" s="3" t="s">
        <v>7</v>
      </c>
      <c r="J610" s="3" t="s">
        <v>3071</v>
      </c>
      <c r="K610" s="3" t="s">
        <v>3071</v>
      </c>
      <c r="L610" s="3" t="s">
        <v>7</v>
      </c>
      <c r="M610" s="2" t="s">
        <v>382</v>
      </c>
      <c r="N610" s="2" t="s">
        <v>383</v>
      </c>
      <c r="O610" s="2" t="s">
        <v>1395</v>
      </c>
      <c r="P610" s="2" t="s">
        <v>2955</v>
      </c>
      <c r="Q610" s="3" t="s">
        <v>2856</v>
      </c>
    </row>
    <row r="611" spans="1:17" hidden="1">
      <c r="A611" s="21" t="s">
        <v>2876</v>
      </c>
      <c r="B611" s="22" t="s">
        <v>1060</v>
      </c>
      <c r="C611" s="21" t="s">
        <v>2114</v>
      </c>
      <c r="D611" s="21" t="s">
        <v>163</v>
      </c>
      <c r="E611" s="21" t="s">
        <v>164</v>
      </c>
      <c r="F611" s="21" t="s">
        <v>8</v>
      </c>
      <c r="G611" s="3" t="s">
        <v>1430</v>
      </c>
      <c r="H611" s="3" t="s">
        <v>7</v>
      </c>
      <c r="I611" s="3" t="s">
        <v>7</v>
      </c>
      <c r="J611" s="3" t="s">
        <v>7</v>
      </c>
      <c r="K611" s="3" t="s">
        <v>7</v>
      </c>
      <c r="L611" s="3" t="s">
        <v>7</v>
      </c>
      <c r="M611" s="2" t="s">
        <v>498</v>
      </c>
      <c r="N611" s="2" t="s">
        <v>499</v>
      </c>
      <c r="O611" s="2" t="s">
        <v>1293</v>
      </c>
      <c r="P611" s="2" t="s">
        <v>2877</v>
      </c>
      <c r="Q611" s="3" t="s">
        <v>2856</v>
      </c>
    </row>
    <row r="612" spans="1:17" hidden="1">
      <c r="A612" s="21" t="s">
        <v>2876</v>
      </c>
      <c r="B612" s="22" t="s">
        <v>1061</v>
      </c>
      <c r="C612" s="21" t="s">
        <v>2115</v>
      </c>
      <c r="D612" s="21" t="s">
        <v>163</v>
      </c>
      <c r="E612" s="21" t="s">
        <v>164</v>
      </c>
      <c r="F612" s="21" t="s">
        <v>8</v>
      </c>
      <c r="G612" s="3" t="s">
        <v>1185</v>
      </c>
      <c r="H612" s="3" t="s">
        <v>7</v>
      </c>
      <c r="I612" s="3" t="s">
        <v>7</v>
      </c>
      <c r="J612" s="3" t="s">
        <v>7</v>
      </c>
      <c r="K612" s="3" t="s">
        <v>7</v>
      </c>
      <c r="L612" s="3" t="s">
        <v>7</v>
      </c>
      <c r="M612" s="2" t="s">
        <v>498</v>
      </c>
      <c r="N612" s="2" t="s">
        <v>499</v>
      </c>
      <c r="O612" s="2" t="s">
        <v>1293</v>
      </c>
      <c r="P612" s="2" t="s">
        <v>2877</v>
      </c>
      <c r="Q612" s="3" t="s">
        <v>2856</v>
      </c>
    </row>
    <row r="613" spans="1:17" hidden="1">
      <c r="A613" s="21" t="s">
        <v>2876</v>
      </c>
      <c r="B613" s="22" t="s">
        <v>1062</v>
      </c>
      <c r="C613" s="21" t="s">
        <v>2116</v>
      </c>
      <c r="D613" s="21" t="s">
        <v>163</v>
      </c>
      <c r="E613" s="21" t="s">
        <v>164</v>
      </c>
      <c r="F613" s="21" t="s">
        <v>1180</v>
      </c>
      <c r="G613" s="3" t="s">
        <v>1178</v>
      </c>
      <c r="H613" s="3" t="s">
        <v>7</v>
      </c>
      <c r="I613" s="3" t="s">
        <v>7</v>
      </c>
      <c r="J613" s="3" t="s">
        <v>7</v>
      </c>
      <c r="K613" s="3" t="s">
        <v>7</v>
      </c>
      <c r="L613" s="3" t="s">
        <v>7</v>
      </c>
      <c r="M613" s="2" t="s">
        <v>498</v>
      </c>
      <c r="N613" s="2" t="s">
        <v>499</v>
      </c>
      <c r="O613" s="2" t="s">
        <v>1293</v>
      </c>
      <c r="P613" s="2" t="s">
        <v>2877</v>
      </c>
      <c r="Q613" s="3" t="s">
        <v>2856</v>
      </c>
    </row>
    <row r="614" spans="1:17" hidden="1">
      <c r="A614" s="21" t="s">
        <v>2946</v>
      </c>
      <c r="B614" s="22" t="s">
        <v>1063</v>
      </c>
      <c r="C614" s="21" t="s">
        <v>2117</v>
      </c>
      <c r="D614" s="21" t="s">
        <v>165</v>
      </c>
      <c r="E614" s="21" t="s">
        <v>2464</v>
      </c>
      <c r="F614" s="21" t="s">
        <v>1192</v>
      </c>
      <c r="G614" s="3" t="s">
        <v>1412</v>
      </c>
      <c r="H614" s="3" t="s">
        <v>7</v>
      </c>
      <c r="I614" s="3" t="s">
        <v>7</v>
      </c>
      <c r="J614" s="3" t="s">
        <v>7</v>
      </c>
      <c r="K614" s="3" t="s">
        <v>7</v>
      </c>
      <c r="L614" s="3" t="s">
        <v>7</v>
      </c>
      <c r="M614" s="2" t="s">
        <v>738</v>
      </c>
      <c r="N614" s="2" t="s">
        <v>2948</v>
      </c>
      <c r="O614" s="2" t="s">
        <v>1388</v>
      </c>
      <c r="P614" s="2" t="s">
        <v>2949</v>
      </c>
      <c r="Q614" s="3" t="s">
        <v>2856</v>
      </c>
    </row>
    <row r="615" spans="1:17" hidden="1">
      <c r="A615" s="21" t="s">
        <v>2946</v>
      </c>
      <c r="B615" s="22" t="s">
        <v>1064</v>
      </c>
      <c r="C615" s="21" t="s">
        <v>2119</v>
      </c>
      <c r="D615" s="21" t="s">
        <v>165</v>
      </c>
      <c r="E615" s="21" t="s">
        <v>2464</v>
      </c>
      <c r="F615" s="21" t="s">
        <v>1180</v>
      </c>
      <c r="G615" s="3" t="s">
        <v>1412</v>
      </c>
      <c r="H615" s="3" t="s">
        <v>7</v>
      </c>
      <c r="I615" s="3" t="s">
        <v>7</v>
      </c>
      <c r="J615" s="3" t="s">
        <v>7</v>
      </c>
      <c r="K615" s="3" t="s">
        <v>7</v>
      </c>
      <c r="L615" s="3" t="s">
        <v>7</v>
      </c>
      <c r="M615" s="2" t="s">
        <v>738</v>
      </c>
      <c r="N615" s="2" t="s">
        <v>2948</v>
      </c>
      <c r="O615" s="2" t="s">
        <v>1388</v>
      </c>
      <c r="P615" s="2" t="s">
        <v>2949</v>
      </c>
      <c r="Q615" s="3" t="s">
        <v>2856</v>
      </c>
    </row>
    <row r="616" spans="1:17" hidden="1">
      <c r="A616" s="21" t="s">
        <v>2946</v>
      </c>
      <c r="B616" s="22" t="s">
        <v>1594</v>
      </c>
      <c r="C616" s="21" t="s">
        <v>2118</v>
      </c>
      <c r="D616" s="21" t="s">
        <v>165</v>
      </c>
      <c r="E616" s="21" t="s">
        <v>2464</v>
      </c>
      <c r="F616" s="21" t="s">
        <v>1192</v>
      </c>
      <c r="G616" s="3" t="s">
        <v>1416</v>
      </c>
      <c r="H616" s="3" t="s">
        <v>7</v>
      </c>
      <c r="I616" s="3" t="s">
        <v>7</v>
      </c>
      <c r="J616" s="3" t="s">
        <v>7</v>
      </c>
      <c r="K616" s="3" t="s">
        <v>7</v>
      </c>
      <c r="L616" s="3" t="s">
        <v>7</v>
      </c>
      <c r="M616" s="2" t="s">
        <v>738</v>
      </c>
      <c r="N616" s="2" t="s">
        <v>2948</v>
      </c>
      <c r="O616" s="2" t="s">
        <v>1388</v>
      </c>
      <c r="P616" s="2" t="s">
        <v>2949</v>
      </c>
      <c r="Q616" s="3" t="s">
        <v>2856</v>
      </c>
    </row>
    <row r="617" spans="1:17" hidden="1">
      <c r="A617" s="21" t="s">
        <v>2876</v>
      </c>
      <c r="B617" s="22" t="s">
        <v>1595</v>
      </c>
      <c r="C617" s="21" t="s">
        <v>2465</v>
      </c>
      <c r="D617" s="21" t="s">
        <v>166</v>
      </c>
      <c r="E617" s="21" t="s">
        <v>167</v>
      </c>
      <c r="F617" s="21" t="s">
        <v>1192</v>
      </c>
      <c r="G617" s="3" t="s">
        <v>1457</v>
      </c>
      <c r="H617" s="3" t="s">
        <v>7</v>
      </c>
      <c r="I617" s="3" t="s">
        <v>7</v>
      </c>
      <c r="J617" s="3" t="s">
        <v>7</v>
      </c>
      <c r="K617" s="3" t="s">
        <v>7</v>
      </c>
      <c r="L617" s="3" t="s">
        <v>7</v>
      </c>
      <c r="M617" s="2" t="s">
        <v>440</v>
      </c>
      <c r="N617" s="2" t="s">
        <v>441</v>
      </c>
      <c r="O617" s="2" t="s">
        <v>1301</v>
      </c>
      <c r="P617" s="2" t="s">
        <v>2880</v>
      </c>
      <c r="Q617" s="3" t="s">
        <v>2856</v>
      </c>
    </row>
    <row r="618" spans="1:17" hidden="1">
      <c r="A618" s="21" t="s">
        <v>2876</v>
      </c>
      <c r="B618" s="22" t="s">
        <v>1065</v>
      </c>
      <c r="C618" s="21" t="s">
        <v>2120</v>
      </c>
      <c r="D618" s="21" t="s">
        <v>166</v>
      </c>
      <c r="E618" s="21" t="s">
        <v>167</v>
      </c>
      <c r="F618" s="21" t="s">
        <v>1180</v>
      </c>
      <c r="G618" s="3" t="s">
        <v>1182</v>
      </c>
      <c r="H618" s="3" t="s">
        <v>7</v>
      </c>
      <c r="I618" s="3" t="s">
        <v>7</v>
      </c>
      <c r="J618" s="3" t="s">
        <v>7</v>
      </c>
      <c r="K618" s="3" t="s">
        <v>7</v>
      </c>
      <c r="L618" s="3" t="s">
        <v>7</v>
      </c>
      <c r="M618" s="2" t="s">
        <v>440</v>
      </c>
      <c r="N618" s="2" t="s">
        <v>441</v>
      </c>
      <c r="O618" s="2" t="s">
        <v>1301</v>
      </c>
      <c r="P618" s="2" t="s">
        <v>2880</v>
      </c>
      <c r="Q618" s="3" t="s">
        <v>2856</v>
      </c>
    </row>
    <row r="619" spans="1:17" hidden="1">
      <c r="A619" s="21" t="s">
        <v>2876</v>
      </c>
      <c r="B619" s="22" t="s">
        <v>2738</v>
      </c>
      <c r="C619" s="21" t="s">
        <v>2739</v>
      </c>
      <c r="D619" s="21" t="s">
        <v>166</v>
      </c>
      <c r="E619" s="21" t="s">
        <v>167</v>
      </c>
      <c r="F619" s="21" t="s">
        <v>1192</v>
      </c>
      <c r="G619" s="3" t="s">
        <v>1189</v>
      </c>
      <c r="H619" s="3" t="s">
        <v>7</v>
      </c>
      <c r="I619" s="3" t="s">
        <v>7</v>
      </c>
      <c r="J619" s="3" t="s">
        <v>7</v>
      </c>
      <c r="K619" s="3" t="s">
        <v>7</v>
      </c>
      <c r="L619" s="3" t="s">
        <v>7</v>
      </c>
      <c r="M619" s="63" t="s">
        <v>440</v>
      </c>
      <c r="N619" s="63" t="s">
        <v>441</v>
      </c>
      <c r="O619" s="2" t="s">
        <v>1301</v>
      </c>
      <c r="P619" s="2" t="s">
        <v>2880</v>
      </c>
      <c r="Q619" s="3" t="s">
        <v>2856</v>
      </c>
    </row>
    <row r="620" spans="1:17" hidden="1">
      <c r="A620" s="21" t="s">
        <v>2946</v>
      </c>
      <c r="B620" s="22" t="s">
        <v>1596</v>
      </c>
      <c r="C620" s="21" t="s">
        <v>2121</v>
      </c>
      <c r="D620" s="21" t="s">
        <v>1597</v>
      </c>
      <c r="E620" s="21" t="s">
        <v>1598</v>
      </c>
      <c r="F620" s="21" t="s">
        <v>8</v>
      </c>
      <c r="G620" s="3" t="s">
        <v>1457</v>
      </c>
      <c r="H620" s="3" t="s">
        <v>7</v>
      </c>
      <c r="I620" s="3" t="s">
        <v>7</v>
      </c>
      <c r="J620" s="3" t="s">
        <v>7</v>
      </c>
      <c r="K620" s="3" t="s">
        <v>7</v>
      </c>
      <c r="L620" s="3" t="s">
        <v>7</v>
      </c>
      <c r="M620" s="2" t="s">
        <v>736</v>
      </c>
      <c r="N620" s="2" t="s">
        <v>2950</v>
      </c>
      <c r="O620" s="2" t="s">
        <v>1390</v>
      </c>
      <c r="P620" s="2" t="s">
        <v>2949</v>
      </c>
      <c r="Q620" s="3" t="s">
        <v>2856</v>
      </c>
    </row>
    <row r="621" spans="1:17" hidden="1">
      <c r="A621" s="21" t="s">
        <v>2946</v>
      </c>
      <c r="B621" s="22" t="s">
        <v>1599</v>
      </c>
      <c r="C621" s="21" t="s">
        <v>2122</v>
      </c>
      <c r="D621" s="21" t="s">
        <v>1597</v>
      </c>
      <c r="E621" s="21" t="s">
        <v>1598</v>
      </c>
      <c r="F621" s="21" t="s">
        <v>8</v>
      </c>
      <c r="G621" s="3" t="s">
        <v>1419</v>
      </c>
      <c r="H621" s="3" t="s">
        <v>7</v>
      </c>
      <c r="I621" s="3" t="s">
        <v>7</v>
      </c>
      <c r="J621" s="3" t="s">
        <v>7</v>
      </c>
      <c r="K621" s="3" t="s">
        <v>7</v>
      </c>
      <c r="L621" s="3" t="s">
        <v>7</v>
      </c>
      <c r="M621" s="2" t="s">
        <v>736</v>
      </c>
      <c r="N621" s="2" t="s">
        <v>2950</v>
      </c>
      <c r="O621" s="2" t="s">
        <v>1390</v>
      </c>
      <c r="P621" s="2" t="s">
        <v>2949</v>
      </c>
      <c r="Q621" s="3" t="s">
        <v>2856</v>
      </c>
    </row>
    <row r="622" spans="1:17" hidden="1">
      <c r="A622" s="21" t="s">
        <v>2946</v>
      </c>
      <c r="B622" s="22" t="s">
        <v>1600</v>
      </c>
      <c r="C622" s="21" t="s">
        <v>2123</v>
      </c>
      <c r="D622" s="21" t="s">
        <v>1597</v>
      </c>
      <c r="E622" s="21" t="s">
        <v>1601</v>
      </c>
      <c r="F622" s="21" t="s">
        <v>8</v>
      </c>
      <c r="G622" s="3" t="s">
        <v>1457</v>
      </c>
      <c r="H622" s="3" t="s">
        <v>7</v>
      </c>
      <c r="I622" s="3" t="s">
        <v>7</v>
      </c>
      <c r="J622" s="3" t="s">
        <v>7</v>
      </c>
      <c r="K622" s="3" t="s">
        <v>7</v>
      </c>
      <c r="L622" s="3" t="s">
        <v>7</v>
      </c>
      <c r="M622" s="2" t="s">
        <v>730</v>
      </c>
      <c r="N622" s="2" t="s">
        <v>2951</v>
      </c>
      <c r="O622" s="2" t="s">
        <v>1390</v>
      </c>
      <c r="P622" s="2" t="s">
        <v>2949</v>
      </c>
      <c r="Q622" s="3" t="s">
        <v>2856</v>
      </c>
    </row>
    <row r="623" spans="1:17" hidden="1">
      <c r="A623" s="21" t="s">
        <v>2903</v>
      </c>
      <c r="B623" s="22" t="s">
        <v>1602</v>
      </c>
      <c r="C623" s="21" t="s">
        <v>2976</v>
      </c>
      <c r="D623" s="21" t="s">
        <v>168</v>
      </c>
      <c r="E623" s="21" t="s">
        <v>837</v>
      </c>
      <c r="F623" s="21" t="s">
        <v>1192</v>
      </c>
      <c r="G623" s="3" t="s">
        <v>1430</v>
      </c>
      <c r="H623" s="3" t="s">
        <v>7</v>
      </c>
      <c r="I623" s="3" t="s">
        <v>7</v>
      </c>
      <c r="J623" s="3" t="s">
        <v>7</v>
      </c>
      <c r="K623" s="3" t="s">
        <v>7</v>
      </c>
      <c r="L623" s="3" t="s">
        <v>7</v>
      </c>
      <c r="M623" s="2" t="s">
        <v>602</v>
      </c>
      <c r="N623" s="2" t="s">
        <v>603</v>
      </c>
      <c r="O623" s="2" t="s">
        <v>1357</v>
      </c>
      <c r="P623" s="2" t="s">
        <v>2923</v>
      </c>
      <c r="Q623" s="3" t="s">
        <v>2856</v>
      </c>
    </row>
    <row r="624" spans="1:17" hidden="1">
      <c r="A624" s="21" t="s">
        <v>2903</v>
      </c>
      <c r="B624" s="22" t="s">
        <v>1066</v>
      </c>
      <c r="C624" s="21" t="s">
        <v>2977</v>
      </c>
      <c r="D624" s="21" t="s">
        <v>168</v>
      </c>
      <c r="E624" s="21" t="s">
        <v>837</v>
      </c>
      <c r="F624" s="21" t="s">
        <v>1180</v>
      </c>
      <c r="G624" s="3" t="s">
        <v>1182</v>
      </c>
      <c r="H624" s="3" t="s">
        <v>7</v>
      </c>
      <c r="I624" s="3" t="s">
        <v>7</v>
      </c>
      <c r="J624" s="3" t="s">
        <v>7</v>
      </c>
      <c r="K624" s="3" t="s">
        <v>7</v>
      </c>
      <c r="L624" s="3" t="s">
        <v>7</v>
      </c>
      <c r="M624" s="18" t="s">
        <v>602</v>
      </c>
      <c r="N624" s="18" t="s">
        <v>603</v>
      </c>
      <c r="O624" s="18" t="s">
        <v>1357</v>
      </c>
      <c r="P624" s="18" t="s">
        <v>2923</v>
      </c>
      <c r="Q624" s="3" t="s">
        <v>2856</v>
      </c>
    </row>
    <row r="625" spans="1:17" hidden="1">
      <c r="A625" s="21" t="s">
        <v>2903</v>
      </c>
      <c r="B625" s="22" t="s">
        <v>1606</v>
      </c>
      <c r="C625" s="21" t="s">
        <v>2125</v>
      </c>
      <c r="D625" s="21" t="s">
        <v>1604</v>
      </c>
      <c r="E625" s="21" t="s">
        <v>1605</v>
      </c>
      <c r="F625" s="21" t="s">
        <v>8</v>
      </c>
      <c r="G625" s="3" t="s">
        <v>1457</v>
      </c>
      <c r="H625" s="3" t="s">
        <v>7</v>
      </c>
      <c r="I625" s="3" t="s">
        <v>7</v>
      </c>
      <c r="J625" s="3" t="s">
        <v>7</v>
      </c>
      <c r="K625" s="3" t="s">
        <v>7</v>
      </c>
      <c r="L625" s="3" t="s">
        <v>7</v>
      </c>
      <c r="M625" s="18" t="s">
        <v>672</v>
      </c>
      <c r="N625" s="18" t="s">
        <v>673</v>
      </c>
      <c r="O625" s="18" t="s">
        <v>1340</v>
      </c>
      <c r="P625" s="18" t="s">
        <v>2910</v>
      </c>
      <c r="Q625" s="3" t="s">
        <v>2856</v>
      </c>
    </row>
    <row r="626" spans="1:17" hidden="1">
      <c r="A626" s="21" t="s">
        <v>2903</v>
      </c>
      <c r="B626" s="22" t="s">
        <v>1603</v>
      </c>
      <c r="C626" s="21" t="s">
        <v>2124</v>
      </c>
      <c r="D626" s="21" t="s">
        <v>1604</v>
      </c>
      <c r="E626" s="21" t="s">
        <v>1605</v>
      </c>
      <c r="F626" s="21" t="s">
        <v>1409</v>
      </c>
      <c r="G626" s="3" t="s">
        <v>1457</v>
      </c>
      <c r="H626" s="3" t="s">
        <v>7</v>
      </c>
      <c r="I626" s="3" t="s">
        <v>7</v>
      </c>
      <c r="J626" s="3" t="s">
        <v>7</v>
      </c>
      <c r="K626" s="3" t="s">
        <v>7</v>
      </c>
      <c r="L626" s="3" t="s">
        <v>7</v>
      </c>
      <c r="M626" s="18" t="s">
        <v>672</v>
      </c>
      <c r="N626" s="18" t="s">
        <v>673</v>
      </c>
      <c r="O626" s="18" t="s">
        <v>1340</v>
      </c>
      <c r="P626" s="18" t="s">
        <v>2910</v>
      </c>
      <c r="Q626" s="3" t="s">
        <v>2856</v>
      </c>
    </row>
    <row r="627" spans="1:17" hidden="1">
      <c r="A627" s="21" t="s">
        <v>2861</v>
      </c>
      <c r="B627" s="22" t="s">
        <v>1607</v>
      </c>
      <c r="C627" s="21" t="s">
        <v>2126</v>
      </c>
      <c r="D627" s="21" t="s">
        <v>169</v>
      </c>
      <c r="E627" s="21" t="s">
        <v>170</v>
      </c>
      <c r="F627" s="21" t="s">
        <v>1192</v>
      </c>
      <c r="G627" s="3" t="s">
        <v>1457</v>
      </c>
      <c r="H627" s="3" t="s">
        <v>7</v>
      </c>
      <c r="I627" s="3" t="s">
        <v>7</v>
      </c>
      <c r="J627" s="3" t="s">
        <v>7</v>
      </c>
      <c r="K627" s="3" t="s">
        <v>7</v>
      </c>
      <c r="L627" s="3" t="s">
        <v>7</v>
      </c>
      <c r="M627" s="18" t="s">
        <v>334</v>
      </c>
      <c r="N627" s="18" t="s">
        <v>335</v>
      </c>
      <c r="O627" s="18" t="s">
        <v>1265</v>
      </c>
      <c r="P627" s="18" t="s">
        <v>2865</v>
      </c>
      <c r="Q627" s="3" t="s">
        <v>2856</v>
      </c>
    </row>
    <row r="628" spans="1:17" hidden="1">
      <c r="A628" s="21" t="s">
        <v>2861</v>
      </c>
      <c r="B628" s="22" t="s">
        <v>1608</v>
      </c>
      <c r="C628" s="21" t="s">
        <v>2127</v>
      </c>
      <c r="D628" s="21" t="s">
        <v>169</v>
      </c>
      <c r="E628" s="21" t="s">
        <v>170</v>
      </c>
      <c r="F628" s="21" t="s">
        <v>1192</v>
      </c>
      <c r="G628" s="3" t="s">
        <v>1419</v>
      </c>
      <c r="H628" s="3" t="s">
        <v>7</v>
      </c>
      <c r="I628" s="3" t="s">
        <v>7</v>
      </c>
      <c r="J628" s="3" t="s">
        <v>7</v>
      </c>
      <c r="K628" s="3" t="s">
        <v>7</v>
      </c>
      <c r="L628" s="3" t="s">
        <v>7</v>
      </c>
      <c r="M628" s="18" t="s">
        <v>334</v>
      </c>
      <c r="N628" s="18" t="s">
        <v>335</v>
      </c>
      <c r="O628" s="18" t="s">
        <v>1265</v>
      </c>
      <c r="P628" s="18" t="s">
        <v>2865</v>
      </c>
      <c r="Q628" s="3" t="s">
        <v>2856</v>
      </c>
    </row>
    <row r="629" spans="1:17" hidden="1">
      <c r="A629" s="21" t="s">
        <v>2861</v>
      </c>
      <c r="B629" s="22" t="s">
        <v>1067</v>
      </c>
      <c r="C629" s="21" t="s">
        <v>2128</v>
      </c>
      <c r="D629" s="21" t="s">
        <v>169</v>
      </c>
      <c r="E629" s="21" t="s">
        <v>170</v>
      </c>
      <c r="F629" s="21" t="s">
        <v>1180</v>
      </c>
      <c r="G629" s="3" t="s">
        <v>1184</v>
      </c>
      <c r="H629" s="3" t="s">
        <v>7</v>
      </c>
      <c r="I629" s="3" t="s">
        <v>7</v>
      </c>
      <c r="J629" s="3" t="s">
        <v>7</v>
      </c>
      <c r="K629" s="3" t="s">
        <v>7</v>
      </c>
      <c r="L629" s="3" t="s">
        <v>7</v>
      </c>
      <c r="M629" s="18" t="s">
        <v>334</v>
      </c>
      <c r="N629" s="18" t="s">
        <v>335</v>
      </c>
      <c r="O629" s="18" t="s">
        <v>1265</v>
      </c>
      <c r="P629" s="18" t="s">
        <v>2865</v>
      </c>
      <c r="Q629" s="3" t="s">
        <v>2856</v>
      </c>
    </row>
    <row r="630" spans="1:17" hidden="1">
      <c r="A630" s="21" t="s">
        <v>2861</v>
      </c>
      <c r="B630" s="22" t="s">
        <v>1212</v>
      </c>
      <c r="C630" s="21" t="s">
        <v>2129</v>
      </c>
      <c r="D630" s="21" t="s">
        <v>169</v>
      </c>
      <c r="E630" s="21" t="s">
        <v>1213</v>
      </c>
      <c r="F630" s="21" t="s">
        <v>1192</v>
      </c>
      <c r="G630" s="3" t="s">
        <v>1198</v>
      </c>
      <c r="H630" s="3" t="s">
        <v>7</v>
      </c>
      <c r="I630" s="3" t="s">
        <v>7</v>
      </c>
      <c r="J630" s="3" t="s">
        <v>7</v>
      </c>
      <c r="K630" s="3" t="s">
        <v>7</v>
      </c>
      <c r="L630" s="3" t="s">
        <v>7</v>
      </c>
      <c r="M630" s="18" t="s">
        <v>1224</v>
      </c>
      <c r="N630" s="18" t="s">
        <v>1266</v>
      </c>
      <c r="O630" s="18" t="s">
        <v>1265</v>
      </c>
      <c r="P630" s="18" t="s">
        <v>2865</v>
      </c>
      <c r="Q630" s="3" t="s">
        <v>2856</v>
      </c>
    </row>
    <row r="631" spans="1:17" hidden="1">
      <c r="A631" s="21" t="s">
        <v>2861</v>
      </c>
      <c r="B631" s="22" t="s">
        <v>1214</v>
      </c>
      <c r="C631" s="21" t="s">
        <v>2130</v>
      </c>
      <c r="D631" s="21" t="s">
        <v>169</v>
      </c>
      <c r="E631" s="21" t="s">
        <v>1213</v>
      </c>
      <c r="F631" s="21" t="s">
        <v>1192</v>
      </c>
      <c r="G631" s="3" t="s">
        <v>1198</v>
      </c>
      <c r="H631" s="3" t="s">
        <v>7</v>
      </c>
      <c r="I631" s="3" t="s">
        <v>7</v>
      </c>
      <c r="J631" s="3" t="s">
        <v>7</v>
      </c>
      <c r="K631" s="3" t="s">
        <v>7</v>
      </c>
      <c r="L631" s="3" t="s">
        <v>7</v>
      </c>
      <c r="M631" s="18" t="s">
        <v>1224</v>
      </c>
      <c r="N631" s="18" t="s">
        <v>1266</v>
      </c>
      <c r="O631" s="18" t="s">
        <v>1265</v>
      </c>
      <c r="P631" s="18" t="s">
        <v>2865</v>
      </c>
      <c r="Q631" s="3" t="s">
        <v>2856</v>
      </c>
    </row>
    <row r="632" spans="1:17" hidden="1">
      <c r="A632" s="21" t="s">
        <v>2861</v>
      </c>
      <c r="B632" s="22" t="s">
        <v>2813</v>
      </c>
      <c r="C632" s="21" t="s">
        <v>2814</v>
      </c>
      <c r="D632" s="21" t="s">
        <v>169</v>
      </c>
      <c r="E632" s="21" t="s">
        <v>1213</v>
      </c>
      <c r="F632" s="21" t="s">
        <v>1422</v>
      </c>
      <c r="G632" s="3" t="s">
        <v>1179</v>
      </c>
      <c r="H632" s="3" t="s">
        <v>55</v>
      </c>
      <c r="I632" s="3" t="s">
        <v>55</v>
      </c>
      <c r="J632" s="3" t="s">
        <v>55</v>
      </c>
      <c r="K632" s="3" t="s">
        <v>55</v>
      </c>
      <c r="L632" s="3" t="s">
        <v>55</v>
      </c>
      <c r="M632" s="2" t="s">
        <v>1224</v>
      </c>
      <c r="N632" s="2" t="s">
        <v>1266</v>
      </c>
      <c r="O632" s="2" t="s">
        <v>1265</v>
      </c>
      <c r="P632" s="2" t="s">
        <v>2865</v>
      </c>
      <c r="Q632" s="3" t="s">
        <v>2856</v>
      </c>
    </row>
    <row r="633" spans="1:17" hidden="1">
      <c r="A633" s="21" t="s">
        <v>2861</v>
      </c>
      <c r="B633" s="22" t="s">
        <v>3059</v>
      </c>
      <c r="C633" s="21" t="s">
        <v>3060</v>
      </c>
      <c r="D633" s="21" t="s">
        <v>169</v>
      </c>
      <c r="E633" s="21" t="s">
        <v>1213</v>
      </c>
      <c r="F633" s="21" t="s">
        <v>1181</v>
      </c>
      <c r="G633" s="3" t="s">
        <v>2559</v>
      </c>
      <c r="H633" s="3" t="s">
        <v>3071</v>
      </c>
      <c r="I633" s="3" t="s">
        <v>55</v>
      </c>
      <c r="J633" s="3" t="s">
        <v>3071</v>
      </c>
      <c r="K633" s="3" t="s">
        <v>3071</v>
      </c>
      <c r="L633" s="3" t="s">
        <v>55</v>
      </c>
      <c r="M633" s="2" t="s">
        <v>1224</v>
      </c>
      <c r="N633" s="2" t="s">
        <v>1266</v>
      </c>
      <c r="O633" s="2" t="s">
        <v>1265</v>
      </c>
      <c r="P633" s="2" t="s">
        <v>2865</v>
      </c>
      <c r="Q633" s="3" t="s">
        <v>2856</v>
      </c>
    </row>
    <row r="634" spans="1:17" hidden="1">
      <c r="A634" s="21" t="s">
        <v>2946</v>
      </c>
      <c r="B634" s="22" t="s">
        <v>1609</v>
      </c>
      <c r="C634" s="21" t="s">
        <v>2131</v>
      </c>
      <c r="D634" s="21" t="s">
        <v>171</v>
      </c>
      <c r="E634" s="21" t="s">
        <v>172</v>
      </c>
      <c r="F634" s="21" t="s">
        <v>1409</v>
      </c>
      <c r="G634" s="3" t="s">
        <v>1457</v>
      </c>
      <c r="H634" s="3" t="s">
        <v>7</v>
      </c>
      <c r="I634" s="3" t="s">
        <v>7</v>
      </c>
      <c r="J634" s="3" t="s">
        <v>7</v>
      </c>
      <c r="K634" s="3" t="s">
        <v>7</v>
      </c>
      <c r="L634" s="3" t="s">
        <v>7</v>
      </c>
      <c r="M634" s="2" t="s">
        <v>370</v>
      </c>
      <c r="N634" s="2" t="s">
        <v>371</v>
      </c>
      <c r="O634" s="2" t="s">
        <v>1401</v>
      </c>
      <c r="P634" s="2" t="s">
        <v>2956</v>
      </c>
      <c r="Q634" s="3" t="s">
        <v>2856</v>
      </c>
    </row>
    <row r="635" spans="1:17" hidden="1">
      <c r="A635" s="21" t="s">
        <v>2946</v>
      </c>
      <c r="B635" s="22" t="s">
        <v>1610</v>
      </c>
      <c r="C635" s="21" t="s">
        <v>2132</v>
      </c>
      <c r="D635" s="21" t="s">
        <v>171</v>
      </c>
      <c r="E635" s="21" t="s">
        <v>172</v>
      </c>
      <c r="F635" s="21" t="s">
        <v>8</v>
      </c>
      <c r="G635" s="3" t="s">
        <v>1457</v>
      </c>
      <c r="H635" s="3" t="s">
        <v>7</v>
      </c>
      <c r="I635" s="3" t="s">
        <v>7</v>
      </c>
      <c r="J635" s="3" t="s">
        <v>7</v>
      </c>
      <c r="K635" s="3" t="s">
        <v>7</v>
      </c>
      <c r="L635" s="3" t="s">
        <v>7</v>
      </c>
      <c r="M635" s="2" t="s">
        <v>386</v>
      </c>
      <c r="N635" s="2" t="s">
        <v>387</v>
      </c>
      <c r="O635" s="2" t="s">
        <v>1401</v>
      </c>
      <c r="P635" s="2" t="s">
        <v>2956</v>
      </c>
      <c r="Q635" s="3" t="s">
        <v>2856</v>
      </c>
    </row>
    <row r="636" spans="1:17" hidden="1">
      <c r="A636" s="21" t="s">
        <v>2946</v>
      </c>
      <c r="B636" s="22" t="s">
        <v>1068</v>
      </c>
      <c r="C636" s="21" t="s">
        <v>2134</v>
      </c>
      <c r="D636" s="21" t="s">
        <v>171</v>
      </c>
      <c r="E636" s="21" t="s">
        <v>172</v>
      </c>
      <c r="F636" s="21" t="s">
        <v>1180</v>
      </c>
      <c r="G636" s="3" t="s">
        <v>1412</v>
      </c>
      <c r="H636" s="3" t="s">
        <v>7</v>
      </c>
      <c r="I636" s="3" t="s">
        <v>7</v>
      </c>
      <c r="J636" s="3" t="s">
        <v>7</v>
      </c>
      <c r="K636" s="3" t="s">
        <v>7</v>
      </c>
      <c r="L636" s="3" t="s">
        <v>7</v>
      </c>
      <c r="M636" s="2" t="s">
        <v>386</v>
      </c>
      <c r="N636" s="2" t="s">
        <v>387</v>
      </c>
      <c r="O636" s="2" t="s">
        <v>1401</v>
      </c>
      <c r="P636" s="2" t="s">
        <v>2956</v>
      </c>
      <c r="Q636" s="3" t="s">
        <v>2856</v>
      </c>
    </row>
    <row r="637" spans="1:17" hidden="1">
      <c r="A637" s="21" t="s">
        <v>2946</v>
      </c>
      <c r="B637" s="22" t="s">
        <v>1611</v>
      </c>
      <c r="C637" s="21" t="s">
        <v>2133</v>
      </c>
      <c r="D637" s="21" t="s">
        <v>171</v>
      </c>
      <c r="E637" s="21" t="s">
        <v>172</v>
      </c>
      <c r="F637" s="21" t="s">
        <v>15</v>
      </c>
      <c r="G637" s="3" t="s">
        <v>1437</v>
      </c>
      <c r="H637" s="3" t="s">
        <v>3071</v>
      </c>
      <c r="I637" s="3" t="s">
        <v>3071</v>
      </c>
      <c r="J637" s="3" t="s">
        <v>3071</v>
      </c>
      <c r="K637" s="3" t="s">
        <v>3071</v>
      </c>
      <c r="L637" s="3" t="s">
        <v>7</v>
      </c>
      <c r="M637" s="2" t="s">
        <v>386</v>
      </c>
      <c r="N637" s="2" t="s">
        <v>387</v>
      </c>
      <c r="O637" s="2" t="s">
        <v>1401</v>
      </c>
      <c r="P637" s="2" t="s">
        <v>2956</v>
      </c>
      <c r="Q637" s="3" t="s">
        <v>2856</v>
      </c>
    </row>
    <row r="638" spans="1:17" hidden="1">
      <c r="A638" s="21" t="s">
        <v>2903</v>
      </c>
      <c r="B638" s="22" t="s">
        <v>1069</v>
      </c>
      <c r="C638" s="21" t="s">
        <v>2135</v>
      </c>
      <c r="D638" s="21" t="s">
        <v>173</v>
      </c>
      <c r="E638" s="21" t="s">
        <v>838</v>
      </c>
      <c r="F638" s="21" t="s">
        <v>8</v>
      </c>
      <c r="G638" s="3" t="s">
        <v>1412</v>
      </c>
      <c r="H638" s="3" t="s">
        <v>7</v>
      </c>
      <c r="I638" s="3" t="s">
        <v>7</v>
      </c>
      <c r="J638" s="3" t="s">
        <v>7</v>
      </c>
      <c r="K638" s="3" t="s">
        <v>7</v>
      </c>
      <c r="L638" s="3" t="s">
        <v>7</v>
      </c>
      <c r="M638" s="2" t="s">
        <v>604</v>
      </c>
      <c r="N638" s="2" t="s">
        <v>605</v>
      </c>
      <c r="O638" s="2" t="s">
        <v>1346</v>
      </c>
      <c r="P638" s="2" t="s">
        <v>2917</v>
      </c>
      <c r="Q638" s="3" t="s">
        <v>2856</v>
      </c>
    </row>
    <row r="639" spans="1:17" hidden="1">
      <c r="A639" s="21" t="s">
        <v>2903</v>
      </c>
      <c r="B639" s="22" t="s">
        <v>1070</v>
      </c>
      <c r="C639" s="21" t="s">
        <v>2817</v>
      </c>
      <c r="D639" s="21" t="s">
        <v>173</v>
      </c>
      <c r="E639" s="21" t="s">
        <v>838</v>
      </c>
      <c r="F639" s="21" t="s">
        <v>1180</v>
      </c>
      <c r="G639" s="3" t="s">
        <v>1182</v>
      </c>
      <c r="H639" s="3" t="s">
        <v>7</v>
      </c>
      <c r="I639" s="3" t="s">
        <v>7</v>
      </c>
      <c r="J639" s="3" t="s">
        <v>7</v>
      </c>
      <c r="K639" s="3" t="s">
        <v>7</v>
      </c>
      <c r="L639" s="3" t="s">
        <v>7</v>
      </c>
      <c r="M639" s="2" t="s">
        <v>604</v>
      </c>
      <c r="N639" s="2" t="s">
        <v>605</v>
      </c>
      <c r="O639" s="2" t="s">
        <v>1346</v>
      </c>
      <c r="P639" s="2" t="s">
        <v>2917</v>
      </c>
      <c r="Q639" s="3" t="s">
        <v>2856</v>
      </c>
    </row>
    <row r="640" spans="1:17" hidden="1">
      <c r="A640" s="21" t="s">
        <v>2903</v>
      </c>
      <c r="B640" s="22" t="s">
        <v>2815</v>
      </c>
      <c r="C640" s="21" t="s">
        <v>2816</v>
      </c>
      <c r="D640" s="21" t="s">
        <v>173</v>
      </c>
      <c r="E640" s="21" t="s">
        <v>838</v>
      </c>
      <c r="F640" s="21" t="s">
        <v>1181</v>
      </c>
      <c r="G640" s="3" t="s">
        <v>1179</v>
      </c>
      <c r="H640" s="3" t="s">
        <v>3071</v>
      </c>
      <c r="I640" s="3" t="s">
        <v>7</v>
      </c>
      <c r="J640" s="3" t="s">
        <v>3071</v>
      </c>
      <c r="K640" s="3" t="s">
        <v>3071</v>
      </c>
      <c r="L640" s="3" t="s">
        <v>7</v>
      </c>
      <c r="M640" s="2" t="s">
        <v>604</v>
      </c>
      <c r="N640" s="2" t="s">
        <v>605</v>
      </c>
      <c r="O640" s="2" t="s">
        <v>1346</v>
      </c>
      <c r="P640" s="2" t="s">
        <v>2917</v>
      </c>
      <c r="Q640" s="3" t="s">
        <v>2856</v>
      </c>
    </row>
    <row r="641" spans="1:17" hidden="1">
      <c r="A641" s="21" t="s">
        <v>2903</v>
      </c>
      <c r="B641" s="22" t="s">
        <v>2822</v>
      </c>
      <c r="C641" s="21" t="s">
        <v>2823</v>
      </c>
      <c r="D641" s="21" t="s">
        <v>797</v>
      </c>
      <c r="E641" s="21" t="s">
        <v>839</v>
      </c>
      <c r="F641" s="21" t="s">
        <v>1180</v>
      </c>
      <c r="G641" s="3" t="s">
        <v>1189</v>
      </c>
      <c r="H641" s="3" t="s">
        <v>7</v>
      </c>
      <c r="I641" s="3" t="s">
        <v>7</v>
      </c>
      <c r="J641" s="3" t="s">
        <v>7</v>
      </c>
      <c r="K641" s="3" t="s">
        <v>7</v>
      </c>
      <c r="L641" s="3" t="s">
        <v>7</v>
      </c>
      <c r="M641" s="2" t="s">
        <v>648</v>
      </c>
      <c r="N641" s="2" t="s">
        <v>649</v>
      </c>
      <c r="O641" s="2" t="s">
        <v>1364</v>
      </c>
      <c r="P641" s="2" t="s">
        <v>2907</v>
      </c>
      <c r="Q641" s="3" t="s">
        <v>2856</v>
      </c>
    </row>
    <row r="642" spans="1:17" hidden="1">
      <c r="A642" s="21" t="s">
        <v>2903</v>
      </c>
      <c r="B642" s="22" t="s">
        <v>2820</v>
      </c>
      <c r="C642" s="21" t="s">
        <v>2821</v>
      </c>
      <c r="D642" s="21" t="s">
        <v>797</v>
      </c>
      <c r="E642" s="21" t="s">
        <v>839</v>
      </c>
      <c r="F642" s="21" t="s">
        <v>1181</v>
      </c>
      <c r="G642" s="3" t="s">
        <v>1419</v>
      </c>
      <c r="H642" s="3" t="s">
        <v>3071</v>
      </c>
      <c r="I642" s="3" t="s">
        <v>55</v>
      </c>
      <c r="J642" s="3" t="s">
        <v>3071</v>
      </c>
      <c r="K642" s="3" t="s">
        <v>3071</v>
      </c>
      <c r="L642" s="3" t="s">
        <v>55</v>
      </c>
      <c r="M642" s="2" t="s">
        <v>648</v>
      </c>
      <c r="N642" s="2" t="s">
        <v>649</v>
      </c>
      <c r="O642" s="2" t="s">
        <v>1364</v>
      </c>
      <c r="P642" s="2" t="s">
        <v>2907</v>
      </c>
      <c r="Q642" s="3" t="s">
        <v>2856</v>
      </c>
    </row>
    <row r="643" spans="1:17" hidden="1">
      <c r="A643" s="21" t="s">
        <v>2903</v>
      </c>
      <c r="B643" s="22" t="s">
        <v>2818</v>
      </c>
      <c r="C643" s="21" t="s">
        <v>2819</v>
      </c>
      <c r="D643" s="21" t="s">
        <v>797</v>
      </c>
      <c r="E643" s="21" t="s">
        <v>839</v>
      </c>
      <c r="F643" s="21" t="s">
        <v>1192</v>
      </c>
      <c r="G643" s="3" t="s">
        <v>1185</v>
      </c>
      <c r="H643" s="3" t="s">
        <v>7</v>
      </c>
      <c r="I643" s="3" t="s">
        <v>7</v>
      </c>
      <c r="J643" s="3" t="s">
        <v>7</v>
      </c>
      <c r="K643" s="3" t="s">
        <v>7</v>
      </c>
      <c r="L643" s="3" t="s">
        <v>7</v>
      </c>
      <c r="M643" s="2" t="s">
        <v>648</v>
      </c>
      <c r="N643" s="2" t="s">
        <v>649</v>
      </c>
      <c r="O643" s="2" t="s">
        <v>1364</v>
      </c>
      <c r="P643" s="2" t="s">
        <v>2907</v>
      </c>
      <c r="Q643" s="3" t="s">
        <v>2856</v>
      </c>
    </row>
    <row r="644" spans="1:17" hidden="1">
      <c r="A644" s="21">
        <v>0</v>
      </c>
      <c r="B644" s="22" t="s">
        <v>3314</v>
      </c>
      <c r="C644" s="21" t="s">
        <v>3315</v>
      </c>
      <c r="D644" s="21" t="s">
        <v>3316</v>
      </c>
      <c r="E644" s="21" t="s">
        <v>3317</v>
      </c>
      <c r="F644" s="21" t="s">
        <v>1192</v>
      </c>
      <c r="G644" s="3" t="s">
        <v>1457</v>
      </c>
      <c r="H644" s="3" t="s">
        <v>7</v>
      </c>
      <c r="I644" s="3" t="s">
        <v>7</v>
      </c>
      <c r="J644" s="3" t="s">
        <v>7</v>
      </c>
      <c r="K644" s="3" t="s">
        <v>7</v>
      </c>
      <c r="L644" s="3" t="s">
        <v>7</v>
      </c>
      <c r="M644" s="2" t="s">
        <v>630</v>
      </c>
      <c r="N644" s="2" t="s">
        <v>3317</v>
      </c>
      <c r="O644" s="2">
        <v>0</v>
      </c>
      <c r="P644" s="2">
        <v>0</v>
      </c>
      <c r="Q644" s="3" t="s">
        <v>3199</v>
      </c>
    </row>
    <row r="645" spans="1:17" hidden="1">
      <c r="A645" s="21">
        <v>0</v>
      </c>
      <c r="B645" s="22" t="s">
        <v>3318</v>
      </c>
      <c r="C645" s="21" t="s">
        <v>3319</v>
      </c>
      <c r="D645" s="21" t="s">
        <v>3316</v>
      </c>
      <c r="E645" s="21" t="s">
        <v>3317</v>
      </c>
      <c r="F645" s="21" t="s">
        <v>1181</v>
      </c>
      <c r="G645" s="3" t="s">
        <v>1182</v>
      </c>
      <c r="H645" s="3" t="s">
        <v>3071</v>
      </c>
      <c r="I645" s="3" t="s">
        <v>7</v>
      </c>
      <c r="J645" s="3" t="s">
        <v>3071</v>
      </c>
      <c r="K645" s="3" t="s">
        <v>3071</v>
      </c>
      <c r="L645" s="3" t="s">
        <v>7</v>
      </c>
      <c r="M645" s="2" t="s">
        <v>630</v>
      </c>
      <c r="N645" s="2" t="s">
        <v>3317</v>
      </c>
      <c r="O645" s="2">
        <v>0</v>
      </c>
      <c r="P645" s="2">
        <v>0</v>
      </c>
      <c r="Q645" s="3" t="s">
        <v>3199</v>
      </c>
    </row>
    <row r="646" spans="1:17" hidden="1">
      <c r="A646" s="21">
        <v>0</v>
      </c>
      <c r="B646" s="22" t="s">
        <v>3320</v>
      </c>
      <c r="C646" s="21" t="s">
        <v>3321</v>
      </c>
      <c r="D646" s="21" t="s">
        <v>3316</v>
      </c>
      <c r="E646" s="21" t="s">
        <v>3317</v>
      </c>
      <c r="F646" s="21" t="s">
        <v>1180</v>
      </c>
      <c r="G646" s="3" t="s">
        <v>1414</v>
      </c>
      <c r="H646" s="3" t="s">
        <v>7</v>
      </c>
      <c r="I646" s="3" t="s">
        <v>7</v>
      </c>
      <c r="J646" s="3" t="s">
        <v>7</v>
      </c>
      <c r="K646" s="3" t="s">
        <v>7</v>
      </c>
      <c r="L646" s="3" t="s">
        <v>7</v>
      </c>
      <c r="M646" s="2" t="s">
        <v>630</v>
      </c>
      <c r="N646" s="2" t="s">
        <v>3317</v>
      </c>
      <c r="O646" s="2">
        <v>0</v>
      </c>
      <c r="P646" s="2">
        <v>0</v>
      </c>
      <c r="Q646" s="3" t="s">
        <v>3199</v>
      </c>
    </row>
    <row r="647" spans="1:17" hidden="1">
      <c r="A647" s="21" t="s">
        <v>2871</v>
      </c>
      <c r="B647" s="22" t="s">
        <v>1071</v>
      </c>
      <c r="C647" s="21" t="s">
        <v>2136</v>
      </c>
      <c r="D647" s="21" t="s">
        <v>174</v>
      </c>
      <c r="E647" s="21" t="s">
        <v>175</v>
      </c>
      <c r="F647" s="21" t="s">
        <v>8</v>
      </c>
      <c r="G647" s="3" t="s">
        <v>1412</v>
      </c>
      <c r="H647" s="3" t="s">
        <v>7</v>
      </c>
      <c r="I647" s="3" t="s">
        <v>7</v>
      </c>
      <c r="J647" s="3" t="s">
        <v>7</v>
      </c>
      <c r="K647" s="3" t="s">
        <v>7</v>
      </c>
      <c r="L647" s="3" t="s">
        <v>7</v>
      </c>
      <c r="M647" s="2" t="s">
        <v>242</v>
      </c>
      <c r="N647" s="2" t="s">
        <v>243</v>
      </c>
      <c r="O647" s="2" t="s">
        <v>1290</v>
      </c>
      <c r="P647" s="2" t="s">
        <v>2873</v>
      </c>
      <c r="Q647" s="3" t="s">
        <v>2856</v>
      </c>
    </row>
    <row r="648" spans="1:17" hidden="1">
      <c r="A648" s="21" t="s">
        <v>2871</v>
      </c>
      <c r="B648" s="22" t="s">
        <v>2137</v>
      </c>
      <c r="C648" s="21" t="s">
        <v>2138</v>
      </c>
      <c r="D648" s="21" t="s">
        <v>174</v>
      </c>
      <c r="E648" s="21" t="s">
        <v>175</v>
      </c>
      <c r="F648" s="21" t="s">
        <v>1637</v>
      </c>
      <c r="G648" s="3" t="s">
        <v>1430</v>
      </c>
      <c r="H648" s="3" t="s">
        <v>3071</v>
      </c>
      <c r="I648" s="3" t="s">
        <v>3071</v>
      </c>
      <c r="J648" s="3" t="s">
        <v>3071</v>
      </c>
      <c r="K648" s="3" t="s">
        <v>3071</v>
      </c>
      <c r="L648" s="3" t="s">
        <v>7</v>
      </c>
      <c r="M648" s="2" t="s">
        <v>242</v>
      </c>
      <c r="N648" s="2" t="s">
        <v>243</v>
      </c>
      <c r="O648" s="2" t="s">
        <v>1290</v>
      </c>
      <c r="P648" s="2" t="s">
        <v>2873</v>
      </c>
      <c r="Q648" s="3" t="s">
        <v>2856</v>
      </c>
    </row>
    <row r="649" spans="1:17" hidden="1">
      <c r="A649" s="21" t="s">
        <v>2871</v>
      </c>
      <c r="B649" s="22" t="s">
        <v>2449</v>
      </c>
      <c r="C649" s="21" t="s">
        <v>2450</v>
      </c>
      <c r="D649" s="21" t="s">
        <v>174</v>
      </c>
      <c r="E649" s="21" t="s">
        <v>175</v>
      </c>
      <c r="F649" s="21" t="s">
        <v>1192</v>
      </c>
      <c r="G649" s="3" t="s">
        <v>1198</v>
      </c>
      <c r="H649" s="3" t="s">
        <v>7</v>
      </c>
      <c r="I649" s="3" t="s">
        <v>7</v>
      </c>
      <c r="J649" s="3" t="s">
        <v>7</v>
      </c>
      <c r="K649" s="3" t="s">
        <v>7</v>
      </c>
      <c r="L649" s="3" t="s">
        <v>7</v>
      </c>
      <c r="M649" s="2" t="s">
        <v>242</v>
      </c>
      <c r="N649" s="2" t="s">
        <v>243</v>
      </c>
      <c r="O649" s="2" t="s">
        <v>1290</v>
      </c>
      <c r="P649" s="2" t="s">
        <v>2873</v>
      </c>
      <c r="Q649" s="3" t="s">
        <v>2856</v>
      </c>
    </row>
    <row r="650" spans="1:17" hidden="1">
      <c r="A650" s="21" t="s">
        <v>2871</v>
      </c>
      <c r="B650" s="22" t="s">
        <v>2451</v>
      </c>
      <c r="C650" s="21" t="s">
        <v>2452</v>
      </c>
      <c r="D650" s="21" t="s">
        <v>174</v>
      </c>
      <c r="E650" s="21" t="s">
        <v>175</v>
      </c>
      <c r="F650" s="21" t="s">
        <v>1180</v>
      </c>
      <c r="G650" s="3" t="s">
        <v>1186</v>
      </c>
      <c r="H650" s="3" t="s">
        <v>7</v>
      </c>
      <c r="I650" s="3" t="s">
        <v>7</v>
      </c>
      <c r="J650" s="3" t="s">
        <v>7</v>
      </c>
      <c r="K650" s="3" t="s">
        <v>7</v>
      </c>
      <c r="L650" s="3" t="s">
        <v>7</v>
      </c>
      <c r="M650" s="2" t="s">
        <v>242</v>
      </c>
      <c r="N650" s="2" t="s">
        <v>243</v>
      </c>
      <c r="O650" s="2" t="s">
        <v>1290</v>
      </c>
      <c r="P650" s="2" t="s">
        <v>2873</v>
      </c>
      <c r="Q650" s="3" t="s">
        <v>2856</v>
      </c>
    </row>
    <row r="651" spans="1:17" hidden="1">
      <c r="A651" s="21" t="s">
        <v>2946</v>
      </c>
      <c r="B651" s="22" t="s">
        <v>1612</v>
      </c>
      <c r="C651" s="21" t="s">
        <v>2139</v>
      </c>
      <c r="D651" s="21" t="s">
        <v>176</v>
      </c>
      <c r="E651" s="21" t="s">
        <v>1613</v>
      </c>
      <c r="F651" s="21" t="s">
        <v>1409</v>
      </c>
      <c r="G651" s="3" t="s">
        <v>1430</v>
      </c>
      <c r="H651" s="3" t="s">
        <v>7</v>
      </c>
      <c r="I651" s="3" t="s">
        <v>7</v>
      </c>
      <c r="J651" s="3" t="s">
        <v>7</v>
      </c>
      <c r="K651" s="3" t="s">
        <v>7</v>
      </c>
      <c r="L651" s="3" t="s">
        <v>7</v>
      </c>
      <c r="M651" s="2" t="s">
        <v>396</v>
      </c>
      <c r="N651" s="2" t="s">
        <v>1397</v>
      </c>
      <c r="O651" s="2" t="s">
        <v>1396</v>
      </c>
      <c r="P651" s="2" t="s">
        <v>2955</v>
      </c>
      <c r="Q651" s="3" t="s">
        <v>2856</v>
      </c>
    </row>
    <row r="652" spans="1:17" hidden="1">
      <c r="A652" s="21" t="s">
        <v>2946</v>
      </c>
      <c r="B652" s="22" t="s">
        <v>1072</v>
      </c>
      <c r="C652" s="21" t="s">
        <v>2140</v>
      </c>
      <c r="D652" s="21" t="s">
        <v>176</v>
      </c>
      <c r="E652" s="21" t="s">
        <v>177</v>
      </c>
      <c r="F652" s="21" t="s">
        <v>8</v>
      </c>
      <c r="G652" s="3" t="s">
        <v>1184</v>
      </c>
      <c r="H652" s="3" t="s">
        <v>7</v>
      </c>
      <c r="I652" s="3" t="s">
        <v>7</v>
      </c>
      <c r="J652" s="3" t="s">
        <v>7</v>
      </c>
      <c r="K652" s="3" t="s">
        <v>7</v>
      </c>
      <c r="L652" s="3" t="s">
        <v>7</v>
      </c>
      <c r="M652" s="2" t="s">
        <v>376</v>
      </c>
      <c r="N652" s="2" t="s">
        <v>377</v>
      </c>
      <c r="O652" s="2" t="s">
        <v>1396</v>
      </c>
      <c r="P652" s="2" t="s">
        <v>2955</v>
      </c>
      <c r="Q652" s="3" t="s">
        <v>2856</v>
      </c>
    </row>
    <row r="653" spans="1:17" hidden="1">
      <c r="A653" s="21" t="s">
        <v>2946</v>
      </c>
      <c r="B653" s="22" t="s">
        <v>1073</v>
      </c>
      <c r="C653" s="21" t="s">
        <v>2141</v>
      </c>
      <c r="D653" s="21" t="s">
        <v>176</v>
      </c>
      <c r="E653" s="21" t="s">
        <v>177</v>
      </c>
      <c r="F653" s="21" t="s">
        <v>1181</v>
      </c>
      <c r="G653" s="3" t="s">
        <v>1184</v>
      </c>
      <c r="H653" s="3" t="s">
        <v>3071</v>
      </c>
      <c r="I653" s="3" t="s">
        <v>7</v>
      </c>
      <c r="J653" s="3" t="s">
        <v>3071</v>
      </c>
      <c r="K653" s="3" t="s">
        <v>3071</v>
      </c>
      <c r="L653" s="3" t="s">
        <v>7</v>
      </c>
      <c r="M653" s="2" t="s">
        <v>376</v>
      </c>
      <c r="N653" s="2" t="s">
        <v>377</v>
      </c>
      <c r="O653" s="2" t="s">
        <v>1396</v>
      </c>
      <c r="P653" s="2" t="s">
        <v>2955</v>
      </c>
      <c r="Q653" s="3" t="s">
        <v>2856</v>
      </c>
    </row>
    <row r="654" spans="1:17" hidden="1">
      <c r="A654" s="21" t="s">
        <v>2876</v>
      </c>
      <c r="B654" s="22" t="s">
        <v>1615</v>
      </c>
      <c r="C654" s="21" t="s">
        <v>2142</v>
      </c>
      <c r="D654" s="21" t="s">
        <v>178</v>
      </c>
      <c r="E654" s="21" t="s">
        <v>179</v>
      </c>
      <c r="F654" s="21" t="s">
        <v>1409</v>
      </c>
      <c r="G654" s="3" t="s">
        <v>1419</v>
      </c>
      <c r="H654" s="3" t="s">
        <v>7</v>
      </c>
      <c r="I654" s="3" t="s">
        <v>7</v>
      </c>
      <c r="J654" s="3" t="s">
        <v>7</v>
      </c>
      <c r="K654" s="3" t="s">
        <v>7</v>
      </c>
      <c r="L654" s="3" t="s">
        <v>7</v>
      </c>
      <c r="M654" s="2" t="s">
        <v>458</v>
      </c>
      <c r="N654" s="2" t="s">
        <v>459</v>
      </c>
      <c r="O654" s="2" t="s">
        <v>1319</v>
      </c>
      <c r="P654" s="2" t="s">
        <v>2882</v>
      </c>
      <c r="Q654" s="3" t="s">
        <v>2856</v>
      </c>
    </row>
    <row r="655" spans="1:17" hidden="1">
      <c r="A655" s="21" t="s">
        <v>2876</v>
      </c>
      <c r="B655" s="22" t="s">
        <v>2400</v>
      </c>
      <c r="C655" s="21" t="s">
        <v>2401</v>
      </c>
      <c r="D655" s="21" t="s">
        <v>178</v>
      </c>
      <c r="E655" s="21" t="s">
        <v>179</v>
      </c>
      <c r="F655" s="21" t="s">
        <v>1180</v>
      </c>
      <c r="G655" s="3" t="s">
        <v>1430</v>
      </c>
      <c r="H655" s="3" t="s">
        <v>7</v>
      </c>
      <c r="I655" s="3" t="s">
        <v>7</v>
      </c>
      <c r="J655" s="3" t="s">
        <v>7</v>
      </c>
      <c r="K655" s="3" t="s">
        <v>7</v>
      </c>
      <c r="L655" s="3" t="s">
        <v>7</v>
      </c>
      <c r="M655" s="2" t="s">
        <v>458</v>
      </c>
      <c r="N655" s="2" t="s">
        <v>459</v>
      </c>
      <c r="O655" s="2" t="s">
        <v>1319</v>
      </c>
      <c r="P655" s="2" t="s">
        <v>2882</v>
      </c>
      <c r="Q655" s="3" t="s">
        <v>2856</v>
      </c>
    </row>
    <row r="656" spans="1:17" hidden="1">
      <c r="A656" s="21" t="s">
        <v>2876</v>
      </c>
      <c r="B656" s="22" t="s">
        <v>1614</v>
      </c>
      <c r="C656" s="21" t="s">
        <v>2145</v>
      </c>
      <c r="D656" s="21" t="s">
        <v>178</v>
      </c>
      <c r="E656" s="21" t="s">
        <v>179</v>
      </c>
      <c r="F656" s="21" t="s">
        <v>1181</v>
      </c>
      <c r="G656" s="3" t="s">
        <v>2461</v>
      </c>
      <c r="H656" s="3" t="s">
        <v>3071</v>
      </c>
      <c r="I656" s="3" t="s">
        <v>7</v>
      </c>
      <c r="J656" s="3" t="s">
        <v>3071</v>
      </c>
      <c r="K656" s="3" t="s">
        <v>3071</v>
      </c>
      <c r="L656" s="3" t="s">
        <v>7</v>
      </c>
      <c r="M656" s="2" t="s">
        <v>458</v>
      </c>
      <c r="N656" s="2" t="s">
        <v>459</v>
      </c>
      <c r="O656" s="2" t="s">
        <v>1319</v>
      </c>
      <c r="P656" s="2" t="s">
        <v>2882</v>
      </c>
      <c r="Q656" s="3" t="s">
        <v>2856</v>
      </c>
    </row>
    <row r="657" spans="1:17" hidden="1">
      <c r="A657" s="21" t="s">
        <v>2876</v>
      </c>
      <c r="B657" s="22" t="s">
        <v>2143</v>
      </c>
      <c r="C657" s="21" t="s">
        <v>2144</v>
      </c>
      <c r="D657" s="21" t="s">
        <v>178</v>
      </c>
      <c r="E657" s="21" t="s">
        <v>179</v>
      </c>
      <c r="F657" s="21" t="s">
        <v>1192</v>
      </c>
      <c r="G657" s="3" t="s">
        <v>1186</v>
      </c>
      <c r="H657" s="3" t="s">
        <v>7</v>
      </c>
      <c r="I657" s="3" t="s">
        <v>7</v>
      </c>
      <c r="J657" s="3" t="s">
        <v>7</v>
      </c>
      <c r="K657" s="3" t="s">
        <v>7</v>
      </c>
      <c r="L657" s="3" t="s">
        <v>7</v>
      </c>
      <c r="M657" s="2" t="s">
        <v>458</v>
      </c>
      <c r="N657" s="2" t="s">
        <v>459</v>
      </c>
      <c r="O657" s="2" t="s">
        <v>1319</v>
      </c>
      <c r="P657" s="2" t="s">
        <v>2882</v>
      </c>
      <c r="Q657" s="3" t="s">
        <v>2856</v>
      </c>
    </row>
    <row r="658" spans="1:17" hidden="1">
      <c r="A658" s="21" t="s">
        <v>2903</v>
      </c>
      <c r="B658" s="22" t="s">
        <v>1616</v>
      </c>
      <c r="C658" s="21" t="s">
        <v>2146</v>
      </c>
      <c r="D658" s="21" t="s">
        <v>180</v>
      </c>
      <c r="E658" s="21" t="s">
        <v>840</v>
      </c>
      <c r="F658" s="21" t="s">
        <v>1180</v>
      </c>
      <c r="G658" s="3" t="s">
        <v>1419</v>
      </c>
      <c r="H658" s="3" t="s">
        <v>7</v>
      </c>
      <c r="I658" s="3" t="s">
        <v>7</v>
      </c>
      <c r="J658" s="3" t="s">
        <v>7</v>
      </c>
      <c r="K658" s="3" t="s">
        <v>7</v>
      </c>
      <c r="L658" s="3" t="s">
        <v>7</v>
      </c>
      <c r="M658" s="2" t="s">
        <v>580</v>
      </c>
      <c r="N658" s="2" t="s">
        <v>1363</v>
      </c>
      <c r="O658" s="2" t="s">
        <v>1362</v>
      </c>
      <c r="P658" s="2" t="s">
        <v>2907</v>
      </c>
      <c r="Q658" s="3" t="s">
        <v>2856</v>
      </c>
    </row>
    <row r="659" spans="1:17" hidden="1">
      <c r="A659" s="21" t="s">
        <v>2903</v>
      </c>
      <c r="B659" s="22" t="s">
        <v>2469</v>
      </c>
      <c r="C659" s="21" t="s">
        <v>2470</v>
      </c>
      <c r="D659" s="21" t="s">
        <v>180</v>
      </c>
      <c r="E659" s="21" t="s">
        <v>840</v>
      </c>
      <c r="F659" s="21" t="s">
        <v>1181</v>
      </c>
      <c r="G659" s="3" t="s">
        <v>1416</v>
      </c>
      <c r="H659" s="3" t="s">
        <v>3071</v>
      </c>
      <c r="I659" s="3" t="s">
        <v>7</v>
      </c>
      <c r="J659" s="3" t="s">
        <v>3071</v>
      </c>
      <c r="K659" s="3" t="s">
        <v>3071</v>
      </c>
      <c r="L659" s="3" t="s">
        <v>7</v>
      </c>
      <c r="M659" s="2" t="s">
        <v>580</v>
      </c>
      <c r="N659" s="2" t="s">
        <v>1363</v>
      </c>
      <c r="O659" s="2" t="s">
        <v>1362</v>
      </c>
      <c r="P659" s="2" t="s">
        <v>2907</v>
      </c>
      <c r="Q659" s="3" t="s">
        <v>2856</v>
      </c>
    </row>
    <row r="660" spans="1:17" hidden="1">
      <c r="A660" s="21" t="s">
        <v>2903</v>
      </c>
      <c r="B660" s="22" t="s">
        <v>1074</v>
      </c>
      <c r="C660" s="21" t="s">
        <v>2147</v>
      </c>
      <c r="D660" s="21" t="s">
        <v>180</v>
      </c>
      <c r="E660" s="21" t="s">
        <v>840</v>
      </c>
      <c r="F660" s="21" t="s">
        <v>1192</v>
      </c>
      <c r="G660" s="3" t="s">
        <v>1184</v>
      </c>
      <c r="H660" s="3" t="s">
        <v>7</v>
      </c>
      <c r="I660" s="3" t="s">
        <v>7</v>
      </c>
      <c r="J660" s="3" t="s">
        <v>7</v>
      </c>
      <c r="K660" s="3" t="s">
        <v>7</v>
      </c>
      <c r="L660" s="3" t="s">
        <v>7</v>
      </c>
      <c r="M660" s="2" t="s">
        <v>580</v>
      </c>
      <c r="N660" s="2" t="s">
        <v>1363</v>
      </c>
      <c r="O660" s="2" t="s">
        <v>1362</v>
      </c>
      <c r="P660" s="2" t="s">
        <v>2907</v>
      </c>
      <c r="Q660" s="3" t="s">
        <v>2856</v>
      </c>
    </row>
    <row r="661" spans="1:17" hidden="1">
      <c r="A661" s="21" t="s">
        <v>2903</v>
      </c>
      <c r="B661" s="22" t="s">
        <v>1077</v>
      </c>
      <c r="C661" s="21" t="s">
        <v>2154</v>
      </c>
      <c r="D661" s="21" t="s">
        <v>180</v>
      </c>
      <c r="E661" s="21" t="s">
        <v>181</v>
      </c>
      <c r="F661" s="21" t="s">
        <v>1180</v>
      </c>
      <c r="G661" s="3" t="s">
        <v>1184</v>
      </c>
      <c r="H661" s="3" t="s">
        <v>7</v>
      </c>
      <c r="I661" s="3" t="s">
        <v>7</v>
      </c>
      <c r="J661" s="3" t="s">
        <v>7</v>
      </c>
      <c r="K661" s="3" t="s">
        <v>7</v>
      </c>
      <c r="L661" s="3" t="s">
        <v>7</v>
      </c>
      <c r="M661" s="2" t="s">
        <v>750</v>
      </c>
      <c r="N661" s="2" t="s">
        <v>2929</v>
      </c>
      <c r="O661" s="2" t="s">
        <v>1362</v>
      </c>
      <c r="P661" s="2" t="s">
        <v>2915</v>
      </c>
      <c r="Q661" s="3" t="s">
        <v>2856</v>
      </c>
    </row>
    <row r="662" spans="1:17" hidden="1">
      <c r="A662" s="21" t="s">
        <v>2903</v>
      </c>
      <c r="B662" s="22" t="s">
        <v>1075</v>
      </c>
      <c r="C662" s="21" t="s">
        <v>2151</v>
      </c>
      <c r="D662" s="21" t="s">
        <v>180</v>
      </c>
      <c r="E662" s="21" t="s">
        <v>181</v>
      </c>
      <c r="F662" s="21" t="s">
        <v>1181</v>
      </c>
      <c r="G662" s="3" t="s">
        <v>1184</v>
      </c>
      <c r="H662" s="3" t="s">
        <v>3071</v>
      </c>
      <c r="I662" s="3" t="s">
        <v>7</v>
      </c>
      <c r="J662" s="3" t="s">
        <v>3071</v>
      </c>
      <c r="K662" s="3" t="s">
        <v>3071</v>
      </c>
      <c r="L662" s="3" t="s">
        <v>7</v>
      </c>
      <c r="M662" s="2" t="s">
        <v>750</v>
      </c>
      <c r="N662" s="2" t="s">
        <v>2929</v>
      </c>
      <c r="O662" s="2" t="s">
        <v>1362</v>
      </c>
      <c r="P662" s="2" t="s">
        <v>2915</v>
      </c>
      <c r="Q662" s="3" t="s">
        <v>2856</v>
      </c>
    </row>
    <row r="663" spans="1:17" hidden="1">
      <c r="A663" s="21" t="s">
        <v>2903</v>
      </c>
      <c r="B663" s="22" t="s">
        <v>1215</v>
      </c>
      <c r="C663" s="21" t="s">
        <v>2153</v>
      </c>
      <c r="D663" s="21" t="s">
        <v>180</v>
      </c>
      <c r="E663" s="21" t="s">
        <v>181</v>
      </c>
      <c r="F663" s="21" t="s">
        <v>1192</v>
      </c>
      <c r="G663" s="3" t="s">
        <v>1184</v>
      </c>
      <c r="H663" s="3" t="s">
        <v>7</v>
      </c>
      <c r="I663" s="3" t="s">
        <v>7</v>
      </c>
      <c r="J663" s="3" t="s">
        <v>7</v>
      </c>
      <c r="K663" s="3" t="s">
        <v>7</v>
      </c>
      <c r="L663" s="3" t="s">
        <v>7</v>
      </c>
      <c r="M663" s="2" t="s">
        <v>750</v>
      </c>
      <c r="N663" s="2" t="s">
        <v>2929</v>
      </c>
      <c r="O663" s="2" t="s">
        <v>1362</v>
      </c>
      <c r="P663" s="2" t="s">
        <v>2915</v>
      </c>
      <c r="Q663" s="3" t="s">
        <v>2856</v>
      </c>
    </row>
    <row r="664" spans="1:17" hidden="1">
      <c r="A664" s="21" t="s">
        <v>2903</v>
      </c>
      <c r="B664" s="22" t="s">
        <v>1076</v>
      </c>
      <c r="C664" s="21" t="s">
        <v>2152</v>
      </c>
      <c r="D664" s="21" t="s">
        <v>180</v>
      </c>
      <c r="E664" s="21" t="s">
        <v>181</v>
      </c>
      <c r="F664" s="21" t="s">
        <v>1180</v>
      </c>
      <c r="G664" s="3" t="s">
        <v>1184</v>
      </c>
      <c r="H664" s="3" t="s">
        <v>7</v>
      </c>
      <c r="I664" s="3" t="s">
        <v>7</v>
      </c>
      <c r="J664" s="3" t="s">
        <v>7</v>
      </c>
      <c r="K664" s="3" t="s">
        <v>7</v>
      </c>
      <c r="L664" s="3" t="s">
        <v>7</v>
      </c>
      <c r="M664" s="2" t="s">
        <v>750</v>
      </c>
      <c r="N664" s="2" t="s">
        <v>2929</v>
      </c>
      <c r="O664" s="2" t="s">
        <v>1362</v>
      </c>
      <c r="P664" s="2" t="s">
        <v>2915</v>
      </c>
      <c r="Q664" s="3" t="s">
        <v>2856</v>
      </c>
    </row>
    <row r="665" spans="1:17" hidden="1">
      <c r="A665" s="21" t="s">
        <v>2903</v>
      </c>
      <c r="B665" s="22" t="s">
        <v>2471</v>
      </c>
      <c r="C665" s="21" t="s">
        <v>2472</v>
      </c>
      <c r="D665" s="21" t="s">
        <v>180</v>
      </c>
      <c r="E665" s="21" t="s">
        <v>2150</v>
      </c>
      <c r="F665" s="21" t="s">
        <v>1180</v>
      </c>
      <c r="G665" s="3" t="s">
        <v>1185</v>
      </c>
      <c r="H665" s="3" t="s">
        <v>7</v>
      </c>
      <c r="I665" s="3" t="s">
        <v>7</v>
      </c>
      <c r="J665" s="3" t="s">
        <v>7</v>
      </c>
      <c r="K665" s="3" t="s">
        <v>7</v>
      </c>
      <c r="L665" s="3" t="s">
        <v>7</v>
      </c>
      <c r="M665" s="2" t="s">
        <v>684</v>
      </c>
      <c r="N665" s="2" t="s">
        <v>2930</v>
      </c>
      <c r="O665" s="2" t="s">
        <v>1362</v>
      </c>
      <c r="P665" s="2" t="s">
        <v>2907</v>
      </c>
      <c r="Q665" s="3" t="s">
        <v>2856</v>
      </c>
    </row>
    <row r="666" spans="1:17" hidden="1">
      <c r="A666" s="21" t="s">
        <v>2903</v>
      </c>
      <c r="B666" s="22" t="s">
        <v>2148</v>
      </c>
      <c r="C666" s="21" t="s">
        <v>2149</v>
      </c>
      <c r="D666" s="21" t="s">
        <v>180</v>
      </c>
      <c r="E666" s="21" t="s">
        <v>2150</v>
      </c>
      <c r="F666" s="21" t="s">
        <v>1192</v>
      </c>
      <c r="G666" s="3" t="s">
        <v>1185</v>
      </c>
      <c r="H666" s="3" t="s">
        <v>7</v>
      </c>
      <c r="I666" s="3" t="s">
        <v>7</v>
      </c>
      <c r="J666" s="3" t="s">
        <v>7</v>
      </c>
      <c r="K666" s="3" t="s">
        <v>7</v>
      </c>
      <c r="L666" s="3" t="s">
        <v>7</v>
      </c>
      <c r="M666" s="2" t="s">
        <v>684</v>
      </c>
      <c r="N666" s="2" t="s">
        <v>2930</v>
      </c>
      <c r="O666" s="2" t="s">
        <v>1362</v>
      </c>
      <c r="P666" s="2" t="s">
        <v>2907</v>
      </c>
      <c r="Q666" s="3" t="s">
        <v>2856</v>
      </c>
    </row>
    <row r="667" spans="1:17">
      <c r="A667" s="21" t="s">
        <v>2876</v>
      </c>
      <c r="B667" s="22" t="s">
        <v>1617</v>
      </c>
      <c r="C667" s="21" t="s">
        <v>2155</v>
      </c>
      <c r="D667" s="21" t="s">
        <v>1618</v>
      </c>
      <c r="E667" s="21" t="s">
        <v>1619</v>
      </c>
      <c r="F667" s="21" t="s">
        <v>1409</v>
      </c>
      <c r="G667" s="3" t="s">
        <v>1424</v>
      </c>
      <c r="H667" s="3" t="s">
        <v>7</v>
      </c>
      <c r="I667" s="3" t="s">
        <v>7</v>
      </c>
      <c r="J667" s="3" t="s">
        <v>7</v>
      </c>
      <c r="K667" s="3" t="s">
        <v>7</v>
      </c>
      <c r="L667" s="3" t="s">
        <v>7</v>
      </c>
      <c r="M667" s="2" t="s">
        <v>442</v>
      </c>
      <c r="N667" s="2" t="s">
        <v>443</v>
      </c>
      <c r="O667" s="2" t="s">
        <v>1316</v>
      </c>
      <c r="P667" s="2" t="s">
        <v>2884</v>
      </c>
      <c r="Q667" s="3" t="s">
        <v>2856</v>
      </c>
    </row>
    <row r="668" spans="1:17">
      <c r="A668" s="21" t="s">
        <v>2876</v>
      </c>
      <c r="B668" s="22" t="s">
        <v>1620</v>
      </c>
      <c r="C668" s="21" t="s">
        <v>2156</v>
      </c>
      <c r="D668" s="21" t="s">
        <v>1618</v>
      </c>
      <c r="E668" s="21" t="s">
        <v>1619</v>
      </c>
      <c r="F668" s="21" t="s">
        <v>1192</v>
      </c>
      <c r="G668" s="3" t="s">
        <v>1419</v>
      </c>
      <c r="H668" s="3" t="s">
        <v>7</v>
      </c>
      <c r="I668" s="3" t="s">
        <v>7</v>
      </c>
      <c r="J668" s="3" t="s">
        <v>7</v>
      </c>
      <c r="K668" s="3" t="s">
        <v>7</v>
      </c>
      <c r="L668" s="3" t="s">
        <v>7</v>
      </c>
      <c r="M668" s="2" t="s">
        <v>442</v>
      </c>
      <c r="N668" s="2" t="s">
        <v>443</v>
      </c>
      <c r="O668" s="2" t="s">
        <v>1316</v>
      </c>
      <c r="P668" s="2" t="s">
        <v>2884</v>
      </c>
      <c r="Q668" s="3" t="s">
        <v>2856</v>
      </c>
    </row>
    <row r="669" spans="1:17" hidden="1">
      <c r="A669" s="21" t="s">
        <v>2855</v>
      </c>
      <c r="B669" s="22" t="s">
        <v>1621</v>
      </c>
      <c r="C669" s="21" t="s">
        <v>2157</v>
      </c>
      <c r="D669" s="21" t="s">
        <v>182</v>
      </c>
      <c r="E669" s="21" t="s">
        <v>183</v>
      </c>
      <c r="F669" s="21" t="s">
        <v>1409</v>
      </c>
      <c r="G669" s="3" t="s">
        <v>1430</v>
      </c>
      <c r="H669" s="3" t="s">
        <v>7</v>
      </c>
      <c r="I669" s="3" t="s">
        <v>7</v>
      </c>
      <c r="J669" s="3" t="s">
        <v>7</v>
      </c>
      <c r="K669" s="3" t="s">
        <v>7</v>
      </c>
      <c r="L669" s="3" t="s">
        <v>7</v>
      </c>
      <c r="M669" s="2" t="s">
        <v>724</v>
      </c>
      <c r="N669" s="2" t="s">
        <v>2858</v>
      </c>
      <c r="O669" s="2" t="s">
        <v>1254</v>
      </c>
      <c r="P669" s="2" t="s">
        <v>2859</v>
      </c>
      <c r="Q669" s="3" t="s">
        <v>2856</v>
      </c>
    </row>
    <row r="670" spans="1:17" hidden="1">
      <c r="A670" s="21" t="s">
        <v>2855</v>
      </c>
      <c r="B670" s="22" t="s">
        <v>1078</v>
      </c>
      <c r="C670" s="21" t="s">
        <v>2158</v>
      </c>
      <c r="D670" s="21" t="s">
        <v>182</v>
      </c>
      <c r="E670" s="21" t="s">
        <v>183</v>
      </c>
      <c r="F670" s="21" t="s">
        <v>8</v>
      </c>
      <c r="G670" s="3" t="s">
        <v>1412</v>
      </c>
      <c r="H670" s="3" t="s">
        <v>7</v>
      </c>
      <c r="I670" s="3" t="s">
        <v>7</v>
      </c>
      <c r="J670" s="3" t="s">
        <v>7</v>
      </c>
      <c r="K670" s="3" t="s">
        <v>7</v>
      </c>
      <c r="L670" s="3" t="s">
        <v>7</v>
      </c>
      <c r="M670" s="18" t="s">
        <v>724</v>
      </c>
      <c r="N670" s="18" t="s">
        <v>2858</v>
      </c>
      <c r="O670" s="18" t="s">
        <v>1254</v>
      </c>
      <c r="P670" s="18" t="s">
        <v>2859</v>
      </c>
      <c r="Q670" s="3" t="s">
        <v>2856</v>
      </c>
    </row>
    <row r="671" spans="1:17" hidden="1">
      <c r="A671" s="21" t="s">
        <v>2855</v>
      </c>
      <c r="B671" s="22" t="s">
        <v>1079</v>
      </c>
      <c r="C671" s="21" t="s">
        <v>2159</v>
      </c>
      <c r="D671" s="21" t="s">
        <v>182</v>
      </c>
      <c r="E671" s="21" t="s">
        <v>183</v>
      </c>
      <c r="F671" s="21" t="s">
        <v>1180</v>
      </c>
      <c r="G671" s="3" t="s">
        <v>1182</v>
      </c>
      <c r="H671" s="3" t="s">
        <v>7</v>
      </c>
      <c r="I671" s="3" t="s">
        <v>7</v>
      </c>
      <c r="J671" s="3" t="s">
        <v>7</v>
      </c>
      <c r="K671" s="3" t="s">
        <v>7</v>
      </c>
      <c r="L671" s="3" t="s">
        <v>7</v>
      </c>
      <c r="M671" s="2" t="s">
        <v>724</v>
      </c>
      <c r="N671" s="2" t="s">
        <v>2858</v>
      </c>
      <c r="O671" s="2" t="s">
        <v>1254</v>
      </c>
      <c r="P671" s="2" t="s">
        <v>2859</v>
      </c>
      <c r="Q671" s="3" t="s">
        <v>2856</v>
      </c>
    </row>
    <row r="672" spans="1:17" hidden="1">
      <c r="A672" s="21" t="s">
        <v>2903</v>
      </c>
      <c r="B672" s="22" t="s">
        <v>1622</v>
      </c>
      <c r="C672" s="21" t="s">
        <v>2160</v>
      </c>
      <c r="D672" s="21" t="s">
        <v>184</v>
      </c>
      <c r="E672" s="21" t="s">
        <v>841</v>
      </c>
      <c r="F672" s="21" t="s">
        <v>2107</v>
      </c>
      <c r="G672" s="3" t="s">
        <v>1430</v>
      </c>
      <c r="H672" s="3" t="s">
        <v>7</v>
      </c>
      <c r="I672" s="3" t="s">
        <v>7</v>
      </c>
      <c r="J672" s="3" t="s">
        <v>7</v>
      </c>
      <c r="K672" s="3" t="s">
        <v>7</v>
      </c>
      <c r="L672" s="3" t="s">
        <v>7</v>
      </c>
      <c r="M672" s="2" t="s">
        <v>650</v>
      </c>
      <c r="N672" s="2" t="s">
        <v>651</v>
      </c>
      <c r="O672" s="2" t="s">
        <v>1359</v>
      </c>
      <c r="P672" s="2" t="s">
        <v>2923</v>
      </c>
      <c r="Q672" s="3" t="s">
        <v>2856</v>
      </c>
    </row>
    <row r="673" spans="1:17" hidden="1">
      <c r="A673" s="21" t="s">
        <v>2903</v>
      </c>
      <c r="B673" s="22" t="s">
        <v>1080</v>
      </c>
      <c r="C673" s="21" t="s">
        <v>2979</v>
      </c>
      <c r="D673" s="21" t="s">
        <v>184</v>
      </c>
      <c r="E673" s="21" t="s">
        <v>841</v>
      </c>
      <c r="F673" s="21" t="s">
        <v>1180</v>
      </c>
      <c r="G673" s="3" t="s">
        <v>1412</v>
      </c>
      <c r="H673" s="3" t="s">
        <v>7</v>
      </c>
      <c r="I673" s="3" t="s">
        <v>7</v>
      </c>
      <c r="J673" s="3" t="s">
        <v>7</v>
      </c>
      <c r="K673" s="3" t="s">
        <v>7</v>
      </c>
      <c r="L673" s="3" t="s">
        <v>7</v>
      </c>
      <c r="M673" s="2" t="s">
        <v>650</v>
      </c>
      <c r="N673" s="2" t="s">
        <v>651</v>
      </c>
      <c r="O673" s="2" t="s">
        <v>1359</v>
      </c>
      <c r="P673" s="2" t="s">
        <v>2923</v>
      </c>
      <c r="Q673" s="3" t="s">
        <v>2856</v>
      </c>
    </row>
    <row r="674" spans="1:17" hidden="1">
      <c r="A674" s="21" t="s">
        <v>2903</v>
      </c>
      <c r="B674" s="22" t="s">
        <v>1081</v>
      </c>
      <c r="C674" s="21" t="s">
        <v>2978</v>
      </c>
      <c r="D674" s="21" t="s">
        <v>184</v>
      </c>
      <c r="E674" s="21" t="s">
        <v>841</v>
      </c>
      <c r="F674" s="21" t="s">
        <v>1181</v>
      </c>
      <c r="G674" s="3" t="s">
        <v>1182</v>
      </c>
      <c r="H674" s="3" t="s">
        <v>3071</v>
      </c>
      <c r="I674" s="3" t="s">
        <v>7</v>
      </c>
      <c r="J674" s="3" t="s">
        <v>3071</v>
      </c>
      <c r="K674" s="3" t="s">
        <v>3071</v>
      </c>
      <c r="L674" s="3" t="s">
        <v>7</v>
      </c>
      <c r="M674" s="2" t="s">
        <v>650</v>
      </c>
      <c r="N674" s="2" t="s">
        <v>651</v>
      </c>
      <c r="O674" s="2" t="s">
        <v>1359</v>
      </c>
      <c r="P674" s="2" t="s">
        <v>2923</v>
      </c>
      <c r="Q674" s="3" t="s">
        <v>2856</v>
      </c>
    </row>
    <row r="675" spans="1:17" hidden="1">
      <c r="A675" s="21" t="s">
        <v>2903</v>
      </c>
      <c r="B675" s="22" t="s">
        <v>2164</v>
      </c>
      <c r="C675" s="21" t="s">
        <v>2987</v>
      </c>
      <c r="D675" s="21" t="s">
        <v>184</v>
      </c>
      <c r="E675" s="21" t="s">
        <v>2163</v>
      </c>
      <c r="F675" s="21" t="s">
        <v>1181</v>
      </c>
      <c r="G675" s="3" t="s">
        <v>1189</v>
      </c>
      <c r="H675" s="3" t="s">
        <v>3071</v>
      </c>
      <c r="I675" s="3" t="s">
        <v>7</v>
      </c>
      <c r="J675" s="3" t="s">
        <v>3071</v>
      </c>
      <c r="K675" s="3" t="s">
        <v>3071</v>
      </c>
      <c r="L675" s="3" t="s">
        <v>7</v>
      </c>
      <c r="M675" s="2" t="s">
        <v>1236</v>
      </c>
      <c r="N675" s="2" t="s">
        <v>2925</v>
      </c>
      <c r="O675" s="2" t="s">
        <v>1359</v>
      </c>
      <c r="P675" s="2" t="s">
        <v>2923</v>
      </c>
      <c r="Q675" s="3" t="s">
        <v>2856</v>
      </c>
    </row>
    <row r="676" spans="1:17" hidden="1">
      <c r="A676" s="21" t="s">
        <v>2903</v>
      </c>
      <c r="B676" s="22" t="s">
        <v>2161</v>
      </c>
      <c r="C676" s="21" t="s">
        <v>2162</v>
      </c>
      <c r="D676" s="21" t="s">
        <v>184</v>
      </c>
      <c r="E676" s="21" t="s">
        <v>2163</v>
      </c>
      <c r="F676" s="21" t="s">
        <v>1192</v>
      </c>
      <c r="G676" s="3" t="s">
        <v>1187</v>
      </c>
      <c r="H676" s="3" t="s">
        <v>7</v>
      </c>
      <c r="I676" s="3" t="s">
        <v>7</v>
      </c>
      <c r="J676" s="3" t="s">
        <v>7</v>
      </c>
      <c r="K676" s="3" t="s">
        <v>7</v>
      </c>
      <c r="L676" s="3" t="s">
        <v>7</v>
      </c>
      <c r="M676" s="2" t="s">
        <v>1236</v>
      </c>
      <c r="N676" s="2" t="s">
        <v>2925</v>
      </c>
      <c r="O676" s="2" t="s">
        <v>1359</v>
      </c>
      <c r="P676" s="2" t="s">
        <v>2923</v>
      </c>
      <c r="Q676" s="3" t="s">
        <v>2856</v>
      </c>
    </row>
    <row r="677" spans="1:17" hidden="1">
      <c r="A677" s="21" t="s">
        <v>2903</v>
      </c>
      <c r="B677" s="22" t="s">
        <v>2988</v>
      </c>
      <c r="C677" s="21" t="s">
        <v>2989</v>
      </c>
      <c r="D677" s="21" t="s">
        <v>184</v>
      </c>
      <c r="E677" s="21" t="s">
        <v>2163</v>
      </c>
      <c r="F677" s="21" t="s">
        <v>1180</v>
      </c>
      <c r="G677" s="3" t="s">
        <v>1189</v>
      </c>
      <c r="H677" s="3" t="s">
        <v>7</v>
      </c>
      <c r="I677" s="3" t="s">
        <v>7</v>
      </c>
      <c r="J677" s="3" t="s">
        <v>7</v>
      </c>
      <c r="K677" s="3" t="s">
        <v>7</v>
      </c>
      <c r="L677" s="3" t="s">
        <v>7</v>
      </c>
      <c r="M677" s="2" t="s">
        <v>1236</v>
      </c>
      <c r="N677" s="2" t="s">
        <v>2925</v>
      </c>
      <c r="O677" s="2" t="s">
        <v>1359</v>
      </c>
      <c r="P677" s="2" t="s">
        <v>2923</v>
      </c>
      <c r="Q677" s="3" t="s">
        <v>2856</v>
      </c>
    </row>
    <row r="678" spans="1:17" hidden="1">
      <c r="A678" s="21" t="s">
        <v>2903</v>
      </c>
      <c r="B678" s="22" t="s">
        <v>2980</v>
      </c>
      <c r="C678" s="21" t="s">
        <v>2981</v>
      </c>
      <c r="D678" s="21" t="s">
        <v>184</v>
      </c>
      <c r="E678" s="21" t="s">
        <v>2982</v>
      </c>
      <c r="F678" s="21" t="s">
        <v>1192</v>
      </c>
      <c r="G678" s="3" t="s">
        <v>1187</v>
      </c>
      <c r="H678" s="3" t="s">
        <v>7</v>
      </c>
      <c r="I678" s="3" t="s">
        <v>7</v>
      </c>
      <c r="J678" s="3" t="s">
        <v>7</v>
      </c>
      <c r="K678" s="3" t="s">
        <v>7</v>
      </c>
      <c r="L678" s="3" t="s">
        <v>7</v>
      </c>
      <c r="M678" s="2" t="s">
        <v>616</v>
      </c>
      <c r="N678" s="2" t="s">
        <v>617</v>
      </c>
      <c r="O678" s="2" t="s">
        <v>1359</v>
      </c>
      <c r="P678" s="2" t="s">
        <v>2923</v>
      </c>
      <c r="Q678" s="3" t="s">
        <v>2856</v>
      </c>
    </row>
    <row r="679" spans="1:17" hidden="1">
      <c r="A679" s="21" t="s">
        <v>2903</v>
      </c>
      <c r="B679" s="22" t="s">
        <v>2985</v>
      </c>
      <c r="C679" s="21" t="s">
        <v>2986</v>
      </c>
      <c r="D679" s="21" t="s">
        <v>184</v>
      </c>
      <c r="E679" s="21" t="s">
        <v>2982</v>
      </c>
      <c r="F679" s="21" t="s">
        <v>1180</v>
      </c>
      <c r="G679" s="3" t="s">
        <v>1189</v>
      </c>
      <c r="H679" s="3" t="s">
        <v>7</v>
      </c>
      <c r="I679" s="3" t="s">
        <v>7</v>
      </c>
      <c r="J679" s="3" t="s">
        <v>7</v>
      </c>
      <c r="K679" s="3" t="s">
        <v>7</v>
      </c>
      <c r="L679" s="3" t="s">
        <v>7</v>
      </c>
      <c r="M679" s="2" t="s">
        <v>616</v>
      </c>
      <c r="N679" s="2" t="s">
        <v>617</v>
      </c>
      <c r="O679" s="2" t="s">
        <v>1359</v>
      </c>
      <c r="P679" s="2" t="s">
        <v>2923</v>
      </c>
      <c r="Q679" s="3" t="s">
        <v>2856</v>
      </c>
    </row>
    <row r="680" spans="1:17" hidden="1">
      <c r="A680" s="21" t="s">
        <v>2903</v>
      </c>
      <c r="B680" s="22" t="s">
        <v>2983</v>
      </c>
      <c r="C680" s="21" t="s">
        <v>2984</v>
      </c>
      <c r="D680" s="21" t="s">
        <v>184</v>
      </c>
      <c r="E680" s="21" t="s">
        <v>2982</v>
      </c>
      <c r="F680" s="21" t="s">
        <v>1181</v>
      </c>
      <c r="G680" s="3" t="s">
        <v>1189</v>
      </c>
      <c r="H680" s="3" t="s">
        <v>3071</v>
      </c>
      <c r="I680" s="3" t="s">
        <v>7</v>
      </c>
      <c r="J680" s="3" t="s">
        <v>3071</v>
      </c>
      <c r="K680" s="3" t="s">
        <v>3071</v>
      </c>
      <c r="L680" s="3" t="s">
        <v>7</v>
      </c>
      <c r="M680" s="2" t="s">
        <v>616</v>
      </c>
      <c r="N680" s="2" t="s">
        <v>617</v>
      </c>
      <c r="O680" s="2" t="s">
        <v>1359</v>
      </c>
      <c r="P680" s="2" t="s">
        <v>2923</v>
      </c>
      <c r="Q680" s="3" t="s">
        <v>2856</v>
      </c>
    </row>
    <row r="681" spans="1:17" hidden="1">
      <c r="A681" s="21" t="s">
        <v>2903</v>
      </c>
      <c r="B681" s="22" t="s">
        <v>1082</v>
      </c>
      <c r="C681" s="21" t="s">
        <v>2165</v>
      </c>
      <c r="D681" s="21" t="s">
        <v>185</v>
      </c>
      <c r="E681" s="21" t="s">
        <v>842</v>
      </c>
      <c r="F681" s="21" t="s">
        <v>1192</v>
      </c>
      <c r="G681" s="3" t="s">
        <v>1414</v>
      </c>
      <c r="H681" s="3" t="s">
        <v>7</v>
      </c>
      <c r="I681" s="3" t="s">
        <v>7</v>
      </c>
      <c r="J681" s="3" t="s">
        <v>7</v>
      </c>
      <c r="K681" s="3" t="s">
        <v>7</v>
      </c>
      <c r="L681" s="3" t="s">
        <v>7</v>
      </c>
      <c r="M681" s="2" t="s">
        <v>560</v>
      </c>
      <c r="N681" s="2" t="s">
        <v>561</v>
      </c>
      <c r="O681" s="2" t="s">
        <v>1360</v>
      </c>
      <c r="P681" s="2" t="s">
        <v>2927</v>
      </c>
      <c r="Q681" s="3" t="s">
        <v>2856</v>
      </c>
    </row>
    <row r="682" spans="1:17" hidden="1">
      <c r="A682" s="21" t="s">
        <v>2903</v>
      </c>
      <c r="B682" s="22" t="s">
        <v>1084</v>
      </c>
      <c r="C682" s="21" t="s">
        <v>2167</v>
      </c>
      <c r="D682" s="21" t="s">
        <v>185</v>
      </c>
      <c r="E682" s="21" t="s">
        <v>842</v>
      </c>
      <c r="F682" s="21" t="s">
        <v>1180</v>
      </c>
      <c r="G682" s="3" t="s">
        <v>1430</v>
      </c>
      <c r="H682" s="3" t="s">
        <v>7</v>
      </c>
      <c r="I682" s="3" t="s">
        <v>7</v>
      </c>
      <c r="J682" s="3" t="s">
        <v>7</v>
      </c>
      <c r="K682" s="3" t="s">
        <v>7</v>
      </c>
      <c r="L682" s="3" t="s">
        <v>7</v>
      </c>
      <c r="M682" s="2" t="s">
        <v>560</v>
      </c>
      <c r="N682" s="2" t="s">
        <v>561</v>
      </c>
      <c r="O682" s="2" t="s">
        <v>1360</v>
      </c>
      <c r="P682" s="2" t="s">
        <v>2927</v>
      </c>
      <c r="Q682" s="3" t="s">
        <v>2856</v>
      </c>
    </row>
    <row r="683" spans="1:17" hidden="1">
      <c r="A683" s="21" t="s">
        <v>2903</v>
      </c>
      <c r="B683" s="22" t="s">
        <v>1083</v>
      </c>
      <c r="C683" s="21" t="s">
        <v>2166</v>
      </c>
      <c r="D683" s="21" t="s">
        <v>185</v>
      </c>
      <c r="E683" s="21" t="s">
        <v>842</v>
      </c>
      <c r="F683" s="21" t="s">
        <v>1181</v>
      </c>
      <c r="G683" s="3" t="s">
        <v>1414</v>
      </c>
      <c r="H683" s="3" t="s">
        <v>3071</v>
      </c>
      <c r="I683" s="3" t="s">
        <v>7</v>
      </c>
      <c r="J683" s="3" t="s">
        <v>3071</v>
      </c>
      <c r="K683" s="3" t="s">
        <v>3071</v>
      </c>
      <c r="L683" s="3" t="s">
        <v>7</v>
      </c>
      <c r="M683" s="2" t="s">
        <v>560</v>
      </c>
      <c r="N683" s="2" t="s">
        <v>561</v>
      </c>
      <c r="O683" s="2" t="s">
        <v>1360</v>
      </c>
      <c r="P683" s="2" t="s">
        <v>2927</v>
      </c>
      <c r="Q683" s="3" t="s">
        <v>2856</v>
      </c>
    </row>
    <row r="684" spans="1:17" hidden="1">
      <c r="A684" s="21" t="s">
        <v>2903</v>
      </c>
      <c r="B684" s="22" t="s">
        <v>1085</v>
      </c>
      <c r="C684" s="21" t="s">
        <v>2168</v>
      </c>
      <c r="D684" s="21" t="s">
        <v>185</v>
      </c>
      <c r="E684" s="21" t="s">
        <v>843</v>
      </c>
      <c r="F684" s="21" t="s">
        <v>1192</v>
      </c>
      <c r="G684" s="3" t="s">
        <v>1184</v>
      </c>
      <c r="H684" s="3" t="s">
        <v>7</v>
      </c>
      <c r="I684" s="3" t="s">
        <v>7</v>
      </c>
      <c r="J684" s="3" t="s">
        <v>7</v>
      </c>
      <c r="K684" s="3" t="s">
        <v>7</v>
      </c>
      <c r="L684" s="3" t="s">
        <v>7</v>
      </c>
      <c r="M684" s="2" t="s">
        <v>682</v>
      </c>
      <c r="N684" s="2" t="s">
        <v>683</v>
      </c>
      <c r="O684" s="2" t="s">
        <v>1360</v>
      </c>
      <c r="P684" s="2" t="s">
        <v>2927</v>
      </c>
      <c r="Q684" s="3" t="s">
        <v>2856</v>
      </c>
    </row>
    <row r="685" spans="1:17" hidden="1">
      <c r="A685" s="21" t="s">
        <v>2903</v>
      </c>
      <c r="B685" s="22" t="s">
        <v>1086</v>
      </c>
      <c r="C685" s="21" t="s">
        <v>2169</v>
      </c>
      <c r="D685" s="21" t="s">
        <v>185</v>
      </c>
      <c r="E685" s="21" t="s">
        <v>843</v>
      </c>
      <c r="F685" s="21" t="s">
        <v>1180</v>
      </c>
      <c r="G685" s="3" t="s">
        <v>1184</v>
      </c>
      <c r="H685" s="3" t="s">
        <v>7</v>
      </c>
      <c r="I685" s="3" t="s">
        <v>7</v>
      </c>
      <c r="J685" s="3" t="s">
        <v>7</v>
      </c>
      <c r="K685" s="3" t="s">
        <v>7</v>
      </c>
      <c r="L685" s="3" t="s">
        <v>7</v>
      </c>
      <c r="M685" s="2" t="s">
        <v>682</v>
      </c>
      <c r="N685" s="2" t="s">
        <v>683</v>
      </c>
      <c r="O685" s="2" t="s">
        <v>1360</v>
      </c>
      <c r="P685" s="2" t="s">
        <v>2927</v>
      </c>
      <c r="Q685" s="3" t="s">
        <v>2856</v>
      </c>
    </row>
    <row r="686" spans="1:17" hidden="1">
      <c r="A686" s="21" t="s">
        <v>2903</v>
      </c>
      <c r="B686" s="22" t="s">
        <v>2475</v>
      </c>
      <c r="C686" s="21" t="s">
        <v>2476</v>
      </c>
      <c r="D686" s="21" t="s">
        <v>185</v>
      </c>
      <c r="E686" s="21" t="s">
        <v>843</v>
      </c>
      <c r="F686" s="21" t="s">
        <v>1181</v>
      </c>
      <c r="G686" s="3" t="s">
        <v>1184</v>
      </c>
      <c r="H686" s="3" t="s">
        <v>3071</v>
      </c>
      <c r="I686" s="3" t="s">
        <v>7</v>
      </c>
      <c r="J686" s="3" t="s">
        <v>3071</v>
      </c>
      <c r="K686" s="3" t="s">
        <v>3071</v>
      </c>
      <c r="L686" s="3" t="s">
        <v>7</v>
      </c>
      <c r="M686" s="2" t="s">
        <v>682</v>
      </c>
      <c r="N686" s="2" t="s">
        <v>683</v>
      </c>
      <c r="O686" s="2" t="s">
        <v>1360</v>
      </c>
      <c r="P686" s="2" t="s">
        <v>2927</v>
      </c>
      <c r="Q686" s="3" t="s">
        <v>2856</v>
      </c>
    </row>
    <row r="687" spans="1:17" hidden="1">
      <c r="A687" s="21" t="s">
        <v>2903</v>
      </c>
      <c r="B687" s="22" t="s">
        <v>1087</v>
      </c>
      <c r="C687" s="21" t="s">
        <v>2170</v>
      </c>
      <c r="D687" s="21" t="s">
        <v>185</v>
      </c>
      <c r="E687" s="21" t="s">
        <v>186</v>
      </c>
      <c r="F687" s="21" t="s">
        <v>1181</v>
      </c>
      <c r="G687" s="3" t="s">
        <v>1185</v>
      </c>
      <c r="H687" s="3" t="s">
        <v>3071</v>
      </c>
      <c r="I687" s="3" t="s">
        <v>7</v>
      </c>
      <c r="J687" s="3" t="s">
        <v>3071</v>
      </c>
      <c r="K687" s="3" t="s">
        <v>3071</v>
      </c>
      <c r="L687" s="3" t="s">
        <v>7</v>
      </c>
      <c r="M687" s="2" t="s">
        <v>548</v>
      </c>
      <c r="N687" s="2" t="s">
        <v>1361</v>
      </c>
      <c r="O687" s="2" t="s">
        <v>1360</v>
      </c>
      <c r="P687" s="2" t="s">
        <v>2927</v>
      </c>
      <c r="Q687" s="3" t="s">
        <v>2856</v>
      </c>
    </row>
    <row r="688" spans="1:17" hidden="1">
      <c r="A688" s="21" t="s">
        <v>2903</v>
      </c>
      <c r="B688" s="22" t="s">
        <v>2480</v>
      </c>
      <c r="C688" s="21" t="s">
        <v>2635</v>
      </c>
      <c r="D688" s="21" t="s">
        <v>185</v>
      </c>
      <c r="E688" s="21" t="s">
        <v>2481</v>
      </c>
      <c r="F688" s="21" t="s">
        <v>1192</v>
      </c>
      <c r="G688" s="3" t="s">
        <v>1186</v>
      </c>
      <c r="H688" s="3" t="s">
        <v>7</v>
      </c>
      <c r="I688" s="3" t="s">
        <v>7</v>
      </c>
      <c r="J688" s="3" t="s">
        <v>7</v>
      </c>
      <c r="K688" s="3" t="s">
        <v>7</v>
      </c>
      <c r="L688" s="3" t="s">
        <v>7</v>
      </c>
      <c r="M688" s="18" t="s">
        <v>1227</v>
      </c>
      <c r="N688" s="18" t="s">
        <v>2928</v>
      </c>
      <c r="O688" s="18" t="s">
        <v>1360</v>
      </c>
      <c r="P688" s="18" t="s">
        <v>2927</v>
      </c>
      <c r="Q688" s="3" t="s">
        <v>2856</v>
      </c>
    </row>
    <row r="689" spans="1:17" hidden="1">
      <c r="A689" s="21" t="s">
        <v>2903</v>
      </c>
      <c r="B689" s="22" t="s">
        <v>2482</v>
      </c>
      <c r="C689" s="21" t="s">
        <v>2483</v>
      </c>
      <c r="D689" s="21" t="s">
        <v>185</v>
      </c>
      <c r="E689" s="21" t="s">
        <v>2481</v>
      </c>
      <c r="F689" s="21" t="s">
        <v>1180</v>
      </c>
      <c r="G689" s="3" t="s">
        <v>1186</v>
      </c>
      <c r="H689" s="3" t="s">
        <v>7</v>
      </c>
      <c r="I689" s="3" t="s">
        <v>7</v>
      </c>
      <c r="J689" s="3" t="s">
        <v>7</v>
      </c>
      <c r="K689" s="3" t="s">
        <v>7</v>
      </c>
      <c r="L689" s="3" t="s">
        <v>7</v>
      </c>
      <c r="M689" s="2" t="s">
        <v>1227</v>
      </c>
      <c r="N689" s="2" t="s">
        <v>2928</v>
      </c>
      <c r="O689" s="2" t="s">
        <v>1360</v>
      </c>
      <c r="P689" s="2" t="s">
        <v>2927</v>
      </c>
      <c r="Q689" s="3" t="s">
        <v>2856</v>
      </c>
    </row>
    <row r="690" spans="1:17" hidden="1">
      <c r="A690" s="21" t="s">
        <v>2903</v>
      </c>
      <c r="B690" s="22" t="s">
        <v>2477</v>
      </c>
      <c r="C690" s="21" t="s">
        <v>2634</v>
      </c>
      <c r="D690" s="21" t="s">
        <v>185</v>
      </c>
      <c r="E690" s="21" t="s">
        <v>186</v>
      </c>
      <c r="F690" s="21" t="s">
        <v>1192</v>
      </c>
      <c r="G690" s="3" t="s">
        <v>1186</v>
      </c>
      <c r="H690" s="3" t="s">
        <v>7</v>
      </c>
      <c r="I690" s="3" t="s">
        <v>7</v>
      </c>
      <c r="J690" s="3" t="s">
        <v>7</v>
      </c>
      <c r="K690" s="3" t="s">
        <v>7</v>
      </c>
      <c r="L690" s="3" t="s">
        <v>7</v>
      </c>
      <c r="M690" s="2" t="s">
        <v>548</v>
      </c>
      <c r="N690" s="2" t="s">
        <v>1361</v>
      </c>
      <c r="O690" s="2" t="s">
        <v>1360</v>
      </c>
      <c r="P690" s="2" t="s">
        <v>2927</v>
      </c>
      <c r="Q690" s="3" t="s">
        <v>2856</v>
      </c>
    </row>
    <row r="691" spans="1:17" hidden="1">
      <c r="A691" s="21" t="s">
        <v>2903</v>
      </c>
      <c r="B691" s="22" t="s">
        <v>2478</v>
      </c>
      <c r="C691" s="21" t="s">
        <v>2479</v>
      </c>
      <c r="D691" s="21" t="s">
        <v>185</v>
      </c>
      <c r="E691" s="21" t="s">
        <v>186</v>
      </c>
      <c r="F691" s="21" t="s">
        <v>1180</v>
      </c>
      <c r="G691" s="3" t="s">
        <v>1187</v>
      </c>
      <c r="H691" s="3" t="s">
        <v>7</v>
      </c>
      <c r="I691" s="3" t="s">
        <v>7</v>
      </c>
      <c r="J691" s="3" t="s">
        <v>7</v>
      </c>
      <c r="K691" s="3" t="s">
        <v>7</v>
      </c>
      <c r="L691" s="3" t="s">
        <v>7</v>
      </c>
      <c r="M691" s="2" t="s">
        <v>548</v>
      </c>
      <c r="N691" s="2" t="s">
        <v>1361</v>
      </c>
      <c r="O691" s="2" t="s">
        <v>1360</v>
      </c>
      <c r="P691" s="2" t="s">
        <v>2927</v>
      </c>
      <c r="Q691" s="3" t="s">
        <v>2856</v>
      </c>
    </row>
    <row r="692" spans="1:17" hidden="1">
      <c r="A692" s="21" t="s">
        <v>2903</v>
      </c>
      <c r="B692" s="22" t="s">
        <v>2473</v>
      </c>
      <c r="C692" s="21" t="s">
        <v>2474</v>
      </c>
      <c r="D692" s="21" t="s">
        <v>185</v>
      </c>
      <c r="E692" s="21" t="s">
        <v>842</v>
      </c>
      <c r="F692" s="21" t="s">
        <v>1192</v>
      </c>
      <c r="G692" s="3" t="s">
        <v>1198</v>
      </c>
      <c r="H692" s="3" t="s">
        <v>7</v>
      </c>
      <c r="I692" s="3" t="s">
        <v>7</v>
      </c>
      <c r="J692" s="3" t="s">
        <v>7</v>
      </c>
      <c r="K692" s="3" t="s">
        <v>7</v>
      </c>
      <c r="L692" s="3" t="s">
        <v>7</v>
      </c>
      <c r="M692" s="2" t="s">
        <v>560</v>
      </c>
      <c r="N692" s="2" t="s">
        <v>561</v>
      </c>
      <c r="O692" s="2" t="s">
        <v>1360</v>
      </c>
      <c r="P692" s="2" t="s">
        <v>2927</v>
      </c>
      <c r="Q692" s="3" t="s">
        <v>2856</v>
      </c>
    </row>
    <row r="693" spans="1:17" hidden="1">
      <c r="A693" s="21" t="s">
        <v>2903</v>
      </c>
      <c r="B693" s="22" t="s">
        <v>2990</v>
      </c>
      <c r="C693" s="21" t="s">
        <v>2991</v>
      </c>
      <c r="D693" s="21" t="s">
        <v>185</v>
      </c>
      <c r="E693" s="21" t="s">
        <v>2481</v>
      </c>
      <c r="F693" s="21" t="s">
        <v>1181</v>
      </c>
      <c r="G693" s="3" t="s">
        <v>1185</v>
      </c>
      <c r="H693" s="3" t="s">
        <v>3071</v>
      </c>
      <c r="I693" s="3" t="s">
        <v>7</v>
      </c>
      <c r="J693" s="3" t="s">
        <v>3071</v>
      </c>
      <c r="K693" s="3" t="s">
        <v>3071</v>
      </c>
      <c r="L693" s="3" t="s">
        <v>7</v>
      </c>
      <c r="M693" s="2" t="s">
        <v>1227</v>
      </c>
      <c r="N693" s="2" t="s">
        <v>2928</v>
      </c>
      <c r="O693" s="2" t="s">
        <v>1360</v>
      </c>
      <c r="P693" s="2" t="s">
        <v>2927</v>
      </c>
      <c r="Q693" s="3" t="s">
        <v>2856</v>
      </c>
    </row>
    <row r="694" spans="1:17" hidden="1">
      <c r="A694" s="21" t="s">
        <v>2876</v>
      </c>
      <c r="B694" s="22" t="s">
        <v>1089</v>
      </c>
      <c r="C694" s="21" t="s">
        <v>2174</v>
      </c>
      <c r="D694" s="21" t="s">
        <v>187</v>
      </c>
      <c r="E694" s="21" t="s">
        <v>189</v>
      </c>
      <c r="F694" s="21" t="s">
        <v>8</v>
      </c>
      <c r="G694" s="3" t="s">
        <v>1412</v>
      </c>
      <c r="H694" s="3" t="s">
        <v>7</v>
      </c>
      <c r="I694" s="3" t="s">
        <v>7</v>
      </c>
      <c r="J694" s="3" t="s">
        <v>7</v>
      </c>
      <c r="K694" s="3" t="s">
        <v>7</v>
      </c>
      <c r="L694" s="3" t="s">
        <v>7</v>
      </c>
      <c r="M694" s="2" t="s">
        <v>432</v>
      </c>
      <c r="N694" s="2" t="s">
        <v>433</v>
      </c>
      <c r="O694" s="2" t="s">
        <v>1315</v>
      </c>
      <c r="P694" s="2" t="s">
        <v>2881</v>
      </c>
      <c r="Q694" s="3" t="s">
        <v>2856</v>
      </c>
    </row>
    <row r="695" spans="1:17" hidden="1">
      <c r="A695" s="21" t="s">
        <v>2876</v>
      </c>
      <c r="B695" s="22" t="s">
        <v>1623</v>
      </c>
      <c r="C695" s="21" t="s">
        <v>2171</v>
      </c>
      <c r="D695" s="21" t="s">
        <v>187</v>
      </c>
      <c r="E695" s="21" t="s">
        <v>188</v>
      </c>
      <c r="F695" s="21" t="s">
        <v>1409</v>
      </c>
      <c r="G695" s="3" t="s">
        <v>1414</v>
      </c>
      <c r="H695" s="3" t="s">
        <v>7</v>
      </c>
      <c r="I695" s="3" t="s">
        <v>7</v>
      </c>
      <c r="J695" s="3" t="s">
        <v>7</v>
      </c>
      <c r="K695" s="3" t="s">
        <v>7</v>
      </c>
      <c r="L695" s="3" t="s">
        <v>7</v>
      </c>
      <c r="M695" s="2" t="s">
        <v>462</v>
      </c>
      <c r="N695" s="2" t="s">
        <v>463</v>
      </c>
      <c r="O695" s="2" t="s">
        <v>1315</v>
      </c>
      <c r="P695" s="2" t="s">
        <v>2881</v>
      </c>
      <c r="Q695" s="3" t="s">
        <v>2856</v>
      </c>
    </row>
    <row r="696" spans="1:17" hidden="1">
      <c r="A696" s="21" t="s">
        <v>2876</v>
      </c>
      <c r="B696" s="22" t="s">
        <v>1091</v>
      </c>
      <c r="C696" s="21" t="s">
        <v>2175</v>
      </c>
      <c r="D696" s="21" t="s">
        <v>187</v>
      </c>
      <c r="E696" s="21" t="s">
        <v>189</v>
      </c>
      <c r="F696" s="21" t="s">
        <v>1192</v>
      </c>
      <c r="G696" s="3" t="s">
        <v>1182</v>
      </c>
      <c r="H696" s="3" t="s">
        <v>7</v>
      </c>
      <c r="I696" s="3" t="s">
        <v>7</v>
      </c>
      <c r="J696" s="3" t="s">
        <v>7</v>
      </c>
      <c r="K696" s="3" t="s">
        <v>7</v>
      </c>
      <c r="L696" s="3" t="s">
        <v>7</v>
      </c>
      <c r="M696" s="2" t="s">
        <v>432</v>
      </c>
      <c r="N696" s="2" t="s">
        <v>433</v>
      </c>
      <c r="O696" s="2" t="s">
        <v>1315</v>
      </c>
      <c r="P696" s="2" t="s">
        <v>2881</v>
      </c>
      <c r="Q696" s="3" t="s">
        <v>2856</v>
      </c>
    </row>
    <row r="697" spans="1:17" hidden="1">
      <c r="A697" s="21" t="s">
        <v>2876</v>
      </c>
      <c r="B697" s="22" t="s">
        <v>1092</v>
      </c>
      <c r="C697" s="21" t="s">
        <v>2178</v>
      </c>
      <c r="D697" s="21" t="s">
        <v>187</v>
      </c>
      <c r="E697" s="21" t="s">
        <v>191</v>
      </c>
      <c r="F697" s="21" t="s">
        <v>1180</v>
      </c>
      <c r="G697" s="3" t="s">
        <v>1189</v>
      </c>
      <c r="H697" s="3" t="s">
        <v>7</v>
      </c>
      <c r="I697" s="3" t="s">
        <v>7</v>
      </c>
      <c r="J697" s="3" t="s">
        <v>7</v>
      </c>
      <c r="K697" s="3" t="s">
        <v>7</v>
      </c>
      <c r="L697" s="3" t="s">
        <v>7</v>
      </c>
      <c r="M697" s="2" t="s">
        <v>484</v>
      </c>
      <c r="N697" s="2" t="s">
        <v>2885</v>
      </c>
      <c r="O697" s="2" t="s">
        <v>1315</v>
      </c>
      <c r="P697" s="2" t="s">
        <v>2881</v>
      </c>
      <c r="Q697" s="3" t="s">
        <v>2856</v>
      </c>
    </row>
    <row r="698" spans="1:17" hidden="1">
      <c r="A698" s="21" t="s">
        <v>2876</v>
      </c>
      <c r="B698" s="22" t="s">
        <v>1216</v>
      </c>
      <c r="C698" s="21" t="s">
        <v>2172</v>
      </c>
      <c r="D698" s="21" t="s">
        <v>187</v>
      </c>
      <c r="E698" s="21" t="s">
        <v>188</v>
      </c>
      <c r="F698" s="21" t="s">
        <v>1192</v>
      </c>
      <c r="G698" s="3" t="s">
        <v>1188</v>
      </c>
      <c r="H698" s="3" t="s">
        <v>7</v>
      </c>
      <c r="I698" s="3" t="s">
        <v>7</v>
      </c>
      <c r="J698" s="3" t="s">
        <v>7</v>
      </c>
      <c r="K698" s="3" t="s">
        <v>7</v>
      </c>
      <c r="L698" s="3" t="s">
        <v>7</v>
      </c>
      <c r="M698" s="2" t="s">
        <v>462</v>
      </c>
      <c r="N698" s="2" t="s">
        <v>463</v>
      </c>
      <c r="O698" s="2" t="s">
        <v>1315</v>
      </c>
      <c r="P698" s="2" t="s">
        <v>2881</v>
      </c>
      <c r="Q698" s="3" t="s">
        <v>2856</v>
      </c>
    </row>
    <row r="699" spans="1:17" hidden="1">
      <c r="A699" s="21" t="s">
        <v>2876</v>
      </c>
      <c r="B699" s="22" t="s">
        <v>1088</v>
      </c>
      <c r="C699" s="21" t="s">
        <v>2173</v>
      </c>
      <c r="D699" s="21" t="s">
        <v>187</v>
      </c>
      <c r="E699" s="21" t="s">
        <v>188</v>
      </c>
      <c r="F699" s="21" t="s">
        <v>1181</v>
      </c>
      <c r="G699" s="3" t="s">
        <v>1198</v>
      </c>
      <c r="H699" s="3" t="s">
        <v>3071</v>
      </c>
      <c r="I699" s="3" t="s">
        <v>7</v>
      </c>
      <c r="J699" s="3" t="s">
        <v>3071</v>
      </c>
      <c r="K699" s="3" t="s">
        <v>3071</v>
      </c>
      <c r="L699" s="3" t="s">
        <v>7</v>
      </c>
      <c r="M699" s="2" t="s">
        <v>462</v>
      </c>
      <c r="N699" s="2" t="s">
        <v>463</v>
      </c>
      <c r="O699" s="2" t="s">
        <v>1315</v>
      </c>
      <c r="P699" s="2" t="s">
        <v>2881</v>
      </c>
      <c r="Q699" s="3" t="s">
        <v>2856</v>
      </c>
    </row>
    <row r="700" spans="1:17" hidden="1">
      <c r="A700" s="21" t="s">
        <v>2876</v>
      </c>
      <c r="B700" s="22" t="s">
        <v>1090</v>
      </c>
      <c r="C700" s="21" t="s">
        <v>2176</v>
      </c>
      <c r="D700" s="21" t="s">
        <v>187</v>
      </c>
      <c r="E700" s="21" t="s">
        <v>189</v>
      </c>
      <c r="F700" s="21" t="s">
        <v>1180</v>
      </c>
      <c r="G700" s="3" t="s">
        <v>1189</v>
      </c>
      <c r="H700" s="3" t="s">
        <v>7</v>
      </c>
      <c r="I700" s="3" t="s">
        <v>7</v>
      </c>
      <c r="J700" s="3" t="s">
        <v>7</v>
      </c>
      <c r="K700" s="3" t="s">
        <v>7</v>
      </c>
      <c r="L700" s="3" t="s">
        <v>7</v>
      </c>
      <c r="M700" s="2" t="s">
        <v>432</v>
      </c>
      <c r="N700" s="2" t="s">
        <v>433</v>
      </c>
      <c r="O700" s="2" t="s">
        <v>1315</v>
      </c>
      <c r="P700" s="2" t="s">
        <v>2881</v>
      </c>
      <c r="Q700" s="3" t="s">
        <v>2856</v>
      </c>
    </row>
    <row r="701" spans="1:17" hidden="1">
      <c r="A701" s="21" t="s">
        <v>2876</v>
      </c>
      <c r="B701" s="22" t="s">
        <v>2403</v>
      </c>
      <c r="C701" s="21" t="s">
        <v>2404</v>
      </c>
      <c r="D701" s="21" t="s">
        <v>187</v>
      </c>
      <c r="E701" s="21" t="s">
        <v>191</v>
      </c>
      <c r="F701" s="21" t="s">
        <v>1181</v>
      </c>
      <c r="G701" s="3" t="s">
        <v>1186</v>
      </c>
      <c r="H701" s="3" t="s">
        <v>3071</v>
      </c>
      <c r="I701" s="3" t="s">
        <v>7</v>
      </c>
      <c r="J701" s="3" t="s">
        <v>3071</v>
      </c>
      <c r="K701" s="3" t="s">
        <v>3071</v>
      </c>
      <c r="L701" s="3" t="s">
        <v>7</v>
      </c>
      <c r="M701" s="2" t="s">
        <v>484</v>
      </c>
      <c r="N701" s="2" t="s">
        <v>2885</v>
      </c>
      <c r="O701" s="2" t="s">
        <v>1315</v>
      </c>
      <c r="P701" s="2" t="s">
        <v>2881</v>
      </c>
      <c r="Q701" s="3" t="s">
        <v>2856</v>
      </c>
    </row>
    <row r="702" spans="1:17" hidden="1">
      <c r="A702" s="21" t="s">
        <v>2876</v>
      </c>
      <c r="B702" s="22" t="s">
        <v>2636</v>
      </c>
      <c r="C702" s="21" t="s">
        <v>2637</v>
      </c>
      <c r="D702" s="21" t="s">
        <v>187</v>
      </c>
      <c r="E702" s="21" t="s">
        <v>189</v>
      </c>
      <c r="F702" s="21" t="s">
        <v>1181</v>
      </c>
      <c r="G702" s="3" t="s">
        <v>1186</v>
      </c>
      <c r="H702" s="3" t="s">
        <v>3071</v>
      </c>
      <c r="I702" s="3" t="s">
        <v>7</v>
      </c>
      <c r="J702" s="3" t="s">
        <v>3071</v>
      </c>
      <c r="K702" s="3" t="s">
        <v>3071</v>
      </c>
      <c r="L702" s="3" t="s">
        <v>7</v>
      </c>
      <c r="M702" s="2" t="s">
        <v>432</v>
      </c>
      <c r="N702" s="2" t="s">
        <v>433</v>
      </c>
      <c r="O702" s="2" t="s">
        <v>1315</v>
      </c>
      <c r="P702" s="2" t="s">
        <v>2881</v>
      </c>
      <c r="Q702" s="3" t="s">
        <v>2856</v>
      </c>
    </row>
    <row r="703" spans="1:17" hidden="1">
      <c r="A703" s="21" t="s">
        <v>2876</v>
      </c>
      <c r="B703" s="22" t="s">
        <v>2642</v>
      </c>
      <c r="C703" s="21" t="s">
        <v>2528</v>
      </c>
      <c r="D703" s="21" t="s">
        <v>187</v>
      </c>
      <c r="E703" s="21" t="s">
        <v>191</v>
      </c>
      <c r="F703" s="21" t="s">
        <v>1180</v>
      </c>
      <c r="G703" s="3" t="s">
        <v>1189</v>
      </c>
      <c r="H703" s="3" t="s">
        <v>7</v>
      </c>
      <c r="I703" s="3" t="s">
        <v>7</v>
      </c>
      <c r="J703" s="3" t="s">
        <v>7</v>
      </c>
      <c r="K703" s="3" t="s">
        <v>7</v>
      </c>
      <c r="L703" s="3" t="s">
        <v>7</v>
      </c>
      <c r="M703" s="2" t="s">
        <v>484</v>
      </c>
      <c r="N703" s="2" t="s">
        <v>2885</v>
      </c>
      <c r="O703" s="2" t="s">
        <v>1315</v>
      </c>
      <c r="P703" s="2" t="s">
        <v>2881</v>
      </c>
      <c r="Q703" s="3" t="s">
        <v>2856</v>
      </c>
    </row>
    <row r="704" spans="1:17" hidden="1">
      <c r="A704" s="21" t="s">
        <v>2876</v>
      </c>
      <c r="B704" s="22" t="s">
        <v>2638</v>
      </c>
      <c r="C704" s="21" t="s">
        <v>2402</v>
      </c>
      <c r="D704" s="21" t="s">
        <v>187</v>
      </c>
      <c r="E704" s="21" t="s">
        <v>190</v>
      </c>
      <c r="F704" s="21" t="s">
        <v>1192</v>
      </c>
      <c r="G704" s="3" t="s">
        <v>1178</v>
      </c>
      <c r="H704" s="3" t="s">
        <v>7</v>
      </c>
      <c r="I704" s="3" t="s">
        <v>7</v>
      </c>
      <c r="J704" s="3" t="s">
        <v>7</v>
      </c>
      <c r="K704" s="3" t="s">
        <v>7</v>
      </c>
      <c r="L704" s="3" t="s">
        <v>7</v>
      </c>
      <c r="M704" s="2" t="s">
        <v>434</v>
      </c>
      <c r="N704" s="2" t="s">
        <v>435</v>
      </c>
      <c r="O704" s="2" t="s">
        <v>1315</v>
      </c>
      <c r="P704" s="2" t="s">
        <v>2881</v>
      </c>
      <c r="Q704" s="3" t="s">
        <v>2856</v>
      </c>
    </row>
    <row r="705" spans="1:17" hidden="1">
      <c r="A705" s="21" t="s">
        <v>2876</v>
      </c>
      <c r="B705" s="22" t="s">
        <v>2639</v>
      </c>
      <c r="C705" s="21" t="s">
        <v>2177</v>
      </c>
      <c r="D705" s="21" t="s">
        <v>187</v>
      </c>
      <c r="E705" s="21" t="s">
        <v>190</v>
      </c>
      <c r="F705" s="21" t="s">
        <v>1180</v>
      </c>
      <c r="G705" s="3" t="s">
        <v>1198</v>
      </c>
      <c r="H705" s="3" t="s">
        <v>7</v>
      </c>
      <c r="I705" s="3" t="s">
        <v>7</v>
      </c>
      <c r="J705" s="3" t="s">
        <v>7</v>
      </c>
      <c r="K705" s="3" t="s">
        <v>7</v>
      </c>
      <c r="L705" s="3" t="s">
        <v>7</v>
      </c>
      <c r="M705" s="2" t="s">
        <v>434</v>
      </c>
      <c r="N705" s="2" t="s">
        <v>435</v>
      </c>
      <c r="O705" s="2" t="s">
        <v>1315</v>
      </c>
      <c r="P705" s="2" t="s">
        <v>2881</v>
      </c>
      <c r="Q705" s="3" t="s">
        <v>2856</v>
      </c>
    </row>
    <row r="706" spans="1:17" hidden="1">
      <c r="A706" s="21" t="s">
        <v>2876</v>
      </c>
      <c r="B706" s="22" t="s">
        <v>2640</v>
      </c>
      <c r="C706" s="21" t="s">
        <v>2641</v>
      </c>
      <c r="D706" s="21" t="s">
        <v>187</v>
      </c>
      <c r="E706" s="21" t="s">
        <v>190</v>
      </c>
      <c r="F706" s="21" t="s">
        <v>1180</v>
      </c>
      <c r="G706" s="3" t="s">
        <v>1187</v>
      </c>
      <c r="H706" s="3" t="s">
        <v>7</v>
      </c>
      <c r="I706" s="3" t="s">
        <v>7</v>
      </c>
      <c r="J706" s="3" t="s">
        <v>7</v>
      </c>
      <c r="K706" s="3" t="s">
        <v>7</v>
      </c>
      <c r="L706" s="3" t="s">
        <v>7</v>
      </c>
      <c r="M706" s="2" t="s">
        <v>434</v>
      </c>
      <c r="N706" s="2" t="s">
        <v>435</v>
      </c>
      <c r="O706" s="2" t="s">
        <v>1315</v>
      </c>
      <c r="P706" s="2" t="s">
        <v>2881</v>
      </c>
      <c r="Q706" s="3" t="s">
        <v>2856</v>
      </c>
    </row>
    <row r="707" spans="1:17" hidden="1">
      <c r="A707" s="21" t="s">
        <v>2903</v>
      </c>
      <c r="B707" s="22" t="s">
        <v>1624</v>
      </c>
      <c r="C707" s="21" t="s">
        <v>2992</v>
      </c>
      <c r="D707" s="21" t="s">
        <v>192</v>
      </c>
      <c r="E707" s="21" t="s">
        <v>844</v>
      </c>
      <c r="F707" s="21" t="s">
        <v>1192</v>
      </c>
      <c r="G707" s="3" t="s">
        <v>1414</v>
      </c>
      <c r="H707" s="3" t="s">
        <v>7</v>
      </c>
      <c r="I707" s="3" t="s">
        <v>7</v>
      </c>
      <c r="J707" s="3" t="s">
        <v>7</v>
      </c>
      <c r="K707" s="3" t="s">
        <v>7</v>
      </c>
      <c r="L707" s="3" t="s">
        <v>7</v>
      </c>
      <c r="M707" s="2" t="s">
        <v>606</v>
      </c>
      <c r="N707" s="2" t="s">
        <v>607</v>
      </c>
      <c r="O707" s="2" t="s">
        <v>1357</v>
      </c>
      <c r="P707" s="2" t="s">
        <v>2923</v>
      </c>
      <c r="Q707" s="3" t="s">
        <v>2856</v>
      </c>
    </row>
    <row r="708" spans="1:17" hidden="1">
      <c r="A708" s="21" t="s">
        <v>2903</v>
      </c>
      <c r="B708" s="22" t="s">
        <v>1093</v>
      </c>
      <c r="C708" s="21" t="s">
        <v>2993</v>
      </c>
      <c r="D708" s="21" t="s">
        <v>192</v>
      </c>
      <c r="E708" s="21" t="s">
        <v>844</v>
      </c>
      <c r="F708" s="21" t="s">
        <v>1180</v>
      </c>
      <c r="G708" s="3" t="s">
        <v>1182</v>
      </c>
      <c r="H708" s="3" t="s">
        <v>7</v>
      </c>
      <c r="I708" s="3" t="s">
        <v>7</v>
      </c>
      <c r="J708" s="3" t="s">
        <v>7</v>
      </c>
      <c r="K708" s="3" t="s">
        <v>7</v>
      </c>
      <c r="L708" s="3" t="s">
        <v>7</v>
      </c>
      <c r="M708" s="2" t="s">
        <v>606</v>
      </c>
      <c r="N708" s="2" t="s">
        <v>607</v>
      </c>
      <c r="O708" s="2" t="s">
        <v>1357</v>
      </c>
      <c r="P708" s="2" t="s">
        <v>2923</v>
      </c>
      <c r="Q708" s="3" t="s">
        <v>2856</v>
      </c>
    </row>
    <row r="709" spans="1:17" hidden="1">
      <c r="A709" s="21">
        <v>0</v>
      </c>
      <c r="B709" s="22" t="s">
        <v>3322</v>
      </c>
      <c r="C709" s="21" t="s">
        <v>3323</v>
      </c>
      <c r="D709" s="21" t="s">
        <v>3324</v>
      </c>
      <c r="E709" s="21" t="s">
        <v>3325</v>
      </c>
      <c r="F709" s="21" t="s">
        <v>15</v>
      </c>
      <c r="G709" s="3" t="s">
        <v>1182</v>
      </c>
      <c r="H709" s="3" t="s">
        <v>3071</v>
      </c>
      <c r="I709" s="3" t="s">
        <v>3071</v>
      </c>
      <c r="J709" s="3" t="s">
        <v>3071</v>
      </c>
      <c r="K709" s="3" t="s">
        <v>3071</v>
      </c>
      <c r="L709" s="3" t="s">
        <v>7</v>
      </c>
      <c r="M709" s="2" t="s">
        <v>793</v>
      </c>
      <c r="N709" s="2" t="s">
        <v>3325</v>
      </c>
      <c r="O709" s="2">
        <v>0</v>
      </c>
      <c r="P709" s="2">
        <v>0</v>
      </c>
      <c r="Q709" s="3" t="s">
        <v>3199</v>
      </c>
    </row>
    <row r="710" spans="1:17" hidden="1">
      <c r="A710" s="21">
        <v>0</v>
      </c>
      <c r="B710" s="22" t="s">
        <v>3326</v>
      </c>
      <c r="C710" s="21" t="s">
        <v>3327</v>
      </c>
      <c r="D710" s="21" t="s">
        <v>3324</v>
      </c>
      <c r="E710" s="21" t="s">
        <v>3325</v>
      </c>
      <c r="F710" s="21" t="s">
        <v>8</v>
      </c>
      <c r="G710" s="3" t="s">
        <v>1412</v>
      </c>
      <c r="H710" s="3" t="s">
        <v>7</v>
      </c>
      <c r="I710" s="3" t="s">
        <v>7</v>
      </c>
      <c r="J710" s="3" t="s">
        <v>7</v>
      </c>
      <c r="K710" s="3" t="s">
        <v>7</v>
      </c>
      <c r="L710" s="3" t="s">
        <v>7</v>
      </c>
      <c r="M710" s="2" t="s">
        <v>793</v>
      </c>
      <c r="N710" s="2" t="s">
        <v>3325</v>
      </c>
      <c r="O710" s="2">
        <v>0</v>
      </c>
      <c r="P710" s="2">
        <v>0</v>
      </c>
      <c r="Q710" s="3" t="s">
        <v>3199</v>
      </c>
    </row>
    <row r="711" spans="1:17" hidden="1">
      <c r="A711" s="21">
        <v>0</v>
      </c>
      <c r="B711" s="22" t="s">
        <v>3328</v>
      </c>
      <c r="C711" s="21" t="s">
        <v>3329</v>
      </c>
      <c r="D711" s="21" t="s">
        <v>3324</v>
      </c>
      <c r="E711" s="21" t="s">
        <v>3330</v>
      </c>
      <c r="F711" s="21" t="s">
        <v>8</v>
      </c>
      <c r="G711" s="3" t="s">
        <v>1182</v>
      </c>
      <c r="H711" s="3" t="s">
        <v>7</v>
      </c>
      <c r="I711" s="3" t="s">
        <v>7</v>
      </c>
      <c r="J711" s="3" t="s">
        <v>7</v>
      </c>
      <c r="K711" s="3" t="s">
        <v>7</v>
      </c>
      <c r="L711" s="3" t="s">
        <v>7</v>
      </c>
      <c r="M711" s="18" t="s">
        <v>732</v>
      </c>
      <c r="N711" s="18" t="s">
        <v>3330</v>
      </c>
      <c r="O711" s="18">
        <v>0</v>
      </c>
      <c r="P711" s="18">
        <v>0</v>
      </c>
      <c r="Q711" s="3" t="s">
        <v>3199</v>
      </c>
    </row>
    <row r="712" spans="1:17" hidden="1">
      <c r="A712" s="21">
        <v>0</v>
      </c>
      <c r="B712" s="22" t="s">
        <v>3331</v>
      </c>
      <c r="C712" s="21" t="s">
        <v>3332</v>
      </c>
      <c r="D712" s="21" t="s">
        <v>3324</v>
      </c>
      <c r="E712" s="21" t="s">
        <v>3330</v>
      </c>
      <c r="F712" s="21" t="s">
        <v>1180</v>
      </c>
      <c r="G712" s="3" t="s">
        <v>1182</v>
      </c>
      <c r="H712" s="3" t="s">
        <v>7</v>
      </c>
      <c r="I712" s="3" t="s">
        <v>7</v>
      </c>
      <c r="J712" s="3" t="s">
        <v>7</v>
      </c>
      <c r="K712" s="3" t="s">
        <v>7</v>
      </c>
      <c r="L712" s="3" t="s">
        <v>7</v>
      </c>
      <c r="M712" s="18" t="s">
        <v>732</v>
      </c>
      <c r="N712" s="18" t="s">
        <v>3330</v>
      </c>
      <c r="O712" s="18">
        <v>0</v>
      </c>
      <c r="P712" s="18">
        <v>0</v>
      </c>
      <c r="Q712" s="3" t="s">
        <v>3199</v>
      </c>
    </row>
    <row r="713" spans="1:17" hidden="1">
      <c r="A713" s="21">
        <v>0</v>
      </c>
      <c r="B713" s="22" t="s">
        <v>3333</v>
      </c>
      <c r="C713" s="21" t="s">
        <v>3334</v>
      </c>
      <c r="D713" s="21" t="s">
        <v>3324</v>
      </c>
      <c r="E713" s="21" t="s">
        <v>3330</v>
      </c>
      <c r="F713" s="21" t="s">
        <v>8</v>
      </c>
      <c r="G713" s="3" t="s">
        <v>1182</v>
      </c>
      <c r="H713" s="3" t="s">
        <v>7</v>
      </c>
      <c r="I713" s="3" t="s">
        <v>7</v>
      </c>
      <c r="J713" s="3" t="s">
        <v>7</v>
      </c>
      <c r="K713" s="3" t="s">
        <v>7</v>
      </c>
      <c r="L713" s="3" t="s">
        <v>7</v>
      </c>
      <c r="M713" s="18" t="s">
        <v>732</v>
      </c>
      <c r="N713" s="18" t="s">
        <v>3330</v>
      </c>
      <c r="O713" s="18">
        <v>0</v>
      </c>
      <c r="P713" s="18">
        <v>0</v>
      </c>
      <c r="Q713" s="3" t="s">
        <v>3199</v>
      </c>
    </row>
    <row r="714" spans="1:17" hidden="1">
      <c r="A714" s="2">
        <v>0</v>
      </c>
      <c r="B714" s="1" t="s">
        <v>3335</v>
      </c>
      <c r="C714" s="2" t="s">
        <v>3336</v>
      </c>
      <c r="D714" s="2" t="s">
        <v>3324</v>
      </c>
      <c r="E714" s="2" t="s">
        <v>3330</v>
      </c>
      <c r="F714" s="2" t="s">
        <v>1181</v>
      </c>
      <c r="G714" s="3" t="s">
        <v>1182</v>
      </c>
      <c r="H714" s="3" t="s">
        <v>3071</v>
      </c>
      <c r="I714" s="3" t="s">
        <v>55</v>
      </c>
      <c r="J714" s="3" t="s">
        <v>3071</v>
      </c>
      <c r="K714" s="3" t="s">
        <v>3071</v>
      </c>
      <c r="L714" s="3" t="s">
        <v>55</v>
      </c>
      <c r="M714" s="2" t="s">
        <v>732</v>
      </c>
      <c r="N714" s="2" t="s">
        <v>3330</v>
      </c>
      <c r="O714" s="2">
        <v>0</v>
      </c>
      <c r="P714" s="2">
        <v>0</v>
      </c>
      <c r="Q714" s="3" t="s">
        <v>3199</v>
      </c>
    </row>
    <row r="715" spans="1:17" hidden="1">
      <c r="A715" s="2">
        <v>0</v>
      </c>
      <c r="B715" s="4" t="s">
        <v>3337</v>
      </c>
      <c r="C715" s="2" t="s">
        <v>3338</v>
      </c>
      <c r="D715" s="2" t="s">
        <v>3324</v>
      </c>
      <c r="E715" s="2" t="s">
        <v>3325</v>
      </c>
      <c r="F715" s="2" t="s">
        <v>1180</v>
      </c>
      <c r="G715" s="5" t="s">
        <v>1182</v>
      </c>
      <c r="H715" s="3" t="s">
        <v>7</v>
      </c>
      <c r="I715" s="3" t="s">
        <v>7</v>
      </c>
      <c r="J715" s="3" t="s">
        <v>7</v>
      </c>
      <c r="K715" s="3" t="s">
        <v>7</v>
      </c>
      <c r="L715" s="3" t="s">
        <v>7</v>
      </c>
      <c r="M715" s="2" t="s">
        <v>793</v>
      </c>
      <c r="N715" s="2" t="s">
        <v>3325</v>
      </c>
      <c r="O715" s="2">
        <v>0</v>
      </c>
      <c r="P715" s="2">
        <v>0</v>
      </c>
      <c r="Q715" s="3" t="s">
        <v>3199</v>
      </c>
    </row>
    <row r="716" spans="1:17" hidden="1">
      <c r="A716" s="2">
        <v>0</v>
      </c>
      <c r="B716" s="1" t="s">
        <v>3339</v>
      </c>
      <c r="C716" s="2" t="s">
        <v>3340</v>
      </c>
      <c r="D716" s="2" t="s">
        <v>3324</v>
      </c>
      <c r="E716" s="2" t="s">
        <v>3325</v>
      </c>
      <c r="F716" s="2" t="s">
        <v>8</v>
      </c>
      <c r="G716" s="3" t="s">
        <v>1182</v>
      </c>
      <c r="H716" s="3" t="s">
        <v>7</v>
      </c>
      <c r="I716" s="3" t="s">
        <v>7</v>
      </c>
      <c r="J716" s="3" t="s">
        <v>7</v>
      </c>
      <c r="K716" s="3" t="s">
        <v>7</v>
      </c>
      <c r="L716" s="3" t="s">
        <v>7</v>
      </c>
      <c r="M716" s="2" t="s">
        <v>793</v>
      </c>
      <c r="N716" s="2" t="s">
        <v>3325</v>
      </c>
      <c r="O716" s="2">
        <v>0</v>
      </c>
      <c r="P716" s="2">
        <v>0</v>
      </c>
      <c r="Q716" s="3" t="s">
        <v>3199</v>
      </c>
    </row>
    <row r="717" spans="1:17" hidden="1">
      <c r="A717" s="2" t="s">
        <v>2946</v>
      </c>
      <c r="B717" s="1" t="s">
        <v>2484</v>
      </c>
      <c r="C717" s="2" t="s">
        <v>2485</v>
      </c>
      <c r="D717" s="2" t="s">
        <v>193</v>
      </c>
      <c r="E717" s="2" t="s">
        <v>194</v>
      </c>
      <c r="F717" s="2" t="s">
        <v>1192</v>
      </c>
      <c r="G717" s="3" t="s">
        <v>1187</v>
      </c>
      <c r="H717" s="3" t="s">
        <v>7</v>
      </c>
      <c r="I717" s="3" t="s">
        <v>7</v>
      </c>
      <c r="J717" s="3" t="s">
        <v>7</v>
      </c>
      <c r="K717" s="3" t="s">
        <v>7</v>
      </c>
      <c r="L717" s="3" t="s">
        <v>7</v>
      </c>
      <c r="M717" s="2" t="s">
        <v>742</v>
      </c>
      <c r="N717" s="2" t="s">
        <v>2952</v>
      </c>
      <c r="O717" s="2" t="s">
        <v>1393</v>
      </c>
      <c r="P717" s="2" t="s">
        <v>2949</v>
      </c>
      <c r="Q717" s="3" t="s">
        <v>2856</v>
      </c>
    </row>
    <row r="718" spans="1:17" hidden="1">
      <c r="A718" s="2" t="s">
        <v>2946</v>
      </c>
      <c r="B718" s="4" t="s">
        <v>2529</v>
      </c>
      <c r="C718" s="2" t="s">
        <v>2530</v>
      </c>
      <c r="D718" s="2" t="s">
        <v>193</v>
      </c>
      <c r="E718" s="2" t="s">
        <v>194</v>
      </c>
      <c r="F718" s="2" t="s">
        <v>1192</v>
      </c>
      <c r="G718" s="5" t="s">
        <v>1189</v>
      </c>
      <c r="H718" s="3" t="s">
        <v>7</v>
      </c>
      <c r="I718" s="3" t="s">
        <v>7</v>
      </c>
      <c r="J718" s="3" t="s">
        <v>7</v>
      </c>
      <c r="K718" s="3" t="s">
        <v>7</v>
      </c>
      <c r="L718" s="3" t="s">
        <v>7</v>
      </c>
      <c r="M718" s="2" t="s">
        <v>742</v>
      </c>
      <c r="N718" s="2" t="s">
        <v>2952</v>
      </c>
      <c r="O718" s="2" t="s">
        <v>1393</v>
      </c>
      <c r="P718" s="2" t="s">
        <v>2949</v>
      </c>
      <c r="Q718" s="3" t="s">
        <v>2856</v>
      </c>
    </row>
    <row r="719" spans="1:17" hidden="1">
      <c r="A719" s="2" t="s">
        <v>2946</v>
      </c>
      <c r="B719" s="1" t="s">
        <v>2531</v>
      </c>
      <c r="C719" s="2" t="s">
        <v>2532</v>
      </c>
      <c r="D719" s="2" t="s">
        <v>193</v>
      </c>
      <c r="E719" s="2" t="s">
        <v>194</v>
      </c>
      <c r="F719" s="2" t="s">
        <v>1180</v>
      </c>
      <c r="G719" s="3" t="s">
        <v>1185</v>
      </c>
      <c r="H719" s="3" t="s">
        <v>7</v>
      </c>
      <c r="I719" s="3" t="s">
        <v>7</v>
      </c>
      <c r="J719" s="3" t="s">
        <v>7</v>
      </c>
      <c r="K719" s="3" t="s">
        <v>7</v>
      </c>
      <c r="L719" s="3" t="s">
        <v>7</v>
      </c>
      <c r="M719" s="2" t="s">
        <v>742</v>
      </c>
      <c r="N719" s="2" t="s">
        <v>2952</v>
      </c>
      <c r="O719" s="2" t="s">
        <v>1393</v>
      </c>
      <c r="P719" s="2" t="s">
        <v>2949</v>
      </c>
      <c r="Q719" s="3" t="s">
        <v>2856</v>
      </c>
    </row>
    <row r="720" spans="1:17" hidden="1">
      <c r="A720" s="2" t="s">
        <v>2903</v>
      </c>
      <c r="B720" s="1" t="s">
        <v>1094</v>
      </c>
      <c r="C720" s="2" t="s">
        <v>2179</v>
      </c>
      <c r="D720" s="2" t="s">
        <v>195</v>
      </c>
      <c r="E720" s="2" t="s">
        <v>845</v>
      </c>
      <c r="F720" s="2" t="s">
        <v>1192</v>
      </c>
      <c r="G720" s="3" t="s">
        <v>1182</v>
      </c>
      <c r="H720" s="3" t="s">
        <v>7</v>
      </c>
      <c r="I720" s="3" t="s">
        <v>7</v>
      </c>
      <c r="J720" s="3" t="s">
        <v>7</v>
      </c>
      <c r="K720" s="3" t="s">
        <v>7</v>
      </c>
      <c r="L720" s="3" t="s">
        <v>7</v>
      </c>
      <c r="M720" s="2" t="s">
        <v>654</v>
      </c>
      <c r="N720" s="2" t="s">
        <v>655</v>
      </c>
      <c r="O720" s="2" t="s">
        <v>1346</v>
      </c>
      <c r="P720" s="2" t="s">
        <v>2917</v>
      </c>
      <c r="Q720" s="3" t="s">
        <v>2856</v>
      </c>
    </row>
    <row r="721" spans="1:17" hidden="1">
      <c r="A721" s="2" t="s">
        <v>2903</v>
      </c>
      <c r="B721" s="1" t="s">
        <v>1625</v>
      </c>
      <c r="C721" s="2" t="s">
        <v>2824</v>
      </c>
      <c r="D721" s="2" t="s">
        <v>195</v>
      </c>
      <c r="E721" s="2" t="s">
        <v>845</v>
      </c>
      <c r="F721" s="2" t="s">
        <v>1181</v>
      </c>
      <c r="G721" s="3" t="s">
        <v>1188</v>
      </c>
      <c r="H721" s="3" t="s">
        <v>3071</v>
      </c>
      <c r="I721" s="3" t="s">
        <v>7</v>
      </c>
      <c r="J721" s="3" t="s">
        <v>3071</v>
      </c>
      <c r="K721" s="3" t="s">
        <v>3071</v>
      </c>
      <c r="L721" s="3" t="s">
        <v>7</v>
      </c>
      <c r="M721" s="2" t="s">
        <v>654</v>
      </c>
      <c r="N721" s="2" t="s">
        <v>655</v>
      </c>
      <c r="O721" s="2" t="s">
        <v>1346</v>
      </c>
      <c r="P721" s="2" t="s">
        <v>2917</v>
      </c>
      <c r="Q721" s="3" t="s">
        <v>2856</v>
      </c>
    </row>
    <row r="722" spans="1:17" hidden="1">
      <c r="A722" s="2" t="s">
        <v>2903</v>
      </c>
      <c r="B722" s="1" t="s">
        <v>2825</v>
      </c>
      <c r="C722" s="2" t="s">
        <v>2826</v>
      </c>
      <c r="D722" s="2" t="s">
        <v>195</v>
      </c>
      <c r="E722" s="2" t="s">
        <v>845</v>
      </c>
      <c r="F722" s="2" t="s">
        <v>1180</v>
      </c>
      <c r="G722" s="3" t="s">
        <v>1179</v>
      </c>
      <c r="H722" s="3" t="s">
        <v>7</v>
      </c>
      <c r="I722" s="3" t="s">
        <v>7</v>
      </c>
      <c r="J722" s="3" t="s">
        <v>7</v>
      </c>
      <c r="K722" s="3" t="s">
        <v>7</v>
      </c>
      <c r="L722" s="3" t="s">
        <v>7</v>
      </c>
      <c r="M722" s="2" t="s">
        <v>654</v>
      </c>
      <c r="N722" s="2" t="s">
        <v>655</v>
      </c>
      <c r="O722" s="2" t="s">
        <v>1346</v>
      </c>
      <c r="P722" s="2" t="s">
        <v>2917</v>
      </c>
      <c r="Q722" s="3" t="s">
        <v>2856</v>
      </c>
    </row>
    <row r="723" spans="1:17" hidden="1">
      <c r="A723" s="2" t="s">
        <v>2903</v>
      </c>
      <c r="B723" s="1" t="s">
        <v>2827</v>
      </c>
      <c r="C723" s="2" t="s">
        <v>2828</v>
      </c>
      <c r="D723" s="2" t="s">
        <v>195</v>
      </c>
      <c r="E723" s="2" t="s">
        <v>845</v>
      </c>
      <c r="F723" s="2" t="s">
        <v>1180</v>
      </c>
      <c r="G723" s="3" t="s">
        <v>1179</v>
      </c>
      <c r="H723" s="3" t="s">
        <v>7</v>
      </c>
      <c r="I723" s="3" t="s">
        <v>7</v>
      </c>
      <c r="J723" s="3" t="s">
        <v>7</v>
      </c>
      <c r="K723" s="3" t="s">
        <v>7</v>
      </c>
      <c r="L723" s="3" t="s">
        <v>7</v>
      </c>
      <c r="M723" s="2" t="s">
        <v>654</v>
      </c>
      <c r="N723" s="2" t="s">
        <v>655</v>
      </c>
      <c r="O723" s="2" t="s">
        <v>1346</v>
      </c>
      <c r="P723" s="2" t="s">
        <v>2917</v>
      </c>
      <c r="Q723" s="3" t="s">
        <v>2856</v>
      </c>
    </row>
    <row r="724" spans="1:17" hidden="1">
      <c r="A724" s="2" t="s">
        <v>2876</v>
      </c>
      <c r="B724" s="1" t="s">
        <v>1626</v>
      </c>
      <c r="C724" s="2" t="s">
        <v>2182</v>
      </c>
      <c r="D724" s="2" t="s">
        <v>196</v>
      </c>
      <c r="E724" s="2" t="s">
        <v>197</v>
      </c>
      <c r="F724" s="2" t="s">
        <v>1409</v>
      </c>
      <c r="G724" s="3" t="s">
        <v>1184</v>
      </c>
      <c r="H724" s="3" t="s">
        <v>7</v>
      </c>
      <c r="I724" s="3" t="s">
        <v>7</v>
      </c>
      <c r="J724" s="3" t="s">
        <v>7</v>
      </c>
      <c r="K724" s="3" t="s">
        <v>7</v>
      </c>
      <c r="L724" s="3" t="s">
        <v>7</v>
      </c>
      <c r="M724" s="2" t="s">
        <v>444</v>
      </c>
      <c r="N724" s="2" t="s">
        <v>445</v>
      </c>
      <c r="O724" s="2" t="s">
        <v>1331</v>
      </c>
      <c r="P724" s="2" t="s">
        <v>2880</v>
      </c>
      <c r="Q724" s="3" t="s">
        <v>2856</v>
      </c>
    </row>
    <row r="725" spans="1:17" hidden="1">
      <c r="A725" s="2" t="s">
        <v>2876</v>
      </c>
      <c r="B725" s="1" t="s">
        <v>1096</v>
      </c>
      <c r="C725" s="2" t="s">
        <v>2185</v>
      </c>
      <c r="D725" s="2" t="s">
        <v>196</v>
      </c>
      <c r="E725" s="2" t="s">
        <v>197</v>
      </c>
      <c r="F725" s="2" t="s">
        <v>1180</v>
      </c>
      <c r="G725" s="3" t="s">
        <v>1184</v>
      </c>
      <c r="H725" s="3" t="s">
        <v>7</v>
      </c>
      <c r="I725" s="3" t="s">
        <v>7</v>
      </c>
      <c r="J725" s="3" t="s">
        <v>7</v>
      </c>
      <c r="K725" s="3" t="s">
        <v>7</v>
      </c>
      <c r="L725" s="3" t="s">
        <v>7</v>
      </c>
      <c r="M725" s="2" t="s">
        <v>444</v>
      </c>
      <c r="N725" s="2" t="s">
        <v>445</v>
      </c>
      <c r="O725" s="2" t="s">
        <v>1331</v>
      </c>
      <c r="P725" s="2" t="s">
        <v>2880</v>
      </c>
      <c r="Q725" s="3" t="s">
        <v>2856</v>
      </c>
    </row>
    <row r="726" spans="1:17" hidden="1">
      <c r="A726" s="2" t="s">
        <v>2876</v>
      </c>
      <c r="B726" s="1" t="s">
        <v>1095</v>
      </c>
      <c r="C726" s="2" t="s">
        <v>2183</v>
      </c>
      <c r="D726" s="2" t="s">
        <v>196</v>
      </c>
      <c r="E726" s="2" t="s">
        <v>197</v>
      </c>
      <c r="F726" s="2" t="s">
        <v>8</v>
      </c>
      <c r="G726" s="3" t="s">
        <v>1184</v>
      </c>
      <c r="H726" s="3" t="s">
        <v>7</v>
      </c>
      <c r="I726" s="3" t="s">
        <v>7</v>
      </c>
      <c r="J726" s="3" t="s">
        <v>7</v>
      </c>
      <c r="K726" s="3" t="s">
        <v>7</v>
      </c>
      <c r="L726" s="3" t="s">
        <v>7</v>
      </c>
      <c r="M726" s="2" t="s">
        <v>444</v>
      </c>
      <c r="N726" s="2" t="s">
        <v>445</v>
      </c>
      <c r="O726" s="2" t="s">
        <v>1331</v>
      </c>
      <c r="P726" s="2" t="s">
        <v>2880</v>
      </c>
      <c r="Q726" s="3" t="s">
        <v>2856</v>
      </c>
    </row>
    <row r="727" spans="1:17" hidden="1">
      <c r="A727" s="2" t="s">
        <v>2876</v>
      </c>
      <c r="B727" s="1" t="s">
        <v>2180</v>
      </c>
      <c r="C727" s="2" t="s">
        <v>2181</v>
      </c>
      <c r="D727" s="2" t="s">
        <v>196</v>
      </c>
      <c r="E727" s="2" t="s">
        <v>197</v>
      </c>
      <c r="F727" s="2" t="s">
        <v>2107</v>
      </c>
      <c r="G727" s="3" t="s">
        <v>1189</v>
      </c>
      <c r="H727" s="3" t="s">
        <v>7</v>
      </c>
      <c r="I727" s="3" t="s">
        <v>7</v>
      </c>
      <c r="J727" s="3" t="s">
        <v>7</v>
      </c>
      <c r="K727" s="3" t="s">
        <v>7</v>
      </c>
      <c r="L727" s="3" t="s">
        <v>7</v>
      </c>
      <c r="M727" s="2" t="s">
        <v>444</v>
      </c>
      <c r="N727" s="2" t="s">
        <v>445</v>
      </c>
      <c r="O727" s="2" t="s">
        <v>1331</v>
      </c>
      <c r="P727" s="2" t="s">
        <v>2880</v>
      </c>
      <c r="Q727" s="3" t="s">
        <v>2856</v>
      </c>
    </row>
    <row r="728" spans="1:17" hidden="1">
      <c r="A728" s="2" t="s">
        <v>2876</v>
      </c>
      <c r="B728" s="1" t="s">
        <v>2184</v>
      </c>
      <c r="C728" s="2" t="s">
        <v>2182</v>
      </c>
      <c r="D728" s="2" t="s">
        <v>196</v>
      </c>
      <c r="E728" s="2" t="s">
        <v>197</v>
      </c>
      <c r="F728" s="2" t="s">
        <v>1192</v>
      </c>
      <c r="G728" s="3" t="s">
        <v>1184</v>
      </c>
      <c r="H728" s="3" t="s">
        <v>7</v>
      </c>
      <c r="I728" s="3" t="s">
        <v>7</v>
      </c>
      <c r="J728" s="3" t="s">
        <v>7</v>
      </c>
      <c r="K728" s="3" t="s">
        <v>7</v>
      </c>
      <c r="L728" s="3" t="s">
        <v>7</v>
      </c>
      <c r="M728" s="2" t="s">
        <v>444</v>
      </c>
      <c r="N728" s="2" t="s">
        <v>445</v>
      </c>
      <c r="O728" s="2" t="s">
        <v>1331</v>
      </c>
      <c r="P728" s="2" t="s">
        <v>2880</v>
      </c>
      <c r="Q728" s="3" t="s">
        <v>2856</v>
      </c>
    </row>
    <row r="729" spans="1:17" hidden="1">
      <c r="A729" s="2" t="s">
        <v>2946</v>
      </c>
      <c r="B729" s="1" t="s">
        <v>3061</v>
      </c>
      <c r="C729" s="2" t="s">
        <v>3062</v>
      </c>
      <c r="D729" s="2" t="s">
        <v>198</v>
      </c>
      <c r="E729" s="2" t="s">
        <v>199</v>
      </c>
      <c r="F729" s="2" t="s">
        <v>8</v>
      </c>
      <c r="G729" s="3" t="s">
        <v>1412</v>
      </c>
      <c r="H729" s="3" t="s">
        <v>7</v>
      </c>
      <c r="I729" s="3" t="s">
        <v>7</v>
      </c>
      <c r="J729" s="3" t="s">
        <v>7</v>
      </c>
      <c r="K729" s="3" t="s">
        <v>7</v>
      </c>
      <c r="L729" s="3" t="s">
        <v>7</v>
      </c>
      <c r="M729" s="2" t="s">
        <v>404</v>
      </c>
      <c r="N729" s="2" t="s">
        <v>405</v>
      </c>
      <c r="O729" s="2" t="s">
        <v>1389</v>
      </c>
      <c r="P729" s="2" t="s">
        <v>2947</v>
      </c>
      <c r="Q729" s="3" t="s">
        <v>2856</v>
      </c>
    </row>
    <row r="730" spans="1:17" hidden="1">
      <c r="A730" s="2" t="s">
        <v>2946</v>
      </c>
      <c r="B730" s="1" t="s">
        <v>1097</v>
      </c>
      <c r="C730" s="2" t="s">
        <v>2186</v>
      </c>
      <c r="D730" s="2" t="s">
        <v>198</v>
      </c>
      <c r="E730" s="2" t="s">
        <v>199</v>
      </c>
      <c r="F730" s="2" t="s">
        <v>1192</v>
      </c>
      <c r="G730" s="3" t="s">
        <v>1412</v>
      </c>
      <c r="H730" s="3" t="s">
        <v>7</v>
      </c>
      <c r="I730" s="3" t="s">
        <v>7</v>
      </c>
      <c r="J730" s="3" t="s">
        <v>7</v>
      </c>
      <c r="K730" s="3" t="s">
        <v>7</v>
      </c>
      <c r="L730" s="3" t="s">
        <v>7</v>
      </c>
      <c r="M730" s="2" t="s">
        <v>404</v>
      </c>
      <c r="N730" s="2" t="s">
        <v>405</v>
      </c>
      <c r="O730" s="2" t="s">
        <v>1389</v>
      </c>
      <c r="P730" s="2" t="s">
        <v>2947</v>
      </c>
      <c r="Q730" s="3" t="s">
        <v>2856</v>
      </c>
    </row>
    <row r="731" spans="1:17" hidden="1">
      <c r="A731" s="2" t="s">
        <v>2946</v>
      </c>
      <c r="B731" s="1" t="s">
        <v>2722</v>
      </c>
      <c r="C731" s="2" t="s">
        <v>2723</v>
      </c>
      <c r="D731" s="2" t="s">
        <v>198</v>
      </c>
      <c r="E731" s="2" t="s">
        <v>199</v>
      </c>
      <c r="F731" s="2" t="s">
        <v>1192</v>
      </c>
      <c r="G731" s="3" t="s">
        <v>1186</v>
      </c>
      <c r="H731" s="3" t="s">
        <v>55</v>
      </c>
      <c r="I731" s="3" t="s">
        <v>55</v>
      </c>
      <c r="J731" s="3" t="s">
        <v>55</v>
      </c>
      <c r="K731" s="3" t="s">
        <v>55</v>
      </c>
      <c r="L731" s="3" t="s">
        <v>55</v>
      </c>
      <c r="M731" s="2" t="s">
        <v>404</v>
      </c>
      <c r="N731" s="2" t="s">
        <v>405</v>
      </c>
      <c r="O731" s="2" t="s">
        <v>1389</v>
      </c>
      <c r="P731" s="2" t="s">
        <v>2947</v>
      </c>
      <c r="Q731" s="3" t="s">
        <v>2856</v>
      </c>
    </row>
    <row r="732" spans="1:17" hidden="1">
      <c r="A732" s="2" t="s">
        <v>2946</v>
      </c>
      <c r="B732" s="1" t="s">
        <v>2724</v>
      </c>
      <c r="C732" s="2" t="s">
        <v>2725</v>
      </c>
      <c r="D732" s="2" t="s">
        <v>198</v>
      </c>
      <c r="E732" s="2" t="s">
        <v>199</v>
      </c>
      <c r="F732" s="2" t="s">
        <v>1180</v>
      </c>
      <c r="G732" s="3" t="s">
        <v>1179</v>
      </c>
      <c r="H732" s="3" t="s">
        <v>55</v>
      </c>
      <c r="I732" s="3" t="s">
        <v>55</v>
      </c>
      <c r="J732" s="3" t="s">
        <v>55</v>
      </c>
      <c r="K732" s="3" t="s">
        <v>55</v>
      </c>
      <c r="L732" s="3" t="s">
        <v>55</v>
      </c>
      <c r="M732" s="2" t="s">
        <v>404</v>
      </c>
      <c r="N732" s="2" t="s">
        <v>405</v>
      </c>
      <c r="O732" s="2" t="s">
        <v>1389</v>
      </c>
      <c r="P732" s="2" t="s">
        <v>2947</v>
      </c>
      <c r="Q732" s="3" t="s">
        <v>2856</v>
      </c>
    </row>
    <row r="733" spans="1:17" hidden="1">
      <c r="A733" s="2" t="s">
        <v>2903</v>
      </c>
      <c r="B733" s="1" t="s">
        <v>2651</v>
      </c>
      <c r="C733" s="2" t="s">
        <v>2652</v>
      </c>
      <c r="D733" s="2" t="s">
        <v>200</v>
      </c>
      <c r="E733" s="2" t="s">
        <v>847</v>
      </c>
      <c r="F733" s="2" t="s">
        <v>1192</v>
      </c>
      <c r="G733" s="3" t="s">
        <v>1185</v>
      </c>
      <c r="H733" s="3" t="s">
        <v>7</v>
      </c>
      <c r="I733" s="3" t="s">
        <v>7</v>
      </c>
      <c r="J733" s="3" t="s">
        <v>7</v>
      </c>
      <c r="K733" s="3" t="s">
        <v>7</v>
      </c>
      <c r="L733" s="3" t="s">
        <v>7</v>
      </c>
      <c r="M733" s="2" t="s">
        <v>612</v>
      </c>
      <c r="N733" s="2" t="s">
        <v>613</v>
      </c>
      <c r="O733" s="2" t="s">
        <v>1341</v>
      </c>
      <c r="P733" s="2" t="s">
        <v>2910</v>
      </c>
      <c r="Q733" s="3" t="s">
        <v>2856</v>
      </c>
    </row>
    <row r="734" spans="1:17" hidden="1">
      <c r="A734" s="2" t="s">
        <v>2903</v>
      </c>
      <c r="B734" s="1" t="s">
        <v>2653</v>
      </c>
      <c r="C734" s="2" t="s">
        <v>2654</v>
      </c>
      <c r="D734" s="2" t="s">
        <v>200</v>
      </c>
      <c r="E734" s="2" t="s">
        <v>847</v>
      </c>
      <c r="F734" s="2" t="s">
        <v>1180</v>
      </c>
      <c r="G734" s="3" t="s">
        <v>1179</v>
      </c>
      <c r="H734" s="3" t="s">
        <v>7</v>
      </c>
      <c r="I734" s="3" t="s">
        <v>7</v>
      </c>
      <c r="J734" s="3" t="s">
        <v>7</v>
      </c>
      <c r="K734" s="3" t="s">
        <v>7</v>
      </c>
      <c r="L734" s="3" t="s">
        <v>7</v>
      </c>
      <c r="M734" s="2" t="s">
        <v>612</v>
      </c>
      <c r="N734" s="2" t="s">
        <v>613</v>
      </c>
      <c r="O734" s="2" t="s">
        <v>1341</v>
      </c>
      <c r="P734" s="2" t="s">
        <v>2910</v>
      </c>
      <c r="Q734" s="3" t="s">
        <v>2856</v>
      </c>
    </row>
    <row r="735" spans="1:17" hidden="1">
      <c r="A735" s="2" t="s">
        <v>2903</v>
      </c>
      <c r="B735" s="1" t="s">
        <v>2643</v>
      </c>
      <c r="C735" s="2" t="s">
        <v>2644</v>
      </c>
      <c r="D735" s="2" t="s">
        <v>200</v>
      </c>
      <c r="E735" s="2" t="s">
        <v>3063</v>
      </c>
      <c r="F735" s="2" t="s">
        <v>1192</v>
      </c>
      <c r="G735" s="3" t="s">
        <v>1185</v>
      </c>
      <c r="H735" s="3" t="s">
        <v>55</v>
      </c>
      <c r="I735" s="3" t="s">
        <v>55</v>
      </c>
      <c r="J735" s="3" t="s">
        <v>55</v>
      </c>
      <c r="K735" s="3" t="s">
        <v>55</v>
      </c>
      <c r="L735" s="3" t="s">
        <v>55</v>
      </c>
      <c r="M735" s="2" t="s">
        <v>768</v>
      </c>
      <c r="N735" s="2" t="s">
        <v>2911</v>
      </c>
      <c r="O735" s="2" t="s">
        <v>1341</v>
      </c>
      <c r="P735" s="2" t="s">
        <v>2912</v>
      </c>
      <c r="Q735" s="3" t="s">
        <v>2856</v>
      </c>
    </row>
    <row r="736" spans="1:17" hidden="1">
      <c r="A736" s="2" t="s">
        <v>2903</v>
      </c>
      <c r="B736" s="1" t="s">
        <v>2645</v>
      </c>
      <c r="C736" s="2" t="s">
        <v>2646</v>
      </c>
      <c r="D736" s="2" t="s">
        <v>200</v>
      </c>
      <c r="E736" s="2" t="s">
        <v>846</v>
      </c>
      <c r="F736" s="2" t="s">
        <v>1192</v>
      </c>
      <c r="G736" s="3" t="s">
        <v>1185</v>
      </c>
      <c r="H736" s="3" t="s">
        <v>7</v>
      </c>
      <c r="I736" s="3" t="s">
        <v>7</v>
      </c>
      <c r="J736" s="3" t="s">
        <v>7</v>
      </c>
      <c r="K736" s="3" t="s">
        <v>7</v>
      </c>
      <c r="L736" s="3" t="s">
        <v>7</v>
      </c>
      <c r="M736" s="2" t="s">
        <v>678</v>
      </c>
      <c r="N736" s="2" t="s">
        <v>679</v>
      </c>
      <c r="O736" s="2" t="s">
        <v>1341</v>
      </c>
      <c r="P736" s="2" t="s">
        <v>2910</v>
      </c>
      <c r="Q736" s="3" t="s">
        <v>2856</v>
      </c>
    </row>
    <row r="737" spans="1:18" hidden="1">
      <c r="A737" s="2" t="s">
        <v>2903</v>
      </c>
      <c r="B737" s="1" t="s">
        <v>2649</v>
      </c>
      <c r="C737" s="2" t="s">
        <v>2650</v>
      </c>
      <c r="D737" s="2" t="s">
        <v>200</v>
      </c>
      <c r="E737" s="2" t="s">
        <v>846</v>
      </c>
      <c r="F737" s="2" t="s">
        <v>1180</v>
      </c>
      <c r="G737" s="3" t="s">
        <v>1198</v>
      </c>
      <c r="H737" s="3" t="s">
        <v>7</v>
      </c>
      <c r="I737" s="3" t="s">
        <v>7</v>
      </c>
      <c r="J737" s="3" t="s">
        <v>7</v>
      </c>
      <c r="K737" s="3" t="s">
        <v>7</v>
      </c>
      <c r="L737" s="3" t="s">
        <v>7</v>
      </c>
      <c r="M737" s="2" t="s">
        <v>678</v>
      </c>
      <c r="N737" s="2" t="s">
        <v>679</v>
      </c>
      <c r="O737" s="2" t="s">
        <v>1341</v>
      </c>
      <c r="P737" s="2" t="s">
        <v>2910</v>
      </c>
      <c r="Q737" s="3" t="s">
        <v>2856</v>
      </c>
    </row>
    <row r="738" spans="1:18" hidden="1">
      <c r="A738" s="2" t="s">
        <v>2903</v>
      </c>
      <c r="B738" s="1" t="s">
        <v>2647</v>
      </c>
      <c r="C738" s="2" t="s">
        <v>2648</v>
      </c>
      <c r="D738" s="2" t="s">
        <v>200</v>
      </c>
      <c r="E738" s="2" t="s">
        <v>846</v>
      </c>
      <c r="F738" s="2" t="s">
        <v>1181</v>
      </c>
      <c r="G738" s="3" t="s">
        <v>1189</v>
      </c>
      <c r="H738" s="3" t="s">
        <v>3071</v>
      </c>
      <c r="I738" s="3" t="s">
        <v>7</v>
      </c>
      <c r="J738" s="3" t="s">
        <v>3071</v>
      </c>
      <c r="K738" s="3" t="s">
        <v>3071</v>
      </c>
      <c r="L738" s="3" t="s">
        <v>7</v>
      </c>
      <c r="M738" s="2" t="s">
        <v>678</v>
      </c>
      <c r="N738" s="2" t="s">
        <v>679</v>
      </c>
      <c r="O738" s="2" t="s">
        <v>1341</v>
      </c>
      <c r="P738" s="2" t="s">
        <v>2910</v>
      </c>
      <c r="Q738" s="3" t="s">
        <v>2856</v>
      </c>
    </row>
    <row r="739" spans="1:18" hidden="1">
      <c r="A739" s="2" t="s">
        <v>2903</v>
      </c>
      <c r="B739" s="1" t="s">
        <v>1098</v>
      </c>
      <c r="C739" s="2" t="s">
        <v>2187</v>
      </c>
      <c r="D739" s="2" t="s">
        <v>201</v>
      </c>
      <c r="E739" s="2" t="s">
        <v>848</v>
      </c>
      <c r="F739" s="2" t="s">
        <v>1192</v>
      </c>
      <c r="G739" s="3" t="s">
        <v>1412</v>
      </c>
      <c r="H739" s="3" t="s">
        <v>7</v>
      </c>
      <c r="I739" s="3" t="s">
        <v>7</v>
      </c>
      <c r="J739" s="3" t="s">
        <v>7</v>
      </c>
      <c r="K739" s="3" t="s">
        <v>7</v>
      </c>
      <c r="L739" s="3" t="s">
        <v>7</v>
      </c>
      <c r="M739" s="2" t="s">
        <v>562</v>
      </c>
      <c r="N739" s="2" t="s">
        <v>563</v>
      </c>
      <c r="O739" s="2" t="s">
        <v>1365</v>
      </c>
      <c r="P739" s="2" t="s">
        <v>2907</v>
      </c>
      <c r="Q739" s="3" t="s">
        <v>2856</v>
      </c>
    </row>
    <row r="740" spans="1:18" hidden="1">
      <c r="A740" s="2" t="s">
        <v>2903</v>
      </c>
      <c r="B740" s="1" t="s">
        <v>1099</v>
      </c>
      <c r="C740" s="2" t="s">
        <v>2188</v>
      </c>
      <c r="D740" s="2" t="s">
        <v>201</v>
      </c>
      <c r="E740" s="2" t="s">
        <v>848</v>
      </c>
      <c r="F740" s="2" t="s">
        <v>1180</v>
      </c>
      <c r="G740" s="3" t="s">
        <v>1412</v>
      </c>
      <c r="H740" s="3" t="s">
        <v>7</v>
      </c>
      <c r="I740" s="3" t="s">
        <v>7</v>
      </c>
      <c r="J740" s="3" t="s">
        <v>7</v>
      </c>
      <c r="K740" s="3" t="s">
        <v>7</v>
      </c>
      <c r="L740" s="3" t="s">
        <v>7</v>
      </c>
      <c r="M740" s="2" t="s">
        <v>562</v>
      </c>
      <c r="N740" s="2" t="s">
        <v>563</v>
      </c>
      <c r="O740" s="2" t="s">
        <v>1365</v>
      </c>
      <c r="P740" s="2" t="s">
        <v>2907</v>
      </c>
      <c r="Q740" s="3" t="s">
        <v>2856</v>
      </c>
    </row>
    <row r="741" spans="1:18" hidden="1">
      <c r="A741" s="2" t="s">
        <v>2903</v>
      </c>
      <c r="B741" s="1" t="s">
        <v>2486</v>
      </c>
      <c r="C741" s="2" t="s">
        <v>2487</v>
      </c>
      <c r="D741" s="2" t="s">
        <v>201</v>
      </c>
      <c r="E741" s="2" t="s">
        <v>848</v>
      </c>
      <c r="F741" s="2" t="s">
        <v>1181</v>
      </c>
      <c r="G741" s="3" t="s">
        <v>1412</v>
      </c>
      <c r="H741" s="3" t="s">
        <v>3071</v>
      </c>
      <c r="I741" s="3" t="s">
        <v>7</v>
      </c>
      <c r="J741" s="3" t="s">
        <v>3071</v>
      </c>
      <c r="K741" s="3" t="s">
        <v>3071</v>
      </c>
      <c r="L741" s="3" t="s">
        <v>7</v>
      </c>
      <c r="M741" s="2" t="s">
        <v>562</v>
      </c>
      <c r="N741" s="2" t="s">
        <v>563</v>
      </c>
      <c r="O741" s="2" t="s">
        <v>1365</v>
      </c>
      <c r="P741" s="2" t="s">
        <v>2907</v>
      </c>
      <c r="Q741" s="3" t="s">
        <v>2856</v>
      </c>
    </row>
    <row r="742" spans="1:18" hidden="1">
      <c r="A742" s="2" t="s">
        <v>2946</v>
      </c>
      <c r="B742" s="1" t="s">
        <v>1100</v>
      </c>
      <c r="C742" s="2" t="s">
        <v>2190</v>
      </c>
      <c r="D742" s="2" t="s">
        <v>202</v>
      </c>
      <c r="E742" s="2" t="s">
        <v>203</v>
      </c>
      <c r="F742" s="2" t="s">
        <v>1192</v>
      </c>
      <c r="G742" s="3" t="s">
        <v>1412</v>
      </c>
      <c r="H742" s="3" t="s">
        <v>7</v>
      </c>
      <c r="I742" s="3" t="s">
        <v>7</v>
      </c>
      <c r="J742" s="3" t="s">
        <v>7</v>
      </c>
      <c r="K742" s="3" t="s">
        <v>7</v>
      </c>
      <c r="L742" s="3" t="s">
        <v>7</v>
      </c>
      <c r="M742" s="2" t="s">
        <v>350</v>
      </c>
      <c r="N742" s="2" t="s">
        <v>351</v>
      </c>
      <c r="O742" s="2" t="s">
        <v>1388</v>
      </c>
      <c r="P742" s="2" t="s">
        <v>2947</v>
      </c>
      <c r="Q742" s="3" t="s">
        <v>2856</v>
      </c>
    </row>
    <row r="743" spans="1:18" hidden="1">
      <c r="A743" s="2" t="s">
        <v>2946</v>
      </c>
      <c r="B743" s="1" t="s">
        <v>1101</v>
      </c>
      <c r="C743" s="2" t="s">
        <v>2191</v>
      </c>
      <c r="D743" s="2" t="s">
        <v>202</v>
      </c>
      <c r="E743" s="2" t="s">
        <v>203</v>
      </c>
      <c r="F743" s="2" t="s">
        <v>1180</v>
      </c>
      <c r="G743" s="3" t="s">
        <v>1412</v>
      </c>
      <c r="H743" s="3" t="s">
        <v>7</v>
      </c>
      <c r="I743" s="3" t="s">
        <v>7</v>
      </c>
      <c r="J743" s="3" t="s">
        <v>7</v>
      </c>
      <c r="K743" s="3" t="s">
        <v>7</v>
      </c>
      <c r="L743" s="3" t="s">
        <v>7</v>
      </c>
      <c r="M743" s="2" t="s">
        <v>350</v>
      </c>
      <c r="N743" s="2" t="s">
        <v>351</v>
      </c>
      <c r="O743" s="2" t="s">
        <v>1388</v>
      </c>
      <c r="P743" s="2" t="s">
        <v>2947</v>
      </c>
      <c r="Q743" s="3" t="s">
        <v>2856</v>
      </c>
    </row>
    <row r="744" spans="1:18" hidden="1">
      <c r="A744" s="2" t="s">
        <v>2946</v>
      </c>
      <c r="B744" s="1" t="s">
        <v>1627</v>
      </c>
      <c r="C744" s="2" t="s">
        <v>2189</v>
      </c>
      <c r="D744" s="2" t="s">
        <v>202</v>
      </c>
      <c r="E744" s="2" t="s">
        <v>203</v>
      </c>
      <c r="F744" s="2" t="s">
        <v>1192</v>
      </c>
      <c r="G744" s="3" t="s">
        <v>1412</v>
      </c>
      <c r="H744" s="3" t="s">
        <v>7</v>
      </c>
      <c r="I744" s="3" t="s">
        <v>7</v>
      </c>
      <c r="J744" s="3" t="s">
        <v>7</v>
      </c>
      <c r="K744" s="3" t="s">
        <v>7</v>
      </c>
      <c r="L744" s="3" t="s">
        <v>7</v>
      </c>
      <c r="M744" s="2" t="s">
        <v>350</v>
      </c>
      <c r="N744" s="2" t="s">
        <v>351</v>
      </c>
      <c r="O744" s="2" t="s">
        <v>1388</v>
      </c>
      <c r="P744" s="2" t="s">
        <v>2947</v>
      </c>
      <c r="Q744" s="3" t="s">
        <v>2856</v>
      </c>
    </row>
    <row r="745" spans="1:18" hidden="1">
      <c r="A745" s="2" t="s">
        <v>2903</v>
      </c>
      <c r="B745" s="1" t="s">
        <v>1628</v>
      </c>
      <c r="C745" s="2" t="s">
        <v>2192</v>
      </c>
      <c r="D745" s="2" t="s">
        <v>204</v>
      </c>
      <c r="E745" s="2" t="s">
        <v>205</v>
      </c>
      <c r="F745" s="2" t="s">
        <v>1409</v>
      </c>
      <c r="G745" s="3" t="s">
        <v>1412</v>
      </c>
      <c r="H745" s="3" t="s">
        <v>7</v>
      </c>
      <c r="I745" s="3" t="s">
        <v>7</v>
      </c>
      <c r="J745" s="3" t="s">
        <v>7</v>
      </c>
      <c r="K745" s="3" t="s">
        <v>7</v>
      </c>
      <c r="L745" s="3" t="s">
        <v>7</v>
      </c>
      <c r="M745" s="2" t="s">
        <v>718</v>
      </c>
      <c r="N745" s="2" t="s">
        <v>1352</v>
      </c>
      <c r="O745" s="2" t="s">
        <v>1351</v>
      </c>
      <c r="P745" s="2" t="s">
        <v>2915</v>
      </c>
      <c r="Q745" s="3" t="s">
        <v>2856</v>
      </c>
      <c r="R745" s="10" t="s">
        <v>1238</v>
      </c>
    </row>
    <row r="746" spans="1:18" hidden="1">
      <c r="A746" s="2" t="s">
        <v>2903</v>
      </c>
      <c r="B746" s="1" t="s">
        <v>1103</v>
      </c>
      <c r="C746" s="2" t="s">
        <v>2194</v>
      </c>
      <c r="D746" s="2" t="s">
        <v>204</v>
      </c>
      <c r="E746" s="2" t="s">
        <v>205</v>
      </c>
      <c r="F746" s="2" t="s">
        <v>1180</v>
      </c>
      <c r="G746" s="3" t="s">
        <v>1412</v>
      </c>
      <c r="H746" s="3" t="s">
        <v>7</v>
      </c>
      <c r="I746" s="3" t="s">
        <v>7</v>
      </c>
      <c r="J746" s="3" t="s">
        <v>7</v>
      </c>
      <c r="K746" s="3" t="s">
        <v>7</v>
      </c>
      <c r="L746" s="3" t="s">
        <v>7</v>
      </c>
      <c r="M746" s="2" t="s">
        <v>718</v>
      </c>
      <c r="N746" s="2" t="s">
        <v>1352</v>
      </c>
      <c r="O746" s="2" t="s">
        <v>1351</v>
      </c>
      <c r="P746" s="2" t="s">
        <v>2915</v>
      </c>
      <c r="Q746" s="3" t="s">
        <v>2856</v>
      </c>
      <c r="R746" s="10" t="s">
        <v>1238</v>
      </c>
    </row>
    <row r="747" spans="1:18" hidden="1">
      <c r="A747" s="2" t="s">
        <v>2903</v>
      </c>
      <c r="B747" s="1" t="s">
        <v>1102</v>
      </c>
      <c r="C747" s="2" t="s">
        <v>2193</v>
      </c>
      <c r="D747" s="2" t="s">
        <v>204</v>
      </c>
      <c r="E747" s="2" t="s">
        <v>205</v>
      </c>
      <c r="F747" s="2" t="s">
        <v>8</v>
      </c>
      <c r="G747" s="3" t="s">
        <v>1182</v>
      </c>
      <c r="H747" s="3" t="s">
        <v>7</v>
      </c>
      <c r="I747" s="3" t="s">
        <v>7</v>
      </c>
      <c r="J747" s="3" t="s">
        <v>7</v>
      </c>
      <c r="K747" s="3" t="s">
        <v>7</v>
      </c>
      <c r="L747" s="3" t="s">
        <v>7</v>
      </c>
      <c r="M747" s="2" t="s">
        <v>718</v>
      </c>
      <c r="N747" s="2" t="s">
        <v>1352</v>
      </c>
      <c r="O747" s="2" t="s">
        <v>1351</v>
      </c>
      <c r="P747" s="2" t="s">
        <v>2915</v>
      </c>
      <c r="Q747" s="3" t="s">
        <v>2856</v>
      </c>
    </row>
    <row r="748" spans="1:18" hidden="1">
      <c r="A748" s="2" t="s">
        <v>2903</v>
      </c>
      <c r="B748" s="1" t="s">
        <v>1104</v>
      </c>
      <c r="C748" s="2" t="s">
        <v>2195</v>
      </c>
      <c r="D748" s="2" t="s">
        <v>204</v>
      </c>
      <c r="E748" s="2" t="s">
        <v>795</v>
      </c>
      <c r="F748" s="2" t="s">
        <v>8</v>
      </c>
      <c r="G748" s="3" t="s">
        <v>1185</v>
      </c>
      <c r="H748" s="3" t="s">
        <v>7</v>
      </c>
      <c r="I748" s="3" t="s">
        <v>7</v>
      </c>
      <c r="J748" s="3" t="s">
        <v>7</v>
      </c>
      <c r="K748" s="3" t="s">
        <v>7</v>
      </c>
      <c r="L748" s="3" t="s">
        <v>7</v>
      </c>
      <c r="M748" s="2" t="s">
        <v>662</v>
      </c>
      <c r="N748" s="2" t="s">
        <v>2919</v>
      </c>
      <c r="O748" s="2" t="s">
        <v>1351</v>
      </c>
      <c r="P748" s="2" t="s">
        <v>2915</v>
      </c>
      <c r="Q748" s="3" t="s">
        <v>2856</v>
      </c>
    </row>
    <row r="749" spans="1:18" hidden="1">
      <c r="A749" s="2" t="s">
        <v>2903</v>
      </c>
      <c r="B749" s="1" t="s">
        <v>1105</v>
      </c>
      <c r="C749" s="2" t="s">
        <v>2196</v>
      </c>
      <c r="D749" s="2" t="s">
        <v>204</v>
      </c>
      <c r="E749" s="2" t="s">
        <v>795</v>
      </c>
      <c r="F749" s="2" t="s">
        <v>8</v>
      </c>
      <c r="G749" s="3" t="s">
        <v>1185</v>
      </c>
      <c r="H749" s="3" t="s">
        <v>7</v>
      </c>
      <c r="I749" s="3" t="s">
        <v>7</v>
      </c>
      <c r="J749" s="3" t="s">
        <v>7</v>
      </c>
      <c r="K749" s="3" t="s">
        <v>7</v>
      </c>
      <c r="L749" s="3" t="s">
        <v>7</v>
      </c>
      <c r="M749" s="2" t="s">
        <v>662</v>
      </c>
      <c r="N749" s="2" t="s">
        <v>2919</v>
      </c>
      <c r="O749" s="2" t="s">
        <v>1351</v>
      </c>
      <c r="P749" s="2" t="s">
        <v>2915</v>
      </c>
      <c r="Q749" s="3" t="s">
        <v>2856</v>
      </c>
    </row>
    <row r="750" spans="1:18" hidden="1">
      <c r="A750" s="2" t="s">
        <v>2903</v>
      </c>
      <c r="B750" s="1" t="s">
        <v>1106</v>
      </c>
      <c r="C750" s="2" t="s">
        <v>2199</v>
      </c>
      <c r="D750" s="2" t="s">
        <v>2405</v>
      </c>
      <c r="E750" s="2" t="s">
        <v>849</v>
      </c>
      <c r="F750" s="2" t="s">
        <v>8</v>
      </c>
      <c r="G750" s="3" t="s">
        <v>1182</v>
      </c>
      <c r="H750" s="3" t="s">
        <v>7</v>
      </c>
      <c r="I750" s="3" t="s">
        <v>7</v>
      </c>
      <c r="J750" s="3" t="s">
        <v>7</v>
      </c>
      <c r="K750" s="3" t="s">
        <v>7</v>
      </c>
      <c r="L750" s="3" t="s">
        <v>7</v>
      </c>
      <c r="M750" s="2" t="s">
        <v>680</v>
      </c>
      <c r="N750" s="2" t="s">
        <v>681</v>
      </c>
      <c r="O750" s="2" t="s">
        <v>2932</v>
      </c>
      <c r="P750" s="2" t="s">
        <v>2915</v>
      </c>
      <c r="Q750" s="3" t="s">
        <v>2856</v>
      </c>
    </row>
    <row r="751" spans="1:18" hidden="1">
      <c r="A751" s="2" t="s">
        <v>2903</v>
      </c>
      <c r="B751" s="1" t="s">
        <v>2201</v>
      </c>
      <c r="C751" s="2" t="s">
        <v>2202</v>
      </c>
      <c r="D751" s="2" t="s">
        <v>2405</v>
      </c>
      <c r="E751" s="2" t="s">
        <v>849</v>
      </c>
      <c r="F751" s="2" t="s">
        <v>1637</v>
      </c>
      <c r="G751" s="3" t="s">
        <v>1185</v>
      </c>
      <c r="H751" s="3" t="s">
        <v>3071</v>
      </c>
      <c r="I751" s="3" t="s">
        <v>3071</v>
      </c>
      <c r="J751" s="3" t="s">
        <v>3071</v>
      </c>
      <c r="K751" s="3" t="s">
        <v>3071</v>
      </c>
      <c r="L751" s="3" t="s">
        <v>7</v>
      </c>
      <c r="M751" s="2" t="s">
        <v>680</v>
      </c>
      <c r="N751" s="2" t="s">
        <v>681</v>
      </c>
      <c r="O751" s="2" t="s">
        <v>2932</v>
      </c>
      <c r="P751" s="2" t="s">
        <v>2915</v>
      </c>
      <c r="Q751" s="3" t="s">
        <v>2856</v>
      </c>
    </row>
    <row r="752" spans="1:18" hidden="1">
      <c r="A752" s="2" t="s">
        <v>2903</v>
      </c>
      <c r="B752" s="1" t="s">
        <v>2203</v>
      </c>
      <c r="C752" s="2" t="s">
        <v>2204</v>
      </c>
      <c r="D752" s="2" t="s">
        <v>2405</v>
      </c>
      <c r="E752" s="2" t="s">
        <v>849</v>
      </c>
      <c r="F752" s="2" t="s">
        <v>1637</v>
      </c>
      <c r="G752" s="3" t="s">
        <v>1184</v>
      </c>
      <c r="H752" s="3" t="s">
        <v>3071</v>
      </c>
      <c r="I752" s="3" t="s">
        <v>3071</v>
      </c>
      <c r="J752" s="3" t="s">
        <v>3071</v>
      </c>
      <c r="K752" s="3" t="s">
        <v>3071</v>
      </c>
      <c r="L752" s="3" t="s">
        <v>7</v>
      </c>
      <c r="M752" s="2" t="s">
        <v>680</v>
      </c>
      <c r="N752" s="2" t="s">
        <v>681</v>
      </c>
      <c r="O752" s="2" t="s">
        <v>2932</v>
      </c>
      <c r="P752" s="2" t="s">
        <v>2915</v>
      </c>
      <c r="Q752" s="3" t="s">
        <v>2856</v>
      </c>
    </row>
    <row r="753" spans="1:17" hidden="1">
      <c r="A753" s="2" t="s">
        <v>2903</v>
      </c>
      <c r="B753" s="1" t="s">
        <v>2197</v>
      </c>
      <c r="C753" s="2" t="s">
        <v>2198</v>
      </c>
      <c r="D753" s="2" t="s">
        <v>2405</v>
      </c>
      <c r="E753" s="2" t="s">
        <v>849</v>
      </c>
      <c r="F753" s="2" t="s">
        <v>1409</v>
      </c>
      <c r="G753" s="3" t="s">
        <v>1412</v>
      </c>
      <c r="H753" s="3" t="s">
        <v>55</v>
      </c>
      <c r="I753" s="3" t="s">
        <v>55</v>
      </c>
      <c r="J753" s="3" t="s">
        <v>55</v>
      </c>
      <c r="K753" s="3" t="s">
        <v>55</v>
      </c>
      <c r="L753" s="3" t="s">
        <v>55</v>
      </c>
      <c r="M753" s="2" t="s">
        <v>680</v>
      </c>
      <c r="N753" s="2" t="s">
        <v>681</v>
      </c>
      <c r="O753" s="2" t="s">
        <v>2932</v>
      </c>
      <c r="P753" s="2" t="s">
        <v>2915</v>
      </c>
      <c r="Q753" s="3" t="s">
        <v>2856</v>
      </c>
    </row>
    <row r="754" spans="1:17" hidden="1">
      <c r="A754" s="2" t="s">
        <v>2903</v>
      </c>
      <c r="B754" s="1" t="s">
        <v>1107</v>
      </c>
      <c r="C754" s="2" t="s">
        <v>2200</v>
      </c>
      <c r="D754" s="2" t="s">
        <v>2405</v>
      </c>
      <c r="E754" s="2" t="s">
        <v>849</v>
      </c>
      <c r="F754" s="2" t="s">
        <v>8</v>
      </c>
      <c r="G754" s="3" t="s">
        <v>1412</v>
      </c>
      <c r="H754" s="3" t="s">
        <v>7</v>
      </c>
      <c r="I754" s="3" t="s">
        <v>7</v>
      </c>
      <c r="J754" s="3" t="s">
        <v>7</v>
      </c>
      <c r="K754" s="3" t="s">
        <v>7</v>
      </c>
      <c r="L754" s="3" t="s">
        <v>7</v>
      </c>
      <c r="M754" s="2" t="s">
        <v>680</v>
      </c>
      <c r="N754" s="2" t="s">
        <v>681</v>
      </c>
      <c r="O754" s="2" t="s">
        <v>2932</v>
      </c>
      <c r="P754" s="2" t="s">
        <v>2915</v>
      </c>
      <c r="Q754" s="3" t="s">
        <v>2856</v>
      </c>
    </row>
    <row r="755" spans="1:17" hidden="1">
      <c r="A755" s="2" t="s">
        <v>2946</v>
      </c>
      <c r="B755" s="1" t="s">
        <v>1108</v>
      </c>
      <c r="C755" s="2" t="s">
        <v>2205</v>
      </c>
      <c r="D755" s="2" t="s">
        <v>206</v>
      </c>
      <c r="E755" s="2" t="s">
        <v>207</v>
      </c>
      <c r="F755" s="2" t="s">
        <v>8</v>
      </c>
      <c r="G755" s="3" t="s">
        <v>1412</v>
      </c>
      <c r="H755" s="3" t="s">
        <v>7</v>
      </c>
      <c r="I755" s="3" t="s">
        <v>7</v>
      </c>
      <c r="J755" s="3" t="s">
        <v>7</v>
      </c>
      <c r="K755" s="3" t="s">
        <v>7</v>
      </c>
      <c r="L755" s="3" t="s">
        <v>7</v>
      </c>
      <c r="M755" s="2" t="s">
        <v>374</v>
      </c>
      <c r="N755" s="2" t="s">
        <v>375</v>
      </c>
      <c r="O755" s="2" t="s">
        <v>1394</v>
      </c>
      <c r="P755" s="2" t="s">
        <v>2953</v>
      </c>
      <c r="Q755" s="3" t="s">
        <v>2856</v>
      </c>
    </row>
    <row r="756" spans="1:17" hidden="1">
      <c r="A756" s="2" t="s">
        <v>2946</v>
      </c>
      <c r="B756" s="1" t="s">
        <v>1109</v>
      </c>
      <c r="C756" s="2" t="s">
        <v>2206</v>
      </c>
      <c r="D756" s="2" t="s">
        <v>206</v>
      </c>
      <c r="E756" s="2" t="s">
        <v>207</v>
      </c>
      <c r="F756" s="2" t="s">
        <v>1180</v>
      </c>
      <c r="G756" s="3" t="s">
        <v>1412</v>
      </c>
      <c r="H756" s="3" t="s">
        <v>7</v>
      </c>
      <c r="I756" s="3" t="s">
        <v>7</v>
      </c>
      <c r="J756" s="3" t="s">
        <v>7</v>
      </c>
      <c r="K756" s="3" t="s">
        <v>7</v>
      </c>
      <c r="L756" s="3" t="s">
        <v>7</v>
      </c>
      <c r="M756" s="2" t="s">
        <v>374</v>
      </c>
      <c r="N756" s="2" t="s">
        <v>375</v>
      </c>
      <c r="O756" s="2" t="s">
        <v>1394</v>
      </c>
      <c r="P756" s="2" t="s">
        <v>2953</v>
      </c>
      <c r="Q756" s="3" t="s">
        <v>2856</v>
      </c>
    </row>
    <row r="757" spans="1:17" hidden="1">
      <c r="A757" s="2" t="s">
        <v>2946</v>
      </c>
      <c r="B757" s="1" t="s">
        <v>2533</v>
      </c>
      <c r="C757" s="2" t="s">
        <v>2534</v>
      </c>
      <c r="D757" s="2" t="s">
        <v>206</v>
      </c>
      <c r="E757" s="2" t="s">
        <v>207</v>
      </c>
      <c r="F757" s="2" t="s">
        <v>1181</v>
      </c>
      <c r="G757" s="3" t="s">
        <v>1198</v>
      </c>
      <c r="H757" s="3" t="s">
        <v>3071</v>
      </c>
      <c r="I757" s="3" t="s">
        <v>7</v>
      </c>
      <c r="J757" s="3" t="s">
        <v>3071</v>
      </c>
      <c r="K757" s="3" t="s">
        <v>3071</v>
      </c>
      <c r="L757" s="3" t="s">
        <v>7</v>
      </c>
      <c r="M757" s="2" t="s">
        <v>374</v>
      </c>
      <c r="N757" s="2" t="s">
        <v>375</v>
      </c>
      <c r="O757" s="2" t="s">
        <v>1394</v>
      </c>
      <c r="P757" s="2" t="s">
        <v>2953</v>
      </c>
      <c r="Q757" s="3" t="s">
        <v>2856</v>
      </c>
    </row>
    <row r="758" spans="1:17" hidden="1">
      <c r="A758" s="2" t="s">
        <v>2903</v>
      </c>
      <c r="B758" s="1" t="s">
        <v>1110</v>
      </c>
      <c r="C758" s="2" t="s">
        <v>2207</v>
      </c>
      <c r="D758" s="2" t="s">
        <v>208</v>
      </c>
      <c r="E758" s="2" t="s">
        <v>850</v>
      </c>
      <c r="F758" s="2" t="s">
        <v>8</v>
      </c>
      <c r="G758" s="3" t="s">
        <v>1414</v>
      </c>
      <c r="H758" s="3" t="s">
        <v>7</v>
      </c>
      <c r="I758" s="3" t="s">
        <v>7</v>
      </c>
      <c r="J758" s="3" t="s">
        <v>7</v>
      </c>
      <c r="K758" s="3" t="s">
        <v>7</v>
      </c>
      <c r="L758" s="3" t="s">
        <v>7</v>
      </c>
      <c r="M758" s="2" t="s">
        <v>656</v>
      </c>
      <c r="N758" s="2" t="s">
        <v>657</v>
      </c>
      <c r="O758" s="2" t="s">
        <v>1367</v>
      </c>
      <c r="P758" s="2" t="s">
        <v>2907</v>
      </c>
      <c r="Q758" s="3" t="s">
        <v>2856</v>
      </c>
    </row>
    <row r="759" spans="1:17" hidden="1">
      <c r="A759" s="2" t="s">
        <v>2903</v>
      </c>
      <c r="B759" s="1" t="s">
        <v>1111</v>
      </c>
      <c r="C759" s="2" t="s">
        <v>2208</v>
      </c>
      <c r="D759" s="2" t="s">
        <v>208</v>
      </c>
      <c r="E759" s="2" t="s">
        <v>850</v>
      </c>
      <c r="F759" s="2" t="s">
        <v>1180</v>
      </c>
      <c r="G759" s="3" t="s">
        <v>1414</v>
      </c>
      <c r="H759" s="3" t="s">
        <v>7</v>
      </c>
      <c r="I759" s="3" t="s">
        <v>7</v>
      </c>
      <c r="J759" s="3" t="s">
        <v>7</v>
      </c>
      <c r="K759" s="3" t="s">
        <v>7</v>
      </c>
      <c r="L759" s="3" t="s">
        <v>7</v>
      </c>
      <c r="M759" s="2" t="s">
        <v>656</v>
      </c>
      <c r="N759" s="2" t="s">
        <v>657</v>
      </c>
      <c r="O759" s="2" t="s">
        <v>1367</v>
      </c>
      <c r="P759" s="2" t="s">
        <v>2907</v>
      </c>
      <c r="Q759" s="3" t="s">
        <v>2856</v>
      </c>
    </row>
    <row r="760" spans="1:17" hidden="1">
      <c r="A760" s="2" t="s">
        <v>2903</v>
      </c>
      <c r="B760" s="1" t="s">
        <v>2488</v>
      </c>
      <c r="C760" s="2" t="s">
        <v>2489</v>
      </c>
      <c r="D760" s="2" t="s">
        <v>208</v>
      </c>
      <c r="E760" s="2" t="s">
        <v>850</v>
      </c>
      <c r="F760" s="2" t="s">
        <v>1181</v>
      </c>
      <c r="G760" s="3" t="s">
        <v>1185</v>
      </c>
      <c r="H760" s="3" t="s">
        <v>3071</v>
      </c>
      <c r="I760" s="3" t="s">
        <v>7</v>
      </c>
      <c r="J760" s="3" t="s">
        <v>3071</v>
      </c>
      <c r="K760" s="3" t="s">
        <v>3071</v>
      </c>
      <c r="L760" s="3" t="s">
        <v>7</v>
      </c>
      <c r="M760" s="2" t="s">
        <v>656</v>
      </c>
      <c r="N760" s="2" t="s">
        <v>657</v>
      </c>
      <c r="O760" s="2" t="s">
        <v>1367</v>
      </c>
      <c r="P760" s="2" t="s">
        <v>2907</v>
      </c>
      <c r="Q760" s="3" t="s">
        <v>2856</v>
      </c>
    </row>
    <row r="761" spans="1:17" hidden="1">
      <c r="A761" s="2" t="s">
        <v>2946</v>
      </c>
      <c r="B761" s="1" t="s">
        <v>2535</v>
      </c>
      <c r="C761" s="2" t="s">
        <v>2536</v>
      </c>
      <c r="D761" s="2" t="s">
        <v>2537</v>
      </c>
      <c r="E761" s="2" t="s">
        <v>2538</v>
      </c>
      <c r="F761" s="2" t="s">
        <v>1192</v>
      </c>
      <c r="G761" s="3" t="s">
        <v>1198</v>
      </c>
      <c r="H761" s="3" t="s">
        <v>7</v>
      </c>
      <c r="I761" s="3" t="s">
        <v>7</v>
      </c>
      <c r="J761" s="3" t="s">
        <v>7</v>
      </c>
      <c r="K761" s="3" t="s">
        <v>7</v>
      </c>
      <c r="L761" s="3" t="s">
        <v>7</v>
      </c>
      <c r="M761" s="2" t="s">
        <v>2539</v>
      </c>
      <c r="N761" s="2" t="s">
        <v>2954</v>
      </c>
      <c r="O761" s="2" t="s">
        <v>1394</v>
      </c>
      <c r="P761" s="2" t="s">
        <v>2953</v>
      </c>
      <c r="Q761" s="3" t="s">
        <v>2856</v>
      </c>
    </row>
    <row r="762" spans="1:17" hidden="1">
      <c r="A762" s="2" t="s">
        <v>2946</v>
      </c>
      <c r="B762" s="1" t="s">
        <v>2540</v>
      </c>
      <c r="C762" s="2" t="s">
        <v>2541</v>
      </c>
      <c r="D762" s="2" t="s">
        <v>2537</v>
      </c>
      <c r="E762" s="2" t="s">
        <v>2538</v>
      </c>
      <c r="F762" s="2" t="s">
        <v>1192</v>
      </c>
      <c r="G762" s="3" t="s">
        <v>1198</v>
      </c>
      <c r="H762" s="3" t="s">
        <v>7</v>
      </c>
      <c r="I762" s="3" t="s">
        <v>7</v>
      </c>
      <c r="J762" s="3" t="s">
        <v>7</v>
      </c>
      <c r="K762" s="3" t="s">
        <v>7</v>
      </c>
      <c r="L762" s="3" t="s">
        <v>7</v>
      </c>
      <c r="M762" s="2" t="s">
        <v>2539</v>
      </c>
      <c r="N762" s="2" t="s">
        <v>2954</v>
      </c>
      <c r="O762" s="2" t="s">
        <v>1394</v>
      </c>
      <c r="P762" s="2" t="s">
        <v>2953</v>
      </c>
      <c r="Q762" s="3" t="s">
        <v>2856</v>
      </c>
    </row>
    <row r="763" spans="1:17" hidden="1">
      <c r="A763" s="2" t="s">
        <v>2946</v>
      </c>
      <c r="B763" s="1" t="s">
        <v>2542</v>
      </c>
      <c r="C763" s="2" t="s">
        <v>2543</v>
      </c>
      <c r="D763" s="2" t="s">
        <v>2537</v>
      </c>
      <c r="E763" s="2" t="s">
        <v>2538</v>
      </c>
      <c r="F763" s="2" t="s">
        <v>1180</v>
      </c>
      <c r="G763" s="3" t="s">
        <v>1198</v>
      </c>
      <c r="H763" s="3" t="s">
        <v>7</v>
      </c>
      <c r="I763" s="3" t="s">
        <v>7</v>
      </c>
      <c r="J763" s="3" t="s">
        <v>7</v>
      </c>
      <c r="K763" s="3" t="s">
        <v>7</v>
      </c>
      <c r="L763" s="3" t="s">
        <v>7</v>
      </c>
      <c r="M763" s="2" t="s">
        <v>2539</v>
      </c>
      <c r="N763" s="2" t="s">
        <v>2954</v>
      </c>
      <c r="O763" s="2" t="s">
        <v>1394</v>
      </c>
      <c r="P763" s="2" t="s">
        <v>2953</v>
      </c>
      <c r="Q763" s="3" t="s">
        <v>2856</v>
      </c>
    </row>
    <row r="764" spans="1:17" hidden="1">
      <c r="A764" s="2" t="s">
        <v>2876</v>
      </c>
      <c r="B764" s="1" t="s">
        <v>1629</v>
      </c>
      <c r="C764" s="2" t="s">
        <v>2209</v>
      </c>
      <c r="D764" s="2" t="s">
        <v>209</v>
      </c>
      <c r="E764" s="2" t="s">
        <v>210</v>
      </c>
      <c r="F764" s="2" t="s">
        <v>1192</v>
      </c>
      <c r="G764" s="3" t="s">
        <v>1412</v>
      </c>
      <c r="H764" s="3" t="s">
        <v>7</v>
      </c>
      <c r="I764" s="3" t="s">
        <v>7</v>
      </c>
      <c r="J764" s="3" t="s">
        <v>7</v>
      </c>
      <c r="K764" s="3" t="s">
        <v>7</v>
      </c>
      <c r="L764" s="3" t="s">
        <v>7</v>
      </c>
      <c r="M764" s="2" t="s">
        <v>544</v>
      </c>
      <c r="N764" s="2" t="s">
        <v>545</v>
      </c>
      <c r="O764" s="2" t="s">
        <v>1296</v>
      </c>
      <c r="P764" s="2" t="s">
        <v>2877</v>
      </c>
      <c r="Q764" s="3" t="s">
        <v>2856</v>
      </c>
    </row>
    <row r="765" spans="1:17" hidden="1">
      <c r="A765" s="2" t="s">
        <v>2876</v>
      </c>
      <c r="B765" s="1" t="s">
        <v>2994</v>
      </c>
      <c r="C765" s="2" t="s">
        <v>2995</v>
      </c>
      <c r="D765" s="2" t="s">
        <v>209</v>
      </c>
      <c r="E765" s="2" t="s">
        <v>210</v>
      </c>
      <c r="F765" s="2" t="s">
        <v>1192</v>
      </c>
      <c r="G765" s="3" t="s">
        <v>1198</v>
      </c>
      <c r="H765" s="3" t="s">
        <v>7</v>
      </c>
      <c r="I765" s="3" t="s">
        <v>7</v>
      </c>
      <c r="J765" s="3" t="s">
        <v>55</v>
      </c>
      <c r="K765" s="3" t="s">
        <v>55</v>
      </c>
      <c r="L765" s="3" t="s">
        <v>55</v>
      </c>
      <c r="M765" s="2" t="s">
        <v>544</v>
      </c>
      <c r="N765" s="2" t="s">
        <v>545</v>
      </c>
      <c r="O765" s="2" t="s">
        <v>1296</v>
      </c>
      <c r="P765" s="2" t="s">
        <v>2877</v>
      </c>
      <c r="Q765" s="3" t="s">
        <v>2856</v>
      </c>
    </row>
    <row r="766" spans="1:17" hidden="1">
      <c r="A766" s="2" t="s">
        <v>2876</v>
      </c>
      <c r="B766" s="1" t="s">
        <v>2996</v>
      </c>
      <c r="C766" s="2" t="s">
        <v>2997</v>
      </c>
      <c r="D766" s="2" t="s">
        <v>209</v>
      </c>
      <c r="E766" s="2" t="s">
        <v>210</v>
      </c>
      <c r="F766" s="2" t="s">
        <v>1192</v>
      </c>
      <c r="G766" s="3" t="s">
        <v>1189</v>
      </c>
      <c r="H766" s="3" t="s">
        <v>7</v>
      </c>
      <c r="I766" s="3" t="s">
        <v>7</v>
      </c>
      <c r="J766" s="3" t="s">
        <v>7</v>
      </c>
      <c r="K766" s="3" t="s">
        <v>55</v>
      </c>
      <c r="L766" s="3" t="s">
        <v>55</v>
      </c>
      <c r="M766" s="2" t="s">
        <v>544</v>
      </c>
      <c r="N766" s="2" t="s">
        <v>545</v>
      </c>
      <c r="O766" s="2" t="s">
        <v>1296</v>
      </c>
      <c r="P766" s="2" t="s">
        <v>2877</v>
      </c>
      <c r="Q766" s="3" t="s">
        <v>2856</v>
      </c>
    </row>
    <row r="767" spans="1:17" hidden="1">
      <c r="A767" s="2" t="s">
        <v>2876</v>
      </c>
      <c r="B767" s="1" t="s">
        <v>2999</v>
      </c>
      <c r="C767" s="2" t="s">
        <v>3000</v>
      </c>
      <c r="D767" s="2" t="s">
        <v>209</v>
      </c>
      <c r="E767" s="2" t="s">
        <v>2998</v>
      </c>
      <c r="F767" s="2" t="s">
        <v>1181</v>
      </c>
      <c r="G767" s="3" t="s">
        <v>1189</v>
      </c>
      <c r="H767" s="3" t="s">
        <v>3071</v>
      </c>
      <c r="I767" s="3" t="s">
        <v>55</v>
      </c>
      <c r="J767" s="3" t="s">
        <v>3071</v>
      </c>
      <c r="K767" s="3" t="s">
        <v>3071</v>
      </c>
      <c r="L767" s="3" t="s">
        <v>55</v>
      </c>
      <c r="M767" s="2" t="s">
        <v>1250</v>
      </c>
      <c r="N767" s="2" t="s">
        <v>1297</v>
      </c>
      <c r="O767" s="2" t="s">
        <v>1296</v>
      </c>
      <c r="P767" s="2" t="s">
        <v>2877</v>
      </c>
      <c r="Q767" s="3" t="s">
        <v>2856</v>
      </c>
    </row>
    <row r="768" spans="1:17" hidden="1">
      <c r="A768" s="21" t="s">
        <v>2876</v>
      </c>
      <c r="B768" s="22" t="s">
        <v>3341</v>
      </c>
      <c r="C768" s="21" t="s">
        <v>3342</v>
      </c>
      <c r="D768" s="21" t="s">
        <v>209</v>
      </c>
      <c r="E768" s="21" t="s">
        <v>210</v>
      </c>
      <c r="F768" s="21" t="s">
        <v>1181</v>
      </c>
      <c r="G768" s="3" t="s">
        <v>1179</v>
      </c>
      <c r="H768" s="3" t="s">
        <v>3071</v>
      </c>
      <c r="I768" s="3" t="s">
        <v>55</v>
      </c>
      <c r="J768" s="3" t="s">
        <v>3071</v>
      </c>
      <c r="K768" s="3" t="s">
        <v>3071</v>
      </c>
      <c r="L768" s="3" t="s">
        <v>55</v>
      </c>
      <c r="M768" s="18" t="s">
        <v>544</v>
      </c>
      <c r="N768" s="18" t="s">
        <v>545</v>
      </c>
      <c r="O768" s="18" t="s">
        <v>1296</v>
      </c>
      <c r="P768" s="18" t="s">
        <v>2877</v>
      </c>
      <c r="Q768" s="3" t="s">
        <v>2856</v>
      </c>
    </row>
    <row r="769" spans="1:17" hidden="1">
      <c r="A769" s="21" t="s">
        <v>2903</v>
      </c>
      <c r="B769" s="22" t="s">
        <v>1217</v>
      </c>
      <c r="C769" s="21" t="s">
        <v>2213</v>
      </c>
      <c r="D769" s="21" t="s">
        <v>211</v>
      </c>
      <c r="E769" s="21" t="s">
        <v>212</v>
      </c>
      <c r="F769" s="21" t="s">
        <v>15</v>
      </c>
      <c r="G769" s="3" t="s">
        <v>1182</v>
      </c>
      <c r="H769" s="3" t="s">
        <v>3071</v>
      </c>
      <c r="I769" s="3" t="s">
        <v>3071</v>
      </c>
      <c r="J769" s="3" t="s">
        <v>3071</v>
      </c>
      <c r="K769" s="3" t="s">
        <v>3071</v>
      </c>
      <c r="L769" s="3" t="s">
        <v>7</v>
      </c>
      <c r="M769" s="18" t="s">
        <v>756</v>
      </c>
      <c r="N769" s="18" t="s">
        <v>2916</v>
      </c>
      <c r="O769" s="18" t="s">
        <v>1345</v>
      </c>
      <c r="P769" s="18" t="s">
        <v>2915</v>
      </c>
      <c r="Q769" s="3" t="s">
        <v>2856</v>
      </c>
    </row>
    <row r="770" spans="1:17" hidden="1">
      <c r="A770" s="21" t="s">
        <v>2903</v>
      </c>
      <c r="B770" s="22" t="s">
        <v>1112</v>
      </c>
      <c r="C770" s="21" t="s">
        <v>2210</v>
      </c>
      <c r="D770" s="21" t="s">
        <v>211</v>
      </c>
      <c r="E770" s="21" t="s">
        <v>212</v>
      </c>
      <c r="F770" s="21" t="s">
        <v>8</v>
      </c>
      <c r="G770" s="3" t="s">
        <v>1182</v>
      </c>
      <c r="H770" s="3" t="s">
        <v>7</v>
      </c>
      <c r="I770" s="3" t="s">
        <v>7</v>
      </c>
      <c r="J770" s="3" t="s">
        <v>7</v>
      </c>
      <c r="K770" s="3" t="s">
        <v>7</v>
      </c>
      <c r="L770" s="3" t="s">
        <v>7</v>
      </c>
      <c r="M770" s="2" t="s">
        <v>756</v>
      </c>
      <c r="N770" s="2" t="s">
        <v>2916</v>
      </c>
      <c r="O770" s="2" t="s">
        <v>1345</v>
      </c>
      <c r="P770" s="2" t="s">
        <v>2915</v>
      </c>
      <c r="Q770" s="3" t="s">
        <v>2856</v>
      </c>
    </row>
    <row r="771" spans="1:17" hidden="1">
      <c r="A771" s="21" t="s">
        <v>2903</v>
      </c>
      <c r="B771" s="22" t="s">
        <v>1115</v>
      </c>
      <c r="C771" s="21" t="s">
        <v>2214</v>
      </c>
      <c r="D771" s="21" t="s">
        <v>211</v>
      </c>
      <c r="E771" s="21" t="s">
        <v>212</v>
      </c>
      <c r="F771" s="21" t="s">
        <v>1180</v>
      </c>
      <c r="G771" s="3" t="s">
        <v>1182</v>
      </c>
      <c r="H771" s="3" t="s">
        <v>7</v>
      </c>
      <c r="I771" s="3" t="s">
        <v>7</v>
      </c>
      <c r="J771" s="3" t="s">
        <v>7</v>
      </c>
      <c r="K771" s="3" t="s">
        <v>7</v>
      </c>
      <c r="L771" s="3" t="s">
        <v>7</v>
      </c>
      <c r="M771" s="2" t="s">
        <v>756</v>
      </c>
      <c r="N771" s="2" t="s">
        <v>2916</v>
      </c>
      <c r="O771" s="2" t="s">
        <v>1345</v>
      </c>
      <c r="P771" s="2" t="s">
        <v>2915</v>
      </c>
      <c r="Q771" s="3" t="s">
        <v>2856</v>
      </c>
    </row>
    <row r="772" spans="1:17" hidden="1">
      <c r="A772" s="21" t="s">
        <v>2903</v>
      </c>
      <c r="B772" s="22" t="s">
        <v>1113</v>
      </c>
      <c r="C772" s="21" t="s">
        <v>2211</v>
      </c>
      <c r="D772" s="21" t="s">
        <v>211</v>
      </c>
      <c r="E772" s="21" t="s">
        <v>212</v>
      </c>
      <c r="F772" s="21" t="s">
        <v>1181</v>
      </c>
      <c r="G772" s="3" t="s">
        <v>1182</v>
      </c>
      <c r="H772" s="3" t="s">
        <v>3071</v>
      </c>
      <c r="I772" s="3" t="s">
        <v>7</v>
      </c>
      <c r="J772" s="3" t="s">
        <v>3071</v>
      </c>
      <c r="K772" s="3" t="s">
        <v>3071</v>
      </c>
      <c r="L772" s="3" t="s">
        <v>7</v>
      </c>
      <c r="M772" s="2" t="s">
        <v>756</v>
      </c>
      <c r="N772" s="2" t="s">
        <v>2916</v>
      </c>
      <c r="O772" s="2" t="s">
        <v>1345</v>
      </c>
      <c r="P772" s="2" t="s">
        <v>2915</v>
      </c>
      <c r="Q772" s="3" t="s">
        <v>2856</v>
      </c>
    </row>
    <row r="773" spans="1:17" hidden="1">
      <c r="A773" s="21" t="s">
        <v>2903</v>
      </c>
      <c r="B773" s="22" t="s">
        <v>1114</v>
      </c>
      <c r="C773" s="21" t="s">
        <v>2212</v>
      </c>
      <c r="D773" s="21" t="s">
        <v>211</v>
      </c>
      <c r="E773" s="21" t="s">
        <v>212</v>
      </c>
      <c r="F773" s="21" t="s">
        <v>1181</v>
      </c>
      <c r="G773" s="3" t="s">
        <v>1182</v>
      </c>
      <c r="H773" s="3" t="s">
        <v>3071</v>
      </c>
      <c r="I773" s="3" t="s">
        <v>7</v>
      </c>
      <c r="J773" s="3" t="s">
        <v>3071</v>
      </c>
      <c r="K773" s="3" t="s">
        <v>3071</v>
      </c>
      <c r="L773" s="3" t="s">
        <v>7</v>
      </c>
      <c r="M773" s="2" t="s">
        <v>756</v>
      </c>
      <c r="N773" s="2" t="s">
        <v>2916</v>
      </c>
      <c r="O773" s="2" t="s">
        <v>1345</v>
      </c>
      <c r="P773" s="2" t="s">
        <v>2915</v>
      </c>
      <c r="Q773" s="3" t="s">
        <v>2856</v>
      </c>
    </row>
    <row r="774" spans="1:17" hidden="1">
      <c r="A774" s="21" t="s">
        <v>2861</v>
      </c>
      <c r="B774" s="22" t="s">
        <v>1631</v>
      </c>
      <c r="C774" s="21" t="s">
        <v>2220</v>
      </c>
      <c r="D774" s="21" t="s">
        <v>213</v>
      </c>
      <c r="E774" s="21" t="s">
        <v>214</v>
      </c>
      <c r="F774" s="21" t="s">
        <v>15</v>
      </c>
      <c r="G774" s="3" t="s">
        <v>1426</v>
      </c>
      <c r="H774" s="3" t="s">
        <v>3071</v>
      </c>
      <c r="I774" s="3" t="s">
        <v>3071</v>
      </c>
      <c r="J774" s="3" t="s">
        <v>3071</v>
      </c>
      <c r="K774" s="3" t="s">
        <v>3071</v>
      </c>
      <c r="L774" s="3" t="s">
        <v>7</v>
      </c>
      <c r="M774" s="2" t="s">
        <v>728</v>
      </c>
      <c r="N774" s="2" t="s">
        <v>1277</v>
      </c>
      <c r="O774" s="2" t="s">
        <v>1276</v>
      </c>
      <c r="P774" s="2" t="s">
        <v>2868</v>
      </c>
      <c r="Q774" s="3" t="s">
        <v>2856</v>
      </c>
    </row>
    <row r="775" spans="1:17" hidden="1">
      <c r="A775" s="21" t="s">
        <v>2861</v>
      </c>
      <c r="B775" s="22" t="s">
        <v>2216</v>
      </c>
      <c r="C775" s="21" t="s">
        <v>2217</v>
      </c>
      <c r="D775" s="21" t="s">
        <v>213</v>
      </c>
      <c r="E775" s="21" t="s">
        <v>214</v>
      </c>
      <c r="F775" s="21" t="s">
        <v>1637</v>
      </c>
      <c r="G775" s="3" t="s">
        <v>1485</v>
      </c>
      <c r="H775" s="3" t="s">
        <v>3071</v>
      </c>
      <c r="I775" s="3" t="s">
        <v>3071</v>
      </c>
      <c r="J775" s="3" t="s">
        <v>3071</v>
      </c>
      <c r="K775" s="3" t="s">
        <v>3071</v>
      </c>
      <c r="L775" s="3" t="s">
        <v>7</v>
      </c>
      <c r="M775" s="2" t="s">
        <v>728</v>
      </c>
      <c r="N775" s="2" t="s">
        <v>1277</v>
      </c>
      <c r="O775" s="2" t="s">
        <v>1276</v>
      </c>
      <c r="P775" s="2" t="s">
        <v>2868</v>
      </c>
      <c r="Q775" s="3" t="s">
        <v>2856</v>
      </c>
    </row>
    <row r="776" spans="1:17" hidden="1">
      <c r="A776" s="21" t="s">
        <v>2861</v>
      </c>
      <c r="B776" s="22" t="s">
        <v>1630</v>
      </c>
      <c r="C776" s="21" t="s">
        <v>2215</v>
      </c>
      <c r="D776" s="21" t="s">
        <v>213</v>
      </c>
      <c r="E776" s="21" t="s">
        <v>214</v>
      </c>
      <c r="F776" s="21" t="s">
        <v>8</v>
      </c>
      <c r="G776" s="3" t="s">
        <v>1457</v>
      </c>
      <c r="H776" s="3" t="s">
        <v>7</v>
      </c>
      <c r="I776" s="3" t="s">
        <v>7</v>
      </c>
      <c r="J776" s="3" t="s">
        <v>7</v>
      </c>
      <c r="K776" s="3" t="s">
        <v>7</v>
      </c>
      <c r="L776" s="3" t="s">
        <v>7</v>
      </c>
      <c r="M776" s="2" t="s">
        <v>728</v>
      </c>
      <c r="N776" s="2" t="s">
        <v>1277</v>
      </c>
      <c r="O776" s="2" t="s">
        <v>1276</v>
      </c>
      <c r="P776" s="2" t="s">
        <v>2868</v>
      </c>
      <c r="Q776" s="3" t="s">
        <v>2856</v>
      </c>
    </row>
    <row r="777" spans="1:17" hidden="1">
      <c r="A777" s="21" t="s">
        <v>2861</v>
      </c>
      <c r="B777" s="22" t="s">
        <v>2218</v>
      </c>
      <c r="C777" s="21" t="s">
        <v>2219</v>
      </c>
      <c r="D777" s="21" t="s">
        <v>213</v>
      </c>
      <c r="E777" s="21" t="s">
        <v>214</v>
      </c>
      <c r="F777" s="21" t="s">
        <v>1181</v>
      </c>
      <c r="G777" s="3" t="s">
        <v>1182</v>
      </c>
      <c r="H777" s="3" t="s">
        <v>3071</v>
      </c>
      <c r="I777" s="3" t="s">
        <v>55</v>
      </c>
      <c r="J777" s="3" t="s">
        <v>3071</v>
      </c>
      <c r="K777" s="3" t="s">
        <v>3071</v>
      </c>
      <c r="L777" s="3" t="s">
        <v>55</v>
      </c>
      <c r="M777" s="2" t="s">
        <v>728</v>
      </c>
      <c r="N777" s="2" t="s">
        <v>1277</v>
      </c>
      <c r="O777" s="2" t="s">
        <v>1276</v>
      </c>
      <c r="P777" s="2" t="s">
        <v>2868</v>
      </c>
      <c r="Q777" s="3" t="s">
        <v>2856</v>
      </c>
    </row>
    <row r="778" spans="1:17" hidden="1">
      <c r="A778" s="21" t="s">
        <v>2861</v>
      </c>
      <c r="B778" s="22" t="s">
        <v>1116</v>
      </c>
      <c r="C778" s="21" t="s">
        <v>2221</v>
      </c>
      <c r="D778" s="21" t="s">
        <v>213</v>
      </c>
      <c r="E778" s="21" t="s">
        <v>214</v>
      </c>
      <c r="F778" s="21" t="s">
        <v>1180</v>
      </c>
      <c r="G778" s="3" t="s">
        <v>1184</v>
      </c>
      <c r="H778" s="3" t="s">
        <v>7</v>
      </c>
      <c r="I778" s="3" t="s">
        <v>7</v>
      </c>
      <c r="J778" s="3" t="s">
        <v>7</v>
      </c>
      <c r="K778" s="3" t="s">
        <v>7</v>
      </c>
      <c r="L778" s="3" t="s">
        <v>7</v>
      </c>
      <c r="M778" s="2" t="s">
        <v>728</v>
      </c>
      <c r="N778" s="2" t="s">
        <v>1277</v>
      </c>
      <c r="O778" s="2" t="s">
        <v>1276</v>
      </c>
      <c r="P778" s="2" t="s">
        <v>2868</v>
      </c>
      <c r="Q778" s="3" t="s">
        <v>2856</v>
      </c>
    </row>
    <row r="779" spans="1:17" hidden="1">
      <c r="A779" s="21" t="s">
        <v>2861</v>
      </c>
      <c r="B779" s="22" t="s">
        <v>1117</v>
      </c>
      <c r="C779" s="21" t="s">
        <v>2222</v>
      </c>
      <c r="D779" s="21" t="s">
        <v>213</v>
      </c>
      <c r="E779" s="21" t="s">
        <v>214</v>
      </c>
      <c r="F779" s="21" t="s">
        <v>1180</v>
      </c>
      <c r="G779" s="3" t="s">
        <v>1184</v>
      </c>
      <c r="H779" s="3" t="s">
        <v>7</v>
      </c>
      <c r="I779" s="3" t="s">
        <v>7</v>
      </c>
      <c r="J779" s="3" t="s">
        <v>7</v>
      </c>
      <c r="K779" s="3" t="s">
        <v>7</v>
      </c>
      <c r="L779" s="3" t="s">
        <v>7</v>
      </c>
      <c r="M779" s="2" t="s">
        <v>728</v>
      </c>
      <c r="N779" s="2" t="s">
        <v>1277</v>
      </c>
      <c r="O779" s="2" t="s">
        <v>1276</v>
      </c>
      <c r="P779" s="2" t="s">
        <v>2868</v>
      </c>
      <c r="Q779" s="3" t="s">
        <v>2856</v>
      </c>
    </row>
    <row r="780" spans="1:17" hidden="1">
      <c r="A780" s="21" t="s">
        <v>2903</v>
      </c>
      <c r="B780" s="22" t="s">
        <v>1120</v>
      </c>
      <c r="C780" s="21" t="s">
        <v>2224</v>
      </c>
      <c r="D780" s="21" t="s">
        <v>215</v>
      </c>
      <c r="E780" s="21" t="s">
        <v>851</v>
      </c>
      <c r="F780" s="21" t="s">
        <v>1180</v>
      </c>
      <c r="G780" s="3" t="s">
        <v>1184</v>
      </c>
      <c r="H780" s="3" t="s">
        <v>7</v>
      </c>
      <c r="I780" s="3" t="s">
        <v>7</v>
      </c>
      <c r="J780" s="3" t="s">
        <v>7</v>
      </c>
      <c r="K780" s="3" t="s">
        <v>7</v>
      </c>
      <c r="L780" s="3" t="s">
        <v>7</v>
      </c>
      <c r="M780" s="2" t="s">
        <v>566</v>
      </c>
      <c r="N780" s="2" t="s">
        <v>567</v>
      </c>
      <c r="O780" s="2" t="s">
        <v>1369</v>
      </c>
      <c r="P780" s="2" t="s">
        <v>2923</v>
      </c>
      <c r="Q780" s="3" t="s">
        <v>2856</v>
      </c>
    </row>
    <row r="781" spans="1:17" hidden="1">
      <c r="A781" s="21" t="s">
        <v>2903</v>
      </c>
      <c r="B781" s="22" t="s">
        <v>1119</v>
      </c>
      <c r="C781" s="21" t="s">
        <v>3038</v>
      </c>
      <c r="D781" s="21" t="s">
        <v>215</v>
      </c>
      <c r="E781" s="21" t="s">
        <v>851</v>
      </c>
      <c r="F781" s="21" t="s">
        <v>1181</v>
      </c>
      <c r="G781" s="3" t="s">
        <v>1184</v>
      </c>
      <c r="H781" s="3" t="s">
        <v>3071</v>
      </c>
      <c r="I781" s="3" t="s">
        <v>7</v>
      </c>
      <c r="J781" s="3" t="s">
        <v>3071</v>
      </c>
      <c r="K781" s="3" t="s">
        <v>3071</v>
      </c>
      <c r="L781" s="3" t="s">
        <v>7</v>
      </c>
      <c r="M781" s="2" t="s">
        <v>566</v>
      </c>
      <c r="N781" s="2" t="s">
        <v>567</v>
      </c>
      <c r="O781" s="2" t="s">
        <v>1369</v>
      </c>
      <c r="P781" s="2" t="s">
        <v>2923</v>
      </c>
      <c r="Q781" s="3" t="s">
        <v>2856</v>
      </c>
    </row>
    <row r="782" spans="1:17" hidden="1">
      <c r="A782" s="21" t="s">
        <v>2903</v>
      </c>
      <c r="B782" s="22" t="s">
        <v>1118</v>
      </c>
      <c r="C782" s="21" t="s">
        <v>2223</v>
      </c>
      <c r="D782" s="21" t="s">
        <v>215</v>
      </c>
      <c r="E782" s="21" t="s">
        <v>851</v>
      </c>
      <c r="F782" s="21" t="s">
        <v>8</v>
      </c>
      <c r="G782" s="3" t="s">
        <v>1188</v>
      </c>
      <c r="H782" s="3" t="s">
        <v>7</v>
      </c>
      <c r="I782" s="3" t="s">
        <v>7</v>
      </c>
      <c r="J782" s="3" t="s">
        <v>7</v>
      </c>
      <c r="K782" s="3" t="s">
        <v>7</v>
      </c>
      <c r="L782" s="3" t="s">
        <v>7</v>
      </c>
      <c r="M782" s="2" t="s">
        <v>566</v>
      </c>
      <c r="N782" s="2" t="s">
        <v>567</v>
      </c>
      <c r="O782" s="2" t="s">
        <v>1369</v>
      </c>
      <c r="P782" s="2" t="s">
        <v>2923</v>
      </c>
      <c r="Q782" s="3" t="s">
        <v>2856</v>
      </c>
    </row>
    <row r="783" spans="1:17" hidden="1">
      <c r="A783" s="21" t="s">
        <v>2903</v>
      </c>
      <c r="B783" s="22" t="s">
        <v>1121</v>
      </c>
      <c r="C783" s="21" t="s">
        <v>2232</v>
      </c>
      <c r="D783" s="21" t="s">
        <v>216</v>
      </c>
      <c r="E783" s="21" t="s">
        <v>3065</v>
      </c>
      <c r="F783" s="21" t="s">
        <v>8</v>
      </c>
      <c r="G783" s="3" t="s">
        <v>1184</v>
      </c>
      <c r="H783" s="3" t="s">
        <v>7</v>
      </c>
      <c r="I783" s="3" t="s">
        <v>7</v>
      </c>
      <c r="J783" s="3" t="s">
        <v>7</v>
      </c>
      <c r="K783" s="3" t="s">
        <v>7</v>
      </c>
      <c r="L783" s="3" t="s">
        <v>7</v>
      </c>
      <c r="M783" s="2" t="s">
        <v>760</v>
      </c>
      <c r="N783" s="2" t="s">
        <v>1348</v>
      </c>
      <c r="O783" s="2" t="s">
        <v>1279</v>
      </c>
      <c r="P783" s="2" t="s">
        <v>2909</v>
      </c>
      <c r="Q783" s="3" t="s">
        <v>2856</v>
      </c>
    </row>
    <row r="784" spans="1:17" hidden="1">
      <c r="A784" s="21" t="s">
        <v>2903</v>
      </c>
      <c r="B784" s="22" t="s">
        <v>1122</v>
      </c>
      <c r="C784" s="21" t="s">
        <v>2235</v>
      </c>
      <c r="D784" s="21" t="s">
        <v>216</v>
      </c>
      <c r="E784" s="21" t="s">
        <v>3065</v>
      </c>
      <c r="F784" s="21" t="s">
        <v>1180</v>
      </c>
      <c r="G784" s="3" t="s">
        <v>1184</v>
      </c>
      <c r="H784" s="3" t="s">
        <v>7</v>
      </c>
      <c r="I784" s="3" t="s">
        <v>7</v>
      </c>
      <c r="J784" s="3" t="s">
        <v>7</v>
      </c>
      <c r="K784" s="3" t="s">
        <v>7</v>
      </c>
      <c r="L784" s="3" t="s">
        <v>7</v>
      </c>
      <c r="M784" s="2" t="s">
        <v>760</v>
      </c>
      <c r="N784" s="2" t="s">
        <v>1348</v>
      </c>
      <c r="O784" s="2" t="s">
        <v>1279</v>
      </c>
      <c r="P784" s="2" t="s">
        <v>2909</v>
      </c>
      <c r="Q784" s="3" t="s">
        <v>2856</v>
      </c>
    </row>
    <row r="785" spans="1:17" hidden="1">
      <c r="A785" s="21" t="s">
        <v>2903</v>
      </c>
      <c r="B785" s="22" t="s">
        <v>2233</v>
      </c>
      <c r="C785" s="21" t="s">
        <v>2234</v>
      </c>
      <c r="D785" s="21" t="s">
        <v>216</v>
      </c>
      <c r="E785" s="21" t="s">
        <v>3065</v>
      </c>
      <c r="F785" s="21" t="s">
        <v>1181</v>
      </c>
      <c r="G785" s="3" t="s">
        <v>1184</v>
      </c>
      <c r="H785" s="3" t="s">
        <v>3071</v>
      </c>
      <c r="I785" s="3" t="s">
        <v>7</v>
      </c>
      <c r="J785" s="3" t="s">
        <v>3071</v>
      </c>
      <c r="K785" s="3" t="s">
        <v>3071</v>
      </c>
      <c r="L785" s="3" t="s">
        <v>7</v>
      </c>
      <c r="M785" s="2" t="s">
        <v>760</v>
      </c>
      <c r="N785" s="2" t="s">
        <v>1348</v>
      </c>
      <c r="O785" s="2" t="s">
        <v>1279</v>
      </c>
      <c r="P785" s="2" t="s">
        <v>2909</v>
      </c>
      <c r="Q785" s="3" t="s">
        <v>2856</v>
      </c>
    </row>
    <row r="786" spans="1:17" hidden="1">
      <c r="A786" s="21" t="s">
        <v>2903</v>
      </c>
      <c r="B786" s="22" t="s">
        <v>1124</v>
      </c>
      <c r="C786" s="21" t="s">
        <v>2237</v>
      </c>
      <c r="D786" s="21" t="s">
        <v>216</v>
      </c>
      <c r="E786" s="21" t="s">
        <v>3066</v>
      </c>
      <c r="F786" s="21" t="s">
        <v>8</v>
      </c>
      <c r="G786" s="3" t="s">
        <v>1184</v>
      </c>
      <c r="H786" s="3" t="s">
        <v>7</v>
      </c>
      <c r="I786" s="3" t="s">
        <v>7</v>
      </c>
      <c r="J786" s="3" t="s">
        <v>7</v>
      </c>
      <c r="K786" s="3" t="s">
        <v>7</v>
      </c>
      <c r="L786" s="3" t="s">
        <v>7</v>
      </c>
      <c r="M786" s="2" t="s">
        <v>758</v>
      </c>
      <c r="N786" s="2" t="s">
        <v>1349</v>
      </c>
      <c r="O786" s="2" t="s">
        <v>1279</v>
      </c>
      <c r="P786" s="2" t="s">
        <v>2909</v>
      </c>
      <c r="Q786" s="3" t="s">
        <v>2856</v>
      </c>
    </row>
    <row r="787" spans="1:17" hidden="1">
      <c r="A787" s="21" t="s">
        <v>2903</v>
      </c>
      <c r="B787" s="22" t="s">
        <v>1125</v>
      </c>
      <c r="C787" s="21" t="s">
        <v>2240</v>
      </c>
      <c r="D787" s="21" t="s">
        <v>216</v>
      </c>
      <c r="E787" s="21" t="s">
        <v>3066</v>
      </c>
      <c r="F787" s="21" t="s">
        <v>1180</v>
      </c>
      <c r="G787" s="3" t="s">
        <v>1184</v>
      </c>
      <c r="H787" s="3" t="s">
        <v>7</v>
      </c>
      <c r="I787" s="3" t="s">
        <v>7</v>
      </c>
      <c r="J787" s="3" t="s">
        <v>7</v>
      </c>
      <c r="K787" s="3" t="s">
        <v>7</v>
      </c>
      <c r="L787" s="3" t="s">
        <v>7</v>
      </c>
      <c r="M787" s="2" t="s">
        <v>758</v>
      </c>
      <c r="N787" s="2" t="s">
        <v>1349</v>
      </c>
      <c r="O787" s="2" t="s">
        <v>1279</v>
      </c>
      <c r="P787" s="2" t="s">
        <v>2909</v>
      </c>
      <c r="Q787" s="3" t="s">
        <v>2856</v>
      </c>
    </row>
    <row r="788" spans="1:17" hidden="1">
      <c r="A788" s="21" t="s">
        <v>2903</v>
      </c>
      <c r="B788" s="22" t="s">
        <v>2238</v>
      </c>
      <c r="C788" s="21" t="s">
        <v>2239</v>
      </c>
      <c r="D788" s="21" t="s">
        <v>216</v>
      </c>
      <c r="E788" s="21" t="s">
        <v>3066</v>
      </c>
      <c r="F788" s="21" t="s">
        <v>1181</v>
      </c>
      <c r="G788" s="3" t="s">
        <v>1184</v>
      </c>
      <c r="H788" s="3" t="s">
        <v>3071</v>
      </c>
      <c r="I788" s="3" t="s">
        <v>7</v>
      </c>
      <c r="J788" s="3" t="s">
        <v>3071</v>
      </c>
      <c r="K788" s="3" t="s">
        <v>3071</v>
      </c>
      <c r="L788" s="3" t="s">
        <v>7</v>
      </c>
      <c r="M788" s="2" t="s">
        <v>758</v>
      </c>
      <c r="N788" s="2" t="s">
        <v>1349</v>
      </c>
      <c r="O788" s="2" t="s">
        <v>1279</v>
      </c>
      <c r="P788" s="2" t="s">
        <v>2909</v>
      </c>
      <c r="Q788" s="3" t="s">
        <v>2856</v>
      </c>
    </row>
    <row r="789" spans="1:17" hidden="1">
      <c r="A789" s="21" t="s">
        <v>2903</v>
      </c>
      <c r="B789" s="22" t="s">
        <v>1131</v>
      </c>
      <c r="C789" s="21" t="s">
        <v>2250</v>
      </c>
      <c r="D789" s="21" t="s">
        <v>216</v>
      </c>
      <c r="E789" s="21" t="s">
        <v>3069</v>
      </c>
      <c r="F789" s="21" t="s">
        <v>8</v>
      </c>
      <c r="G789" s="3" t="s">
        <v>1184</v>
      </c>
      <c r="H789" s="3" t="s">
        <v>7</v>
      </c>
      <c r="I789" s="3" t="s">
        <v>7</v>
      </c>
      <c r="J789" s="3" t="s">
        <v>7</v>
      </c>
      <c r="K789" s="3" t="s">
        <v>7</v>
      </c>
      <c r="L789" s="3" t="s">
        <v>7</v>
      </c>
      <c r="M789" s="2" t="s">
        <v>1243</v>
      </c>
      <c r="N789" s="2" t="s">
        <v>571</v>
      </c>
      <c r="O789" s="2" t="s">
        <v>1279</v>
      </c>
      <c r="P789" s="2" t="s">
        <v>2915</v>
      </c>
      <c r="Q789" s="3" t="s">
        <v>2856</v>
      </c>
    </row>
    <row r="790" spans="1:17" hidden="1">
      <c r="A790" s="21" t="s">
        <v>2903</v>
      </c>
      <c r="B790" s="22" t="s">
        <v>1132</v>
      </c>
      <c r="C790" s="21" t="s">
        <v>2253</v>
      </c>
      <c r="D790" s="21" t="s">
        <v>216</v>
      </c>
      <c r="E790" s="21" t="s">
        <v>3069</v>
      </c>
      <c r="F790" s="21" t="s">
        <v>1180</v>
      </c>
      <c r="G790" s="3" t="s">
        <v>1184</v>
      </c>
      <c r="H790" s="3" t="s">
        <v>7</v>
      </c>
      <c r="I790" s="3" t="s">
        <v>7</v>
      </c>
      <c r="J790" s="3" t="s">
        <v>7</v>
      </c>
      <c r="K790" s="3" t="s">
        <v>7</v>
      </c>
      <c r="L790" s="3" t="s">
        <v>7</v>
      </c>
      <c r="M790" s="2" t="s">
        <v>1243</v>
      </c>
      <c r="N790" s="2" t="s">
        <v>571</v>
      </c>
      <c r="O790" s="2" t="s">
        <v>1279</v>
      </c>
      <c r="P790" s="2" t="s">
        <v>2915</v>
      </c>
      <c r="Q790" s="3" t="s">
        <v>2856</v>
      </c>
    </row>
    <row r="791" spans="1:17" hidden="1">
      <c r="A791" s="21" t="s">
        <v>2903</v>
      </c>
      <c r="B791" s="22" t="s">
        <v>2251</v>
      </c>
      <c r="C791" s="21" t="s">
        <v>2252</v>
      </c>
      <c r="D791" s="21" t="s">
        <v>216</v>
      </c>
      <c r="E791" s="21" t="s">
        <v>3069</v>
      </c>
      <c r="F791" s="21" t="s">
        <v>1181</v>
      </c>
      <c r="G791" s="3" t="s">
        <v>1184</v>
      </c>
      <c r="H791" s="3" t="s">
        <v>3071</v>
      </c>
      <c r="I791" s="3" t="s">
        <v>7</v>
      </c>
      <c r="J791" s="3" t="s">
        <v>3071</v>
      </c>
      <c r="K791" s="3" t="s">
        <v>3071</v>
      </c>
      <c r="L791" s="3" t="s">
        <v>7</v>
      </c>
      <c r="M791" s="2" t="s">
        <v>1243</v>
      </c>
      <c r="N791" s="2" t="s">
        <v>571</v>
      </c>
      <c r="O791" s="2" t="s">
        <v>1279</v>
      </c>
      <c r="P791" s="2" t="s">
        <v>2915</v>
      </c>
      <c r="Q791" s="3" t="s">
        <v>2856</v>
      </c>
    </row>
    <row r="792" spans="1:17" hidden="1">
      <c r="A792" s="21" t="s">
        <v>2903</v>
      </c>
      <c r="B792" s="22" t="s">
        <v>1126</v>
      </c>
      <c r="C792" s="21" t="s">
        <v>2241</v>
      </c>
      <c r="D792" s="21" t="s">
        <v>216</v>
      </c>
      <c r="E792" s="21" t="s">
        <v>3067</v>
      </c>
      <c r="F792" s="21" t="s">
        <v>8</v>
      </c>
      <c r="G792" s="3" t="s">
        <v>1184</v>
      </c>
      <c r="H792" s="3" t="s">
        <v>7</v>
      </c>
      <c r="I792" s="3" t="s">
        <v>7</v>
      </c>
      <c r="J792" s="3" t="s">
        <v>7</v>
      </c>
      <c r="K792" s="3" t="s">
        <v>7</v>
      </c>
      <c r="L792" s="3" t="s">
        <v>7</v>
      </c>
      <c r="M792" s="2" t="s">
        <v>782</v>
      </c>
      <c r="N792" s="2" t="s">
        <v>1350</v>
      </c>
      <c r="O792" s="2" t="s">
        <v>1279</v>
      </c>
      <c r="P792" s="2" t="s">
        <v>2909</v>
      </c>
      <c r="Q792" s="3" t="s">
        <v>2856</v>
      </c>
    </row>
    <row r="793" spans="1:17" hidden="1">
      <c r="A793" s="21" t="s">
        <v>2903</v>
      </c>
      <c r="B793" s="22" t="s">
        <v>1127</v>
      </c>
      <c r="C793" s="21" t="s">
        <v>2242</v>
      </c>
      <c r="D793" s="21" t="s">
        <v>216</v>
      </c>
      <c r="E793" s="21" t="s">
        <v>3067</v>
      </c>
      <c r="F793" s="21" t="s">
        <v>8</v>
      </c>
      <c r="G793" s="3" t="s">
        <v>1184</v>
      </c>
      <c r="H793" s="3" t="s">
        <v>7</v>
      </c>
      <c r="I793" s="3" t="s">
        <v>7</v>
      </c>
      <c r="J793" s="3" t="s">
        <v>7</v>
      </c>
      <c r="K793" s="3" t="s">
        <v>7</v>
      </c>
      <c r="L793" s="3" t="s">
        <v>7</v>
      </c>
      <c r="M793" s="2" t="s">
        <v>782</v>
      </c>
      <c r="N793" s="2" t="s">
        <v>1350</v>
      </c>
      <c r="O793" s="2" t="s">
        <v>1279</v>
      </c>
      <c r="P793" s="2" t="s">
        <v>2909</v>
      </c>
      <c r="Q793" s="3" t="s">
        <v>2856</v>
      </c>
    </row>
    <row r="794" spans="1:17" hidden="1">
      <c r="A794" s="21" t="s">
        <v>2903</v>
      </c>
      <c r="B794" s="22" t="s">
        <v>2243</v>
      </c>
      <c r="C794" s="21" t="s">
        <v>2244</v>
      </c>
      <c r="D794" s="21" t="s">
        <v>216</v>
      </c>
      <c r="E794" s="21" t="s">
        <v>3067</v>
      </c>
      <c r="F794" s="21" t="s">
        <v>1181</v>
      </c>
      <c r="G794" s="3" t="s">
        <v>1184</v>
      </c>
      <c r="H794" s="3" t="s">
        <v>3071</v>
      </c>
      <c r="I794" s="3" t="s">
        <v>55</v>
      </c>
      <c r="J794" s="3" t="s">
        <v>3071</v>
      </c>
      <c r="K794" s="3" t="s">
        <v>3071</v>
      </c>
      <c r="L794" s="3" t="s">
        <v>55</v>
      </c>
      <c r="M794" s="2" t="s">
        <v>782</v>
      </c>
      <c r="N794" s="2" t="s">
        <v>1350</v>
      </c>
      <c r="O794" s="2" t="s">
        <v>1279</v>
      </c>
      <c r="P794" s="2" t="s">
        <v>2909</v>
      </c>
      <c r="Q794" s="3" t="s">
        <v>2856</v>
      </c>
    </row>
    <row r="795" spans="1:17" hidden="1">
      <c r="A795" s="21" t="s">
        <v>2903</v>
      </c>
      <c r="B795" s="22" t="s">
        <v>2228</v>
      </c>
      <c r="C795" s="21" t="s">
        <v>2229</v>
      </c>
      <c r="D795" s="21" t="s">
        <v>216</v>
      </c>
      <c r="E795" s="21" t="s">
        <v>3064</v>
      </c>
      <c r="F795" s="21" t="s">
        <v>1180</v>
      </c>
      <c r="G795" s="3" t="s">
        <v>1184</v>
      </c>
      <c r="H795" s="3" t="s">
        <v>55</v>
      </c>
      <c r="I795" s="3" t="s">
        <v>55</v>
      </c>
      <c r="J795" s="3" t="s">
        <v>55</v>
      </c>
      <c r="K795" s="3" t="s">
        <v>55</v>
      </c>
      <c r="L795" s="3" t="s">
        <v>55</v>
      </c>
      <c r="M795" s="2" t="s">
        <v>772</v>
      </c>
      <c r="N795" s="2" t="s">
        <v>1347</v>
      </c>
      <c r="O795" s="2" t="s">
        <v>1279</v>
      </c>
      <c r="P795" s="2" t="s">
        <v>2909</v>
      </c>
      <c r="Q795" s="3" t="s">
        <v>2856</v>
      </c>
    </row>
    <row r="796" spans="1:17" hidden="1">
      <c r="A796" s="21" t="s">
        <v>2903</v>
      </c>
      <c r="B796" s="22" t="s">
        <v>1128</v>
      </c>
      <c r="C796" s="21" t="s">
        <v>2245</v>
      </c>
      <c r="D796" s="21" t="s">
        <v>216</v>
      </c>
      <c r="E796" s="21" t="s">
        <v>3068</v>
      </c>
      <c r="F796" s="21" t="s">
        <v>8</v>
      </c>
      <c r="G796" s="3" t="s">
        <v>1184</v>
      </c>
      <c r="H796" s="3" t="s">
        <v>7</v>
      </c>
      <c r="I796" s="3" t="s">
        <v>7</v>
      </c>
      <c r="J796" s="3" t="s">
        <v>7</v>
      </c>
      <c r="K796" s="3" t="s">
        <v>7</v>
      </c>
      <c r="L796" s="3" t="s">
        <v>7</v>
      </c>
      <c r="M796" s="2" t="s">
        <v>764</v>
      </c>
      <c r="N796" s="2" t="s">
        <v>2918</v>
      </c>
      <c r="O796" s="2" t="s">
        <v>1279</v>
      </c>
      <c r="P796" s="2" t="s">
        <v>2909</v>
      </c>
      <c r="Q796" s="3" t="s">
        <v>2856</v>
      </c>
    </row>
    <row r="797" spans="1:17" hidden="1">
      <c r="A797" s="21" t="s">
        <v>2903</v>
      </c>
      <c r="B797" s="22" t="s">
        <v>1129</v>
      </c>
      <c r="C797" s="21" t="s">
        <v>2248</v>
      </c>
      <c r="D797" s="21" t="s">
        <v>216</v>
      </c>
      <c r="E797" s="21" t="s">
        <v>3068</v>
      </c>
      <c r="F797" s="21" t="s">
        <v>1180</v>
      </c>
      <c r="G797" s="3" t="s">
        <v>1184</v>
      </c>
      <c r="H797" s="3" t="s">
        <v>7</v>
      </c>
      <c r="I797" s="3" t="s">
        <v>7</v>
      </c>
      <c r="J797" s="3" t="s">
        <v>7</v>
      </c>
      <c r="K797" s="3" t="s">
        <v>7</v>
      </c>
      <c r="L797" s="3" t="s">
        <v>7</v>
      </c>
      <c r="M797" s="2" t="s">
        <v>764</v>
      </c>
      <c r="N797" s="2" t="s">
        <v>2918</v>
      </c>
      <c r="O797" s="2" t="s">
        <v>1279</v>
      </c>
      <c r="P797" s="2" t="s">
        <v>2909</v>
      </c>
      <c r="Q797" s="3" t="s">
        <v>2856</v>
      </c>
    </row>
    <row r="798" spans="1:17" hidden="1">
      <c r="A798" s="21" t="s">
        <v>2903</v>
      </c>
      <c r="B798" s="22" t="s">
        <v>2246</v>
      </c>
      <c r="C798" s="21" t="s">
        <v>2247</v>
      </c>
      <c r="D798" s="21" t="s">
        <v>216</v>
      </c>
      <c r="E798" s="21" t="s">
        <v>3068</v>
      </c>
      <c r="F798" s="21" t="s">
        <v>1181</v>
      </c>
      <c r="G798" s="3" t="s">
        <v>1184</v>
      </c>
      <c r="H798" s="3" t="s">
        <v>3071</v>
      </c>
      <c r="I798" s="3" t="s">
        <v>55</v>
      </c>
      <c r="J798" s="3" t="s">
        <v>3071</v>
      </c>
      <c r="K798" s="3" t="s">
        <v>3071</v>
      </c>
      <c r="L798" s="3" t="s">
        <v>55</v>
      </c>
      <c r="M798" s="2" t="s">
        <v>764</v>
      </c>
      <c r="N798" s="2" t="s">
        <v>2918</v>
      </c>
      <c r="O798" s="2" t="s">
        <v>1279</v>
      </c>
      <c r="P798" s="2" t="s">
        <v>2909</v>
      </c>
      <c r="Q798" s="3" t="s">
        <v>2856</v>
      </c>
    </row>
    <row r="799" spans="1:17" hidden="1">
      <c r="A799" s="21" t="s">
        <v>2903</v>
      </c>
      <c r="B799" s="22" t="s">
        <v>1123</v>
      </c>
      <c r="C799" s="21" t="s">
        <v>2236</v>
      </c>
      <c r="D799" s="21" t="s">
        <v>216</v>
      </c>
      <c r="E799" s="21" t="s">
        <v>3065</v>
      </c>
      <c r="F799" s="21" t="s">
        <v>1180</v>
      </c>
      <c r="G799" s="3" t="s">
        <v>1184</v>
      </c>
      <c r="H799" s="3" t="s">
        <v>7</v>
      </c>
      <c r="I799" s="3" t="s">
        <v>7</v>
      </c>
      <c r="J799" s="3" t="s">
        <v>7</v>
      </c>
      <c r="K799" s="3" t="s">
        <v>7</v>
      </c>
      <c r="L799" s="3" t="s">
        <v>7</v>
      </c>
      <c r="M799" s="2" t="s">
        <v>760</v>
      </c>
      <c r="N799" s="2" t="s">
        <v>1348</v>
      </c>
      <c r="O799" s="2" t="s">
        <v>1279</v>
      </c>
      <c r="P799" s="2" t="s">
        <v>2909</v>
      </c>
      <c r="Q799" s="3" t="s">
        <v>2856</v>
      </c>
    </row>
    <row r="800" spans="1:17" hidden="1">
      <c r="A800" s="21" t="s">
        <v>2903</v>
      </c>
      <c r="B800" s="22" t="s">
        <v>2230</v>
      </c>
      <c r="C800" s="21" t="s">
        <v>2231</v>
      </c>
      <c r="D800" s="21" t="s">
        <v>216</v>
      </c>
      <c r="E800" s="21" t="s">
        <v>3064</v>
      </c>
      <c r="F800" s="21" t="s">
        <v>1180</v>
      </c>
      <c r="G800" s="3" t="s">
        <v>1184</v>
      </c>
      <c r="H800" s="3" t="s">
        <v>55</v>
      </c>
      <c r="I800" s="3" t="s">
        <v>55</v>
      </c>
      <c r="J800" s="3" t="s">
        <v>55</v>
      </c>
      <c r="K800" s="3" t="s">
        <v>55</v>
      </c>
      <c r="L800" s="3" t="s">
        <v>55</v>
      </c>
      <c r="M800" s="2" t="s">
        <v>772</v>
      </c>
      <c r="N800" s="2" t="s">
        <v>1347</v>
      </c>
      <c r="O800" s="2" t="s">
        <v>1279</v>
      </c>
      <c r="P800" s="2" t="s">
        <v>2909</v>
      </c>
      <c r="Q800" s="3" t="s">
        <v>2856</v>
      </c>
    </row>
    <row r="801" spans="1:17" hidden="1">
      <c r="A801" s="21" t="s">
        <v>2903</v>
      </c>
      <c r="B801" s="22" t="s">
        <v>1130</v>
      </c>
      <c r="C801" s="21" t="s">
        <v>2249</v>
      </c>
      <c r="D801" s="21" t="s">
        <v>216</v>
      </c>
      <c r="E801" s="21" t="s">
        <v>3068</v>
      </c>
      <c r="F801" s="21" t="s">
        <v>1180</v>
      </c>
      <c r="G801" s="3" t="s">
        <v>1184</v>
      </c>
      <c r="H801" s="3" t="s">
        <v>7</v>
      </c>
      <c r="I801" s="3" t="s">
        <v>7</v>
      </c>
      <c r="J801" s="3" t="s">
        <v>7</v>
      </c>
      <c r="K801" s="3" t="s">
        <v>7</v>
      </c>
      <c r="L801" s="3" t="s">
        <v>7</v>
      </c>
      <c r="M801" s="2" t="s">
        <v>764</v>
      </c>
      <c r="N801" s="2" t="s">
        <v>2918</v>
      </c>
      <c r="O801" s="2" t="s">
        <v>1279</v>
      </c>
      <c r="P801" s="2" t="s">
        <v>2909</v>
      </c>
      <c r="Q801" s="3" t="s">
        <v>2856</v>
      </c>
    </row>
    <row r="802" spans="1:17" hidden="1">
      <c r="A802" s="21" t="s">
        <v>2903</v>
      </c>
      <c r="B802" s="22" t="s">
        <v>2226</v>
      </c>
      <c r="C802" s="21" t="s">
        <v>2227</v>
      </c>
      <c r="D802" s="21" t="s">
        <v>216</v>
      </c>
      <c r="E802" s="21" t="s">
        <v>3064</v>
      </c>
      <c r="F802" s="21" t="s">
        <v>1181</v>
      </c>
      <c r="G802" s="3" t="s">
        <v>1184</v>
      </c>
      <c r="H802" s="3" t="s">
        <v>3071</v>
      </c>
      <c r="I802" s="3" t="s">
        <v>7</v>
      </c>
      <c r="J802" s="3" t="s">
        <v>3071</v>
      </c>
      <c r="K802" s="3" t="s">
        <v>3071</v>
      </c>
      <c r="L802" s="3" t="s">
        <v>7</v>
      </c>
      <c r="M802" s="2" t="s">
        <v>772</v>
      </c>
      <c r="N802" s="2" t="s">
        <v>1347</v>
      </c>
      <c r="O802" s="2" t="s">
        <v>1279</v>
      </c>
      <c r="P802" s="2" t="s">
        <v>2909</v>
      </c>
      <c r="Q802" s="3" t="s">
        <v>2856</v>
      </c>
    </row>
    <row r="803" spans="1:17" hidden="1">
      <c r="A803" s="21" t="s">
        <v>2903</v>
      </c>
      <c r="B803" s="22" t="s">
        <v>1133</v>
      </c>
      <c r="C803" s="21" t="s">
        <v>2254</v>
      </c>
      <c r="D803" s="21" t="s">
        <v>217</v>
      </c>
      <c r="E803" s="21" t="s">
        <v>218</v>
      </c>
      <c r="F803" s="21" t="s">
        <v>8</v>
      </c>
      <c r="G803" s="3" t="s">
        <v>1188</v>
      </c>
      <c r="H803" s="3" t="s">
        <v>7</v>
      </c>
      <c r="I803" s="3" t="s">
        <v>7</v>
      </c>
      <c r="J803" s="3" t="s">
        <v>7</v>
      </c>
      <c r="K803" s="3" t="s">
        <v>7</v>
      </c>
      <c r="L803" s="3" t="s">
        <v>7</v>
      </c>
      <c r="M803" s="2" t="s">
        <v>778</v>
      </c>
      <c r="N803" s="2" t="s">
        <v>1373</v>
      </c>
      <c r="O803" s="2" t="s">
        <v>1372</v>
      </c>
      <c r="P803" s="2" t="s">
        <v>2934</v>
      </c>
      <c r="Q803" s="3" t="s">
        <v>2856</v>
      </c>
    </row>
    <row r="804" spans="1:17" hidden="1">
      <c r="A804" s="21" t="s">
        <v>2903</v>
      </c>
      <c r="B804" s="22" t="s">
        <v>2256</v>
      </c>
      <c r="C804" s="21" t="s">
        <v>2257</v>
      </c>
      <c r="D804" s="21" t="s">
        <v>217</v>
      </c>
      <c r="E804" s="21" t="s">
        <v>218</v>
      </c>
      <c r="F804" s="21" t="s">
        <v>1181</v>
      </c>
      <c r="G804" s="3" t="s">
        <v>1188</v>
      </c>
      <c r="H804" s="3" t="s">
        <v>3071</v>
      </c>
      <c r="I804" s="3" t="s">
        <v>7</v>
      </c>
      <c r="J804" s="3" t="s">
        <v>3071</v>
      </c>
      <c r="K804" s="3" t="s">
        <v>3071</v>
      </c>
      <c r="L804" s="3" t="s">
        <v>7</v>
      </c>
      <c r="M804" s="2" t="s">
        <v>778</v>
      </c>
      <c r="N804" s="2" t="s">
        <v>1373</v>
      </c>
      <c r="O804" s="2" t="s">
        <v>1372</v>
      </c>
      <c r="P804" s="2" t="s">
        <v>2934</v>
      </c>
      <c r="Q804" s="3" t="s">
        <v>2856</v>
      </c>
    </row>
    <row r="805" spans="1:17" hidden="1">
      <c r="A805" s="21" t="s">
        <v>2903</v>
      </c>
      <c r="B805" s="22" t="s">
        <v>1134</v>
      </c>
      <c r="C805" s="21" t="s">
        <v>2255</v>
      </c>
      <c r="D805" s="21" t="s">
        <v>217</v>
      </c>
      <c r="E805" s="21" t="s">
        <v>218</v>
      </c>
      <c r="F805" s="21" t="s">
        <v>8</v>
      </c>
      <c r="G805" s="3" t="s">
        <v>1188</v>
      </c>
      <c r="H805" s="3" t="s">
        <v>7</v>
      </c>
      <c r="I805" s="3" t="s">
        <v>7</v>
      </c>
      <c r="J805" s="3" t="s">
        <v>7</v>
      </c>
      <c r="K805" s="3" t="s">
        <v>7</v>
      </c>
      <c r="L805" s="3" t="s">
        <v>7</v>
      </c>
      <c r="M805" s="2" t="s">
        <v>778</v>
      </c>
      <c r="N805" s="2" t="s">
        <v>1373</v>
      </c>
      <c r="O805" s="2" t="s">
        <v>1372</v>
      </c>
      <c r="P805" s="2" t="s">
        <v>2934</v>
      </c>
      <c r="Q805" s="3" t="s">
        <v>2856</v>
      </c>
    </row>
    <row r="806" spans="1:17" hidden="1">
      <c r="A806" s="21" t="s">
        <v>2903</v>
      </c>
      <c r="B806" s="22" t="s">
        <v>1135</v>
      </c>
      <c r="C806" s="21" t="s">
        <v>2258</v>
      </c>
      <c r="D806" s="21" t="s">
        <v>217</v>
      </c>
      <c r="E806" s="21" t="s">
        <v>218</v>
      </c>
      <c r="F806" s="21" t="s">
        <v>1180</v>
      </c>
      <c r="G806" s="3" t="s">
        <v>1188</v>
      </c>
      <c r="H806" s="3" t="s">
        <v>7</v>
      </c>
      <c r="I806" s="3" t="s">
        <v>7</v>
      </c>
      <c r="J806" s="3" t="s">
        <v>7</v>
      </c>
      <c r="K806" s="3" t="s">
        <v>7</v>
      </c>
      <c r="L806" s="3" t="s">
        <v>7</v>
      </c>
      <c r="M806" s="2" t="s">
        <v>778</v>
      </c>
      <c r="N806" s="2" t="s">
        <v>1373</v>
      </c>
      <c r="O806" s="2" t="s">
        <v>1372</v>
      </c>
      <c r="P806" s="2" t="s">
        <v>2934</v>
      </c>
      <c r="Q806" s="3" t="s">
        <v>2856</v>
      </c>
    </row>
    <row r="807" spans="1:17" hidden="1">
      <c r="A807" s="21" t="s">
        <v>2903</v>
      </c>
      <c r="B807" s="22" t="s">
        <v>1136</v>
      </c>
      <c r="C807" s="21" t="s">
        <v>2259</v>
      </c>
      <c r="D807" s="21" t="s">
        <v>219</v>
      </c>
      <c r="E807" s="21" t="s">
        <v>852</v>
      </c>
      <c r="F807" s="21" t="s">
        <v>8</v>
      </c>
      <c r="G807" s="3" t="s">
        <v>1184</v>
      </c>
      <c r="H807" s="3" t="s">
        <v>7</v>
      </c>
      <c r="I807" s="3" t="s">
        <v>7</v>
      </c>
      <c r="J807" s="3" t="s">
        <v>7</v>
      </c>
      <c r="K807" s="3" t="s">
        <v>7</v>
      </c>
      <c r="L807" s="3" t="s">
        <v>7</v>
      </c>
      <c r="M807" s="2" t="s">
        <v>658</v>
      </c>
      <c r="N807" s="2" t="s">
        <v>659</v>
      </c>
      <c r="O807" s="2" t="s">
        <v>1370</v>
      </c>
      <c r="P807" s="2" t="s">
        <v>2910</v>
      </c>
      <c r="Q807" s="3" t="s">
        <v>2856</v>
      </c>
    </row>
    <row r="808" spans="1:17" hidden="1">
      <c r="A808" s="21" t="s">
        <v>2903</v>
      </c>
      <c r="B808" s="22" t="s">
        <v>2655</v>
      </c>
      <c r="C808" s="21" t="s">
        <v>2656</v>
      </c>
      <c r="D808" s="21" t="s">
        <v>219</v>
      </c>
      <c r="E808" s="21" t="s">
        <v>852</v>
      </c>
      <c r="F808" s="21" t="s">
        <v>1180</v>
      </c>
      <c r="G808" s="3" t="s">
        <v>1424</v>
      </c>
      <c r="H808" s="3" t="s">
        <v>7</v>
      </c>
      <c r="I808" s="3" t="s">
        <v>7</v>
      </c>
      <c r="J808" s="3" t="s">
        <v>7</v>
      </c>
      <c r="K808" s="3" t="s">
        <v>7</v>
      </c>
      <c r="L808" s="3" t="s">
        <v>7</v>
      </c>
      <c r="M808" s="2" t="s">
        <v>658</v>
      </c>
      <c r="N808" s="2" t="s">
        <v>659</v>
      </c>
      <c r="O808" s="2" t="s">
        <v>1370</v>
      </c>
      <c r="P808" s="2" t="s">
        <v>2910</v>
      </c>
      <c r="Q808" s="3" t="s">
        <v>2856</v>
      </c>
    </row>
    <row r="809" spans="1:17" hidden="1">
      <c r="A809" s="21" t="s">
        <v>2861</v>
      </c>
      <c r="B809" s="22" t="s">
        <v>1218</v>
      </c>
      <c r="C809" s="21" t="s">
        <v>2262</v>
      </c>
      <c r="D809" s="21" t="s">
        <v>220</v>
      </c>
      <c r="E809" s="21" t="s">
        <v>221</v>
      </c>
      <c r="F809" s="21" t="s">
        <v>15</v>
      </c>
      <c r="G809" s="3" t="s">
        <v>1178</v>
      </c>
      <c r="H809" s="3" t="s">
        <v>3071</v>
      </c>
      <c r="I809" s="3" t="s">
        <v>3071</v>
      </c>
      <c r="J809" s="3" t="s">
        <v>3071</v>
      </c>
      <c r="K809" s="3" t="s">
        <v>3071</v>
      </c>
      <c r="L809" s="3" t="s">
        <v>7</v>
      </c>
      <c r="M809" s="2" t="s">
        <v>300</v>
      </c>
      <c r="N809" s="2" t="s">
        <v>301</v>
      </c>
      <c r="O809" s="2" t="s">
        <v>1278</v>
      </c>
      <c r="P809" s="2" t="s">
        <v>2862</v>
      </c>
      <c r="Q809" s="3" t="s">
        <v>2856</v>
      </c>
    </row>
    <row r="810" spans="1:17" hidden="1">
      <c r="A810" s="21" t="s">
        <v>2861</v>
      </c>
      <c r="B810" s="22" t="s">
        <v>1139</v>
      </c>
      <c r="C810" s="21" t="s">
        <v>2263</v>
      </c>
      <c r="D810" s="21" t="s">
        <v>220</v>
      </c>
      <c r="E810" s="21" t="s">
        <v>221</v>
      </c>
      <c r="F810" s="21" t="s">
        <v>1180</v>
      </c>
      <c r="G810" s="3" t="s">
        <v>1189</v>
      </c>
      <c r="H810" s="3" t="s">
        <v>7</v>
      </c>
      <c r="I810" s="3" t="s">
        <v>7</v>
      </c>
      <c r="J810" s="3" t="s">
        <v>7</v>
      </c>
      <c r="K810" s="3" t="s">
        <v>7</v>
      </c>
      <c r="L810" s="3" t="s">
        <v>7</v>
      </c>
      <c r="M810" s="2" t="s">
        <v>300</v>
      </c>
      <c r="N810" s="2" t="s">
        <v>301</v>
      </c>
      <c r="O810" s="2" t="s">
        <v>1278</v>
      </c>
      <c r="P810" s="2" t="s">
        <v>2862</v>
      </c>
      <c r="Q810" s="3" t="s">
        <v>2856</v>
      </c>
    </row>
    <row r="811" spans="1:17" hidden="1">
      <c r="A811" s="21" t="s">
        <v>2861</v>
      </c>
      <c r="B811" s="22" t="s">
        <v>1137</v>
      </c>
      <c r="C811" s="21" t="s">
        <v>2260</v>
      </c>
      <c r="D811" s="21" t="s">
        <v>220</v>
      </c>
      <c r="E811" s="21" t="s">
        <v>221</v>
      </c>
      <c r="F811" s="21" t="s">
        <v>8</v>
      </c>
      <c r="G811" s="3" t="s">
        <v>1189</v>
      </c>
      <c r="H811" s="3" t="s">
        <v>7</v>
      </c>
      <c r="I811" s="3" t="s">
        <v>7</v>
      </c>
      <c r="J811" s="3" t="s">
        <v>7</v>
      </c>
      <c r="K811" s="3" t="s">
        <v>7</v>
      </c>
      <c r="L811" s="3" t="s">
        <v>7</v>
      </c>
      <c r="M811" s="2" t="s">
        <v>300</v>
      </c>
      <c r="N811" s="2" t="s">
        <v>301</v>
      </c>
      <c r="O811" s="2" t="s">
        <v>1278</v>
      </c>
      <c r="P811" s="2" t="s">
        <v>2862</v>
      </c>
      <c r="Q811" s="3" t="s">
        <v>2856</v>
      </c>
    </row>
    <row r="812" spans="1:17" hidden="1">
      <c r="A812" s="21" t="s">
        <v>2861</v>
      </c>
      <c r="B812" s="22" t="s">
        <v>1138</v>
      </c>
      <c r="C812" s="21" t="s">
        <v>2261</v>
      </c>
      <c r="D812" s="21" t="s">
        <v>220</v>
      </c>
      <c r="E812" s="21" t="s">
        <v>221</v>
      </c>
      <c r="F812" s="21" t="s">
        <v>1181</v>
      </c>
      <c r="G812" s="3" t="s">
        <v>1189</v>
      </c>
      <c r="H812" s="3" t="s">
        <v>3071</v>
      </c>
      <c r="I812" s="3" t="s">
        <v>7</v>
      </c>
      <c r="J812" s="3" t="s">
        <v>3071</v>
      </c>
      <c r="K812" s="3" t="s">
        <v>3071</v>
      </c>
      <c r="L812" s="3" t="s">
        <v>7</v>
      </c>
      <c r="M812" s="2" t="s">
        <v>300</v>
      </c>
      <c r="N812" s="2" t="s">
        <v>301</v>
      </c>
      <c r="O812" s="2" t="s">
        <v>1278</v>
      </c>
      <c r="P812" s="2" t="s">
        <v>2862</v>
      </c>
      <c r="Q812" s="3" t="s">
        <v>2856</v>
      </c>
    </row>
    <row r="813" spans="1:17" hidden="1">
      <c r="A813" s="21" t="s">
        <v>2903</v>
      </c>
      <c r="B813" s="22" t="s">
        <v>1140</v>
      </c>
      <c r="C813" s="21" t="s">
        <v>2264</v>
      </c>
      <c r="D813" s="21" t="s">
        <v>222</v>
      </c>
      <c r="E813" s="21" t="s">
        <v>853</v>
      </c>
      <c r="F813" s="21" t="s">
        <v>8</v>
      </c>
      <c r="G813" s="3" t="s">
        <v>1188</v>
      </c>
      <c r="H813" s="3" t="s">
        <v>7</v>
      </c>
      <c r="I813" s="3" t="s">
        <v>7</v>
      </c>
      <c r="J813" s="3" t="s">
        <v>7</v>
      </c>
      <c r="K813" s="3" t="s">
        <v>7</v>
      </c>
      <c r="L813" s="3" t="s">
        <v>7</v>
      </c>
      <c r="M813" s="2" t="s">
        <v>634</v>
      </c>
      <c r="N813" s="2" t="s">
        <v>635</v>
      </c>
      <c r="O813" s="2" t="s">
        <v>1371</v>
      </c>
      <c r="P813" s="2" t="s">
        <v>2910</v>
      </c>
      <c r="Q813" s="3" t="s">
        <v>2856</v>
      </c>
    </row>
    <row r="814" spans="1:17" hidden="1">
      <c r="A814" s="21" t="s">
        <v>2903</v>
      </c>
      <c r="B814" s="22" t="s">
        <v>1141</v>
      </c>
      <c r="C814" s="21" t="s">
        <v>2265</v>
      </c>
      <c r="D814" s="21" t="s">
        <v>222</v>
      </c>
      <c r="E814" s="21" t="s">
        <v>853</v>
      </c>
      <c r="F814" s="21" t="s">
        <v>8</v>
      </c>
      <c r="G814" s="3" t="s">
        <v>1188</v>
      </c>
      <c r="H814" s="3" t="s">
        <v>7</v>
      </c>
      <c r="I814" s="3" t="s">
        <v>7</v>
      </c>
      <c r="J814" s="3" t="s">
        <v>7</v>
      </c>
      <c r="K814" s="3" t="s">
        <v>7</v>
      </c>
      <c r="L814" s="3" t="s">
        <v>7</v>
      </c>
      <c r="M814" s="2" t="s">
        <v>634</v>
      </c>
      <c r="N814" s="2" t="s">
        <v>635</v>
      </c>
      <c r="O814" s="2" t="s">
        <v>1371</v>
      </c>
      <c r="P814" s="2" t="s">
        <v>2910</v>
      </c>
      <c r="Q814" s="3" t="s">
        <v>2856</v>
      </c>
    </row>
    <row r="815" spans="1:17" hidden="1">
      <c r="A815" s="21" t="s">
        <v>2903</v>
      </c>
      <c r="B815" s="22" t="s">
        <v>1144</v>
      </c>
      <c r="C815" s="21" t="s">
        <v>2268</v>
      </c>
      <c r="D815" s="21" t="s">
        <v>2406</v>
      </c>
      <c r="E815" s="21" t="s">
        <v>854</v>
      </c>
      <c r="F815" s="21" t="s">
        <v>1180</v>
      </c>
      <c r="G815" s="3" t="s">
        <v>1188</v>
      </c>
      <c r="H815" s="3" t="s">
        <v>7</v>
      </c>
      <c r="I815" s="3" t="s">
        <v>7</v>
      </c>
      <c r="J815" s="3" t="s">
        <v>7</v>
      </c>
      <c r="K815" s="3" t="s">
        <v>7</v>
      </c>
      <c r="L815" s="3" t="s">
        <v>7</v>
      </c>
      <c r="M815" s="2" t="s">
        <v>698</v>
      </c>
      <c r="N815" s="2" t="s">
        <v>699</v>
      </c>
      <c r="O815" s="2" t="s">
        <v>2933</v>
      </c>
      <c r="P815" s="2" t="s">
        <v>2927</v>
      </c>
      <c r="Q815" s="3" t="s">
        <v>2856</v>
      </c>
    </row>
    <row r="816" spans="1:17" hidden="1">
      <c r="A816" s="21" t="s">
        <v>2903</v>
      </c>
      <c r="B816" s="22" t="s">
        <v>1142</v>
      </c>
      <c r="C816" s="21" t="s">
        <v>2267</v>
      </c>
      <c r="D816" s="21" t="s">
        <v>2406</v>
      </c>
      <c r="E816" s="21" t="s">
        <v>854</v>
      </c>
      <c r="F816" s="21" t="s">
        <v>1181</v>
      </c>
      <c r="G816" s="3" t="s">
        <v>1188</v>
      </c>
      <c r="H816" s="3" t="s">
        <v>3071</v>
      </c>
      <c r="I816" s="3" t="s">
        <v>7</v>
      </c>
      <c r="J816" s="3" t="s">
        <v>3071</v>
      </c>
      <c r="K816" s="3" t="s">
        <v>3071</v>
      </c>
      <c r="L816" s="3" t="s">
        <v>7</v>
      </c>
      <c r="M816" s="2" t="s">
        <v>698</v>
      </c>
      <c r="N816" s="2" t="s">
        <v>699</v>
      </c>
      <c r="O816" s="2" t="s">
        <v>2933</v>
      </c>
      <c r="P816" s="2" t="s">
        <v>2927</v>
      </c>
      <c r="Q816" s="3" t="s">
        <v>2856</v>
      </c>
    </row>
    <row r="817" spans="1:17" hidden="1">
      <c r="A817" s="21" t="s">
        <v>2903</v>
      </c>
      <c r="B817" s="22" t="s">
        <v>1143</v>
      </c>
      <c r="C817" s="21" t="s">
        <v>2266</v>
      </c>
      <c r="D817" s="21" t="s">
        <v>2406</v>
      </c>
      <c r="E817" s="21" t="s">
        <v>854</v>
      </c>
      <c r="F817" s="21" t="s">
        <v>1192</v>
      </c>
      <c r="G817" s="3" t="s">
        <v>1188</v>
      </c>
      <c r="H817" s="3" t="s">
        <v>7</v>
      </c>
      <c r="I817" s="3" t="s">
        <v>7</v>
      </c>
      <c r="J817" s="3" t="s">
        <v>7</v>
      </c>
      <c r="K817" s="3" t="s">
        <v>7</v>
      </c>
      <c r="L817" s="3" t="s">
        <v>7</v>
      </c>
      <c r="M817" s="2" t="s">
        <v>698</v>
      </c>
      <c r="N817" s="2" t="s">
        <v>699</v>
      </c>
      <c r="O817" s="2" t="s">
        <v>2933</v>
      </c>
      <c r="P817" s="2" t="s">
        <v>2927</v>
      </c>
      <c r="Q817" s="3" t="s">
        <v>2856</v>
      </c>
    </row>
    <row r="818" spans="1:17" hidden="1">
      <c r="A818" s="21" t="s">
        <v>2903</v>
      </c>
      <c r="B818" s="22" t="s">
        <v>1145</v>
      </c>
      <c r="C818" s="21" t="s">
        <v>2269</v>
      </c>
      <c r="D818" s="21" t="s">
        <v>796</v>
      </c>
      <c r="E818" s="21" t="s">
        <v>855</v>
      </c>
      <c r="F818" s="21" t="s">
        <v>1192</v>
      </c>
      <c r="G818" s="3" t="s">
        <v>1187</v>
      </c>
      <c r="H818" s="3" t="s">
        <v>7</v>
      </c>
      <c r="I818" s="3" t="s">
        <v>7</v>
      </c>
      <c r="J818" s="3" t="s">
        <v>7</v>
      </c>
      <c r="K818" s="3" t="s">
        <v>7</v>
      </c>
      <c r="L818" s="3" t="s">
        <v>7</v>
      </c>
      <c r="M818" s="2" t="s">
        <v>1234</v>
      </c>
      <c r="N818" s="2" t="s">
        <v>1366</v>
      </c>
      <c r="O818" s="2" t="s">
        <v>1365</v>
      </c>
      <c r="P818" s="2" t="s">
        <v>2907</v>
      </c>
      <c r="Q818" s="3" t="s">
        <v>2856</v>
      </c>
    </row>
    <row r="819" spans="1:17" hidden="1">
      <c r="A819" s="21" t="s">
        <v>2903</v>
      </c>
      <c r="B819" s="22" t="s">
        <v>2490</v>
      </c>
      <c r="C819" s="21" t="s">
        <v>2668</v>
      </c>
      <c r="D819" s="21" t="s">
        <v>796</v>
      </c>
      <c r="E819" s="21" t="s">
        <v>855</v>
      </c>
      <c r="F819" s="21" t="s">
        <v>1181</v>
      </c>
      <c r="G819" s="3" t="s">
        <v>1187</v>
      </c>
      <c r="H819" s="3" t="s">
        <v>3071</v>
      </c>
      <c r="I819" s="3" t="s">
        <v>7</v>
      </c>
      <c r="J819" s="3" t="s">
        <v>3071</v>
      </c>
      <c r="K819" s="3" t="s">
        <v>3071</v>
      </c>
      <c r="L819" s="3" t="s">
        <v>7</v>
      </c>
      <c r="M819" s="2" t="s">
        <v>1234</v>
      </c>
      <c r="N819" s="2" t="s">
        <v>1366</v>
      </c>
      <c r="O819" s="2" t="s">
        <v>1365</v>
      </c>
      <c r="P819" s="2" t="s">
        <v>2907</v>
      </c>
      <c r="Q819" s="3" t="s">
        <v>2856</v>
      </c>
    </row>
    <row r="820" spans="1:17" hidden="1">
      <c r="A820" s="21" t="s">
        <v>2903</v>
      </c>
      <c r="B820" s="22" t="s">
        <v>2491</v>
      </c>
      <c r="C820" s="21" t="s">
        <v>2669</v>
      </c>
      <c r="D820" s="21" t="s">
        <v>796</v>
      </c>
      <c r="E820" s="21" t="s">
        <v>855</v>
      </c>
      <c r="F820" s="21" t="s">
        <v>1180</v>
      </c>
      <c r="G820" s="3" t="s">
        <v>1187</v>
      </c>
      <c r="H820" s="3" t="s">
        <v>7</v>
      </c>
      <c r="I820" s="3" t="s">
        <v>7</v>
      </c>
      <c r="J820" s="3" t="s">
        <v>7</v>
      </c>
      <c r="K820" s="3" t="s">
        <v>7</v>
      </c>
      <c r="L820" s="3" t="s">
        <v>7</v>
      </c>
      <c r="M820" s="2" t="s">
        <v>1234</v>
      </c>
      <c r="N820" s="2" t="s">
        <v>1366</v>
      </c>
      <c r="O820" s="2" t="s">
        <v>1365</v>
      </c>
      <c r="P820" s="2" t="s">
        <v>2907</v>
      </c>
      <c r="Q820" s="3" t="s">
        <v>2856</v>
      </c>
    </row>
    <row r="821" spans="1:17" hidden="1">
      <c r="A821" s="21" t="s">
        <v>2903</v>
      </c>
      <c r="B821" s="22" t="s">
        <v>2661</v>
      </c>
      <c r="C821" s="21" t="s">
        <v>2662</v>
      </c>
      <c r="D821" s="21" t="s">
        <v>796</v>
      </c>
      <c r="E821" s="21" t="s">
        <v>2663</v>
      </c>
      <c r="F821" s="21" t="s">
        <v>1192</v>
      </c>
      <c r="G821" s="3" t="s">
        <v>1186</v>
      </c>
      <c r="H821" s="3" t="s">
        <v>7</v>
      </c>
      <c r="I821" s="3" t="s">
        <v>7</v>
      </c>
      <c r="J821" s="3" t="s">
        <v>7</v>
      </c>
      <c r="K821" s="3" t="s">
        <v>7</v>
      </c>
      <c r="L821" s="3" t="s">
        <v>7</v>
      </c>
      <c r="M821" s="2" t="s">
        <v>614</v>
      </c>
      <c r="N821" s="2" t="s">
        <v>615</v>
      </c>
      <c r="O821" s="2" t="s">
        <v>1365</v>
      </c>
      <c r="P821" s="2" t="s">
        <v>2907</v>
      </c>
      <c r="Q821" s="3" t="s">
        <v>2856</v>
      </c>
    </row>
    <row r="822" spans="1:17" hidden="1">
      <c r="A822" s="21" t="s">
        <v>2903</v>
      </c>
      <c r="B822" s="22" t="s">
        <v>2664</v>
      </c>
      <c r="C822" s="21" t="s">
        <v>2665</v>
      </c>
      <c r="D822" s="21" t="s">
        <v>796</v>
      </c>
      <c r="E822" s="21" t="s">
        <v>2663</v>
      </c>
      <c r="F822" s="21" t="s">
        <v>1192</v>
      </c>
      <c r="G822" s="3" t="s">
        <v>1186</v>
      </c>
      <c r="H822" s="3" t="s">
        <v>55</v>
      </c>
      <c r="I822" s="3" t="s">
        <v>55</v>
      </c>
      <c r="J822" s="3" t="s">
        <v>55</v>
      </c>
      <c r="K822" s="3" t="s">
        <v>55</v>
      </c>
      <c r="L822" s="3" t="s">
        <v>55</v>
      </c>
      <c r="M822" s="2" t="s">
        <v>614</v>
      </c>
      <c r="N822" s="2" t="s">
        <v>615</v>
      </c>
      <c r="O822" s="2" t="s">
        <v>1365</v>
      </c>
      <c r="P822" s="2" t="s">
        <v>2907</v>
      </c>
      <c r="Q822" s="3" t="s">
        <v>2856</v>
      </c>
    </row>
    <row r="823" spans="1:17" hidden="1">
      <c r="A823" s="21" t="s">
        <v>2903</v>
      </c>
      <c r="B823" s="22" t="s">
        <v>2666</v>
      </c>
      <c r="C823" s="21" t="s">
        <v>2667</v>
      </c>
      <c r="D823" s="21" t="s">
        <v>796</v>
      </c>
      <c r="E823" s="21" t="s">
        <v>2663</v>
      </c>
      <c r="F823" s="21" t="s">
        <v>1181</v>
      </c>
      <c r="G823" s="3" t="s">
        <v>1179</v>
      </c>
      <c r="H823" s="3" t="s">
        <v>3071</v>
      </c>
      <c r="I823" s="3" t="s">
        <v>7</v>
      </c>
      <c r="J823" s="3" t="s">
        <v>3071</v>
      </c>
      <c r="K823" s="3" t="s">
        <v>3071</v>
      </c>
      <c r="L823" s="3" t="s">
        <v>7</v>
      </c>
      <c r="M823" s="2" t="s">
        <v>614</v>
      </c>
      <c r="N823" s="2" t="s">
        <v>615</v>
      </c>
      <c r="O823" s="2" t="s">
        <v>1365</v>
      </c>
      <c r="P823" s="2" t="s">
        <v>2907</v>
      </c>
      <c r="Q823" s="3" t="s">
        <v>2856</v>
      </c>
    </row>
    <row r="824" spans="1:17" hidden="1">
      <c r="A824" s="21" t="s">
        <v>2903</v>
      </c>
      <c r="B824" s="22" t="s">
        <v>2657</v>
      </c>
      <c r="C824" s="21" t="s">
        <v>2658</v>
      </c>
      <c r="D824" s="21" t="s">
        <v>796</v>
      </c>
      <c r="E824" s="21" t="s">
        <v>3070</v>
      </c>
      <c r="F824" s="21" t="s">
        <v>1192</v>
      </c>
      <c r="G824" s="3" t="s">
        <v>1189</v>
      </c>
      <c r="H824" s="3" t="s">
        <v>7</v>
      </c>
      <c r="I824" s="3" t="s">
        <v>7</v>
      </c>
      <c r="J824" s="3" t="s">
        <v>7</v>
      </c>
      <c r="K824" s="3" t="s">
        <v>7</v>
      </c>
      <c r="L824" s="3" t="s">
        <v>7</v>
      </c>
      <c r="M824" s="2" t="s">
        <v>1235</v>
      </c>
      <c r="N824" s="2" t="s">
        <v>2931</v>
      </c>
      <c r="O824" s="2" t="s">
        <v>1365</v>
      </c>
      <c r="P824" s="2" t="s">
        <v>2907</v>
      </c>
      <c r="Q824" s="3" t="s">
        <v>2856</v>
      </c>
    </row>
    <row r="825" spans="1:17" hidden="1">
      <c r="A825" s="21" t="s">
        <v>2903</v>
      </c>
      <c r="B825" s="22" t="s">
        <v>2659</v>
      </c>
      <c r="C825" s="21" t="s">
        <v>2660</v>
      </c>
      <c r="D825" s="21" t="s">
        <v>796</v>
      </c>
      <c r="E825" s="21" t="s">
        <v>3070</v>
      </c>
      <c r="F825" s="21" t="s">
        <v>1180</v>
      </c>
      <c r="G825" s="3" t="s">
        <v>1198</v>
      </c>
      <c r="H825" s="3" t="s">
        <v>7</v>
      </c>
      <c r="I825" s="3" t="s">
        <v>7</v>
      </c>
      <c r="J825" s="3" t="s">
        <v>7</v>
      </c>
      <c r="K825" s="3" t="s">
        <v>7</v>
      </c>
      <c r="L825" s="3" t="s">
        <v>7</v>
      </c>
      <c r="M825" s="2" t="s">
        <v>1235</v>
      </c>
      <c r="N825" s="2" t="s">
        <v>2931</v>
      </c>
      <c r="O825" s="2" t="s">
        <v>1365</v>
      </c>
      <c r="P825" s="2" t="s">
        <v>2907</v>
      </c>
      <c r="Q825" s="3" t="s">
        <v>2856</v>
      </c>
    </row>
    <row r="826" spans="1:17" hidden="1">
      <c r="A826" s="21" t="s">
        <v>2903</v>
      </c>
      <c r="B826" s="22" t="s">
        <v>2552</v>
      </c>
      <c r="C826" s="21" t="s">
        <v>2553</v>
      </c>
      <c r="D826" s="21" t="s">
        <v>856</v>
      </c>
      <c r="E826" s="21" t="s">
        <v>857</v>
      </c>
      <c r="F826" s="21" t="s">
        <v>15</v>
      </c>
      <c r="G826" s="3" t="s">
        <v>2829</v>
      </c>
      <c r="H826" s="3" t="s">
        <v>3071</v>
      </c>
      <c r="I826" s="3" t="s">
        <v>3071</v>
      </c>
      <c r="J826" s="3" t="s">
        <v>3071</v>
      </c>
      <c r="K826" s="3" t="s">
        <v>3071</v>
      </c>
      <c r="L826" s="3" t="s">
        <v>7</v>
      </c>
      <c r="M826" s="2" t="s">
        <v>720</v>
      </c>
      <c r="N826" s="2" t="s">
        <v>721</v>
      </c>
      <c r="O826" s="2" t="s">
        <v>2935</v>
      </c>
      <c r="P826" s="2" t="s">
        <v>2910</v>
      </c>
      <c r="Q826" s="3" t="s">
        <v>2856</v>
      </c>
    </row>
    <row r="827" spans="1:17" hidden="1">
      <c r="A827" s="21" t="s">
        <v>2903</v>
      </c>
      <c r="B827" s="22" t="s">
        <v>1146</v>
      </c>
      <c r="C827" s="21" t="s">
        <v>2270</v>
      </c>
      <c r="D827" s="21" t="s">
        <v>856</v>
      </c>
      <c r="E827" s="21" t="s">
        <v>857</v>
      </c>
      <c r="F827" s="21" t="s">
        <v>1181</v>
      </c>
      <c r="G827" s="3" t="s">
        <v>1188</v>
      </c>
      <c r="H827" s="3" t="s">
        <v>3071</v>
      </c>
      <c r="I827" s="3" t="s">
        <v>7</v>
      </c>
      <c r="J827" s="3" t="s">
        <v>3071</v>
      </c>
      <c r="K827" s="3" t="s">
        <v>3071</v>
      </c>
      <c r="L827" s="3" t="s">
        <v>7</v>
      </c>
      <c r="M827" s="2" t="s">
        <v>720</v>
      </c>
      <c r="N827" s="2" t="s">
        <v>721</v>
      </c>
      <c r="O827" s="2" t="s">
        <v>2935</v>
      </c>
      <c r="P827" s="2" t="s">
        <v>2910</v>
      </c>
      <c r="Q827" s="3" t="s">
        <v>2856</v>
      </c>
    </row>
    <row r="828" spans="1:17" hidden="1">
      <c r="A828" s="21" t="e">
        <v>#N/A</v>
      </c>
      <c r="B828" s="22" t="s">
        <v>2275</v>
      </c>
      <c r="C828" s="21" t="s">
        <v>2276</v>
      </c>
      <c r="D828" s="21" t="s">
        <v>2273</v>
      </c>
      <c r="E828" s="21" t="s">
        <v>2274</v>
      </c>
      <c r="F828" s="21" t="s">
        <v>1180</v>
      </c>
      <c r="G828" s="3" t="s">
        <v>1188</v>
      </c>
      <c r="H828" s="3" t="s">
        <v>55</v>
      </c>
      <c r="I828" s="3" t="s">
        <v>55</v>
      </c>
      <c r="J828" s="3" t="s">
        <v>55</v>
      </c>
      <c r="K828" s="3" t="s">
        <v>55</v>
      </c>
      <c r="L828" s="3" t="s">
        <v>55</v>
      </c>
      <c r="M828" s="2" t="s">
        <v>740</v>
      </c>
      <c r="N828" s="2" t="e">
        <v>#N/A</v>
      </c>
      <c r="O828" s="2" t="e">
        <v>#N/A</v>
      </c>
      <c r="P828" s="2" t="e">
        <v>#N/A</v>
      </c>
      <c r="Q828" s="3" t="e">
        <v>#N/A</v>
      </c>
    </row>
    <row r="829" spans="1:17" hidden="1">
      <c r="A829" s="21" t="e">
        <v>#N/A</v>
      </c>
      <c r="B829" s="22" t="s">
        <v>2271</v>
      </c>
      <c r="C829" s="21" t="s">
        <v>2272</v>
      </c>
      <c r="D829" s="21" t="s">
        <v>2273</v>
      </c>
      <c r="E829" s="21" t="s">
        <v>2274</v>
      </c>
      <c r="F829" s="21" t="s">
        <v>1409</v>
      </c>
      <c r="G829" s="3" t="s">
        <v>1188</v>
      </c>
      <c r="H829" s="3" t="s">
        <v>55</v>
      </c>
      <c r="I829" s="3" t="s">
        <v>55</v>
      </c>
      <c r="J829" s="3" t="s">
        <v>55</v>
      </c>
      <c r="K829" s="3" t="s">
        <v>55</v>
      </c>
      <c r="L829" s="3" t="s">
        <v>55</v>
      </c>
      <c r="M829" s="2" t="s">
        <v>740</v>
      </c>
      <c r="N829" s="2" t="e">
        <v>#N/A</v>
      </c>
      <c r="O829" s="2" t="e">
        <v>#N/A</v>
      </c>
      <c r="P829" s="2" t="e">
        <v>#N/A</v>
      </c>
      <c r="Q829" s="3" t="e">
        <v>#N/A</v>
      </c>
    </row>
    <row r="830" spans="1:17" hidden="1">
      <c r="A830" s="21" t="s">
        <v>2903</v>
      </c>
      <c r="B830" s="22" t="s">
        <v>3180</v>
      </c>
      <c r="C830" s="21" t="s">
        <v>3181</v>
      </c>
      <c r="D830" s="21" t="s">
        <v>3182</v>
      </c>
      <c r="E830" s="21" t="s">
        <v>3183</v>
      </c>
      <c r="F830" s="21" t="s">
        <v>1192</v>
      </c>
      <c r="G830" s="3" t="s">
        <v>1185</v>
      </c>
      <c r="H830" s="3" t="s">
        <v>7</v>
      </c>
      <c r="I830" s="3" t="s">
        <v>7</v>
      </c>
      <c r="J830" s="3" t="s">
        <v>7</v>
      </c>
      <c r="K830" s="3" t="s">
        <v>7</v>
      </c>
      <c r="L830" s="3" t="s">
        <v>7</v>
      </c>
      <c r="M830" s="2" t="s">
        <v>618</v>
      </c>
      <c r="N830" s="2" t="s">
        <v>619</v>
      </c>
      <c r="O830" s="2" t="s">
        <v>3188</v>
      </c>
      <c r="P830" s="2" t="s">
        <v>2923</v>
      </c>
      <c r="Q830" s="3" t="s">
        <v>2856</v>
      </c>
    </row>
    <row r="831" spans="1:17" hidden="1">
      <c r="A831" s="21" t="s">
        <v>2903</v>
      </c>
      <c r="B831" s="22" t="s">
        <v>3186</v>
      </c>
      <c r="C831" s="21" t="s">
        <v>3187</v>
      </c>
      <c r="D831" s="21" t="s">
        <v>3182</v>
      </c>
      <c r="E831" s="21" t="s">
        <v>3183</v>
      </c>
      <c r="F831" s="21" t="s">
        <v>1180</v>
      </c>
      <c r="G831" s="3" t="s">
        <v>1185</v>
      </c>
      <c r="H831" s="3" t="s">
        <v>55</v>
      </c>
      <c r="I831" s="3" t="s">
        <v>55</v>
      </c>
      <c r="J831" s="3" t="s">
        <v>55</v>
      </c>
      <c r="K831" s="3" t="s">
        <v>55</v>
      </c>
      <c r="L831" s="3" t="s">
        <v>55</v>
      </c>
      <c r="M831" s="2" t="s">
        <v>618</v>
      </c>
      <c r="N831" s="2" t="s">
        <v>619</v>
      </c>
      <c r="O831" s="2" t="s">
        <v>3188</v>
      </c>
      <c r="P831" s="2" t="s">
        <v>2923</v>
      </c>
      <c r="Q831" s="3" t="s">
        <v>2856</v>
      </c>
    </row>
    <row r="832" spans="1:17" hidden="1">
      <c r="A832" s="21" t="s">
        <v>2903</v>
      </c>
      <c r="B832" s="22" t="s">
        <v>3184</v>
      </c>
      <c r="C832" s="21" t="s">
        <v>3185</v>
      </c>
      <c r="D832" s="21" t="s">
        <v>3182</v>
      </c>
      <c r="E832" s="21" t="s">
        <v>3183</v>
      </c>
      <c r="F832" s="21" t="s">
        <v>1181</v>
      </c>
      <c r="G832" s="3" t="s">
        <v>1187</v>
      </c>
      <c r="H832" s="3" t="s">
        <v>3071</v>
      </c>
      <c r="I832" s="3" t="s">
        <v>7</v>
      </c>
      <c r="J832" s="3" t="s">
        <v>3071</v>
      </c>
      <c r="K832" s="3" t="s">
        <v>3071</v>
      </c>
      <c r="L832" s="3" t="s">
        <v>7</v>
      </c>
      <c r="M832" s="2" t="s">
        <v>618</v>
      </c>
      <c r="N832" s="2" t="s">
        <v>619</v>
      </c>
      <c r="O832" s="2" t="s">
        <v>3188</v>
      </c>
      <c r="P832" s="2" t="s">
        <v>2923</v>
      </c>
      <c r="Q832" s="3" t="s">
        <v>2856</v>
      </c>
    </row>
    <row r="833" spans="1:17" hidden="1">
      <c r="A833" s="21" t="s">
        <v>2903</v>
      </c>
      <c r="B833" s="22" t="s">
        <v>1632</v>
      </c>
      <c r="C833" s="21" t="s">
        <v>2277</v>
      </c>
      <c r="D833" s="21" t="s">
        <v>1633</v>
      </c>
      <c r="E833" s="21" t="s">
        <v>1634</v>
      </c>
      <c r="F833" s="21" t="s">
        <v>1409</v>
      </c>
      <c r="G833" s="3" t="s">
        <v>1188</v>
      </c>
      <c r="H833" s="3" t="s">
        <v>7</v>
      </c>
      <c r="I833" s="3" t="s">
        <v>7</v>
      </c>
      <c r="J833" s="3" t="s">
        <v>7</v>
      </c>
      <c r="K833" s="3" t="s">
        <v>7</v>
      </c>
      <c r="L833" s="3" t="s">
        <v>7</v>
      </c>
      <c r="M833" s="2" t="s">
        <v>636</v>
      </c>
      <c r="N833" s="2" t="s">
        <v>637</v>
      </c>
      <c r="O833" s="2" t="s">
        <v>1375</v>
      </c>
      <c r="P833" s="2" t="s">
        <v>2915</v>
      </c>
      <c r="Q833" s="3" t="s">
        <v>2856</v>
      </c>
    </row>
    <row r="834" spans="1:17" hidden="1">
      <c r="A834" s="21" t="s">
        <v>2903</v>
      </c>
      <c r="B834" s="22" t="s">
        <v>2278</v>
      </c>
      <c r="C834" s="21" t="s">
        <v>2279</v>
      </c>
      <c r="D834" s="21" t="s">
        <v>1633</v>
      </c>
      <c r="E834" s="21" t="s">
        <v>1634</v>
      </c>
      <c r="F834" s="21" t="s">
        <v>1181</v>
      </c>
      <c r="G834" s="3" t="s">
        <v>1178</v>
      </c>
      <c r="H834" s="3" t="s">
        <v>3071</v>
      </c>
      <c r="I834" s="3" t="s">
        <v>7</v>
      </c>
      <c r="J834" s="3" t="s">
        <v>3071</v>
      </c>
      <c r="K834" s="3" t="s">
        <v>3071</v>
      </c>
      <c r="L834" s="3" t="s">
        <v>7</v>
      </c>
      <c r="M834" s="2" t="s">
        <v>636</v>
      </c>
      <c r="N834" s="2" t="s">
        <v>637</v>
      </c>
      <c r="O834" s="2" t="s">
        <v>1375</v>
      </c>
      <c r="P834" s="2" t="s">
        <v>2915</v>
      </c>
      <c r="Q834" s="3" t="s">
        <v>2856</v>
      </c>
    </row>
    <row r="835" spans="1:17" hidden="1">
      <c r="A835" s="21" t="s">
        <v>2903</v>
      </c>
      <c r="B835" s="22" t="s">
        <v>2280</v>
      </c>
      <c r="C835" s="21" t="s">
        <v>2281</v>
      </c>
      <c r="D835" s="21" t="s">
        <v>2282</v>
      </c>
      <c r="E835" s="21" t="s">
        <v>2283</v>
      </c>
      <c r="F835" s="21" t="s">
        <v>1180</v>
      </c>
      <c r="G835" s="3" t="s">
        <v>1185</v>
      </c>
      <c r="H835" s="3" t="s">
        <v>7</v>
      </c>
      <c r="I835" s="3" t="s">
        <v>7</v>
      </c>
      <c r="J835" s="3" t="s">
        <v>7</v>
      </c>
      <c r="K835" s="3" t="s">
        <v>7</v>
      </c>
      <c r="L835" s="3" t="s">
        <v>7</v>
      </c>
      <c r="M835" s="2" t="s">
        <v>660</v>
      </c>
      <c r="N835" s="2" t="s">
        <v>661</v>
      </c>
      <c r="O835" s="2" t="s">
        <v>1374</v>
      </c>
      <c r="P835" s="2" t="s">
        <v>2907</v>
      </c>
      <c r="Q835" s="3" t="s">
        <v>2856</v>
      </c>
    </row>
    <row r="836" spans="1:17" hidden="1">
      <c r="A836" s="21" t="s">
        <v>2903</v>
      </c>
      <c r="B836" s="22" t="s">
        <v>2832</v>
      </c>
      <c r="C836" s="21" t="s">
        <v>2833</v>
      </c>
      <c r="D836" s="21" t="s">
        <v>2282</v>
      </c>
      <c r="E836" s="21" t="s">
        <v>2283</v>
      </c>
      <c r="F836" s="21" t="s">
        <v>1181</v>
      </c>
      <c r="G836" s="3" t="s">
        <v>1416</v>
      </c>
      <c r="H836" s="3" t="s">
        <v>3071</v>
      </c>
      <c r="I836" s="3" t="s">
        <v>7</v>
      </c>
      <c r="J836" s="3" t="s">
        <v>3071</v>
      </c>
      <c r="K836" s="3" t="s">
        <v>3071</v>
      </c>
      <c r="L836" s="3" t="s">
        <v>7</v>
      </c>
      <c r="M836" s="2" t="s">
        <v>660</v>
      </c>
      <c r="N836" s="2" t="s">
        <v>661</v>
      </c>
      <c r="O836" s="2" t="s">
        <v>1374</v>
      </c>
      <c r="P836" s="2" t="s">
        <v>2907</v>
      </c>
      <c r="Q836" s="3" t="s">
        <v>2856</v>
      </c>
    </row>
    <row r="837" spans="1:17" hidden="1">
      <c r="A837" s="21" t="s">
        <v>2903</v>
      </c>
      <c r="B837" s="23" t="s">
        <v>2830</v>
      </c>
      <c r="C837" s="21" t="s">
        <v>2831</v>
      </c>
      <c r="D837" s="21" t="s">
        <v>2282</v>
      </c>
      <c r="E837" s="21" t="s">
        <v>2283</v>
      </c>
      <c r="F837" s="21" t="s">
        <v>1192</v>
      </c>
      <c r="G837" s="5" t="s">
        <v>1416</v>
      </c>
      <c r="H837" s="3" t="s">
        <v>7</v>
      </c>
      <c r="I837" s="3" t="s">
        <v>7</v>
      </c>
      <c r="J837" s="3" t="s">
        <v>7</v>
      </c>
      <c r="K837" s="3" t="s">
        <v>7</v>
      </c>
      <c r="L837" s="3" t="s">
        <v>7</v>
      </c>
      <c r="M837" s="2" t="s">
        <v>660</v>
      </c>
      <c r="N837" s="2" t="s">
        <v>661</v>
      </c>
      <c r="O837" s="2" t="s">
        <v>1374</v>
      </c>
      <c r="P837" s="2" t="s">
        <v>2907</v>
      </c>
      <c r="Q837" s="3" t="s">
        <v>2856</v>
      </c>
    </row>
    <row r="838" spans="1:17" hidden="1">
      <c r="A838" s="21" t="s">
        <v>2903</v>
      </c>
      <c r="B838" s="23" t="s">
        <v>3001</v>
      </c>
      <c r="C838" s="21" t="s">
        <v>3002</v>
      </c>
      <c r="D838" s="21" t="s">
        <v>3003</v>
      </c>
      <c r="E838" s="21" t="s">
        <v>3004</v>
      </c>
      <c r="F838" s="21" t="s">
        <v>1192</v>
      </c>
      <c r="G838" s="5" t="s">
        <v>1187</v>
      </c>
      <c r="H838" s="3" t="s">
        <v>7</v>
      </c>
      <c r="I838" s="3" t="s">
        <v>7</v>
      </c>
      <c r="J838" s="3" t="s">
        <v>7</v>
      </c>
      <c r="K838" s="3" t="s">
        <v>7</v>
      </c>
      <c r="L838" s="3" t="s">
        <v>7</v>
      </c>
      <c r="M838" s="2" t="s">
        <v>550</v>
      </c>
      <c r="N838" s="2" t="s">
        <v>551</v>
      </c>
      <c r="O838" s="2" t="s">
        <v>1357</v>
      </c>
      <c r="P838" s="2" t="s">
        <v>2923</v>
      </c>
      <c r="Q838" s="3" t="s">
        <v>2856</v>
      </c>
    </row>
    <row r="839" spans="1:17" hidden="1">
      <c r="A839" s="21" t="s">
        <v>2903</v>
      </c>
      <c r="B839" s="22" t="s">
        <v>3007</v>
      </c>
      <c r="C839" s="21" t="s">
        <v>3008</v>
      </c>
      <c r="D839" s="21" t="s">
        <v>3003</v>
      </c>
      <c r="E839" s="21" t="s">
        <v>3004</v>
      </c>
      <c r="F839" s="21" t="s">
        <v>1180</v>
      </c>
      <c r="G839" s="3" t="s">
        <v>1187</v>
      </c>
      <c r="H839" s="3" t="s">
        <v>7</v>
      </c>
      <c r="I839" s="3" t="s">
        <v>7</v>
      </c>
      <c r="J839" s="3" t="s">
        <v>7</v>
      </c>
      <c r="K839" s="3" t="s">
        <v>7</v>
      </c>
      <c r="L839" s="3" t="s">
        <v>7</v>
      </c>
      <c r="M839" s="2" t="s">
        <v>550</v>
      </c>
      <c r="N839" s="2" t="s">
        <v>551</v>
      </c>
      <c r="O839" s="2" t="s">
        <v>1357</v>
      </c>
      <c r="P839" s="2" t="s">
        <v>2923</v>
      </c>
      <c r="Q839" s="3" t="s">
        <v>2856</v>
      </c>
    </row>
    <row r="840" spans="1:17" hidden="1">
      <c r="A840" s="21" t="s">
        <v>2903</v>
      </c>
      <c r="B840" s="22" t="s">
        <v>3005</v>
      </c>
      <c r="C840" s="21" t="s">
        <v>3006</v>
      </c>
      <c r="D840" s="21" t="s">
        <v>3003</v>
      </c>
      <c r="E840" s="21" t="s">
        <v>3004</v>
      </c>
      <c r="F840" s="21" t="s">
        <v>1181</v>
      </c>
      <c r="G840" s="3" t="s">
        <v>1189</v>
      </c>
      <c r="H840" s="3" t="s">
        <v>3071</v>
      </c>
      <c r="I840" s="3" t="s">
        <v>7</v>
      </c>
      <c r="J840" s="3" t="s">
        <v>3071</v>
      </c>
      <c r="K840" s="3" t="s">
        <v>3071</v>
      </c>
      <c r="L840" s="3" t="s">
        <v>7</v>
      </c>
      <c r="M840" s="2" t="s">
        <v>550</v>
      </c>
      <c r="N840" s="2" t="s">
        <v>551</v>
      </c>
      <c r="O840" s="2" t="s">
        <v>1357</v>
      </c>
      <c r="P840" s="2" t="s">
        <v>2923</v>
      </c>
      <c r="Q840" s="3" t="s">
        <v>2856</v>
      </c>
    </row>
    <row r="841" spans="1:17" hidden="1">
      <c r="A841" s="21" t="s">
        <v>2903</v>
      </c>
      <c r="B841" s="22" t="s">
        <v>2492</v>
      </c>
      <c r="C841" s="21" t="s">
        <v>2493</v>
      </c>
      <c r="D841" s="21" t="s">
        <v>2494</v>
      </c>
      <c r="E841" s="21" t="s">
        <v>2495</v>
      </c>
      <c r="F841" s="21" t="s">
        <v>1192</v>
      </c>
      <c r="G841" s="3" t="s">
        <v>1198</v>
      </c>
      <c r="H841" s="3" t="s">
        <v>7</v>
      </c>
      <c r="I841" s="3" t="s">
        <v>7</v>
      </c>
      <c r="J841" s="3" t="s">
        <v>7</v>
      </c>
      <c r="K841" s="3" t="s">
        <v>7</v>
      </c>
      <c r="L841" s="3" t="s">
        <v>7</v>
      </c>
      <c r="M841" s="2" t="s">
        <v>1248</v>
      </c>
      <c r="N841" s="2" t="s">
        <v>2945</v>
      </c>
      <c r="O841" s="2" t="s">
        <v>1385</v>
      </c>
      <c r="P841" s="2" t="s">
        <v>2927</v>
      </c>
      <c r="Q841" s="3" t="s">
        <v>2856</v>
      </c>
    </row>
    <row r="842" spans="1:17" hidden="1">
      <c r="A842" s="21" t="s">
        <v>2903</v>
      </c>
      <c r="B842" s="22" t="s">
        <v>2498</v>
      </c>
      <c r="C842" s="21" t="s">
        <v>2499</v>
      </c>
      <c r="D842" s="21" t="s">
        <v>2494</v>
      </c>
      <c r="E842" s="21" t="s">
        <v>2495</v>
      </c>
      <c r="F842" s="21" t="s">
        <v>1180</v>
      </c>
      <c r="G842" s="3" t="s">
        <v>1186</v>
      </c>
      <c r="H842" s="3" t="s">
        <v>7</v>
      </c>
      <c r="I842" s="3" t="s">
        <v>7</v>
      </c>
      <c r="J842" s="3" t="s">
        <v>7</v>
      </c>
      <c r="K842" s="3" t="s">
        <v>7</v>
      </c>
      <c r="L842" s="3" t="s">
        <v>7</v>
      </c>
      <c r="M842" s="2" t="s">
        <v>1248</v>
      </c>
      <c r="N842" s="2" t="s">
        <v>2945</v>
      </c>
      <c r="O842" s="2" t="s">
        <v>1385</v>
      </c>
      <c r="P842" s="2" t="s">
        <v>2927</v>
      </c>
      <c r="Q842" s="3" t="s">
        <v>2856</v>
      </c>
    </row>
    <row r="843" spans="1:17" hidden="1">
      <c r="A843" s="21" t="s">
        <v>2903</v>
      </c>
      <c r="B843" s="22" t="s">
        <v>2496</v>
      </c>
      <c r="C843" s="21" t="s">
        <v>2497</v>
      </c>
      <c r="D843" s="21" t="s">
        <v>2494</v>
      </c>
      <c r="E843" s="21" t="s">
        <v>2495</v>
      </c>
      <c r="F843" s="21" t="s">
        <v>1181</v>
      </c>
      <c r="G843" s="3" t="s">
        <v>1186</v>
      </c>
      <c r="H843" s="3" t="s">
        <v>3071</v>
      </c>
      <c r="I843" s="3" t="s">
        <v>55</v>
      </c>
      <c r="J843" s="3" t="s">
        <v>3071</v>
      </c>
      <c r="K843" s="3" t="s">
        <v>3071</v>
      </c>
      <c r="L843" s="3" t="s">
        <v>55</v>
      </c>
      <c r="M843" s="2" t="s">
        <v>1248</v>
      </c>
      <c r="N843" s="2" t="s">
        <v>2945</v>
      </c>
      <c r="O843" s="2" t="s">
        <v>1385</v>
      </c>
      <c r="P843" s="2" t="s">
        <v>2927</v>
      </c>
      <c r="Q843" s="3" t="s">
        <v>2856</v>
      </c>
    </row>
    <row r="844" spans="1:17" hidden="1">
      <c r="A844" s="21" t="s">
        <v>2903</v>
      </c>
      <c r="B844" s="22" t="s">
        <v>2834</v>
      </c>
      <c r="C844" s="21" t="s">
        <v>2835</v>
      </c>
      <c r="D844" s="21" t="s">
        <v>2494</v>
      </c>
      <c r="E844" s="21" t="s">
        <v>2836</v>
      </c>
      <c r="F844" s="21" t="s">
        <v>1192</v>
      </c>
      <c r="G844" s="3" t="s">
        <v>2559</v>
      </c>
      <c r="H844" s="3" t="s">
        <v>7</v>
      </c>
      <c r="I844" s="3" t="s">
        <v>7</v>
      </c>
      <c r="J844" s="3" t="s">
        <v>7</v>
      </c>
      <c r="K844" s="3" t="s">
        <v>7</v>
      </c>
      <c r="L844" s="3" t="s">
        <v>7</v>
      </c>
      <c r="M844" s="2" t="s">
        <v>2851</v>
      </c>
      <c r="N844" s="2" t="s">
        <v>2961</v>
      </c>
      <c r="O844" s="2" t="s">
        <v>1385</v>
      </c>
      <c r="P844" s="2" t="s">
        <v>2927</v>
      </c>
      <c r="Q844" s="3" t="s">
        <v>2856</v>
      </c>
    </row>
    <row r="845" spans="1:17" hidden="1">
      <c r="A845" s="21" t="s">
        <v>2903</v>
      </c>
      <c r="B845" s="22" t="s">
        <v>2839</v>
      </c>
      <c r="C845" s="21" t="s">
        <v>2840</v>
      </c>
      <c r="D845" s="21" t="s">
        <v>2494</v>
      </c>
      <c r="E845" s="21" t="s">
        <v>2836</v>
      </c>
      <c r="F845" s="21" t="s">
        <v>1180</v>
      </c>
      <c r="G845" s="3" t="s">
        <v>2559</v>
      </c>
      <c r="H845" s="3" t="s">
        <v>7</v>
      </c>
      <c r="I845" s="3" t="s">
        <v>7</v>
      </c>
      <c r="J845" s="3" t="s">
        <v>7</v>
      </c>
      <c r="K845" s="3" t="s">
        <v>7</v>
      </c>
      <c r="L845" s="3" t="s">
        <v>7</v>
      </c>
      <c r="M845" s="2" t="s">
        <v>2851</v>
      </c>
      <c r="N845" s="2" t="s">
        <v>2961</v>
      </c>
      <c r="O845" s="2" t="s">
        <v>1385</v>
      </c>
      <c r="P845" s="2" t="s">
        <v>2927</v>
      </c>
      <c r="Q845" s="3" t="s">
        <v>2856</v>
      </c>
    </row>
    <row r="846" spans="1:17" hidden="1">
      <c r="A846" s="21" t="s">
        <v>2903</v>
      </c>
      <c r="B846" s="22" t="s">
        <v>2837</v>
      </c>
      <c r="C846" s="21" t="s">
        <v>2838</v>
      </c>
      <c r="D846" s="21" t="s">
        <v>2494</v>
      </c>
      <c r="E846" s="21" t="s">
        <v>2836</v>
      </c>
      <c r="F846" s="21" t="s">
        <v>1181</v>
      </c>
      <c r="G846" s="3" t="s">
        <v>2559</v>
      </c>
      <c r="H846" s="3" t="s">
        <v>3071</v>
      </c>
      <c r="I846" s="3" t="s">
        <v>7</v>
      </c>
      <c r="J846" s="3" t="s">
        <v>3071</v>
      </c>
      <c r="K846" s="3" t="s">
        <v>3071</v>
      </c>
      <c r="L846" s="3" t="s">
        <v>7</v>
      </c>
      <c r="M846" s="2" t="s">
        <v>2851</v>
      </c>
      <c r="N846" s="2" t="s">
        <v>2961</v>
      </c>
      <c r="O846" s="2" t="s">
        <v>1385</v>
      </c>
      <c r="P846" s="2" t="s">
        <v>2927</v>
      </c>
      <c r="Q846" s="3" t="s">
        <v>2856</v>
      </c>
    </row>
    <row r="847" spans="1:17" hidden="1">
      <c r="A847" s="21" t="s">
        <v>2876</v>
      </c>
      <c r="B847" s="22" t="s">
        <v>1147</v>
      </c>
      <c r="C847" s="21" t="s">
        <v>2284</v>
      </c>
      <c r="D847" s="21" t="s">
        <v>2285</v>
      </c>
      <c r="E847" s="21" t="s">
        <v>803</v>
      </c>
      <c r="F847" s="21" t="s">
        <v>1192</v>
      </c>
      <c r="G847" s="3" t="s">
        <v>1185</v>
      </c>
      <c r="H847" s="3" t="s">
        <v>7</v>
      </c>
      <c r="I847" s="3" t="s">
        <v>7</v>
      </c>
      <c r="J847" s="3" t="s">
        <v>7</v>
      </c>
      <c r="K847" s="3" t="s">
        <v>7</v>
      </c>
      <c r="L847" s="3" t="s">
        <v>7</v>
      </c>
      <c r="M847" s="2" t="s">
        <v>524</v>
      </c>
      <c r="N847" s="2" t="s">
        <v>2887</v>
      </c>
      <c r="O847" s="2" t="s">
        <v>2886</v>
      </c>
      <c r="P847" s="2" t="s">
        <v>2882</v>
      </c>
      <c r="Q847" s="3" t="s">
        <v>2856</v>
      </c>
    </row>
    <row r="848" spans="1:17" hidden="1">
      <c r="A848" s="21" t="s">
        <v>2876</v>
      </c>
      <c r="B848" s="22" t="s">
        <v>1148</v>
      </c>
      <c r="C848" s="21" t="s">
        <v>2286</v>
      </c>
      <c r="D848" s="21" t="s">
        <v>2285</v>
      </c>
      <c r="E848" s="21" t="s">
        <v>803</v>
      </c>
      <c r="F848" s="21" t="s">
        <v>1180</v>
      </c>
      <c r="G848" s="3" t="s">
        <v>1198</v>
      </c>
      <c r="H848" s="3" t="s">
        <v>7</v>
      </c>
      <c r="I848" s="3" t="s">
        <v>7</v>
      </c>
      <c r="J848" s="3" t="s">
        <v>7</v>
      </c>
      <c r="K848" s="3" t="s">
        <v>7</v>
      </c>
      <c r="L848" s="3" t="s">
        <v>7</v>
      </c>
      <c r="M848" s="2" t="s">
        <v>524</v>
      </c>
      <c r="N848" s="2" t="s">
        <v>2887</v>
      </c>
      <c r="O848" s="2" t="s">
        <v>2886</v>
      </c>
      <c r="P848" s="2" t="s">
        <v>2882</v>
      </c>
      <c r="Q848" s="3" t="s">
        <v>2856</v>
      </c>
    </row>
    <row r="849" spans="1:17" hidden="1">
      <c r="A849" s="21" t="s">
        <v>2876</v>
      </c>
      <c r="B849" s="22" t="s">
        <v>1635</v>
      </c>
      <c r="C849" s="21" t="s">
        <v>2287</v>
      </c>
      <c r="D849" s="21" t="s">
        <v>223</v>
      </c>
      <c r="E849" s="21" t="s">
        <v>224</v>
      </c>
      <c r="F849" s="21" t="s">
        <v>1192</v>
      </c>
      <c r="G849" s="3" t="s">
        <v>1178</v>
      </c>
      <c r="H849" s="3" t="s">
        <v>7</v>
      </c>
      <c r="I849" s="3" t="s">
        <v>7</v>
      </c>
      <c r="J849" s="3" t="s">
        <v>7</v>
      </c>
      <c r="K849" s="3" t="s">
        <v>7</v>
      </c>
      <c r="L849" s="3" t="s">
        <v>7</v>
      </c>
      <c r="M849" s="2" t="s">
        <v>512</v>
      </c>
      <c r="N849" s="2" t="s">
        <v>513</v>
      </c>
      <c r="O849" s="2" t="s">
        <v>1320</v>
      </c>
      <c r="P849" s="2" t="s">
        <v>2877</v>
      </c>
      <c r="Q849" s="3" t="s">
        <v>2856</v>
      </c>
    </row>
    <row r="850" spans="1:17" hidden="1">
      <c r="A850" s="21" t="s">
        <v>2876</v>
      </c>
      <c r="B850" s="22" t="s">
        <v>1149</v>
      </c>
      <c r="C850" s="21" t="s">
        <v>2288</v>
      </c>
      <c r="D850" s="21" t="s">
        <v>223</v>
      </c>
      <c r="E850" s="21" t="s">
        <v>224</v>
      </c>
      <c r="F850" s="21" t="s">
        <v>8</v>
      </c>
      <c r="G850" s="3" t="s">
        <v>1178</v>
      </c>
      <c r="H850" s="3" t="s">
        <v>7</v>
      </c>
      <c r="I850" s="3" t="s">
        <v>7</v>
      </c>
      <c r="J850" s="3" t="s">
        <v>7</v>
      </c>
      <c r="K850" s="3" t="s">
        <v>7</v>
      </c>
      <c r="L850" s="3" t="s">
        <v>7</v>
      </c>
      <c r="M850" s="2" t="s">
        <v>512</v>
      </c>
      <c r="N850" s="2" t="s">
        <v>513</v>
      </c>
      <c r="O850" s="2" t="s">
        <v>1320</v>
      </c>
      <c r="P850" s="2" t="s">
        <v>2877</v>
      </c>
      <c r="Q850" s="3" t="s">
        <v>2856</v>
      </c>
    </row>
    <row r="851" spans="1:17" hidden="1">
      <c r="A851" s="21" t="s">
        <v>2903</v>
      </c>
      <c r="B851" s="22" t="s">
        <v>1150</v>
      </c>
      <c r="C851" s="21" t="s">
        <v>2289</v>
      </c>
      <c r="D851" s="21" t="s">
        <v>225</v>
      </c>
      <c r="E851" s="21" t="s">
        <v>1219</v>
      </c>
      <c r="F851" s="21" t="s">
        <v>1192</v>
      </c>
      <c r="G851" s="3" t="s">
        <v>1185</v>
      </c>
      <c r="H851" s="3" t="s">
        <v>7</v>
      </c>
      <c r="I851" s="3" t="s">
        <v>7</v>
      </c>
      <c r="J851" s="3" t="s">
        <v>7</v>
      </c>
      <c r="K851" s="3" t="s">
        <v>7</v>
      </c>
      <c r="L851" s="3" t="s">
        <v>7</v>
      </c>
      <c r="M851" s="2" t="s">
        <v>638</v>
      </c>
      <c r="N851" s="2" t="s">
        <v>639</v>
      </c>
      <c r="O851" s="2" t="s">
        <v>1384</v>
      </c>
      <c r="P851" s="2" t="s">
        <v>2910</v>
      </c>
      <c r="Q851" s="3" t="s">
        <v>2856</v>
      </c>
    </row>
    <row r="852" spans="1:17" hidden="1">
      <c r="A852" s="21" t="s">
        <v>2903</v>
      </c>
      <c r="B852" s="22" t="s">
        <v>2290</v>
      </c>
      <c r="C852" s="21" t="s">
        <v>2291</v>
      </c>
      <c r="D852" s="21" t="s">
        <v>225</v>
      </c>
      <c r="E852" s="21" t="s">
        <v>858</v>
      </c>
      <c r="F852" s="21" t="s">
        <v>15</v>
      </c>
      <c r="G852" s="3" t="s">
        <v>1187</v>
      </c>
      <c r="H852" s="3" t="s">
        <v>3071</v>
      </c>
      <c r="I852" s="3" t="s">
        <v>3071</v>
      </c>
      <c r="J852" s="3" t="s">
        <v>3071</v>
      </c>
      <c r="K852" s="3" t="s">
        <v>3071</v>
      </c>
      <c r="L852" s="3" t="s">
        <v>7</v>
      </c>
      <c r="M852" s="2" t="s">
        <v>700</v>
      </c>
      <c r="N852" s="2" t="s">
        <v>701</v>
      </c>
      <c r="O852" s="2" t="s">
        <v>1384</v>
      </c>
      <c r="P852" s="2" t="s">
        <v>2910</v>
      </c>
      <c r="Q852" s="3" t="s">
        <v>2856</v>
      </c>
    </row>
    <row r="853" spans="1:17" hidden="1">
      <c r="A853" s="21" t="s">
        <v>2903</v>
      </c>
      <c r="B853" s="22" t="s">
        <v>2670</v>
      </c>
      <c r="C853" s="21" t="s">
        <v>2671</v>
      </c>
      <c r="D853" s="21" t="s">
        <v>225</v>
      </c>
      <c r="E853" s="21" t="s">
        <v>1219</v>
      </c>
      <c r="F853" s="21" t="s">
        <v>1181</v>
      </c>
      <c r="G853" s="3" t="s">
        <v>1179</v>
      </c>
      <c r="H853" s="3" t="s">
        <v>3071</v>
      </c>
      <c r="I853" s="3" t="s">
        <v>7</v>
      </c>
      <c r="J853" s="3" t="s">
        <v>3071</v>
      </c>
      <c r="K853" s="3" t="s">
        <v>3071</v>
      </c>
      <c r="L853" s="3" t="s">
        <v>7</v>
      </c>
      <c r="M853" s="2" t="s">
        <v>638</v>
      </c>
      <c r="N853" s="2" t="s">
        <v>639</v>
      </c>
      <c r="O853" s="2" t="s">
        <v>1384</v>
      </c>
      <c r="P853" s="2" t="s">
        <v>2910</v>
      </c>
      <c r="Q853" s="3" t="s">
        <v>2856</v>
      </c>
    </row>
    <row r="854" spans="1:17" hidden="1">
      <c r="A854" s="21" t="s">
        <v>2903</v>
      </c>
      <c r="B854" s="22" t="s">
        <v>3009</v>
      </c>
      <c r="C854" s="21" t="s">
        <v>3010</v>
      </c>
      <c r="D854" s="21" t="s">
        <v>225</v>
      </c>
      <c r="E854" s="21" t="s">
        <v>1219</v>
      </c>
      <c r="F854" s="21" t="s">
        <v>1180</v>
      </c>
      <c r="G854" s="3" t="s">
        <v>1179</v>
      </c>
      <c r="H854" s="3" t="s">
        <v>55</v>
      </c>
      <c r="I854" s="3" t="s">
        <v>55</v>
      </c>
      <c r="J854" s="3" t="s">
        <v>55</v>
      </c>
      <c r="K854" s="3" t="s">
        <v>55</v>
      </c>
      <c r="L854" s="3" t="s">
        <v>55</v>
      </c>
      <c r="M854" s="2" t="s">
        <v>638</v>
      </c>
      <c r="N854" s="2" t="s">
        <v>639</v>
      </c>
      <c r="O854" s="2" t="s">
        <v>1384</v>
      </c>
      <c r="P854" s="2" t="s">
        <v>2910</v>
      </c>
      <c r="Q854" s="3" t="s">
        <v>2856</v>
      </c>
    </row>
    <row r="855" spans="1:17" hidden="1">
      <c r="A855" s="21" t="s">
        <v>2903</v>
      </c>
      <c r="B855" s="22" t="s">
        <v>3020</v>
      </c>
      <c r="C855" s="21" t="s">
        <v>3021</v>
      </c>
      <c r="D855" s="21" t="s">
        <v>225</v>
      </c>
      <c r="E855" s="21" t="s">
        <v>3019</v>
      </c>
      <c r="F855" s="21" t="s">
        <v>1181</v>
      </c>
      <c r="G855" s="3" t="s">
        <v>1179</v>
      </c>
      <c r="H855" s="3" t="s">
        <v>3071</v>
      </c>
      <c r="I855" s="3" t="s">
        <v>55</v>
      </c>
      <c r="J855" s="3" t="s">
        <v>3071</v>
      </c>
      <c r="K855" s="3" t="s">
        <v>3071</v>
      </c>
      <c r="L855" s="3" t="s">
        <v>55</v>
      </c>
      <c r="M855" s="2" t="s">
        <v>1229</v>
      </c>
      <c r="N855" s="2" t="s">
        <v>2944</v>
      </c>
      <c r="O855" s="2" t="s">
        <v>1384</v>
      </c>
      <c r="P855" s="2" t="s">
        <v>2910</v>
      </c>
      <c r="Q855" s="3" t="s">
        <v>2856</v>
      </c>
    </row>
    <row r="856" spans="1:17" hidden="1">
      <c r="A856" s="21" t="s">
        <v>2903</v>
      </c>
      <c r="B856" s="22" t="s">
        <v>3017</v>
      </c>
      <c r="C856" s="21" t="s">
        <v>3018</v>
      </c>
      <c r="D856" s="21" t="s">
        <v>225</v>
      </c>
      <c r="E856" s="21" t="s">
        <v>3019</v>
      </c>
      <c r="F856" s="21" t="s">
        <v>1192</v>
      </c>
      <c r="G856" s="3" t="s">
        <v>1198</v>
      </c>
      <c r="H856" s="3" t="s">
        <v>7</v>
      </c>
      <c r="I856" s="3" t="s">
        <v>7</v>
      </c>
      <c r="J856" s="3" t="s">
        <v>7</v>
      </c>
      <c r="K856" s="3" t="s">
        <v>7</v>
      </c>
      <c r="L856" s="3" t="s">
        <v>7</v>
      </c>
      <c r="M856" s="2" t="s">
        <v>1229</v>
      </c>
      <c r="N856" s="2" t="s">
        <v>2944</v>
      </c>
      <c r="O856" s="2" t="s">
        <v>1384</v>
      </c>
      <c r="P856" s="2" t="s">
        <v>2910</v>
      </c>
      <c r="Q856" s="3" t="s">
        <v>2856</v>
      </c>
    </row>
    <row r="857" spans="1:17" hidden="1">
      <c r="A857" s="21" t="s">
        <v>2903</v>
      </c>
      <c r="B857" s="22" t="s">
        <v>3022</v>
      </c>
      <c r="C857" s="21" t="s">
        <v>3023</v>
      </c>
      <c r="D857" s="21" t="s">
        <v>225</v>
      </c>
      <c r="E857" s="21" t="s">
        <v>3019</v>
      </c>
      <c r="F857" s="21" t="s">
        <v>1180</v>
      </c>
      <c r="G857" s="3" t="s">
        <v>1198</v>
      </c>
      <c r="H857" s="3" t="s">
        <v>7</v>
      </c>
      <c r="I857" s="3" t="s">
        <v>7</v>
      </c>
      <c r="J857" s="3" t="s">
        <v>7</v>
      </c>
      <c r="K857" s="3" t="s">
        <v>7</v>
      </c>
      <c r="L857" s="3" t="s">
        <v>7</v>
      </c>
      <c r="M857" s="2" t="s">
        <v>1229</v>
      </c>
      <c r="N857" s="2" t="s">
        <v>2944</v>
      </c>
      <c r="O857" s="2" t="s">
        <v>1384</v>
      </c>
      <c r="P857" s="2" t="s">
        <v>2910</v>
      </c>
      <c r="Q857" s="3" t="s">
        <v>2856</v>
      </c>
    </row>
    <row r="858" spans="1:17" hidden="1">
      <c r="A858" s="21" t="s">
        <v>2903</v>
      </c>
      <c r="B858" s="22" t="s">
        <v>3015</v>
      </c>
      <c r="C858" s="21" t="s">
        <v>3016</v>
      </c>
      <c r="D858" s="21" t="s">
        <v>225</v>
      </c>
      <c r="E858" s="21" t="s">
        <v>858</v>
      </c>
      <c r="F858" s="21" t="s">
        <v>1180</v>
      </c>
      <c r="G858" s="3" t="s">
        <v>1179</v>
      </c>
      <c r="H858" s="3" t="s">
        <v>7</v>
      </c>
      <c r="I858" s="3" t="s">
        <v>7</v>
      </c>
      <c r="J858" s="3" t="s">
        <v>7</v>
      </c>
      <c r="K858" s="3" t="s">
        <v>7</v>
      </c>
      <c r="L858" s="3" t="s">
        <v>7</v>
      </c>
      <c r="M858" s="2" t="s">
        <v>700</v>
      </c>
      <c r="N858" s="2" t="s">
        <v>701</v>
      </c>
      <c r="O858" s="2" t="s">
        <v>1384</v>
      </c>
      <c r="P858" s="2" t="s">
        <v>2910</v>
      </c>
      <c r="Q858" s="3" t="s">
        <v>2856</v>
      </c>
    </row>
    <row r="859" spans="1:17" hidden="1">
      <c r="A859" s="21" t="s">
        <v>2903</v>
      </c>
      <c r="B859" s="22" t="s">
        <v>3013</v>
      </c>
      <c r="C859" s="21" t="s">
        <v>3014</v>
      </c>
      <c r="D859" s="21" t="s">
        <v>225</v>
      </c>
      <c r="E859" s="21" t="s">
        <v>858</v>
      </c>
      <c r="F859" s="21" t="s">
        <v>1181</v>
      </c>
      <c r="G859" s="3" t="s">
        <v>1179</v>
      </c>
      <c r="H859" s="3" t="s">
        <v>3071</v>
      </c>
      <c r="I859" s="3" t="s">
        <v>55</v>
      </c>
      <c r="J859" s="3" t="s">
        <v>3071</v>
      </c>
      <c r="K859" s="3" t="s">
        <v>3071</v>
      </c>
      <c r="L859" s="3" t="s">
        <v>55</v>
      </c>
      <c r="M859" s="2" t="s">
        <v>700</v>
      </c>
      <c r="N859" s="2" t="s">
        <v>701</v>
      </c>
      <c r="O859" s="2" t="s">
        <v>1384</v>
      </c>
      <c r="P859" s="2" t="s">
        <v>2910</v>
      </c>
      <c r="Q859" s="3" t="s">
        <v>2856</v>
      </c>
    </row>
    <row r="860" spans="1:17" hidden="1">
      <c r="A860" s="21" t="s">
        <v>2903</v>
      </c>
      <c r="B860" s="22" t="s">
        <v>3011</v>
      </c>
      <c r="C860" s="21" t="s">
        <v>3012</v>
      </c>
      <c r="D860" s="21" t="s">
        <v>225</v>
      </c>
      <c r="E860" s="21" t="s">
        <v>858</v>
      </c>
      <c r="F860" s="21" t="s">
        <v>1192</v>
      </c>
      <c r="G860" s="3" t="s">
        <v>1186</v>
      </c>
      <c r="H860" s="3" t="s">
        <v>7</v>
      </c>
      <c r="I860" s="3" t="s">
        <v>7</v>
      </c>
      <c r="J860" s="3" t="s">
        <v>7</v>
      </c>
      <c r="K860" s="3" t="s">
        <v>7</v>
      </c>
      <c r="L860" s="3" t="s">
        <v>7</v>
      </c>
      <c r="M860" s="2" t="s">
        <v>700</v>
      </c>
      <c r="N860" s="2" t="s">
        <v>701</v>
      </c>
      <c r="O860" s="2" t="s">
        <v>1384</v>
      </c>
      <c r="P860" s="2" t="s">
        <v>2910</v>
      </c>
      <c r="Q860" s="3" t="s">
        <v>2856</v>
      </c>
    </row>
    <row r="861" spans="1:17" hidden="1">
      <c r="A861" s="21" t="s">
        <v>2903</v>
      </c>
      <c r="B861" s="22" t="s">
        <v>1152</v>
      </c>
      <c r="C861" s="21" t="s">
        <v>2293</v>
      </c>
      <c r="D861" s="21" t="s">
        <v>1220</v>
      </c>
      <c r="E861" s="21" t="s">
        <v>859</v>
      </c>
      <c r="F861" s="21" t="s">
        <v>1180</v>
      </c>
      <c r="G861" s="3" t="s">
        <v>1185</v>
      </c>
      <c r="H861" s="3" t="s">
        <v>7</v>
      </c>
      <c r="I861" s="3" t="s">
        <v>7</v>
      </c>
      <c r="J861" s="3" t="s">
        <v>7</v>
      </c>
      <c r="K861" s="3" t="s">
        <v>7</v>
      </c>
      <c r="L861" s="3" t="s">
        <v>7</v>
      </c>
      <c r="M861" s="2" t="s">
        <v>664</v>
      </c>
      <c r="N861" s="2" t="s">
        <v>665</v>
      </c>
      <c r="O861" s="2" t="s">
        <v>1378</v>
      </c>
      <c r="P861" s="2" t="s">
        <v>2904</v>
      </c>
      <c r="Q861" s="3" t="s">
        <v>2856</v>
      </c>
    </row>
    <row r="862" spans="1:17" hidden="1">
      <c r="A862" s="21" t="s">
        <v>2903</v>
      </c>
      <c r="B862" s="22" t="s">
        <v>1153</v>
      </c>
      <c r="C862" s="21" t="s">
        <v>2294</v>
      </c>
      <c r="D862" s="21" t="s">
        <v>1220</v>
      </c>
      <c r="E862" s="21" t="s">
        <v>859</v>
      </c>
      <c r="F862" s="21" t="s">
        <v>1180</v>
      </c>
      <c r="G862" s="3" t="s">
        <v>1185</v>
      </c>
      <c r="H862" s="3" t="s">
        <v>7</v>
      </c>
      <c r="I862" s="3" t="s">
        <v>7</v>
      </c>
      <c r="J862" s="3" t="s">
        <v>7</v>
      </c>
      <c r="K862" s="3" t="s">
        <v>7</v>
      </c>
      <c r="L862" s="3" t="s">
        <v>7</v>
      </c>
      <c r="M862" s="2" t="s">
        <v>664</v>
      </c>
      <c r="N862" s="2" t="s">
        <v>665</v>
      </c>
      <c r="O862" s="2" t="s">
        <v>1378</v>
      </c>
      <c r="P862" s="2" t="s">
        <v>2904</v>
      </c>
      <c r="Q862" s="3" t="s">
        <v>2856</v>
      </c>
    </row>
    <row r="863" spans="1:17" hidden="1">
      <c r="A863" s="21" t="s">
        <v>2903</v>
      </c>
      <c r="B863" s="22" t="s">
        <v>1151</v>
      </c>
      <c r="C863" s="21" t="s">
        <v>2292</v>
      </c>
      <c r="D863" s="21" t="s">
        <v>1220</v>
      </c>
      <c r="E863" s="21" t="s">
        <v>859</v>
      </c>
      <c r="F863" s="21" t="s">
        <v>8</v>
      </c>
      <c r="G863" s="3" t="s">
        <v>1185</v>
      </c>
      <c r="H863" s="3" t="s">
        <v>7</v>
      </c>
      <c r="I863" s="3" t="s">
        <v>7</v>
      </c>
      <c r="J863" s="3" t="s">
        <v>7</v>
      </c>
      <c r="K863" s="3" t="s">
        <v>7</v>
      </c>
      <c r="L863" s="3" t="s">
        <v>7</v>
      </c>
      <c r="M863" s="2" t="s">
        <v>664</v>
      </c>
      <c r="N863" s="2" t="s">
        <v>665</v>
      </c>
      <c r="O863" s="2" t="s">
        <v>1378</v>
      </c>
      <c r="P863" s="2" t="s">
        <v>2904</v>
      </c>
      <c r="Q863" s="3" t="s">
        <v>2856</v>
      </c>
    </row>
    <row r="864" spans="1:17" hidden="1">
      <c r="A864" s="37" t="s">
        <v>2903</v>
      </c>
      <c r="B864" s="1" t="s">
        <v>2672</v>
      </c>
      <c r="C864" s="2" t="s">
        <v>2673</v>
      </c>
      <c r="D864" s="2" t="s">
        <v>1220</v>
      </c>
      <c r="E864" s="2" t="s">
        <v>2674</v>
      </c>
      <c r="F864" s="2" t="s">
        <v>1192</v>
      </c>
      <c r="G864" s="3" t="s">
        <v>1179</v>
      </c>
      <c r="H864" s="3" t="s">
        <v>7</v>
      </c>
      <c r="I864" s="3" t="s">
        <v>7</v>
      </c>
      <c r="J864" s="3" t="s">
        <v>7</v>
      </c>
      <c r="K864" s="3" t="s">
        <v>7</v>
      </c>
      <c r="L864" s="2" t="s">
        <v>7</v>
      </c>
      <c r="M864" s="2" t="s">
        <v>2699</v>
      </c>
      <c r="N864" s="2" t="s">
        <v>2936</v>
      </c>
      <c r="O864" s="2" t="s">
        <v>1378</v>
      </c>
      <c r="P864" s="2" t="s">
        <v>2904</v>
      </c>
      <c r="Q864" s="3" t="s">
        <v>2856</v>
      </c>
    </row>
    <row r="865" spans="1:17" hidden="1">
      <c r="A865" s="37" t="s">
        <v>2903</v>
      </c>
      <c r="B865" s="1" t="s">
        <v>2675</v>
      </c>
      <c r="C865" s="2" t="s">
        <v>2676</v>
      </c>
      <c r="D865" s="2" t="s">
        <v>1220</v>
      </c>
      <c r="E865" s="2" t="s">
        <v>2674</v>
      </c>
      <c r="F865" s="2" t="s">
        <v>1192</v>
      </c>
      <c r="G865" s="3" t="s">
        <v>1179</v>
      </c>
      <c r="H865" s="3" t="s">
        <v>7</v>
      </c>
      <c r="I865" s="3" t="s">
        <v>7</v>
      </c>
      <c r="J865" s="3" t="s">
        <v>7</v>
      </c>
      <c r="K865" s="3" t="s">
        <v>7</v>
      </c>
      <c r="L865" s="2" t="s">
        <v>7</v>
      </c>
      <c r="M865" s="2" t="s">
        <v>2699</v>
      </c>
      <c r="N865" s="2" t="s">
        <v>2936</v>
      </c>
      <c r="O865" s="2" t="s">
        <v>1378</v>
      </c>
      <c r="P865" s="2" t="s">
        <v>2904</v>
      </c>
      <c r="Q865" s="3" t="s">
        <v>2856</v>
      </c>
    </row>
    <row r="866" spans="1:17" hidden="1">
      <c r="A866" s="37" t="s">
        <v>2903</v>
      </c>
      <c r="B866" s="1" t="s">
        <v>2677</v>
      </c>
      <c r="C866" s="2" t="s">
        <v>2678</v>
      </c>
      <c r="D866" s="2" t="s">
        <v>1220</v>
      </c>
      <c r="E866" s="2" t="s">
        <v>2674</v>
      </c>
      <c r="F866" s="2" t="s">
        <v>1181</v>
      </c>
      <c r="G866" s="3" t="s">
        <v>1179</v>
      </c>
      <c r="H866" s="3" t="s">
        <v>3071</v>
      </c>
      <c r="I866" s="3" t="s">
        <v>7</v>
      </c>
      <c r="J866" s="3" t="s">
        <v>3071</v>
      </c>
      <c r="K866" s="3" t="s">
        <v>3071</v>
      </c>
      <c r="L866" s="2" t="s">
        <v>7</v>
      </c>
      <c r="M866" s="2" t="s">
        <v>2699</v>
      </c>
      <c r="N866" s="2" t="s">
        <v>2936</v>
      </c>
      <c r="O866" s="2" t="s">
        <v>1378</v>
      </c>
      <c r="P866" s="2" t="s">
        <v>2904</v>
      </c>
      <c r="Q866" s="3" t="s">
        <v>2856</v>
      </c>
    </row>
    <row r="867" spans="1:17" hidden="1">
      <c r="A867" s="37" t="s">
        <v>2871</v>
      </c>
      <c r="B867" s="1" t="s">
        <v>3176</v>
      </c>
      <c r="C867" s="2" t="s">
        <v>3177</v>
      </c>
      <c r="D867" s="2" t="s">
        <v>3173</v>
      </c>
      <c r="E867" s="2" t="s">
        <v>3174</v>
      </c>
      <c r="F867" s="2" t="s">
        <v>1192</v>
      </c>
      <c r="G867" s="3" t="s">
        <v>1416</v>
      </c>
      <c r="H867" s="3" t="s">
        <v>55</v>
      </c>
      <c r="I867" s="3" t="s">
        <v>7</v>
      </c>
      <c r="J867" s="3" t="s">
        <v>7</v>
      </c>
      <c r="K867" s="3" t="s">
        <v>7</v>
      </c>
      <c r="L867" s="2" t="s">
        <v>7</v>
      </c>
      <c r="M867" s="2" t="s">
        <v>270</v>
      </c>
      <c r="N867" s="2" t="s">
        <v>3190</v>
      </c>
      <c r="O867" s="2" t="s">
        <v>1283</v>
      </c>
      <c r="P867" s="2" t="s">
        <v>2872</v>
      </c>
      <c r="Q867" s="3" t="s">
        <v>2856</v>
      </c>
    </row>
    <row r="868" spans="1:17" hidden="1">
      <c r="A868" s="37" t="s">
        <v>2871</v>
      </c>
      <c r="B868" s="1" t="s">
        <v>3178</v>
      </c>
      <c r="C868" s="2" t="s">
        <v>3179</v>
      </c>
      <c r="D868" s="2" t="s">
        <v>3173</v>
      </c>
      <c r="E868" s="2" t="s">
        <v>3174</v>
      </c>
      <c r="F868" s="2" t="s">
        <v>1181</v>
      </c>
      <c r="G868" s="3" t="s">
        <v>1188</v>
      </c>
      <c r="H868" s="3" t="s">
        <v>3071</v>
      </c>
      <c r="I868" s="3" t="s">
        <v>7</v>
      </c>
      <c r="J868" s="3" t="s">
        <v>3071</v>
      </c>
      <c r="K868" s="3" t="s">
        <v>3071</v>
      </c>
      <c r="L868" s="2" t="s">
        <v>7</v>
      </c>
      <c r="M868" s="2" t="s">
        <v>270</v>
      </c>
      <c r="N868" s="2" t="s">
        <v>3190</v>
      </c>
      <c r="O868" s="2" t="s">
        <v>1283</v>
      </c>
      <c r="P868" s="2" t="s">
        <v>2872</v>
      </c>
      <c r="Q868" s="3" t="s">
        <v>2856</v>
      </c>
    </row>
    <row r="869" spans="1:17" hidden="1">
      <c r="A869" s="37" t="s">
        <v>2871</v>
      </c>
      <c r="B869" s="1" t="s">
        <v>3171</v>
      </c>
      <c r="C869" s="2" t="s">
        <v>3172</v>
      </c>
      <c r="D869" s="2" t="s">
        <v>3173</v>
      </c>
      <c r="E869" s="2" t="s">
        <v>3174</v>
      </c>
      <c r="F869" s="2" t="s">
        <v>3175</v>
      </c>
      <c r="G869" s="3" t="s">
        <v>1178</v>
      </c>
      <c r="H869" s="3" t="s">
        <v>7</v>
      </c>
      <c r="I869" s="3" t="s">
        <v>7</v>
      </c>
      <c r="J869" s="3" t="s">
        <v>7</v>
      </c>
      <c r="K869" s="3" t="s">
        <v>7</v>
      </c>
      <c r="L869" s="2" t="s">
        <v>7</v>
      </c>
      <c r="M869" s="2" t="s">
        <v>270</v>
      </c>
      <c r="N869" s="2" t="s">
        <v>3190</v>
      </c>
      <c r="O869" s="2" t="s">
        <v>1283</v>
      </c>
      <c r="P869" s="2" t="s">
        <v>2872</v>
      </c>
      <c r="Q869" s="3" t="s">
        <v>2856</v>
      </c>
    </row>
    <row r="870" spans="1:17" hidden="1">
      <c r="A870" s="37" t="s">
        <v>2876</v>
      </c>
      <c r="B870" s="1" t="s">
        <v>2299</v>
      </c>
      <c r="C870" s="2" t="s">
        <v>2300</v>
      </c>
      <c r="D870" s="2" t="s">
        <v>2297</v>
      </c>
      <c r="E870" s="2" t="s">
        <v>2298</v>
      </c>
      <c r="F870" s="2" t="s">
        <v>1180</v>
      </c>
      <c r="G870" s="3" t="s">
        <v>1189</v>
      </c>
      <c r="H870" s="3" t="s">
        <v>7</v>
      </c>
      <c r="I870" s="3" t="s">
        <v>7</v>
      </c>
      <c r="J870" s="3" t="s">
        <v>7</v>
      </c>
      <c r="K870" s="3" t="s">
        <v>7</v>
      </c>
      <c r="L870" s="2" t="s">
        <v>7</v>
      </c>
      <c r="M870" s="2" t="s">
        <v>486</v>
      </c>
      <c r="N870" s="2" t="s">
        <v>2888</v>
      </c>
      <c r="O870" s="2" t="s">
        <v>1322</v>
      </c>
      <c r="P870" s="2" t="s">
        <v>2880</v>
      </c>
      <c r="Q870" s="3" t="s">
        <v>2856</v>
      </c>
    </row>
    <row r="871" spans="1:17" hidden="1">
      <c r="A871" s="37" t="s">
        <v>2876</v>
      </c>
      <c r="B871" s="1" t="s">
        <v>2295</v>
      </c>
      <c r="C871" s="2" t="s">
        <v>2296</v>
      </c>
      <c r="D871" s="2" t="s">
        <v>2297</v>
      </c>
      <c r="E871" s="2" t="s">
        <v>2298</v>
      </c>
      <c r="F871" s="2" t="s">
        <v>1192</v>
      </c>
      <c r="G871" s="3" t="s">
        <v>1187</v>
      </c>
      <c r="H871" s="3" t="s">
        <v>7</v>
      </c>
      <c r="I871" s="3" t="s">
        <v>7</v>
      </c>
      <c r="J871" s="3" t="s">
        <v>7</v>
      </c>
      <c r="K871" s="3" t="s">
        <v>7</v>
      </c>
      <c r="L871" s="2" t="s">
        <v>7</v>
      </c>
      <c r="M871" s="2" t="s">
        <v>486</v>
      </c>
      <c r="N871" s="2" t="s">
        <v>2888</v>
      </c>
      <c r="O871" s="2" t="s">
        <v>1322</v>
      </c>
      <c r="P871" s="2" t="s">
        <v>2880</v>
      </c>
      <c r="Q871" s="3" t="s">
        <v>2856</v>
      </c>
    </row>
    <row r="872" spans="1:17" hidden="1">
      <c r="A872" s="37" t="s">
        <v>2876</v>
      </c>
      <c r="B872" s="1" t="s">
        <v>2301</v>
      </c>
      <c r="C872" s="2" t="s">
        <v>2302</v>
      </c>
      <c r="D872" s="2" t="s">
        <v>2303</v>
      </c>
      <c r="E872" s="2" t="s">
        <v>2304</v>
      </c>
      <c r="F872" s="2" t="s">
        <v>1192</v>
      </c>
      <c r="G872" s="3" t="s">
        <v>1189</v>
      </c>
      <c r="H872" s="3" t="s">
        <v>55</v>
      </c>
      <c r="I872" s="3" t="s">
        <v>55</v>
      </c>
      <c r="J872" s="3" t="s">
        <v>55</v>
      </c>
      <c r="K872" s="3" t="s">
        <v>55</v>
      </c>
      <c r="L872" s="2" t="s">
        <v>55</v>
      </c>
      <c r="M872" s="2" t="s">
        <v>744</v>
      </c>
      <c r="N872" s="2" t="s">
        <v>2895</v>
      </c>
      <c r="O872" s="2" t="s">
        <v>1328</v>
      </c>
      <c r="P872" s="2" t="s">
        <v>2896</v>
      </c>
      <c r="Q872" s="3" t="s">
        <v>2856</v>
      </c>
    </row>
    <row r="873" spans="1:17" hidden="1">
      <c r="A873" s="37" t="s">
        <v>2876</v>
      </c>
      <c r="B873" s="1" t="s">
        <v>2305</v>
      </c>
      <c r="C873" s="2" t="s">
        <v>2306</v>
      </c>
      <c r="D873" s="2" t="s">
        <v>2303</v>
      </c>
      <c r="E873" s="2" t="s">
        <v>2304</v>
      </c>
      <c r="F873" s="2" t="s">
        <v>1180</v>
      </c>
      <c r="G873" s="3" t="s">
        <v>1189</v>
      </c>
      <c r="H873" s="3" t="s">
        <v>7</v>
      </c>
      <c r="I873" s="3" t="s">
        <v>7</v>
      </c>
      <c r="J873" s="3" t="s">
        <v>7</v>
      </c>
      <c r="K873" s="3" t="s">
        <v>7</v>
      </c>
      <c r="L873" s="2" t="s">
        <v>7</v>
      </c>
      <c r="M873" s="2" t="s">
        <v>744</v>
      </c>
      <c r="N873" s="2" t="s">
        <v>2895</v>
      </c>
      <c r="O873" s="2" t="s">
        <v>1328</v>
      </c>
      <c r="P873" s="2" t="s">
        <v>2896</v>
      </c>
      <c r="Q873" s="3" t="s">
        <v>2856</v>
      </c>
    </row>
    <row r="874" spans="1:17" hidden="1">
      <c r="A874" s="37" t="s">
        <v>2876</v>
      </c>
      <c r="B874" s="1" t="s">
        <v>2307</v>
      </c>
      <c r="C874" s="2" t="s">
        <v>2308</v>
      </c>
      <c r="D874" s="2" t="s">
        <v>2303</v>
      </c>
      <c r="E874" s="2" t="s">
        <v>2309</v>
      </c>
      <c r="F874" s="2" t="s">
        <v>1192</v>
      </c>
      <c r="G874" s="3" t="s">
        <v>1430</v>
      </c>
      <c r="H874" s="3" t="s">
        <v>7</v>
      </c>
      <c r="I874" s="3" t="s">
        <v>7</v>
      </c>
      <c r="J874" s="3" t="s">
        <v>7</v>
      </c>
      <c r="K874" s="3" t="s">
        <v>7</v>
      </c>
      <c r="L874" s="2" t="s">
        <v>7</v>
      </c>
      <c r="M874" s="2" t="s">
        <v>2385</v>
      </c>
      <c r="N874" s="2" t="s">
        <v>2897</v>
      </c>
      <c r="O874" s="2" t="s">
        <v>1328</v>
      </c>
      <c r="P874" s="2" t="s">
        <v>2880</v>
      </c>
      <c r="Q874" s="3" t="s">
        <v>2856</v>
      </c>
    </row>
    <row r="875" spans="1:17" hidden="1">
      <c r="A875" s="37" t="s">
        <v>2876</v>
      </c>
      <c r="B875" s="1" t="s">
        <v>2409</v>
      </c>
      <c r="C875" s="2" t="s">
        <v>2410</v>
      </c>
      <c r="D875" s="2" t="s">
        <v>2303</v>
      </c>
      <c r="E875" s="2" t="s">
        <v>2309</v>
      </c>
      <c r="F875" s="2" t="s">
        <v>1192</v>
      </c>
      <c r="G875" s="3" t="s">
        <v>1186</v>
      </c>
      <c r="H875" s="3" t="s">
        <v>7</v>
      </c>
      <c r="I875" s="3" t="s">
        <v>7</v>
      </c>
      <c r="J875" s="3" t="s">
        <v>7</v>
      </c>
      <c r="K875" s="3" t="s">
        <v>7</v>
      </c>
      <c r="L875" s="2" t="s">
        <v>7</v>
      </c>
      <c r="M875" s="2" t="s">
        <v>2385</v>
      </c>
      <c r="N875" s="2" t="s">
        <v>2897</v>
      </c>
      <c r="O875" s="2" t="s">
        <v>1328</v>
      </c>
      <c r="P875" s="2" t="s">
        <v>2880</v>
      </c>
      <c r="Q875" s="3" t="s">
        <v>2856</v>
      </c>
    </row>
    <row r="876" spans="1:17" hidden="1">
      <c r="A876" s="37">
        <v>0</v>
      </c>
      <c r="B876" s="1" t="s">
        <v>3343</v>
      </c>
      <c r="C876" s="2" t="s">
        <v>3344</v>
      </c>
      <c r="D876" s="2" t="s">
        <v>2303</v>
      </c>
      <c r="E876" s="2" t="s">
        <v>3345</v>
      </c>
      <c r="F876" s="2" t="s">
        <v>1192</v>
      </c>
      <c r="G876" s="3" t="s">
        <v>1187</v>
      </c>
      <c r="H876" s="3" t="s">
        <v>55</v>
      </c>
      <c r="I876" s="3" t="s">
        <v>55</v>
      </c>
      <c r="J876" s="3" t="s">
        <v>55</v>
      </c>
      <c r="K876" s="3" t="s">
        <v>55</v>
      </c>
      <c r="L876" s="2" t="s">
        <v>55</v>
      </c>
      <c r="M876" s="2" t="s">
        <v>3346</v>
      </c>
      <c r="N876" s="2" t="s">
        <v>3345</v>
      </c>
      <c r="O876" s="2">
        <v>0</v>
      </c>
      <c r="P876" s="2">
        <v>0</v>
      </c>
      <c r="Q876" s="3" t="s">
        <v>3199</v>
      </c>
    </row>
    <row r="877" spans="1:17" hidden="1">
      <c r="A877" s="37">
        <v>0</v>
      </c>
      <c r="B877" s="1" t="s">
        <v>3347</v>
      </c>
      <c r="C877" s="2" t="s">
        <v>3348</v>
      </c>
      <c r="D877" s="2" t="s">
        <v>2303</v>
      </c>
      <c r="E877" s="2" t="s">
        <v>3345</v>
      </c>
      <c r="F877" s="2" t="s">
        <v>1180</v>
      </c>
      <c r="G877" s="3" t="s">
        <v>1198</v>
      </c>
      <c r="H877" s="3" t="s">
        <v>55</v>
      </c>
      <c r="I877" s="3" t="s">
        <v>55</v>
      </c>
      <c r="J877" s="3" t="s">
        <v>55</v>
      </c>
      <c r="K877" s="3" t="s">
        <v>55</v>
      </c>
      <c r="L877" s="2" t="s">
        <v>55</v>
      </c>
      <c r="M877" s="2" t="s">
        <v>3346</v>
      </c>
      <c r="N877" s="2" t="s">
        <v>3345</v>
      </c>
      <c r="O877" s="2">
        <v>0</v>
      </c>
      <c r="P877" s="2">
        <v>0</v>
      </c>
      <c r="Q877" s="3" t="s">
        <v>3199</v>
      </c>
    </row>
    <row r="878" spans="1:17" hidden="1">
      <c r="A878" s="37">
        <v>0</v>
      </c>
      <c r="B878" s="1" t="s">
        <v>3349</v>
      </c>
      <c r="C878" s="2" t="s">
        <v>3350</v>
      </c>
      <c r="D878" s="2" t="s">
        <v>2303</v>
      </c>
      <c r="E878" s="2" t="s">
        <v>3345</v>
      </c>
      <c r="F878" s="2" t="s">
        <v>1181</v>
      </c>
      <c r="G878" s="3" t="s">
        <v>1189</v>
      </c>
      <c r="H878" s="3" t="s">
        <v>3071</v>
      </c>
      <c r="I878" s="3" t="s">
        <v>55</v>
      </c>
      <c r="J878" s="3" t="s">
        <v>3071</v>
      </c>
      <c r="K878" s="3" t="s">
        <v>3071</v>
      </c>
      <c r="L878" s="2" t="s">
        <v>55</v>
      </c>
      <c r="M878" s="2" t="s">
        <v>3346</v>
      </c>
      <c r="N878" s="2" t="s">
        <v>3345</v>
      </c>
      <c r="O878" s="2">
        <v>0</v>
      </c>
      <c r="P878" s="2">
        <v>0</v>
      </c>
      <c r="Q878" s="3" t="s">
        <v>3199</v>
      </c>
    </row>
    <row r="879" spans="1:17" hidden="1">
      <c r="A879" s="37" t="s">
        <v>2876</v>
      </c>
      <c r="B879" s="1" t="s">
        <v>2407</v>
      </c>
      <c r="C879" s="2" t="s">
        <v>2408</v>
      </c>
      <c r="D879" s="2" t="s">
        <v>2303</v>
      </c>
      <c r="E879" s="2" t="s">
        <v>2309</v>
      </c>
      <c r="F879" s="2" t="s">
        <v>2107</v>
      </c>
      <c r="G879" s="3" t="s">
        <v>1186</v>
      </c>
      <c r="H879" s="3" t="s">
        <v>55</v>
      </c>
      <c r="I879" s="3" t="s">
        <v>55</v>
      </c>
      <c r="J879" s="3" t="s">
        <v>55</v>
      </c>
      <c r="K879" s="3" t="s">
        <v>55</v>
      </c>
      <c r="L879" s="2" t="s">
        <v>55</v>
      </c>
      <c r="M879" s="2" t="s">
        <v>2385</v>
      </c>
      <c r="N879" s="2" t="s">
        <v>2897</v>
      </c>
      <c r="O879" s="2" t="s">
        <v>1328</v>
      </c>
      <c r="P879" s="2" t="s">
        <v>2880</v>
      </c>
      <c r="Q879" s="3" t="s">
        <v>2856</v>
      </c>
    </row>
    <row r="880" spans="1:17" hidden="1">
      <c r="A880" s="37" t="s">
        <v>2876</v>
      </c>
      <c r="B880" s="1" t="s">
        <v>3351</v>
      </c>
      <c r="C880" s="2" t="s">
        <v>3352</v>
      </c>
      <c r="D880" s="2" t="s">
        <v>2303</v>
      </c>
      <c r="E880" s="2" t="s">
        <v>2304</v>
      </c>
      <c r="F880" s="2" t="s">
        <v>1192</v>
      </c>
      <c r="G880" s="3" t="s">
        <v>2559</v>
      </c>
      <c r="H880" s="3" t="s">
        <v>55</v>
      </c>
      <c r="I880" s="3" t="s">
        <v>55</v>
      </c>
      <c r="J880" s="3" t="s">
        <v>55</v>
      </c>
      <c r="K880" s="3" t="s">
        <v>55</v>
      </c>
      <c r="L880" s="2" t="s">
        <v>55</v>
      </c>
      <c r="M880" s="2" t="s">
        <v>744</v>
      </c>
      <c r="N880" s="2" t="s">
        <v>2895</v>
      </c>
      <c r="O880" s="2" t="s">
        <v>1328</v>
      </c>
      <c r="P880" s="2" t="s">
        <v>2896</v>
      </c>
      <c r="Q880" s="3" t="s">
        <v>2856</v>
      </c>
    </row>
    <row r="881" spans="1:17" hidden="1">
      <c r="A881" s="37" t="s">
        <v>2903</v>
      </c>
      <c r="B881" s="1" t="s">
        <v>2310</v>
      </c>
      <c r="C881" s="2" t="s">
        <v>2311</v>
      </c>
      <c r="D881" s="2" t="s">
        <v>226</v>
      </c>
      <c r="E881" s="2" t="s">
        <v>860</v>
      </c>
      <c r="F881" s="2" t="s">
        <v>1192</v>
      </c>
      <c r="G881" s="3" t="s">
        <v>1185</v>
      </c>
      <c r="H881" s="3" t="s">
        <v>7</v>
      </c>
      <c r="I881" s="3" t="s">
        <v>7</v>
      </c>
      <c r="J881" s="3" t="s">
        <v>7</v>
      </c>
      <c r="K881" s="3" t="s">
        <v>7</v>
      </c>
      <c r="L881" s="2" t="s">
        <v>7</v>
      </c>
      <c r="M881" s="2" t="s">
        <v>592</v>
      </c>
      <c r="N881" s="2" t="s">
        <v>593</v>
      </c>
      <c r="O881" s="2" t="s">
        <v>1377</v>
      </c>
      <c r="P881" s="2" t="s">
        <v>2927</v>
      </c>
      <c r="Q881" s="3" t="s">
        <v>2856</v>
      </c>
    </row>
    <row r="882" spans="1:17" hidden="1">
      <c r="A882" s="37" t="s">
        <v>2903</v>
      </c>
      <c r="B882" s="1" t="s">
        <v>1154</v>
      </c>
      <c r="C882" s="2" t="s">
        <v>2312</v>
      </c>
      <c r="D882" s="2" t="s">
        <v>226</v>
      </c>
      <c r="E882" s="2" t="s">
        <v>860</v>
      </c>
      <c r="F882" s="2" t="s">
        <v>1180</v>
      </c>
      <c r="G882" s="3" t="s">
        <v>1185</v>
      </c>
      <c r="H882" s="3" t="s">
        <v>7</v>
      </c>
      <c r="I882" s="3" t="s">
        <v>7</v>
      </c>
      <c r="J882" s="3" t="s">
        <v>7</v>
      </c>
      <c r="K882" s="3" t="s">
        <v>7</v>
      </c>
      <c r="L882" s="2" t="s">
        <v>7</v>
      </c>
      <c r="M882" s="2" t="s">
        <v>592</v>
      </c>
      <c r="N882" s="2" t="s">
        <v>593</v>
      </c>
      <c r="O882" s="2" t="s">
        <v>1377</v>
      </c>
      <c r="P882" s="2" t="s">
        <v>2927</v>
      </c>
      <c r="Q882" s="3" t="s">
        <v>2856</v>
      </c>
    </row>
    <row r="883" spans="1:17" hidden="1">
      <c r="A883" s="37" t="s">
        <v>2903</v>
      </c>
      <c r="B883" s="1" t="s">
        <v>2500</v>
      </c>
      <c r="C883" s="2" t="s">
        <v>2501</v>
      </c>
      <c r="D883" s="2" t="s">
        <v>226</v>
      </c>
      <c r="E883" s="2" t="s">
        <v>860</v>
      </c>
      <c r="F883" s="2" t="s">
        <v>1181</v>
      </c>
      <c r="G883" s="3" t="s">
        <v>1185</v>
      </c>
      <c r="H883" s="3" t="s">
        <v>3071</v>
      </c>
      <c r="I883" s="3" t="s">
        <v>7</v>
      </c>
      <c r="J883" s="3" t="s">
        <v>3071</v>
      </c>
      <c r="K883" s="3" t="s">
        <v>3071</v>
      </c>
      <c r="L883" s="2" t="s">
        <v>7</v>
      </c>
      <c r="M883" s="2" t="s">
        <v>592</v>
      </c>
      <c r="N883" s="2" t="s">
        <v>593</v>
      </c>
      <c r="O883" s="2" t="s">
        <v>1377</v>
      </c>
      <c r="P883" s="2" t="s">
        <v>2927</v>
      </c>
      <c r="Q883" s="3" t="s">
        <v>2856</v>
      </c>
    </row>
    <row r="884" spans="1:17" hidden="1">
      <c r="A884" s="37" t="s">
        <v>2903</v>
      </c>
      <c r="B884" s="1" t="s">
        <v>1155</v>
      </c>
      <c r="C884" s="2" t="s">
        <v>2313</v>
      </c>
      <c r="D884" s="2" t="s">
        <v>227</v>
      </c>
      <c r="E884" s="2" t="s">
        <v>861</v>
      </c>
      <c r="F884" s="2" t="s">
        <v>8</v>
      </c>
      <c r="G884" s="3" t="s">
        <v>1185</v>
      </c>
      <c r="H884" s="3" t="s">
        <v>7</v>
      </c>
      <c r="I884" s="3" t="s">
        <v>7</v>
      </c>
      <c r="J884" s="3" t="s">
        <v>7</v>
      </c>
      <c r="K884" s="3" t="s">
        <v>7</v>
      </c>
      <c r="L884" s="2" t="s">
        <v>7</v>
      </c>
      <c r="M884" s="2" t="s">
        <v>622</v>
      </c>
      <c r="N884" s="2" t="s">
        <v>623</v>
      </c>
      <c r="O884" s="2" t="s">
        <v>1376</v>
      </c>
      <c r="P884" s="2" t="s">
        <v>2904</v>
      </c>
      <c r="Q884" s="3" t="s">
        <v>2856</v>
      </c>
    </row>
    <row r="885" spans="1:17" hidden="1">
      <c r="A885" s="37" t="s">
        <v>2903</v>
      </c>
      <c r="B885" s="1" t="s">
        <v>1156</v>
      </c>
      <c r="C885" s="2" t="s">
        <v>2314</v>
      </c>
      <c r="D885" s="2" t="s">
        <v>227</v>
      </c>
      <c r="E885" s="2" t="s">
        <v>861</v>
      </c>
      <c r="F885" s="2" t="s">
        <v>1180</v>
      </c>
      <c r="G885" s="3" t="s">
        <v>1185</v>
      </c>
      <c r="H885" s="3" t="s">
        <v>7</v>
      </c>
      <c r="I885" s="3" t="s">
        <v>7</v>
      </c>
      <c r="J885" s="3" t="s">
        <v>7</v>
      </c>
      <c r="K885" s="3" t="s">
        <v>7</v>
      </c>
      <c r="L885" s="2" t="s">
        <v>7</v>
      </c>
      <c r="M885" s="2" t="s">
        <v>622</v>
      </c>
      <c r="N885" s="2" t="s">
        <v>623</v>
      </c>
      <c r="O885" s="2" t="s">
        <v>1376</v>
      </c>
      <c r="P885" s="2" t="s">
        <v>2904</v>
      </c>
      <c r="Q885" s="3" t="s">
        <v>2856</v>
      </c>
    </row>
    <row r="886" spans="1:17" hidden="1">
      <c r="A886" s="37" t="s">
        <v>2876</v>
      </c>
      <c r="B886" s="1" t="s">
        <v>1157</v>
      </c>
      <c r="C886" s="2" t="s">
        <v>2315</v>
      </c>
      <c r="D886" s="2" t="s">
        <v>228</v>
      </c>
      <c r="E886" s="2" t="s">
        <v>229</v>
      </c>
      <c r="F886" s="2" t="s">
        <v>1192</v>
      </c>
      <c r="G886" s="3" t="s">
        <v>1185</v>
      </c>
      <c r="H886" s="3" t="s">
        <v>7</v>
      </c>
      <c r="I886" s="3" t="s">
        <v>7</v>
      </c>
      <c r="J886" s="3" t="s">
        <v>7</v>
      </c>
      <c r="K886" s="3" t="s">
        <v>7</v>
      </c>
      <c r="L886" s="2" t="s">
        <v>7</v>
      </c>
      <c r="M886" s="2" t="s">
        <v>470</v>
      </c>
      <c r="N886" s="2" t="s">
        <v>471</v>
      </c>
      <c r="O886" s="2" t="s">
        <v>1321</v>
      </c>
      <c r="P886" s="2" t="s">
        <v>2880</v>
      </c>
      <c r="Q886" s="3" t="s">
        <v>2856</v>
      </c>
    </row>
    <row r="887" spans="1:17" hidden="1">
      <c r="A887" s="37" t="s">
        <v>2876</v>
      </c>
      <c r="B887" s="1" t="s">
        <v>1160</v>
      </c>
      <c r="C887" s="2" t="s">
        <v>2320</v>
      </c>
      <c r="D887" s="2" t="s">
        <v>228</v>
      </c>
      <c r="E887" s="2" t="s">
        <v>229</v>
      </c>
      <c r="F887" s="2" t="s">
        <v>1180</v>
      </c>
      <c r="G887" s="3" t="s">
        <v>1185</v>
      </c>
      <c r="H887" s="3" t="s">
        <v>7</v>
      </c>
      <c r="I887" s="3" t="s">
        <v>7</v>
      </c>
      <c r="J887" s="3" t="s">
        <v>7</v>
      </c>
      <c r="K887" s="3" t="s">
        <v>7</v>
      </c>
      <c r="L887" s="2" t="s">
        <v>7</v>
      </c>
      <c r="M887" s="2" t="s">
        <v>470</v>
      </c>
      <c r="N887" s="2" t="s">
        <v>471</v>
      </c>
      <c r="O887" s="2" t="s">
        <v>1321</v>
      </c>
      <c r="P887" s="2" t="s">
        <v>2880</v>
      </c>
      <c r="Q887" s="3" t="s">
        <v>2856</v>
      </c>
    </row>
    <row r="888" spans="1:17" hidden="1">
      <c r="A888" s="37" t="s">
        <v>2876</v>
      </c>
      <c r="B888" s="1" t="s">
        <v>1159</v>
      </c>
      <c r="C888" s="2" t="s">
        <v>2319</v>
      </c>
      <c r="D888" s="2" t="s">
        <v>228</v>
      </c>
      <c r="E888" s="2" t="s">
        <v>229</v>
      </c>
      <c r="F888" s="2" t="s">
        <v>1181</v>
      </c>
      <c r="G888" s="3" t="s">
        <v>1187</v>
      </c>
      <c r="H888" s="3" t="s">
        <v>3071</v>
      </c>
      <c r="I888" s="3" t="s">
        <v>7</v>
      </c>
      <c r="J888" s="3" t="s">
        <v>3071</v>
      </c>
      <c r="K888" s="3" t="s">
        <v>3071</v>
      </c>
      <c r="L888" s="2" t="s">
        <v>7</v>
      </c>
      <c r="M888" s="2" t="s">
        <v>470</v>
      </c>
      <c r="N888" s="2" t="s">
        <v>471</v>
      </c>
      <c r="O888" s="2" t="s">
        <v>1321</v>
      </c>
      <c r="P888" s="2" t="s">
        <v>2880</v>
      </c>
      <c r="Q888" s="3" t="s">
        <v>2856</v>
      </c>
    </row>
    <row r="889" spans="1:17" hidden="1">
      <c r="A889" s="37" t="s">
        <v>2876</v>
      </c>
      <c r="B889" s="1" t="s">
        <v>1158</v>
      </c>
      <c r="C889" s="2" t="s">
        <v>2316</v>
      </c>
      <c r="D889" s="2" t="s">
        <v>228</v>
      </c>
      <c r="E889" s="2" t="s">
        <v>229</v>
      </c>
      <c r="F889" s="2" t="s">
        <v>1180</v>
      </c>
      <c r="G889" s="3" t="s">
        <v>1185</v>
      </c>
      <c r="H889" s="3" t="s">
        <v>7</v>
      </c>
      <c r="I889" s="3" t="s">
        <v>7</v>
      </c>
      <c r="J889" s="3" t="s">
        <v>7</v>
      </c>
      <c r="K889" s="3" t="s">
        <v>7</v>
      </c>
      <c r="L889" s="2" t="s">
        <v>7</v>
      </c>
      <c r="M889" s="2" t="s">
        <v>470</v>
      </c>
      <c r="N889" s="2" t="s">
        <v>471</v>
      </c>
      <c r="O889" s="2" t="s">
        <v>1321</v>
      </c>
      <c r="P889" s="2" t="s">
        <v>2880</v>
      </c>
      <c r="Q889" s="3" t="s">
        <v>2856</v>
      </c>
    </row>
    <row r="890" spans="1:17" hidden="1">
      <c r="A890" s="37" t="s">
        <v>2876</v>
      </c>
      <c r="B890" s="1" t="s">
        <v>2317</v>
      </c>
      <c r="C890" s="2" t="s">
        <v>2318</v>
      </c>
      <c r="D890" s="2" t="s">
        <v>228</v>
      </c>
      <c r="E890" s="2" t="s">
        <v>229</v>
      </c>
      <c r="F890" s="2" t="s">
        <v>1192</v>
      </c>
      <c r="G890" s="3" t="s">
        <v>1185</v>
      </c>
      <c r="H890" s="3" t="s">
        <v>7</v>
      </c>
      <c r="I890" s="3" t="s">
        <v>7</v>
      </c>
      <c r="J890" s="3" t="s">
        <v>7</v>
      </c>
      <c r="K890" s="3" t="s">
        <v>7</v>
      </c>
      <c r="L890" s="2" t="s">
        <v>7</v>
      </c>
      <c r="M890" s="2" t="s">
        <v>470</v>
      </c>
      <c r="N890" s="2" t="s">
        <v>471</v>
      </c>
      <c r="O890" s="2" t="s">
        <v>1321</v>
      </c>
      <c r="P890" s="2" t="s">
        <v>2880</v>
      </c>
      <c r="Q890" s="3" t="s">
        <v>2856</v>
      </c>
    </row>
    <row r="891" spans="1:17" hidden="1">
      <c r="A891" s="37" t="s">
        <v>2903</v>
      </c>
      <c r="B891" s="1" t="s">
        <v>1161</v>
      </c>
      <c r="C891" s="2" t="s">
        <v>2321</v>
      </c>
      <c r="D891" s="2" t="s">
        <v>230</v>
      </c>
      <c r="E891" s="2" t="s">
        <v>862</v>
      </c>
      <c r="F891" s="2" t="s">
        <v>8</v>
      </c>
      <c r="G891" s="3" t="s">
        <v>1188</v>
      </c>
      <c r="H891" s="3" t="s">
        <v>7</v>
      </c>
      <c r="I891" s="3" t="s">
        <v>7</v>
      </c>
      <c r="J891" s="3" t="s">
        <v>7</v>
      </c>
      <c r="K891" s="3" t="s">
        <v>7</v>
      </c>
      <c r="L891" s="2" t="s">
        <v>7</v>
      </c>
      <c r="M891" s="2" t="s">
        <v>686</v>
      </c>
      <c r="N891" s="2" t="s">
        <v>687</v>
      </c>
      <c r="O891" s="2" t="s">
        <v>1369</v>
      </c>
      <c r="P891" s="2" t="s">
        <v>2923</v>
      </c>
      <c r="Q891" s="3" t="s">
        <v>2856</v>
      </c>
    </row>
    <row r="892" spans="1:17" hidden="1">
      <c r="A892" s="37" t="s">
        <v>2903</v>
      </c>
      <c r="B892" s="1" t="s">
        <v>2747</v>
      </c>
      <c r="C892" s="2" t="s">
        <v>2748</v>
      </c>
      <c r="D892" s="2" t="s">
        <v>230</v>
      </c>
      <c r="E892" s="2" t="s">
        <v>862</v>
      </c>
      <c r="F892" s="2" t="s">
        <v>1192</v>
      </c>
      <c r="G892" s="3" t="s">
        <v>1179</v>
      </c>
      <c r="H892" s="3" t="s">
        <v>7</v>
      </c>
      <c r="I892" s="3" t="s">
        <v>7</v>
      </c>
      <c r="J892" s="3" t="s">
        <v>7</v>
      </c>
      <c r="K892" s="3" t="s">
        <v>7</v>
      </c>
      <c r="L892" s="2" t="s">
        <v>7</v>
      </c>
      <c r="M892" s="2" t="s">
        <v>686</v>
      </c>
      <c r="N892" s="2" t="s">
        <v>687</v>
      </c>
      <c r="O892" s="2" t="s">
        <v>1369</v>
      </c>
      <c r="P892" s="2" t="s">
        <v>2923</v>
      </c>
      <c r="Q892" s="3" t="s">
        <v>2856</v>
      </c>
    </row>
    <row r="893" spans="1:17" hidden="1">
      <c r="A893" s="37" t="s">
        <v>2903</v>
      </c>
      <c r="B893" s="1" t="s">
        <v>2749</v>
      </c>
      <c r="C893" s="2" t="s">
        <v>2225</v>
      </c>
      <c r="D893" s="2" t="s">
        <v>230</v>
      </c>
      <c r="E893" s="2" t="s">
        <v>862</v>
      </c>
      <c r="F893" s="2" t="s">
        <v>1180</v>
      </c>
      <c r="G893" s="3" t="s">
        <v>1185</v>
      </c>
      <c r="H893" s="3" t="s">
        <v>7</v>
      </c>
      <c r="I893" s="3" t="s">
        <v>7</v>
      </c>
      <c r="J893" s="3" t="s">
        <v>7</v>
      </c>
      <c r="K893" s="3" t="s">
        <v>7</v>
      </c>
      <c r="L893" s="2" t="s">
        <v>7</v>
      </c>
      <c r="M893" s="2" t="s">
        <v>686</v>
      </c>
      <c r="N893" s="2" t="s">
        <v>687</v>
      </c>
      <c r="O893" s="2" t="s">
        <v>1369</v>
      </c>
      <c r="P893" s="2" t="s">
        <v>2923</v>
      </c>
      <c r="Q893" s="3" t="s">
        <v>2856</v>
      </c>
    </row>
    <row r="894" spans="1:17" hidden="1">
      <c r="A894" s="37" t="s">
        <v>2876</v>
      </c>
      <c r="B894" s="1" t="s">
        <v>2326</v>
      </c>
      <c r="C894" s="2" t="s">
        <v>2327</v>
      </c>
      <c r="D894" s="2" t="s">
        <v>2324</v>
      </c>
      <c r="E894" s="2" t="s">
        <v>2325</v>
      </c>
      <c r="F894" s="2" t="s">
        <v>1180</v>
      </c>
      <c r="G894" s="3" t="s">
        <v>1189</v>
      </c>
      <c r="H894" s="3" t="s">
        <v>7</v>
      </c>
      <c r="I894" s="3" t="s">
        <v>7</v>
      </c>
      <c r="J894" s="3" t="s">
        <v>7</v>
      </c>
      <c r="K894" s="3" t="s">
        <v>7</v>
      </c>
      <c r="L894" s="2" t="s">
        <v>7</v>
      </c>
      <c r="M894" s="2" t="s">
        <v>526</v>
      </c>
      <c r="N894" s="2" t="s">
        <v>2889</v>
      </c>
      <c r="O894" s="2" t="s">
        <v>1323</v>
      </c>
      <c r="P894" s="2" t="s">
        <v>2880</v>
      </c>
      <c r="Q894" s="3" t="s">
        <v>2856</v>
      </c>
    </row>
    <row r="895" spans="1:17" hidden="1">
      <c r="A895" s="37" t="s">
        <v>2876</v>
      </c>
      <c r="B895" s="1" t="s">
        <v>2322</v>
      </c>
      <c r="C895" s="2" t="s">
        <v>2323</v>
      </c>
      <c r="D895" s="2" t="s">
        <v>2324</v>
      </c>
      <c r="E895" s="2" t="s">
        <v>2325</v>
      </c>
      <c r="F895" s="2" t="s">
        <v>1192</v>
      </c>
      <c r="G895" s="3" t="s">
        <v>1186</v>
      </c>
      <c r="H895" s="3" t="s">
        <v>7</v>
      </c>
      <c r="I895" s="3" t="s">
        <v>7</v>
      </c>
      <c r="J895" s="3" t="s">
        <v>7</v>
      </c>
      <c r="K895" s="3" t="s">
        <v>7</v>
      </c>
      <c r="L895" s="2" t="s">
        <v>7</v>
      </c>
      <c r="M895" s="2" t="s">
        <v>526</v>
      </c>
      <c r="N895" s="2" t="s">
        <v>2889</v>
      </c>
      <c r="O895" s="2" t="s">
        <v>1323</v>
      </c>
      <c r="P895" s="2" t="s">
        <v>2880</v>
      </c>
      <c r="Q895" s="3" t="s">
        <v>2856</v>
      </c>
    </row>
    <row r="896" spans="1:17" hidden="1">
      <c r="A896" s="37" t="s">
        <v>2903</v>
      </c>
      <c r="B896" s="1" t="s">
        <v>2328</v>
      </c>
      <c r="C896" s="2" t="s">
        <v>2329</v>
      </c>
      <c r="D896" s="2" t="s">
        <v>2330</v>
      </c>
      <c r="E896" s="2" t="s">
        <v>2331</v>
      </c>
      <c r="F896" s="2" t="s">
        <v>1180</v>
      </c>
      <c r="G896" s="3" t="s">
        <v>1187</v>
      </c>
      <c r="H896" s="3" t="s">
        <v>7</v>
      </c>
      <c r="I896" s="3" t="s">
        <v>7</v>
      </c>
      <c r="J896" s="3" t="s">
        <v>7</v>
      </c>
      <c r="K896" s="3" t="s">
        <v>7</v>
      </c>
      <c r="L896" s="2" t="s">
        <v>7</v>
      </c>
      <c r="M896" s="2" t="s">
        <v>688</v>
      </c>
      <c r="N896" s="2" t="s">
        <v>689</v>
      </c>
      <c r="O896" s="2" t="s">
        <v>1380</v>
      </c>
      <c r="P896" s="2" t="s">
        <v>2907</v>
      </c>
      <c r="Q896" s="3" t="s">
        <v>2856</v>
      </c>
    </row>
    <row r="897" spans="1:17" hidden="1">
      <c r="A897" s="37" t="s">
        <v>2903</v>
      </c>
      <c r="B897" s="1" t="s">
        <v>2544</v>
      </c>
      <c r="C897" s="2" t="s">
        <v>2545</v>
      </c>
      <c r="D897" s="2" t="s">
        <v>2330</v>
      </c>
      <c r="E897" s="2" t="s">
        <v>2331</v>
      </c>
      <c r="F897" s="2" t="s">
        <v>1192</v>
      </c>
      <c r="G897" s="3" t="s">
        <v>1189</v>
      </c>
      <c r="H897" s="3" t="s">
        <v>7</v>
      </c>
      <c r="I897" s="3" t="s">
        <v>7</v>
      </c>
      <c r="J897" s="3" t="s">
        <v>7</v>
      </c>
      <c r="K897" s="3" t="s">
        <v>7</v>
      </c>
      <c r="L897" s="2" t="s">
        <v>7</v>
      </c>
      <c r="M897" s="2" t="s">
        <v>688</v>
      </c>
      <c r="N897" s="2" t="s">
        <v>689</v>
      </c>
      <c r="O897" s="2" t="s">
        <v>1380</v>
      </c>
      <c r="P897" s="2" t="s">
        <v>2907</v>
      </c>
      <c r="Q897" s="3" t="s">
        <v>2856</v>
      </c>
    </row>
    <row r="898" spans="1:17" hidden="1">
      <c r="A898" s="37" t="s">
        <v>2903</v>
      </c>
      <c r="B898" s="1" t="s">
        <v>2679</v>
      </c>
      <c r="C898" s="2" t="s">
        <v>2680</v>
      </c>
      <c r="D898" s="2" t="s">
        <v>2330</v>
      </c>
      <c r="E898" s="2" t="s">
        <v>2331</v>
      </c>
      <c r="F898" s="2" t="s">
        <v>1181</v>
      </c>
      <c r="G898" s="3" t="s">
        <v>1186</v>
      </c>
      <c r="H898" s="3" t="s">
        <v>3071</v>
      </c>
      <c r="I898" s="3" t="s">
        <v>7</v>
      </c>
      <c r="J898" s="3" t="s">
        <v>3071</v>
      </c>
      <c r="K898" s="3" t="s">
        <v>3071</v>
      </c>
      <c r="L898" s="2" t="s">
        <v>7</v>
      </c>
      <c r="M898" s="2" t="s">
        <v>688</v>
      </c>
      <c r="N898" s="2" t="s">
        <v>689</v>
      </c>
      <c r="O898" s="2" t="s">
        <v>1380</v>
      </c>
      <c r="P898" s="2" t="s">
        <v>2907</v>
      </c>
      <c r="Q898" s="3" t="s">
        <v>2856</v>
      </c>
    </row>
    <row r="899" spans="1:17" hidden="1">
      <c r="A899" s="37" t="s">
        <v>2876</v>
      </c>
      <c r="B899" s="1" t="s">
        <v>1162</v>
      </c>
      <c r="C899" s="2" t="s">
        <v>2332</v>
      </c>
      <c r="D899" s="2" t="s">
        <v>800</v>
      </c>
      <c r="E899" s="2" t="s">
        <v>801</v>
      </c>
      <c r="F899" s="2" t="s">
        <v>8</v>
      </c>
      <c r="G899" s="3" t="s">
        <v>1189</v>
      </c>
      <c r="H899" s="3" t="s">
        <v>7</v>
      </c>
      <c r="I899" s="3" t="s">
        <v>7</v>
      </c>
      <c r="J899" s="3" t="s">
        <v>7</v>
      </c>
      <c r="K899" s="3" t="s">
        <v>7</v>
      </c>
      <c r="L899" s="2" t="s">
        <v>7</v>
      </c>
      <c r="M899" s="2" t="s">
        <v>1239</v>
      </c>
      <c r="N899" s="2" t="s">
        <v>2894</v>
      </c>
      <c r="O899" s="2" t="s">
        <v>1327</v>
      </c>
      <c r="P899" s="2" t="s">
        <v>2877</v>
      </c>
      <c r="Q899" s="3" t="s">
        <v>2856</v>
      </c>
    </row>
    <row r="900" spans="1:17" hidden="1">
      <c r="A900" s="37" t="s">
        <v>2876</v>
      </c>
      <c r="B900" s="1" t="s">
        <v>1163</v>
      </c>
      <c r="C900" s="2" t="s">
        <v>2333</v>
      </c>
      <c r="D900" s="2" t="s">
        <v>800</v>
      </c>
      <c r="E900" s="2" t="s">
        <v>801</v>
      </c>
      <c r="F900" s="2" t="s">
        <v>1181</v>
      </c>
      <c r="G900" s="3" t="s">
        <v>1189</v>
      </c>
      <c r="H900" s="3" t="s">
        <v>3071</v>
      </c>
      <c r="I900" s="3" t="s">
        <v>7</v>
      </c>
      <c r="J900" s="3" t="s">
        <v>3071</v>
      </c>
      <c r="K900" s="3" t="s">
        <v>3071</v>
      </c>
      <c r="L900" s="2" t="s">
        <v>7</v>
      </c>
      <c r="M900" s="2" t="s">
        <v>1239</v>
      </c>
      <c r="N900" s="2" t="s">
        <v>2894</v>
      </c>
      <c r="O900" s="2" t="s">
        <v>1327</v>
      </c>
      <c r="P900" s="2" t="s">
        <v>2877</v>
      </c>
      <c r="Q900" s="3" t="s">
        <v>2856</v>
      </c>
    </row>
    <row r="901" spans="1:17" hidden="1">
      <c r="A901" s="37" t="s">
        <v>2876</v>
      </c>
      <c r="B901" s="1" t="s">
        <v>1636</v>
      </c>
      <c r="C901" s="2" t="s">
        <v>2334</v>
      </c>
      <c r="D901" s="2" t="s">
        <v>231</v>
      </c>
      <c r="E901" s="2" t="s">
        <v>232</v>
      </c>
      <c r="F901" s="2" t="s">
        <v>1192</v>
      </c>
      <c r="G901" s="3" t="s">
        <v>1187</v>
      </c>
      <c r="H901" s="3" t="s">
        <v>7</v>
      </c>
      <c r="I901" s="3" t="s">
        <v>7</v>
      </c>
      <c r="J901" s="3" t="s">
        <v>7</v>
      </c>
      <c r="K901" s="3" t="s">
        <v>7</v>
      </c>
      <c r="L901" s="2" t="s">
        <v>7</v>
      </c>
      <c r="M901" s="2" t="s">
        <v>446</v>
      </c>
      <c r="N901" s="2" t="s">
        <v>2890</v>
      </c>
      <c r="O901" s="2" t="s">
        <v>1324</v>
      </c>
      <c r="P901" s="2" t="s">
        <v>2877</v>
      </c>
      <c r="Q901" s="3" t="s">
        <v>2856</v>
      </c>
    </row>
    <row r="902" spans="1:17" hidden="1">
      <c r="A902" s="37" t="s">
        <v>2876</v>
      </c>
      <c r="B902" s="1" t="s">
        <v>1164</v>
      </c>
      <c r="C902" s="2" t="s">
        <v>2335</v>
      </c>
      <c r="D902" s="2" t="s">
        <v>231</v>
      </c>
      <c r="E902" s="2" t="s">
        <v>232</v>
      </c>
      <c r="F902" s="2" t="s">
        <v>1180</v>
      </c>
      <c r="G902" s="3" t="s">
        <v>1187</v>
      </c>
      <c r="H902" s="3" t="s">
        <v>7</v>
      </c>
      <c r="I902" s="3" t="s">
        <v>7</v>
      </c>
      <c r="J902" s="3" t="s">
        <v>7</v>
      </c>
      <c r="K902" s="3" t="s">
        <v>7</v>
      </c>
      <c r="L902" s="2" t="s">
        <v>7</v>
      </c>
      <c r="M902" s="2" t="s">
        <v>446</v>
      </c>
      <c r="N902" s="2" t="s">
        <v>2890</v>
      </c>
      <c r="O902" s="2" t="s">
        <v>1324</v>
      </c>
      <c r="P902" s="2" t="s">
        <v>2877</v>
      </c>
      <c r="Q902" s="3" t="s">
        <v>2856</v>
      </c>
    </row>
    <row r="903" spans="1:17" hidden="1">
      <c r="A903" s="37" t="s">
        <v>2876</v>
      </c>
      <c r="B903" s="1" t="s">
        <v>2681</v>
      </c>
      <c r="C903" s="2" t="s">
        <v>2682</v>
      </c>
      <c r="D903" s="2" t="s">
        <v>231</v>
      </c>
      <c r="E903" s="2" t="s">
        <v>2683</v>
      </c>
      <c r="F903" s="2" t="s">
        <v>1409</v>
      </c>
      <c r="G903" s="3" t="s">
        <v>1179</v>
      </c>
      <c r="H903" s="3" t="s">
        <v>7</v>
      </c>
      <c r="I903" s="3" t="s">
        <v>7</v>
      </c>
      <c r="J903" s="3" t="s">
        <v>7</v>
      </c>
      <c r="K903" s="3" t="s">
        <v>7</v>
      </c>
      <c r="L903" s="2" t="s">
        <v>7</v>
      </c>
      <c r="M903" s="2" t="s">
        <v>2700</v>
      </c>
      <c r="N903" s="2" t="s">
        <v>2891</v>
      </c>
      <c r="O903" s="2" t="s">
        <v>1324</v>
      </c>
      <c r="P903" s="2" t="s">
        <v>2877</v>
      </c>
      <c r="Q903" s="3" t="s">
        <v>2856</v>
      </c>
    </row>
    <row r="904" spans="1:17" hidden="1">
      <c r="A904" s="37" t="s">
        <v>2876</v>
      </c>
      <c r="B904" s="1" t="s">
        <v>3353</v>
      </c>
      <c r="C904" s="2" t="s">
        <v>3354</v>
      </c>
      <c r="D904" s="2" t="s">
        <v>231</v>
      </c>
      <c r="E904" s="2" t="s">
        <v>2683</v>
      </c>
      <c r="F904" s="2" t="s">
        <v>1180</v>
      </c>
      <c r="G904" s="3" t="s">
        <v>1179</v>
      </c>
      <c r="H904" s="3" t="s">
        <v>7</v>
      </c>
      <c r="I904" s="3" t="s">
        <v>7</v>
      </c>
      <c r="J904" s="3" t="s">
        <v>7</v>
      </c>
      <c r="K904" s="3" t="s">
        <v>7</v>
      </c>
      <c r="L904" s="2" t="s">
        <v>7</v>
      </c>
      <c r="M904" s="2" t="s">
        <v>2700</v>
      </c>
      <c r="N904" s="2" t="s">
        <v>2891</v>
      </c>
      <c r="O904" s="2" t="s">
        <v>1324</v>
      </c>
      <c r="P904" s="2" t="s">
        <v>2877</v>
      </c>
      <c r="Q904" s="3" t="s">
        <v>2856</v>
      </c>
    </row>
    <row r="905" spans="1:17" hidden="1">
      <c r="A905" s="37" t="s">
        <v>2876</v>
      </c>
      <c r="B905" s="1" t="s">
        <v>3355</v>
      </c>
      <c r="C905" s="2" t="s">
        <v>3356</v>
      </c>
      <c r="D905" s="2" t="s">
        <v>231</v>
      </c>
      <c r="E905" s="2" t="s">
        <v>2683</v>
      </c>
      <c r="F905" s="2" t="s">
        <v>1637</v>
      </c>
      <c r="G905" s="3" t="s">
        <v>1179</v>
      </c>
      <c r="H905" s="3" t="s">
        <v>3071</v>
      </c>
      <c r="I905" s="3" t="s">
        <v>3071</v>
      </c>
      <c r="J905" s="3" t="s">
        <v>3071</v>
      </c>
      <c r="K905" s="3" t="s">
        <v>3071</v>
      </c>
      <c r="L905" s="2" t="s">
        <v>7</v>
      </c>
      <c r="M905" s="2" t="s">
        <v>2700</v>
      </c>
      <c r="N905" s="2" t="s">
        <v>2891</v>
      </c>
      <c r="O905" s="2" t="s">
        <v>1324</v>
      </c>
      <c r="P905" s="2" t="s">
        <v>2877</v>
      </c>
      <c r="Q905" s="3" t="s">
        <v>2856</v>
      </c>
    </row>
    <row r="906" spans="1:17" hidden="1">
      <c r="A906" s="37" t="s">
        <v>2876</v>
      </c>
      <c r="B906" s="1" t="s">
        <v>2340</v>
      </c>
      <c r="C906" s="2" t="s">
        <v>2341</v>
      </c>
      <c r="D906" s="2" t="s">
        <v>2338</v>
      </c>
      <c r="E906" s="2" t="s">
        <v>2339</v>
      </c>
      <c r="F906" s="2" t="s">
        <v>1180</v>
      </c>
      <c r="G906" s="3" t="s">
        <v>1189</v>
      </c>
      <c r="H906" s="3" t="s">
        <v>7</v>
      </c>
      <c r="I906" s="3" t="s">
        <v>7</v>
      </c>
      <c r="J906" s="3" t="s">
        <v>7</v>
      </c>
      <c r="K906" s="3" t="s">
        <v>7</v>
      </c>
      <c r="L906" s="2" t="s">
        <v>7</v>
      </c>
      <c r="M906" s="2" t="s">
        <v>546</v>
      </c>
      <c r="N906" s="2" t="s">
        <v>2892</v>
      </c>
      <c r="O906" s="2" t="s">
        <v>1325</v>
      </c>
      <c r="P906" s="2" t="s">
        <v>2880</v>
      </c>
      <c r="Q906" s="3" t="s">
        <v>2856</v>
      </c>
    </row>
    <row r="907" spans="1:17" hidden="1">
      <c r="A907" s="37" t="s">
        <v>2876</v>
      </c>
      <c r="B907" s="1" t="s">
        <v>2336</v>
      </c>
      <c r="C907" s="2" t="s">
        <v>2337</v>
      </c>
      <c r="D907" s="2" t="s">
        <v>2338</v>
      </c>
      <c r="E907" s="2" t="s">
        <v>2339</v>
      </c>
      <c r="F907" s="2" t="s">
        <v>1192</v>
      </c>
      <c r="G907" s="3" t="s">
        <v>1185</v>
      </c>
      <c r="H907" s="3" t="s">
        <v>7</v>
      </c>
      <c r="I907" s="3" t="s">
        <v>7</v>
      </c>
      <c r="J907" s="3" t="s">
        <v>7</v>
      </c>
      <c r="K907" s="3" t="s">
        <v>7</v>
      </c>
      <c r="L907" s="2" t="s">
        <v>7</v>
      </c>
      <c r="M907" s="2" t="s">
        <v>546</v>
      </c>
      <c r="N907" s="2" t="s">
        <v>2892</v>
      </c>
      <c r="O907" s="2" t="s">
        <v>1325</v>
      </c>
      <c r="P907" s="2" t="s">
        <v>2880</v>
      </c>
      <c r="Q907" s="3" t="s">
        <v>2856</v>
      </c>
    </row>
    <row r="908" spans="1:17" hidden="1">
      <c r="A908" s="37" t="s">
        <v>2876</v>
      </c>
      <c r="B908" s="1" t="s">
        <v>1166</v>
      </c>
      <c r="C908" s="2" t="s">
        <v>2347</v>
      </c>
      <c r="D908" s="2" t="s">
        <v>1221</v>
      </c>
      <c r="E908" s="2" t="s">
        <v>1222</v>
      </c>
      <c r="F908" s="2" t="s">
        <v>1180</v>
      </c>
      <c r="G908" s="3" t="s">
        <v>1187</v>
      </c>
      <c r="H908" s="3" t="s">
        <v>7</v>
      </c>
      <c r="I908" s="3" t="s">
        <v>7</v>
      </c>
      <c r="J908" s="3" t="s">
        <v>7</v>
      </c>
      <c r="K908" s="3" t="s">
        <v>7</v>
      </c>
      <c r="L908" s="2" t="s">
        <v>7</v>
      </c>
      <c r="M908" s="2" t="s">
        <v>1240</v>
      </c>
      <c r="N908" s="2" t="s">
        <v>2898</v>
      </c>
      <c r="O908" s="2" t="s">
        <v>1330</v>
      </c>
      <c r="P908" s="2" t="s">
        <v>2878</v>
      </c>
      <c r="Q908" s="3" t="s">
        <v>2856</v>
      </c>
    </row>
    <row r="909" spans="1:17" hidden="1">
      <c r="A909" s="37" t="s">
        <v>2876</v>
      </c>
      <c r="B909" s="1" t="s">
        <v>1165</v>
      </c>
      <c r="C909" s="2" t="s">
        <v>2346</v>
      </c>
      <c r="D909" s="2" t="s">
        <v>1221</v>
      </c>
      <c r="E909" s="2" t="s">
        <v>1222</v>
      </c>
      <c r="F909" s="2" t="s">
        <v>1192</v>
      </c>
      <c r="G909" s="3" t="s">
        <v>1187</v>
      </c>
      <c r="H909" s="3" t="s">
        <v>7</v>
      </c>
      <c r="I909" s="3" t="s">
        <v>7</v>
      </c>
      <c r="J909" s="3" t="s">
        <v>7</v>
      </c>
      <c r="K909" s="3" t="s">
        <v>7</v>
      </c>
      <c r="L909" s="2" t="s">
        <v>7</v>
      </c>
      <c r="M909" s="2" t="s">
        <v>1240</v>
      </c>
      <c r="N909" s="2" t="s">
        <v>2898</v>
      </c>
      <c r="O909" s="2" t="s">
        <v>1330</v>
      </c>
      <c r="P909" s="2" t="s">
        <v>2878</v>
      </c>
      <c r="Q909" s="3" t="s">
        <v>2856</v>
      </c>
    </row>
    <row r="910" spans="1:17" hidden="1">
      <c r="A910" s="37" t="s">
        <v>2876</v>
      </c>
      <c r="B910" s="1" t="s">
        <v>1167</v>
      </c>
      <c r="C910" s="2" t="s">
        <v>2348</v>
      </c>
      <c r="D910" s="2" t="s">
        <v>1221</v>
      </c>
      <c r="E910" s="2" t="s">
        <v>1222</v>
      </c>
      <c r="F910" s="2" t="s">
        <v>1180</v>
      </c>
      <c r="G910" s="3" t="s">
        <v>1198</v>
      </c>
      <c r="H910" s="3" t="s">
        <v>7</v>
      </c>
      <c r="I910" s="3" t="s">
        <v>7</v>
      </c>
      <c r="J910" s="3" t="s">
        <v>7</v>
      </c>
      <c r="K910" s="3" t="s">
        <v>7</v>
      </c>
      <c r="L910" s="2" t="s">
        <v>7</v>
      </c>
      <c r="M910" s="2" t="s">
        <v>1240</v>
      </c>
      <c r="N910" s="2" t="s">
        <v>2898</v>
      </c>
      <c r="O910" s="2" t="s">
        <v>1330</v>
      </c>
      <c r="P910" s="2" t="s">
        <v>2878</v>
      </c>
      <c r="Q910" s="3" t="s">
        <v>2856</v>
      </c>
    </row>
    <row r="911" spans="1:17" hidden="1">
      <c r="A911" s="37" t="s">
        <v>2876</v>
      </c>
      <c r="B911" s="1" t="s">
        <v>2342</v>
      </c>
      <c r="C911" s="2" t="s">
        <v>2343</v>
      </c>
      <c r="D911" s="2" t="s">
        <v>1221</v>
      </c>
      <c r="E911" s="2" t="s">
        <v>1222</v>
      </c>
      <c r="F911" s="2" t="s">
        <v>1180</v>
      </c>
      <c r="G911" s="3" t="s">
        <v>1187</v>
      </c>
      <c r="H911" s="3" t="s">
        <v>7</v>
      </c>
      <c r="I911" s="3" t="s">
        <v>7</v>
      </c>
      <c r="J911" s="3" t="s">
        <v>7</v>
      </c>
      <c r="K911" s="3" t="s">
        <v>7</v>
      </c>
      <c r="L911" s="2" t="s">
        <v>7</v>
      </c>
      <c r="M911" s="2" t="s">
        <v>1240</v>
      </c>
      <c r="N911" s="2" t="s">
        <v>2898</v>
      </c>
      <c r="O911" s="2" t="s">
        <v>1330</v>
      </c>
      <c r="P911" s="2" t="s">
        <v>2878</v>
      </c>
      <c r="Q911" s="3" t="s">
        <v>2856</v>
      </c>
    </row>
    <row r="912" spans="1:17" hidden="1">
      <c r="A912" s="37" t="s">
        <v>2876</v>
      </c>
      <c r="B912" s="1" t="s">
        <v>2349</v>
      </c>
      <c r="C912" s="2" t="s">
        <v>2350</v>
      </c>
      <c r="D912" s="2" t="s">
        <v>1221</v>
      </c>
      <c r="E912" s="2" t="s">
        <v>1222</v>
      </c>
      <c r="F912" s="2" t="s">
        <v>1180</v>
      </c>
      <c r="G912" s="3" t="s">
        <v>1186</v>
      </c>
      <c r="H912" s="3" t="s">
        <v>7</v>
      </c>
      <c r="I912" s="3" t="s">
        <v>7</v>
      </c>
      <c r="J912" s="3" t="s">
        <v>7</v>
      </c>
      <c r="K912" s="3" t="s">
        <v>7</v>
      </c>
      <c r="L912" s="2" t="s">
        <v>7</v>
      </c>
      <c r="M912" s="2" t="s">
        <v>1240</v>
      </c>
      <c r="N912" s="2" t="s">
        <v>2898</v>
      </c>
      <c r="O912" s="2" t="s">
        <v>1330</v>
      </c>
      <c r="P912" s="2" t="s">
        <v>2878</v>
      </c>
      <c r="Q912" s="3" t="s">
        <v>2856</v>
      </c>
    </row>
    <row r="913" spans="1:17" hidden="1">
      <c r="A913" s="37" t="s">
        <v>2876</v>
      </c>
      <c r="B913" s="1" t="s">
        <v>2344</v>
      </c>
      <c r="C913" s="2" t="s">
        <v>2345</v>
      </c>
      <c r="D913" s="2" t="s">
        <v>1221</v>
      </c>
      <c r="E913" s="2" t="s">
        <v>1222</v>
      </c>
      <c r="F913" s="2" t="s">
        <v>1192</v>
      </c>
      <c r="G913" s="3" t="s">
        <v>1186</v>
      </c>
      <c r="H913" s="3" t="s">
        <v>7</v>
      </c>
      <c r="I913" s="3" t="s">
        <v>7</v>
      </c>
      <c r="J913" s="3" t="s">
        <v>7</v>
      </c>
      <c r="K913" s="3" t="s">
        <v>7</v>
      </c>
      <c r="L913" s="2" t="s">
        <v>7</v>
      </c>
      <c r="M913" s="2" t="s">
        <v>1240</v>
      </c>
      <c r="N913" s="2" t="s">
        <v>2898</v>
      </c>
      <c r="O913" s="2" t="s">
        <v>1330</v>
      </c>
      <c r="P913" s="2" t="s">
        <v>2878</v>
      </c>
      <c r="Q913" s="3" t="s">
        <v>2856</v>
      </c>
    </row>
    <row r="914" spans="1:17" hidden="1">
      <c r="A914" s="37" t="s">
        <v>2876</v>
      </c>
      <c r="B914" s="1" t="s">
        <v>1168</v>
      </c>
      <c r="C914" s="2" t="s">
        <v>2351</v>
      </c>
      <c r="D914" s="2" t="s">
        <v>804</v>
      </c>
      <c r="E914" s="2" t="s">
        <v>805</v>
      </c>
      <c r="F914" s="2" t="s">
        <v>1180</v>
      </c>
      <c r="G914" s="3" t="s">
        <v>1189</v>
      </c>
      <c r="H914" s="3" t="s">
        <v>7</v>
      </c>
      <c r="I914" s="3" t="s">
        <v>7</v>
      </c>
      <c r="J914" s="3" t="s">
        <v>7</v>
      </c>
      <c r="K914" s="3" t="s">
        <v>7</v>
      </c>
      <c r="L914" s="2" t="s">
        <v>7</v>
      </c>
      <c r="M914" s="2" t="s">
        <v>500</v>
      </c>
      <c r="N914" s="2" t="s">
        <v>2893</v>
      </c>
      <c r="O914" s="2" t="s">
        <v>1326</v>
      </c>
      <c r="P914" s="2" t="s">
        <v>2882</v>
      </c>
      <c r="Q914" s="3" t="s">
        <v>2856</v>
      </c>
    </row>
    <row r="915" spans="1:17" hidden="1">
      <c r="A915" s="37" t="s">
        <v>2876</v>
      </c>
      <c r="B915" s="1" t="s">
        <v>2411</v>
      </c>
      <c r="C915" s="2" t="s">
        <v>2412</v>
      </c>
      <c r="D915" s="2" t="s">
        <v>804</v>
      </c>
      <c r="E915" s="2" t="s">
        <v>805</v>
      </c>
      <c r="F915" s="2" t="s">
        <v>1192</v>
      </c>
      <c r="G915" s="3" t="s">
        <v>1198</v>
      </c>
      <c r="H915" s="3" t="s">
        <v>7</v>
      </c>
      <c r="I915" s="3" t="s">
        <v>7</v>
      </c>
      <c r="J915" s="3" t="s">
        <v>7</v>
      </c>
      <c r="K915" s="3" t="s">
        <v>7</v>
      </c>
      <c r="L915" s="2" t="s">
        <v>7</v>
      </c>
      <c r="M915" s="2" t="s">
        <v>500</v>
      </c>
      <c r="N915" s="2" t="s">
        <v>2893</v>
      </c>
      <c r="O915" s="2" t="s">
        <v>1326</v>
      </c>
      <c r="P915" s="2" t="s">
        <v>2882</v>
      </c>
      <c r="Q915" s="3" t="s">
        <v>2856</v>
      </c>
    </row>
    <row r="916" spans="1:17" hidden="1">
      <c r="A916" s="37" t="s">
        <v>2876</v>
      </c>
      <c r="B916" s="1" t="s">
        <v>1169</v>
      </c>
      <c r="C916" s="2" t="s">
        <v>2352</v>
      </c>
      <c r="D916" s="2" t="s">
        <v>804</v>
      </c>
      <c r="E916" s="2" t="s">
        <v>805</v>
      </c>
      <c r="F916" s="2" t="s">
        <v>1181</v>
      </c>
      <c r="G916" s="3" t="s">
        <v>1198</v>
      </c>
      <c r="H916" s="3" t="s">
        <v>3071</v>
      </c>
      <c r="I916" s="3" t="s">
        <v>7</v>
      </c>
      <c r="J916" s="3" t="s">
        <v>3071</v>
      </c>
      <c r="K916" s="3" t="s">
        <v>3071</v>
      </c>
      <c r="L916" s="2" t="s">
        <v>7</v>
      </c>
      <c r="M916" s="2" t="s">
        <v>500</v>
      </c>
      <c r="N916" s="2" t="s">
        <v>2893</v>
      </c>
      <c r="O916" s="2" t="s">
        <v>1326</v>
      </c>
      <c r="P916" s="2" t="s">
        <v>2882</v>
      </c>
      <c r="Q916" s="3" t="s">
        <v>2856</v>
      </c>
    </row>
    <row r="917" spans="1:17" hidden="1">
      <c r="A917" s="37" t="s">
        <v>2876</v>
      </c>
      <c r="B917" s="1" t="s">
        <v>2353</v>
      </c>
      <c r="C917" s="2" t="s">
        <v>2354</v>
      </c>
      <c r="D917" s="2" t="s">
        <v>2355</v>
      </c>
      <c r="E917" s="2" t="s">
        <v>2356</v>
      </c>
      <c r="F917" s="2" t="s">
        <v>1192</v>
      </c>
      <c r="G917" s="3" t="s">
        <v>1189</v>
      </c>
      <c r="H917" s="3" t="s">
        <v>55</v>
      </c>
      <c r="I917" s="3" t="s">
        <v>55</v>
      </c>
      <c r="J917" s="3" t="s">
        <v>55</v>
      </c>
      <c r="K917" s="3" t="s">
        <v>55</v>
      </c>
      <c r="L917" s="2" t="s">
        <v>55</v>
      </c>
      <c r="M917" s="2" t="s">
        <v>1245</v>
      </c>
      <c r="N917" s="2" t="s">
        <v>2900</v>
      </c>
      <c r="O917" s="2" t="s">
        <v>2899</v>
      </c>
      <c r="P917" s="2" t="s">
        <v>2896</v>
      </c>
      <c r="Q917" s="3" t="s">
        <v>2856</v>
      </c>
    </row>
    <row r="918" spans="1:17" hidden="1">
      <c r="A918" s="37" t="s">
        <v>2876</v>
      </c>
      <c r="B918" s="1" t="s">
        <v>2357</v>
      </c>
      <c r="C918" s="2" t="s">
        <v>2358</v>
      </c>
      <c r="D918" s="2" t="s">
        <v>2355</v>
      </c>
      <c r="E918" s="2" t="s">
        <v>2356</v>
      </c>
      <c r="F918" s="2" t="s">
        <v>1180</v>
      </c>
      <c r="G918" s="3" t="s">
        <v>1189</v>
      </c>
      <c r="H918" s="3" t="s">
        <v>7</v>
      </c>
      <c r="I918" s="3" t="s">
        <v>7</v>
      </c>
      <c r="J918" s="3" t="s">
        <v>7</v>
      </c>
      <c r="K918" s="3" t="s">
        <v>7</v>
      </c>
      <c r="L918" s="2" t="s">
        <v>7</v>
      </c>
      <c r="M918" s="2" t="s">
        <v>1245</v>
      </c>
      <c r="N918" s="2" t="s">
        <v>2900</v>
      </c>
      <c r="O918" s="2" t="s">
        <v>2899</v>
      </c>
      <c r="P918" s="2" t="s">
        <v>2896</v>
      </c>
      <c r="Q918" s="3" t="s">
        <v>2856</v>
      </c>
    </row>
    <row r="919" spans="1:17" hidden="1">
      <c r="A919" s="37" t="s">
        <v>2876</v>
      </c>
      <c r="B919" s="1" t="s">
        <v>1170</v>
      </c>
      <c r="C919" s="2" t="s">
        <v>2359</v>
      </c>
      <c r="D919" s="2" t="s">
        <v>866</v>
      </c>
      <c r="E919" s="2" t="s">
        <v>867</v>
      </c>
      <c r="F919" s="2" t="s">
        <v>8</v>
      </c>
      <c r="G919" s="3" t="s">
        <v>1189</v>
      </c>
      <c r="H919" s="3" t="s">
        <v>7</v>
      </c>
      <c r="I919" s="3" t="s">
        <v>7</v>
      </c>
      <c r="J919" s="3" t="s">
        <v>7</v>
      </c>
      <c r="K919" s="3" t="s">
        <v>7</v>
      </c>
      <c r="L919" s="2" t="s">
        <v>7</v>
      </c>
      <c r="M919" s="2" t="s">
        <v>1246</v>
      </c>
      <c r="N919" s="2" t="s">
        <v>2901</v>
      </c>
      <c r="O919" s="2" t="s">
        <v>2899</v>
      </c>
      <c r="P919" s="2" t="s">
        <v>2896</v>
      </c>
      <c r="Q919" s="3" t="s">
        <v>2856</v>
      </c>
    </row>
    <row r="920" spans="1:17" hidden="1">
      <c r="A920" s="37" t="s">
        <v>2876</v>
      </c>
      <c r="B920" s="1" t="s">
        <v>2360</v>
      </c>
      <c r="C920" s="2" t="s">
        <v>2361</v>
      </c>
      <c r="D920" s="2" t="s">
        <v>866</v>
      </c>
      <c r="E920" s="2" t="s">
        <v>867</v>
      </c>
      <c r="F920" s="2" t="s">
        <v>1180</v>
      </c>
      <c r="G920" s="3" t="s">
        <v>1185</v>
      </c>
      <c r="H920" s="3" t="s">
        <v>7</v>
      </c>
      <c r="I920" s="3" t="s">
        <v>7</v>
      </c>
      <c r="J920" s="3" t="s">
        <v>7</v>
      </c>
      <c r="K920" s="3" t="s">
        <v>7</v>
      </c>
      <c r="L920" s="2" t="s">
        <v>7</v>
      </c>
      <c r="M920" s="2" t="s">
        <v>1246</v>
      </c>
      <c r="N920" s="2" t="s">
        <v>2901</v>
      </c>
      <c r="O920" s="2" t="s">
        <v>2899</v>
      </c>
      <c r="P920" s="2" t="s">
        <v>2896</v>
      </c>
      <c r="Q920" s="3" t="s">
        <v>2856</v>
      </c>
    </row>
    <row r="921" spans="1:17" hidden="1">
      <c r="A921" s="37" t="s">
        <v>2876</v>
      </c>
      <c r="B921" s="1" t="s">
        <v>2362</v>
      </c>
      <c r="C921" s="2" t="s">
        <v>2363</v>
      </c>
      <c r="D921" s="2" t="s">
        <v>866</v>
      </c>
      <c r="E921" s="2" t="s">
        <v>867</v>
      </c>
      <c r="F921" s="2" t="s">
        <v>1180</v>
      </c>
      <c r="G921" s="3" t="s">
        <v>1189</v>
      </c>
      <c r="H921" s="3" t="s">
        <v>7</v>
      </c>
      <c r="I921" s="3" t="s">
        <v>7</v>
      </c>
      <c r="J921" s="3" t="s">
        <v>7</v>
      </c>
      <c r="K921" s="3" t="s">
        <v>7</v>
      </c>
      <c r="L921" s="2" t="s">
        <v>7</v>
      </c>
      <c r="M921" s="2" t="s">
        <v>1246</v>
      </c>
      <c r="N921" s="2" t="s">
        <v>2901</v>
      </c>
      <c r="O921" s="2" t="s">
        <v>2899</v>
      </c>
      <c r="P921" s="2" t="s">
        <v>2896</v>
      </c>
      <c r="Q921" s="3" t="s">
        <v>2856</v>
      </c>
    </row>
    <row r="922" spans="1:17" hidden="1">
      <c r="A922" s="37" t="s">
        <v>2876</v>
      </c>
      <c r="B922" s="1" t="s">
        <v>1172</v>
      </c>
      <c r="C922" s="2" t="s">
        <v>2367</v>
      </c>
      <c r="D922" s="2" t="s">
        <v>864</v>
      </c>
      <c r="E922" s="2" t="s">
        <v>865</v>
      </c>
      <c r="F922" s="2" t="s">
        <v>1181</v>
      </c>
      <c r="G922" s="3" t="s">
        <v>1189</v>
      </c>
      <c r="H922" s="3" t="s">
        <v>3071</v>
      </c>
      <c r="I922" s="3" t="s">
        <v>7</v>
      </c>
      <c r="J922" s="3" t="s">
        <v>3071</v>
      </c>
      <c r="K922" s="3" t="s">
        <v>3071</v>
      </c>
      <c r="L922" s="2" t="s">
        <v>7</v>
      </c>
      <c r="M922" s="63" t="s">
        <v>1245</v>
      </c>
      <c r="N922" s="63" t="s">
        <v>2900</v>
      </c>
      <c r="O922" s="2" t="s">
        <v>2899</v>
      </c>
      <c r="P922" s="2" t="s">
        <v>2880</v>
      </c>
      <c r="Q922" s="3" t="s">
        <v>2856</v>
      </c>
    </row>
    <row r="923" spans="1:17" hidden="1">
      <c r="A923" s="37" t="s">
        <v>2876</v>
      </c>
      <c r="B923" s="1" t="s">
        <v>1171</v>
      </c>
      <c r="C923" s="2" t="s">
        <v>2364</v>
      </c>
      <c r="D923" s="2" t="s">
        <v>864</v>
      </c>
      <c r="E923" s="2" t="s">
        <v>865</v>
      </c>
      <c r="F923" s="2" t="s">
        <v>8</v>
      </c>
      <c r="G923" s="3" t="s">
        <v>1189</v>
      </c>
      <c r="H923" s="3" t="s">
        <v>7</v>
      </c>
      <c r="I923" s="3" t="s">
        <v>7</v>
      </c>
      <c r="J923" s="3" t="s">
        <v>7</v>
      </c>
      <c r="K923" s="3" t="s">
        <v>7</v>
      </c>
      <c r="L923" s="2" t="s">
        <v>7</v>
      </c>
      <c r="M923" s="63" t="s">
        <v>1245</v>
      </c>
      <c r="N923" s="63" t="s">
        <v>2900</v>
      </c>
      <c r="O923" s="2" t="s">
        <v>2899</v>
      </c>
      <c r="P923" s="2" t="s">
        <v>2880</v>
      </c>
      <c r="Q923" s="3" t="s">
        <v>2856</v>
      </c>
    </row>
    <row r="924" spans="1:17" hidden="1">
      <c r="A924" s="37" t="s">
        <v>2876</v>
      </c>
      <c r="B924" s="1" t="s">
        <v>1173</v>
      </c>
      <c r="C924" s="2" t="s">
        <v>2368</v>
      </c>
      <c r="D924" s="2" t="s">
        <v>864</v>
      </c>
      <c r="E924" s="2" t="s">
        <v>865</v>
      </c>
      <c r="F924" s="2" t="s">
        <v>1180</v>
      </c>
      <c r="G924" s="3" t="s">
        <v>1198</v>
      </c>
      <c r="H924" s="3" t="s">
        <v>7</v>
      </c>
      <c r="I924" s="3" t="s">
        <v>7</v>
      </c>
      <c r="J924" s="3" t="s">
        <v>7</v>
      </c>
      <c r="K924" s="3" t="s">
        <v>7</v>
      </c>
      <c r="L924" s="2" t="s">
        <v>7</v>
      </c>
      <c r="M924" s="2" t="s">
        <v>1241</v>
      </c>
      <c r="N924" s="2" t="s">
        <v>1329</v>
      </c>
      <c r="O924" s="2" t="s">
        <v>2899</v>
      </c>
      <c r="P924" s="2" t="s">
        <v>2880</v>
      </c>
      <c r="Q924" s="3" t="s">
        <v>2856</v>
      </c>
    </row>
    <row r="925" spans="1:17" hidden="1">
      <c r="A925" s="37" t="s">
        <v>2876</v>
      </c>
      <c r="B925" s="1" t="s">
        <v>2365</v>
      </c>
      <c r="C925" s="2" t="s">
        <v>2366</v>
      </c>
      <c r="D925" s="2" t="s">
        <v>864</v>
      </c>
      <c r="E925" s="2" t="s">
        <v>865</v>
      </c>
      <c r="F925" s="2" t="s">
        <v>1192</v>
      </c>
      <c r="G925" s="3" t="s">
        <v>1189</v>
      </c>
      <c r="H925" s="3" t="s">
        <v>7</v>
      </c>
      <c r="I925" s="3" t="s">
        <v>7</v>
      </c>
      <c r="J925" s="3" t="s">
        <v>7</v>
      </c>
      <c r="K925" s="3" t="s">
        <v>7</v>
      </c>
      <c r="L925" s="2" t="s">
        <v>7</v>
      </c>
      <c r="M925" s="2" t="s">
        <v>1241</v>
      </c>
      <c r="N925" s="2" t="s">
        <v>1329</v>
      </c>
      <c r="O925" s="2" t="s">
        <v>2899</v>
      </c>
      <c r="P925" s="2" t="s">
        <v>2880</v>
      </c>
      <c r="Q925" s="3" t="s">
        <v>2856</v>
      </c>
    </row>
    <row r="926" spans="1:17" hidden="1">
      <c r="A926" s="37" t="s">
        <v>2876</v>
      </c>
      <c r="B926" s="1" t="s">
        <v>2369</v>
      </c>
      <c r="C926" s="2" t="s">
        <v>2368</v>
      </c>
      <c r="D926" s="2" t="s">
        <v>864</v>
      </c>
      <c r="E926" s="2" t="s">
        <v>865</v>
      </c>
      <c r="F926" s="2" t="s">
        <v>1180</v>
      </c>
      <c r="G926" s="3" t="s">
        <v>1198</v>
      </c>
      <c r="H926" s="3" t="s">
        <v>7</v>
      </c>
      <c r="I926" s="3" t="s">
        <v>7</v>
      </c>
      <c r="J926" s="3" t="s">
        <v>7</v>
      </c>
      <c r="K926" s="3" t="s">
        <v>7</v>
      </c>
      <c r="L926" s="2" t="s">
        <v>7</v>
      </c>
      <c r="M926" s="2" t="s">
        <v>1241</v>
      </c>
      <c r="N926" s="2" t="s">
        <v>1329</v>
      </c>
      <c r="O926" s="2" t="s">
        <v>2899</v>
      </c>
      <c r="P926" s="2" t="s">
        <v>2880</v>
      </c>
      <c r="Q926" s="3" t="s">
        <v>2856</v>
      </c>
    </row>
    <row r="927" spans="1:17" hidden="1">
      <c r="A927" s="37" t="s">
        <v>2903</v>
      </c>
      <c r="B927" s="1" t="s">
        <v>1174</v>
      </c>
      <c r="C927" s="2" t="s">
        <v>2370</v>
      </c>
      <c r="D927" s="2" t="s">
        <v>798</v>
      </c>
      <c r="E927" s="2" t="s">
        <v>863</v>
      </c>
      <c r="F927" s="2" t="s">
        <v>1192</v>
      </c>
      <c r="G927" s="3" t="s">
        <v>1187</v>
      </c>
      <c r="H927" s="3" t="s">
        <v>7</v>
      </c>
      <c r="I927" s="3" t="s">
        <v>7</v>
      </c>
      <c r="J927" s="3" t="s">
        <v>7</v>
      </c>
      <c r="K927" s="3" t="s">
        <v>7</v>
      </c>
      <c r="L927" s="2" t="s">
        <v>7</v>
      </c>
      <c r="M927" s="2" t="s">
        <v>1226</v>
      </c>
      <c r="N927" s="2" t="s">
        <v>1379</v>
      </c>
      <c r="O927" s="2" t="s">
        <v>1378</v>
      </c>
      <c r="P927" s="2" t="s">
        <v>2910</v>
      </c>
      <c r="Q927" s="3" t="s">
        <v>2856</v>
      </c>
    </row>
    <row r="928" spans="1:17" hidden="1">
      <c r="A928" s="37" t="s">
        <v>2903</v>
      </c>
      <c r="B928" s="1" t="s">
        <v>2841</v>
      </c>
      <c r="C928" s="2" t="s">
        <v>2842</v>
      </c>
      <c r="D928" s="2" t="s">
        <v>798</v>
      </c>
      <c r="E928" s="2" t="s">
        <v>863</v>
      </c>
      <c r="F928" s="2" t="s">
        <v>1181</v>
      </c>
      <c r="G928" s="3" t="s">
        <v>2751</v>
      </c>
      <c r="H928" s="3" t="s">
        <v>3071</v>
      </c>
      <c r="I928" s="3" t="s">
        <v>55</v>
      </c>
      <c r="J928" s="3" t="s">
        <v>3071</v>
      </c>
      <c r="K928" s="3" t="s">
        <v>3071</v>
      </c>
      <c r="L928" s="2" t="s">
        <v>55</v>
      </c>
      <c r="M928" s="2" t="s">
        <v>1226</v>
      </c>
      <c r="N928" s="2" t="s">
        <v>1379</v>
      </c>
      <c r="O928" s="2" t="s">
        <v>1378</v>
      </c>
      <c r="P928" s="2" t="s">
        <v>2910</v>
      </c>
      <c r="Q928" s="3" t="s">
        <v>2856</v>
      </c>
    </row>
    <row r="929" spans="1:17" hidden="1">
      <c r="A929" s="37" t="s">
        <v>2903</v>
      </c>
      <c r="B929" s="1" t="s">
        <v>2502</v>
      </c>
      <c r="C929" s="2" t="s">
        <v>2684</v>
      </c>
      <c r="D929" s="2" t="s">
        <v>2503</v>
      </c>
      <c r="E929" s="2" t="s">
        <v>2504</v>
      </c>
      <c r="F929" s="2" t="s">
        <v>1192</v>
      </c>
      <c r="G929" s="3" t="s">
        <v>1189</v>
      </c>
      <c r="H929" s="3" t="s">
        <v>7</v>
      </c>
      <c r="I929" s="3" t="s">
        <v>7</v>
      </c>
      <c r="J929" s="3" t="s">
        <v>7</v>
      </c>
      <c r="K929" s="3" t="s">
        <v>7</v>
      </c>
      <c r="L929" s="2" t="s">
        <v>7</v>
      </c>
      <c r="M929" s="2" t="s">
        <v>1232</v>
      </c>
      <c r="N929" s="2" t="s">
        <v>2937</v>
      </c>
      <c r="O929" s="2" t="s">
        <v>1381</v>
      </c>
      <c r="P929" s="2" t="s">
        <v>2927</v>
      </c>
      <c r="Q929" s="3" t="s">
        <v>2856</v>
      </c>
    </row>
    <row r="930" spans="1:17" hidden="1">
      <c r="A930" s="37" t="s">
        <v>2903</v>
      </c>
      <c r="B930" s="1" t="s">
        <v>2505</v>
      </c>
      <c r="C930" s="2" t="s">
        <v>2506</v>
      </c>
      <c r="D930" s="2" t="s">
        <v>2503</v>
      </c>
      <c r="E930" s="2" t="s">
        <v>2504</v>
      </c>
      <c r="F930" s="2" t="s">
        <v>1192</v>
      </c>
      <c r="G930" s="3" t="s">
        <v>1198</v>
      </c>
      <c r="H930" s="3" t="s">
        <v>7</v>
      </c>
      <c r="I930" s="3" t="s">
        <v>7</v>
      </c>
      <c r="J930" s="3" t="s">
        <v>7</v>
      </c>
      <c r="K930" s="3" t="s">
        <v>7</v>
      </c>
      <c r="L930" s="2" t="s">
        <v>7</v>
      </c>
      <c r="M930" s="2" t="s">
        <v>1232</v>
      </c>
      <c r="N930" s="2" t="s">
        <v>2937</v>
      </c>
      <c r="O930" s="2" t="s">
        <v>1381</v>
      </c>
      <c r="P930" s="2" t="s">
        <v>2927</v>
      </c>
      <c r="Q930" s="3" t="s">
        <v>2856</v>
      </c>
    </row>
    <row r="931" spans="1:17" hidden="1">
      <c r="A931" s="37" t="s">
        <v>2903</v>
      </c>
      <c r="B931" s="1" t="s">
        <v>2509</v>
      </c>
      <c r="C931" s="2" t="s">
        <v>2510</v>
      </c>
      <c r="D931" s="2" t="s">
        <v>2503</v>
      </c>
      <c r="E931" s="2" t="s">
        <v>2504</v>
      </c>
      <c r="F931" s="2" t="s">
        <v>1180</v>
      </c>
      <c r="G931" s="3" t="s">
        <v>1198</v>
      </c>
      <c r="H931" s="3" t="s">
        <v>7</v>
      </c>
      <c r="I931" s="3" t="s">
        <v>7</v>
      </c>
      <c r="J931" s="3" t="s">
        <v>7</v>
      </c>
      <c r="K931" s="3" t="s">
        <v>7</v>
      </c>
      <c r="L931" s="2" t="s">
        <v>7</v>
      </c>
      <c r="M931" s="2" t="s">
        <v>1232</v>
      </c>
      <c r="N931" s="2" t="s">
        <v>2937</v>
      </c>
      <c r="O931" s="2" t="s">
        <v>1381</v>
      </c>
      <c r="P931" s="2" t="s">
        <v>2927</v>
      </c>
      <c r="Q931" s="3" t="s">
        <v>2856</v>
      </c>
    </row>
    <row r="932" spans="1:17" hidden="1">
      <c r="A932" s="37" t="s">
        <v>2903</v>
      </c>
      <c r="B932" s="1" t="s">
        <v>2507</v>
      </c>
      <c r="C932" s="2" t="s">
        <v>2508</v>
      </c>
      <c r="D932" s="2" t="s">
        <v>2503</v>
      </c>
      <c r="E932" s="2" t="s">
        <v>2504</v>
      </c>
      <c r="F932" s="2" t="s">
        <v>1181</v>
      </c>
      <c r="G932" s="3" t="s">
        <v>1198</v>
      </c>
      <c r="H932" s="3" t="s">
        <v>3071</v>
      </c>
      <c r="I932" s="3" t="s">
        <v>7</v>
      </c>
      <c r="J932" s="3" t="s">
        <v>3071</v>
      </c>
      <c r="K932" s="3" t="s">
        <v>3071</v>
      </c>
      <c r="L932" s="2" t="s">
        <v>7</v>
      </c>
      <c r="M932" s="2" t="s">
        <v>1232</v>
      </c>
      <c r="N932" s="2" t="s">
        <v>2937</v>
      </c>
      <c r="O932" s="2" t="s">
        <v>1381</v>
      </c>
      <c r="P932" s="2" t="s">
        <v>2927</v>
      </c>
      <c r="Q932" s="3" t="s">
        <v>2856</v>
      </c>
    </row>
    <row r="933" spans="1:17" hidden="1">
      <c r="A933" s="37" t="s">
        <v>2903</v>
      </c>
      <c r="B933" s="1" t="s">
        <v>2511</v>
      </c>
      <c r="C933" s="2" t="s">
        <v>2512</v>
      </c>
      <c r="D933" s="2" t="s">
        <v>2503</v>
      </c>
      <c r="E933" s="2" t="s">
        <v>2504</v>
      </c>
      <c r="F933" s="2" t="s">
        <v>1180</v>
      </c>
      <c r="G933" s="3" t="s">
        <v>1198</v>
      </c>
      <c r="H933" s="3" t="s">
        <v>7</v>
      </c>
      <c r="I933" s="3" t="s">
        <v>7</v>
      </c>
      <c r="J933" s="3" t="s">
        <v>7</v>
      </c>
      <c r="K933" s="3" t="s">
        <v>7</v>
      </c>
      <c r="L933" s="2" t="s">
        <v>7</v>
      </c>
      <c r="M933" s="2" t="s">
        <v>1232</v>
      </c>
      <c r="N933" s="2" t="s">
        <v>2937</v>
      </c>
      <c r="O933" s="2" t="s">
        <v>1381</v>
      </c>
      <c r="P933" s="2" t="s">
        <v>2927</v>
      </c>
      <c r="Q933" s="3" t="s">
        <v>2856</v>
      </c>
    </row>
    <row r="934" spans="1:17" hidden="1">
      <c r="A934" s="37" t="s">
        <v>2903</v>
      </c>
      <c r="B934" s="1" t="s">
        <v>2515</v>
      </c>
      <c r="C934" s="2" t="s">
        <v>2516</v>
      </c>
      <c r="D934" s="2" t="s">
        <v>2513</v>
      </c>
      <c r="E934" s="2" t="s">
        <v>2514</v>
      </c>
      <c r="F934" s="2" t="s">
        <v>1192</v>
      </c>
      <c r="G934" s="3" t="s">
        <v>1198</v>
      </c>
      <c r="H934" s="3" t="s">
        <v>7</v>
      </c>
      <c r="I934" s="3" t="s">
        <v>7</v>
      </c>
      <c r="J934" s="3" t="s">
        <v>7</v>
      </c>
      <c r="K934" s="3" t="s">
        <v>7</v>
      </c>
      <c r="L934" s="2" t="s">
        <v>7</v>
      </c>
      <c r="M934" s="2" t="s">
        <v>1233</v>
      </c>
      <c r="N934" s="2" t="s">
        <v>2939</v>
      </c>
      <c r="O934" s="2" t="s">
        <v>1383</v>
      </c>
      <c r="P934" s="2" t="s">
        <v>2927</v>
      </c>
      <c r="Q934" s="3" t="s">
        <v>2856</v>
      </c>
    </row>
    <row r="935" spans="1:17" hidden="1">
      <c r="A935" s="37" t="s">
        <v>2903</v>
      </c>
      <c r="B935" s="1" t="s">
        <v>2517</v>
      </c>
      <c r="C935" s="2" t="s">
        <v>2518</v>
      </c>
      <c r="D935" s="2" t="s">
        <v>2513</v>
      </c>
      <c r="E935" s="2" t="s">
        <v>2514</v>
      </c>
      <c r="F935" s="2" t="s">
        <v>1181</v>
      </c>
      <c r="G935" s="3" t="s">
        <v>1198</v>
      </c>
      <c r="H935" s="3" t="s">
        <v>3071</v>
      </c>
      <c r="I935" s="3" t="s">
        <v>7</v>
      </c>
      <c r="J935" s="3" t="s">
        <v>3071</v>
      </c>
      <c r="K935" s="3" t="s">
        <v>3071</v>
      </c>
      <c r="L935" s="2" t="s">
        <v>7</v>
      </c>
      <c r="M935" s="2" t="s">
        <v>1233</v>
      </c>
      <c r="N935" s="2" t="s">
        <v>2939</v>
      </c>
      <c r="O935" s="2" t="s">
        <v>1383</v>
      </c>
      <c r="P935" s="2" t="s">
        <v>2927</v>
      </c>
      <c r="Q935" s="3" t="s">
        <v>2856</v>
      </c>
    </row>
    <row r="936" spans="1:17" hidden="1">
      <c r="A936" s="37" t="s">
        <v>2903</v>
      </c>
      <c r="B936" s="1" t="s">
        <v>2685</v>
      </c>
      <c r="C936" s="2" t="s">
        <v>2686</v>
      </c>
      <c r="D936" s="2" t="s">
        <v>2513</v>
      </c>
      <c r="E936" s="2" t="s">
        <v>2514</v>
      </c>
      <c r="F936" s="2" t="s">
        <v>1180</v>
      </c>
      <c r="G936" s="3" t="s">
        <v>1186</v>
      </c>
      <c r="H936" s="3" t="s">
        <v>7</v>
      </c>
      <c r="I936" s="3" t="s">
        <v>7</v>
      </c>
      <c r="J936" s="3" t="s">
        <v>7</v>
      </c>
      <c r="K936" s="3" t="s">
        <v>7</v>
      </c>
      <c r="L936" s="2" t="s">
        <v>7</v>
      </c>
      <c r="M936" s="2" t="s">
        <v>1233</v>
      </c>
      <c r="N936" s="2" t="s">
        <v>2939</v>
      </c>
      <c r="O936" s="2" t="s">
        <v>1383</v>
      </c>
      <c r="P936" s="2" t="s">
        <v>2927</v>
      </c>
      <c r="Q936" s="3" t="s">
        <v>2856</v>
      </c>
    </row>
    <row r="937" spans="1:17" hidden="1">
      <c r="A937" s="37" t="s">
        <v>2876</v>
      </c>
      <c r="B937" s="1" t="s">
        <v>2371</v>
      </c>
      <c r="C937" s="2" t="s">
        <v>2372</v>
      </c>
      <c r="D937" s="2" t="s">
        <v>2373</v>
      </c>
      <c r="E937" s="2" t="s">
        <v>2374</v>
      </c>
      <c r="F937" s="2" t="s">
        <v>1192</v>
      </c>
      <c r="G937" s="3" t="s">
        <v>1198</v>
      </c>
      <c r="H937" s="3" t="s">
        <v>55</v>
      </c>
      <c r="I937" s="3" t="s">
        <v>55</v>
      </c>
      <c r="J937" s="3" t="s">
        <v>55</v>
      </c>
      <c r="K937" s="3" t="s">
        <v>55</v>
      </c>
      <c r="L937" s="2" t="s">
        <v>55</v>
      </c>
      <c r="M937" s="2" t="s">
        <v>1244</v>
      </c>
      <c r="N937" s="2" t="s">
        <v>2902</v>
      </c>
      <c r="O937" s="2" t="s">
        <v>1332</v>
      </c>
      <c r="P937" s="2" t="s">
        <v>2896</v>
      </c>
      <c r="Q937" s="3" t="s">
        <v>2856</v>
      </c>
    </row>
    <row r="938" spans="1:17" hidden="1">
      <c r="A938" s="37" t="s">
        <v>2876</v>
      </c>
      <c r="B938" s="1" t="s">
        <v>2375</v>
      </c>
      <c r="C938" s="2" t="s">
        <v>2376</v>
      </c>
      <c r="D938" s="2" t="s">
        <v>2373</v>
      </c>
      <c r="E938" s="2" t="s">
        <v>2374</v>
      </c>
      <c r="F938" s="2" t="s">
        <v>1180</v>
      </c>
      <c r="G938" s="3" t="s">
        <v>1198</v>
      </c>
      <c r="H938" s="3" t="s">
        <v>7</v>
      </c>
      <c r="I938" s="3" t="s">
        <v>7</v>
      </c>
      <c r="J938" s="3" t="s">
        <v>7</v>
      </c>
      <c r="K938" s="3" t="s">
        <v>7</v>
      </c>
      <c r="L938" s="2" t="s">
        <v>7</v>
      </c>
      <c r="M938" s="2" t="s">
        <v>1244</v>
      </c>
      <c r="N938" s="2" t="s">
        <v>2902</v>
      </c>
      <c r="O938" s="2" t="s">
        <v>1332</v>
      </c>
      <c r="P938" s="2" t="s">
        <v>2896</v>
      </c>
      <c r="Q938" s="3" t="s">
        <v>2856</v>
      </c>
    </row>
    <row r="939" spans="1:17" hidden="1">
      <c r="A939" s="37" t="s">
        <v>2876</v>
      </c>
      <c r="B939" s="1" t="s">
        <v>3357</v>
      </c>
      <c r="C939" s="2" t="s">
        <v>3358</v>
      </c>
      <c r="D939" s="2" t="s">
        <v>2373</v>
      </c>
      <c r="E939" s="2" t="s">
        <v>2374</v>
      </c>
      <c r="F939" s="2" t="s">
        <v>1192</v>
      </c>
      <c r="G939" s="3" t="s">
        <v>1186</v>
      </c>
      <c r="H939" s="3" t="s">
        <v>55</v>
      </c>
      <c r="I939" s="3" t="s">
        <v>55</v>
      </c>
      <c r="J939" s="3" t="s">
        <v>55</v>
      </c>
      <c r="K939" s="3" t="s">
        <v>55</v>
      </c>
      <c r="L939" s="2" t="s">
        <v>55</v>
      </c>
      <c r="M939" s="2" t="s">
        <v>1244</v>
      </c>
      <c r="N939" s="2" t="s">
        <v>2902</v>
      </c>
      <c r="O939" s="2" t="s">
        <v>1332</v>
      </c>
      <c r="P939" s="2" t="s">
        <v>2896</v>
      </c>
      <c r="Q939" s="3" t="s">
        <v>2856</v>
      </c>
    </row>
    <row r="940" spans="1:17" hidden="1">
      <c r="A940" s="37" t="s">
        <v>2903</v>
      </c>
      <c r="B940" s="1" t="s">
        <v>2379</v>
      </c>
      <c r="C940" s="2" t="s">
        <v>3024</v>
      </c>
      <c r="D940" s="2" t="s">
        <v>2377</v>
      </c>
      <c r="E940" s="2" t="s">
        <v>2378</v>
      </c>
      <c r="F940" s="2" t="s">
        <v>1181</v>
      </c>
      <c r="G940" s="3" t="s">
        <v>1198</v>
      </c>
      <c r="H940" s="3" t="s">
        <v>3071</v>
      </c>
      <c r="I940" s="3" t="s">
        <v>7</v>
      </c>
      <c r="J940" s="3" t="s">
        <v>3071</v>
      </c>
      <c r="K940" s="3" t="s">
        <v>3071</v>
      </c>
      <c r="L940" s="2" t="s">
        <v>7</v>
      </c>
      <c r="M940" s="2" t="s">
        <v>1249</v>
      </c>
      <c r="N940" s="2" t="s">
        <v>2924</v>
      </c>
      <c r="O940" s="2" t="s">
        <v>1357</v>
      </c>
      <c r="P940" s="2" t="s">
        <v>2923</v>
      </c>
      <c r="Q940" s="3" t="s">
        <v>2856</v>
      </c>
    </row>
    <row r="941" spans="1:17" hidden="1">
      <c r="A941" s="37" t="s">
        <v>2903</v>
      </c>
      <c r="B941" s="1" t="s">
        <v>2380</v>
      </c>
      <c r="C941" s="2" t="s">
        <v>3025</v>
      </c>
      <c r="D941" s="2" t="s">
        <v>2377</v>
      </c>
      <c r="E941" s="2" t="s">
        <v>2378</v>
      </c>
      <c r="F941" s="2" t="s">
        <v>1180</v>
      </c>
      <c r="G941" s="3" t="s">
        <v>1198</v>
      </c>
      <c r="H941" s="3" t="s">
        <v>7</v>
      </c>
      <c r="I941" s="3" t="s">
        <v>7</v>
      </c>
      <c r="J941" s="3" t="s">
        <v>7</v>
      </c>
      <c r="K941" s="3" t="s">
        <v>7</v>
      </c>
      <c r="L941" s="2" t="s">
        <v>7</v>
      </c>
      <c r="M941" s="2" t="s">
        <v>1249</v>
      </c>
      <c r="N941" s="2" t="s">
        <v>2924</v>
      </c>
      <c r="O941" s="2" t="s">
        <v>1357</v>
      </c>
      <c r="P941" s="2" t="s">
        <v>2923</v>
      </c>
      <c r="Q941" s="3" t="s">
        <v>2856</v>
      </c>
    </row>
    <row r="942" spans="1:17" hidden="1">
      <c r="A942" s="37" t="s">
        <v>2903</v>
      </c>
      <c r="B942" s="1" t="s">
        <v>2381</v>
      </c>
      <c r="C942" s="2" t="s">
        <v>2382</v>
      </c>
      <c r="D942" s="2" t="s">
        <v>2377</v>
      </c>
      <c r="E942" s="2" t="s">
        <v>2378</v>
      </c>
      <c r="F942" s="2" t="s">
        <v>1192</v>
      </c>
      <c r="G942" s="3" t="s">
        <v>1198</v>
      </c>
      <c r="H942" s="3" t="s">
        <v>7</v>
      </c>
      <c r="I942" s="3" t="s">
        <v>7</v>
      </c>
      <c r="J942" s="3" t="s">
        <v>7</v>
      </c>
      <c r="K942" s="3" t="s">
        <v>7</v>
      </c>
      <c r="L942" s="2" t="s">
        <v>7</v>
      </c>
      <c r="M942" s="2" t="s">
        <v>1249</v>
      </c>
      <c r="N942" s="2" t="s">
        <v>2924</v>
      </c>
      <c r="O942" s="2" t="s">
        <v>1357</v>
      </c>
      <c r="P942" s="2" t="s">
        <v>2923</v>
      </c>
      <c r="Q942" s="3" t="s">
        <v>2856</v>
      </c>
    </row>
    <row r="943" spans="1:17" hidden="1">
      <c r="A943" s="37" t="s">
        <v>2876</v>
      </c>
      <c r="B943" s="1" t="s">
        <v>3359</v>
      </c>
      <c r="C943" s="2" t="s">
        <v>3360</v>
      </c>
      <c r="D943" s="2" t="s">
        <v>3361</v>
      </c>
      <c r="E943" s="2" t="s">
        <v>3362</v>
      </c>
      <c r="F943" s="2" t="s">
        <v>2107</v>
      </c>
      <c r="G943" s="3" t="s">
        <v>1198</v>
      </c>
      <c r="H943" s="3" t="s">
        <v>7</v>
      </c>
      <c r="I943" s="3" t="s">
        <v>7</v>
      </c>
      <c r="J943" s="3" t="s">
        <v>7</v>
      </c>
      <c r="K943" s="3" t="s">
        <v>7</v>
      </c>
      <c r="L943" s="2" t="s">
        <v>7</v>
      </c>
      <c r="M943" s="2" t="s">
        <v>3082</v>
      </c>
      <c r="N943" s="2" t="s">
        <v>3452</v>
      </c>
      <c r="O943" s="2" t="s">
        <v>3451</v>
      </c>
      <c r="P943" s="2" t="s">
        <v>2877</v>
      </c>
      <c r="Q943" s="3" t="s">
        <v>2856</v>
      </c>
    </row>
    <row r="944" spans="1:17" hidden="1">
      <c r="A944" s="37" t="s">
        <v>2861</v>
      </c>
      <c r="B944" s="1" t="s">
        <v>2726</v>
      </c>
      <c r="C944" s="2" t="s">
        <v>2727</v>
      </c>
      <c r="D944" s="2" t="s">
        <v>2728</v>
      </c>
      <c r="E944" s="2" t="s">
        <v>2729</v>
      </c>
      <c r="F944" s="2" t="s">
        <v>1192</v>
      </c>
      <c r="G944" s="3" t="s">
        <v>1412</v>
      </c>
      <c r="H944" s="3" t="s">
        <v>7</v>
      </c>
      <c r="I944" s="3" t="s">
        <v>7</v>
      </c>
      <c r="J944" s="3" t="s">
        <v>7</v>
      </c>
      <c r="K944" s="3" t="s">
        <v>7</v>
      </c>
      <c r="L944" s="2" t="s">
        <v>7</v>
      </c>
      <c r="M944" s="2" t="s">
        <v>2737</v>
      </c>
      <c r="N944" s="2" t="s">
        <v>2870</v>
      </c>
      <c r="O944" s="2" t="s">
        <v>2869</v>
      </c>
      <c r="P944" s="2" t="s">
        <v>2864</v>
      </c>
      <c r="Q944" s="3" t="s">
        <v>2856</v>
      </c>
    </row>
    <row r="945" spans="1:17" hidden="1">
      <c r="A945" s="37" t="s">
        <v>2861</v>
      </c>
      <c r="B945" s="1" t="s">
        <v>2732</v>
      </c>
      <c r="C945" s="2" t="s">
        <v>2733</v>
      </c>
      <c r="D945" s="2" t="s">
        <v>2728</v>
      </c>
      <c r="E945" s="2" t="s">
        <v>2729</v>
      </c>
      <c r="F945" s="2" t="s">
        <v>1180</v>
      </c>
      <c r="G945" s="3" t="s">
        <v>1184</v>
      </c>
      <c r="H945" s="3" t="s">
        <v>7</v>
      </c>
      <c r="I945" s="3" t="s">
        <v>7</v>
      </c>
      <c r="J945" s="3" t="s">
        <v>7</v>
      </c>
      <c r="K945" s="3" t="s">
        <v>7</v>
      </c>
      <c r="L945" s="2" t="s">
        <v>7</v>
      </c>
      <c r="M945" s="2" t="s">
        <v>2737</v>
      </c>
      <c r="N945" s="2" t="s">
        <v>2870</v>
      </c>
      <c r="O945" s="2" t="s">
        <v>2869</v>
      </c>
      <c r="P945" s="2" t="s">
        <v>2864</v>
      </c>
      <c r="Q945" s="3" t="s">
        <v>2856</v>
      </c>
    </row>
    <row r="946" spans="1:17" hidden="1">
      <c r="A946" s="37" t="s">
        <v>2861</v>
      </c>
      <c r="B946" s="1" t="s">
        <v>2730</v>
      </c>
      <c r="C946" s="2" t="s">
        <v>2731</v>
      </c>
      <c r="D946" s="2" t="s">
        <v>2728</v>
      </c>
      <c r="E946" s="2" t="s">
        <v>2729</v>
      </c>
      <c r="F946" s="2" t="s">
        <v>1181</v>
      </c>
      <c r="G946" s="3" t="s">
        <v>1179</v>
      </c>
      <c r="H946" s="3" t="s">
        <v>3071</v>
      </c>
      <c r="I946" s="3" t="s">
        <v>7</v>
      </c>
      <c r="J946" s="3" t="s">
        <v>3071</v>
      </c>
      <c r="K946" s="3" t="s">
        <v>3071</v>
      </c>
      <c r="L946" s="2" t="s">
        <v>7</v>
      </c>
      <c r="M946" s="2" t="s">
        <v>2737</v>
      </c>
      <c r="N946" s="2" t="s">
        <v>2870</v>
      </c>
      <c r="O946" s="2" t="s">
        <v>2869</v>
      </c>
      <c r="P946" s="2" t="s">
        <v>2864</v>
      </c>
      <c r="Q946" s="3" t="s">
        <v>2856</v>
      </c>
    </row>
    <row r="947" spans="1:17" hidden="1">
      <c r="A947" s="37" t="s">
        <v>2903</v>
      </c>
      <c r="B947" s="1" t="s">
        <v>2843</v>
      </c>
      <c r="C947" s="2" t="s">
        <v>3026</v>
      </c>
      <c r="D947" s="2" t="s">
        <v>2844</v>
      </c>
      <c r="E947" s="2" t="s">
        <v>2845</v>
      </c>
      <c r="F947" s="2" t="s">
        <v>1192</v>
      </c>
      <c r="G947" s="3" t="s">
        <v>2559</v>
      </c>
      <c r="H947" s="3" t="s">
        <v>7</v>
      </c>
      <c r="I947" s="3" t="s">
        <v>7</v>
      </c>
      <c r="J947" s="3" t="s">
        <v>7</v>
      </c>
      <c r="K947" s="3" t="s">
        <v>7</v>
      </c>
      <c r="L947" s="2" t="s">
        <v>7</v>
      </c>
      <c r="M947" s="2" t="s">
        <v>2852</v>
      </c>
      <c r="N947" s="2" t="s">
        <v>2943</v>
      </c>
      <c r="O947" s="2" t="s">
        <v>2942</v>
      </c>
      <c r="P947" s="2" t="s">
        <v>2923</v>
      </c>
      <c r="Q947" s="3" t="s">
        <v>2856</v>
      </c>
    </row>
    <row r="948" spans="1:17" hidden="1">
      <c r="A948" s="37" t="s">
        <v>2903</v>
      </c>
      <c r="B948" s="1" t="s">
        <v>2846</v>
      </c>
      <c r="C948" s="2" t="s">
        <v>2847</v>
      </c>
      <c r="D948" s="2" t="s">
        <v>2844</v>
      </c>
      <c r="E948" s="2" t="s">
        <v>2845</v>
      </c>
      <c r="F948" s="2" t="s">
        <v>1180</v>
      </c>
      <c r="G948" s="3" t="s">
        <v>2559</v>
      </c>
      <c r="H948" s="3" t="s">
        <v>7</v>
      </c>
      <c r="I948" s="3" t="s">
        <v>7</v>
      </c>
      <c r="J948" s="3" t="s">
        <v>7</v>
      </c>
      <c r="K948" s="3" t="s">
        <v>7</v>
      </c>
      <c r="L948" s="2" t="s">
        <v>7</v>
      </c>
      <c r="M948" s="2" t="s">
        <v>2852</v>
      </c>
      <c r="N948" s="2" t="s">
        <v>2943</v>
      </c>
      <c r="O948" s="2" t="s">
        <v>2942</v>
      </c>
      <c r="P948" s="2" t="s">
        <v>2923</v>
      </c>
      <c r="Q948" s="3" t="s">
        <v>2856</v>
      </c>
    </row>
    <row r="949" spans="1:17" hidden="1">
      <c r="A949" s="37" t="s">
        <v>2903</v>
      </c>
      <c r="B949" s="1" t="s">
        <v>2848</v>
      </c>
      <c r="C949" s="2" t="s">
        <v>2849</v>
      </c>
      <c r="D949" s="2" t="s">
        <v>2844</v>
      </c>
      <c r="E949" s="2" t="s">
        <v>2845</v>
      </c>
      <c r="F949" s="2" t="s">
        <v>1180</v>
      </c>
      <c r="G949" s="3" t="s">
        <v>2559</v>
      </c>
      <c r="H949" s="3" t="s">
        <v>7</v>
      </c>
      <c r="I949" s="3" t="s">
        <v>7</v>
      </c>
      <c r="J949" s="3" t="s">
        <v>7</v>
      </c>
      <c r="K949" s="3" t="s">
        <v>7</v>
      </c>
      <c r="L949" s="2" t="s">
        <v>7</v>
      </c>
      <c r="M949" s="2" t="s">
        <v>2852</v>
      </c>
      <c r="N949" s="2" t="s">
        <v>2943</v>
      </c>
      <c r="O949" s="2" t="s">
        <v>2942</v>
      </c>
      <c r="P949" s="2" t="s">
        <v>2923</v>
      </c>
      <c r="Q949" s="3" t="s">
        <v>2856</v>
      </c>
    </row>
    <row r="950" spans="1:17" hidden="1">
      <c r="A950" s="37" t="s">
        <v>2903</v>
      </c>
      <c r="B950" s="1" t="s">
        <v>2687</v>
      </c>
      <c r="C950" s="2" t="s">
        <v>2688</v>
      </c>
      <c r="D950" s="2" t="s">
        <v>2689</v>
      </c>
      <c r="E950" s="2" t="s">
        <v>2690</v>
      </c>
      <c r="F950" s="2" t="s">
        <v>1192</v>
      </c>
      <c r="G950" s="3" t="s">
        <v>1179</v>
      </c>
      <c r="H950" s="3" t="s">
        <v>7</v>
      </c>
      <c r="I950" s="3" t="s">
        <v>7</v>
      </c>
      <c r="J950" s="3" t="s">
        <v>7</v>
      </c>
      <c r="K950" s="3" t="s">
        <v>7</v>
      </c>
      <c r="L950" s="2" t="s">
        <v>7</v>
      </c>
      <c r="M950" s="2" t="s">
        <v>2696</v>
      </c>
      <c r="N950" s="2" t="s">
        <v>2941</v>
      </c>
      <c r="O950" s="2" t="s">
        <v>2940</v>
      </c>
      <c r="P950" s="2" t="s">
        <v>2917</v>
      </c>
      <c r="Q950" s="3" t="s">
        <v>2856</v>
      </c>
    </row>
    <row r="951" spans="1:17" hidden="1">
      <c r="A951" s="37" t="s">
        <v>2903</v>
      </c>
      <c r="B951" s="1" t="s">
        <v>2691</v>
      </c>
      <c r="C951" s="2" t="s">
        <v>2692</v>
      </c>
      <c r="D951" s="2" t="s">
        <v>2689</v>
      </c>
      <c r="E951" s="2" t="s">
        <v>2690</v>
      </c>
      <c r="F951" s="2" t="s">
        <v>1180</v>
      </c>
      <c r="G951" s="3" t="s">
        <v>1179</v>
      </c>
      <c r="H951" s="3" t="s">
        <v>7</v>
      </c>
      <c r="I951" s="3" t="s">
        <v>7</v>
      </c>
      <c r="J951" s="3" t="s">
        <v>7</v>
      </c>
      <c r="K951" s="3" t="s">
        <v>7</v>
      </c>
      <c r="L951" s="2" t="s">
        <v>7</v>
      </c>
      <c r="M951" s="2" t="s">
        <v>2696</v>
      </c>
      <c r="N951" s="2" t="s">
        <v>2941</v>
      </c>
      <c r="O951" s="2" t="s">
        <v>2940</v>
      </c>
      <c r="P951" s="2" t="s">
        <v>2917</v>
      </c>
      <c r="Q951" s="3" t="s">
        <v>2856</v>
      </c>
    </row>
    <row r="952" spans="1:17" hidden="1">
      <c r="A952" s="37" t="s">
        <v>2903</v>
      </c>
      <c r="B952" s="1" t="s">
        <v>2693</v>
      </c>
      <c r="C952" s="2" t="s">
        <v>2694</v>
      </c>
      <c r="D952" s="2" t="s">
        <v>2689</v>
      </c>
      <c r="E952" s="2" t="s">
        <v>2690</v>
      </c>
      <c r="F952" s="2" t="s">
        <v>1181</v>
      </c>
      <c r="G952" s="3" t="s">
        <v>1179</v>
      </c>
      <c r="H952" s="3" t="s">
        <v>3071</v>
      </c>
      <c r="I952" s="3" t="s">
        <v>7</v>
      </c>
      <c r="J952" s="3" t="s">
        <v>3071</v>
      </c>
      <c r="K952" s="3" t="s">
        <v>3071</v>
      </c>
      <c r="L952" s="2" t="s">
        <v>7</v>
      </c>
      <c r="M952" s="2" t="s">
        <v>2696</v>
      </c>
      <c r="N952" s="2" t="s">
        <v>2941</v>
      </c>
      <c r="O952" s="2" t="s">
        <v>2940</v>
      </c>
      <c r="P952" s="2" t="s">
        <v>2917</v>
      </c>
      <c r="Q952" s="3" t="s">
        <v>2856</v>
      </c>
    </row>
  </sheetData>
  <autoFilter ref="A4:Q952" xr:uid="{F48A2B06-D48A-4850-AAD7-BD72B0C2A52D}">
    <filterColumn colId="14">
      <filters>
        <filter val="หจก.มังกรทองคอนกรีต"/>
      </filters>
    </filterColumn>
  </autoFilter>
  <sortState ref="A5:Q852">
    <sortCondition ref="A5:A852"/>
    <sortCondition ref="D5:D852"/>
    <sortCondition ref="E5:E852"/>
    <sortCondition ref="B5:B852"/>
  </sortState>
  <conditionalFormatting sqref="L5:L16 J6:K6 H7:K16 H5:I6 H17:L24 H424:L526 H194:L204 H26:L190 H206:L421 H528:L655 H657:L760 H768:L863">
    <cfRule type="cellIs" dxfId="136" priority="140" operator="equal">
      <formula>"ผ่าน"</formula>
    </cfRule>
    <cfRule type="cellIs" dxfId="135" priority="141" operator="equal">
      <formula>"ไม่ผ่าน"</formula>
    </cfRule>
  </conditionalFormatting>
  <conditionalFormatting sqref="J5:K5">
    <cfRule type="cellIs" dxfId="134" priority="138" operator="equal">
      <formula>"ผ่าน"</formula>
    </cfRule>
    <cfRule type="cellIs" dxfId="133" priority="139" operator="equal">
      <formula>"ไม่ผ่าน"</formula>
    </cfRule>
  </conditionalFormatting>
  <conditionalFormatting sqref="L5:L24 H5:H24 H424:H526 L424:L526 L194:L204 H194:H204 H26:H190 L26:L190 L206:L421 H206:H421 L528:L655 H528:H655 L657:L760 H657:H760 H768:H863 L768:L863">
    <cfRule type="cellIs" dxfId="132" priority="135" operator="equal">
      <formula>"ไม่ต้องสอบ"</formula>
    </cfRule>
    <cfRule type="cellIs" dxfId="131" priority="136" operator="lessThan">
      <formula>4</formula>
    </cfRule>
    <cfRule type="cellIs" dxfId="130" priority="137" operator="equal">
      <formula>4</formula>
    </cfRule>
  </conditionalFormatting>
  <conditionalFormatting sqref="J5:K24 J424:K526 J194:K204 J26:K190 J206:K421 J528:K655 J657:K760 J768:K863">
    <cfRule type="cellIs" dxfId="129" priority="134" operator="equal">
      <formula>"ไม่ต้องสอบ"</formula>
    </cfRule>
  </conditionalFormatting>
  <conditionalFormatting sqref="I16">
    <cfRule type="cellIs" dxfId="128" priority="132" operator="equal">
      <formula>"ผ่าน"</formula>
    </cfRule>
    <cfRule type="cellIs" dxfId="127" priority="133" operator="equal">
      <formula>"ไม่ผ่าน"</formula>
    </cfRule>
  </conditionalFormatting>
  <conditionalFormatting sqref="I23">
    <cfRule type="cellIs" dxfId="126" priority="130" operator="equal">
      <formula>"ผ่าน"</formula>
    </cfRule>
    <cfRule type="cellIs" dxfId="125" priority="131" operator="equal">
      <formula>"ไม่ผ่าน"</formula>
    </cfRule>
  </conditionalFormatting>
  <conditionalFormatting sqref="I27">
    <cfRule type="cellIs" dxfId="124" priority="126" operator="equal">
      <formula>"ผ่าน"</formula>
    </cfRule>
    <cfRule type="cellIs" dxfId="123" priority="127" operator="equal">
      <formula>"ไม่ผ่าน"</formula>
    </cfRule>
  </conditionalFormatting>
  <conditionalFormatting sqref="I32">
    <cfRule type="cellIs" dxfId="122" priority="124" operator="equal">
      <formula>"ผ่าน"</formula>
    </cfRule>
    <cfRule type="cellIs" dxfId="121" priority="125" operator="equal">
      <formula>"ไม่ผ่าน"</formula>
    </cfRule>
  </conditionalFormatting>
  <conditionalFormatting sqref="I33">
    <cfRule type="cellIs" dxfId="120" priority="122" operator="equal">
      <formula>"ผ่าน"</formula>
    </cfRule>
    <cfRule type="cellIs" dxfId="119" priority="123" operator="equal">
      <formula>"ไม่ผ่าน"</formula>
    </cfRule>
  </conditionalFormatting>
  <conditionalFormatting sqref="I38">
    <cfRule type="cellIs" dxfId="118" priority="120" operator="equal">
      <formula>"ผ่าน"</formula>
    </cfRule>
    <cfRule type="cellIs" dxfId="117" priority="121" operator="equal">
      <formula>"ไม่ผ่าน"</formula>
    </cfRule>
  </conditionalFormatting>
  <conditionalFormatting sqref="I40">
    <cfRule type="cellIs" dxfId="116" priority="118" operator="equal">
      <formula>"ผ่าน"</formula>
    </cfRule>
    <cfRule type="cellIs" dxfId="115" priority="119" operator="equal">
      <formula>"ไม่ผ่าน"</formula>
    </cfRule>
  </conditionalFormatting>
  <conditionalFormatting sqref="I44">
    <cfRule type="cellIs" dxfId="114" priority="116" operator="equal">
      <formula>"ผ่าน"</formula>
    </cfRule>
    <cfRule type="cellIs" dxfId="113" priority="117" operator="equal">
      <formula>"ไม่ผ่าน"</formula>
    </cfRule>
  </conditionalFormatting>
  <conditionalFormatting sqref="I45">
    <cfRule type="cellIs" dxfId="112" priority="114" operator="equal">
      <formula>"ผ่าน"</formula>
    </cfRule>
    <cfRule type="cellIs" dxfId="111" priority="115" operator="equal">
      <formula>"ไม่ผ่าน"</formula>
    </cfRule>
  </conditionalFormatting>
  <conditionalFormatting sqref="I52">
    <cfRule type="cellIs" dxfId="110" priority="112" operator="equal">
      <formula>"ผ่าน"</formula>
    </cfRule>
    <cfRule type="cellIs" dxfId="109" priority="113" operator="equal">
      <formula>"ไม่ผ่าน"</formula>
    </cfRule>
  </conditionalFormatting>
  <conditionalFormatting sqref="I61">
    <cfRule type="cellIs" dxfId="108" priority="110" operator="equal">
      <formula>"ผ่าน"</formula>
    </cfRule>
    <cfRule type="cellIs" dxfId="107" priority="111" operator="equal">
      <formula>"ไม่ผ่าน"</formula>
    </cfRule>
  </conditionalFormatting>
  <conditionalFormatting sqref="I68">
    <cfRule type="cellIs" dxfId="106" priority="108" operator="equal">
      <formula>"ผ่าน"</formula>
    </cfRule>
    <cfRule type="cellIs" dxfId="105" priority="109" operator="equal">
      <formula>"ไม่ผ่าน"</formula>
    </cfRule>
  </conditionalFormatting>
  <conditionalFormatting sqref="I78">
    <cfRule type="cellIs" dxfId="104" priority="106" operator="equal">
      <formula>"ผ่าน"</formula>
    </cfRule>
    <cfRule type="cellIs" dxfId="103" priority="107" operator="equal">
      <formula>"ไม่ผ่าน"</formula>
    </cfRule>
  </conditionalFormatting>
  <conditionalFormatting sqref="I83">
    <cfRule type="cellIs" dxfId="102" priority="104" operator="equal">
      <formula>"ผ่าน"</formula>
    </cfRule>
    <cfRule type="cellIs" dxfId="101" priority="105" operator="equal">
      <formula>"ไม่ผ่าน"</formula>
    </cfRule>
  </conditionalFormatting>
  <conditionalFormatting sqref="I88">
    <cfRule type="cellIs" dxfId="100" priority="102" operator="equal">
      <formula>"ผ่าน"</formula>
    </cfRule>
    <cfRule type="cellIs" dxfId="99" priority="103" operator="equal">
      <formula>"ไม่ผ่าน"</formula>
    </cfRule>
  </conditionalFormatting>
  <conditionalFormatting sqref="I92">
    <cfRule type="cellIs" dxfId="98" priority="100" operator="equal">
      <formula>"ผ่าน"</formula>
    </cfRule>
    <cfRule type="cellIs" dxfId="97" priority="101" operator="equal">
      <formula>"ไม่ผ่าน"</formula>
    </cfRule>
  </conditionalFormatting>
  <conditionalFormatting sqref="I96">
    <cfRule type="cellIs" dxfId="96" priority="98" operator="equal">
      <formula>"ผ่าน"</formula>
    </cfRule>
    <cfRule type="cellIs" dxfId="95" priority="99" operator="equal">
      <formula>"ไม่ผ่าน"</formula>
    </cfRule>
  </conditionalFormatting>
  <conditionalFormatting sqref="I107">
    <cfRule type="cellIs" dxfId="94" priority="96" operator="equal">
      <formula>"ผ่าน"</formula>
    </cfRule>
    <cfRule type="cellIs" dxfId="93" priority="97" operator="equal">
      <formula>"ไม่ผ่าน"</formula>
    </cfRule>
  </conditionalFormatting>
  <conditionalFormatting sqref="I121">
    <cfRule type="cellIs" dxfId="92" priority="94" operator="equal">
      <formula>"ผ่าน"</formula>
    </cfRule>
    <cfRule type="cellIs" dxfId="91" priority="95" operator="equal">
      <formula>"ไม่ผ่าน"</formula>
    </cfRule>
  </conditionalFormatting>
  <conditionalFormatting sqref="I124">
    <cfRule type="cellIs" dxfId="90" priority="92" operator="equal">
      <formula>"ผ่าน"</formula>
    </cfRule>
    <cfRule type="cellIs" dxfId="89" priority="93" operator="equal">
      <formula>"ไม่ผ่าน"</formula>
    </cfRule>
  </conditionalFormatting>
  <conditionalFormatting sqref="I126">
    <cfRule type="cellIs" dxfId="88" priority="90" operator="equal">
      <formula>"ผ่าน"</formula>
    </cfRule>
    <cfRule type="cellIs" dxfId="87" priority="91" operator="equal">
      <formula>"ไม่ผ่าน"</formula>
    </cfRule>
  </conditionalFormatting>
  <conditionalFormatting sqref="I142">
    <cfRule type="cellIs" dxfId="86" priority="86" operator="equal">
      <formula>"ผ่าน"</formula>
    </cfRule>
    <cfRule type="cellIs" dxfId="85" priority="87" operator="equal">
      <formula>"ไม่ผ่าน"</formula>
    </cfRule>
  </conditionalFormatting>
  <conditionalFormatting sqref="I147">
    <cfRule type="cellIs" dxfId="84" priority="84" operator="equal">
      <formula>"ผ่าน"</formula>
    </cfRule>
    <cfRule type="cellIs" dxfId="83" priority="85" operator="equal">
      <formula>"ไม่ผ่าน"</formula>
    </cfRule>
  </conditionalFormatting>
  <conditionalFormatting sqref="I154">
    <cfRule type="cellIs" dxfId="82" priority="82" operator="equal">
      <formula>"ผ่าน"</formula>
    </cfRule>
    <cfRule type="cellIs" dxfId="81" priority="83" operator="equal">
      <formula>"ไม่ผ่าน"</formula>
    </cfRule>
  </conditionalFormatting>
  <conditionalFormatting sqref="I165">
    <cfRule type="cellIs" dxfId="80" priority="80" operator="equal">
      <formula>"ผ่าน"</formula>
    </cfRule>
    <cfRule type="cellIs" dxfId="79" priority="81" operator="equal">
      <formula>"ไม่ผ่าน"</formula>
    </cfRule>
  </conditionalFormatting>
  <conditionalFormatting sqref="I426">
    <cfRule type="cellIs" dxfId="78" priority="78" operator="equal">
      <formula>"ผ่าน"</formula>
    </cfRule>
    <cfRule type="cellIs" dxfId="77" priority="79" operator="equal">
      <formula>"ไม่ผ่าน"</formula>
    </cfRule>
  </conditionalFormatting>
  <conditionalFormatting sqref="I477">
    <cfRule type="cellIs" dxfId="76" priority="76" operator="equal">
      <formula>"ผ่าน"</formula>
    </cfRule>
    <cfRule type="cellIs" dxfId="75" priority="77" operator="equal">
      <formula>"ไม่ผ่าน"</formula>
    </cfRule>
  </conditionalFormatting>
  <conditionalFormatting sqref="I469">
    <cfRule type="cellIs" dxfId="74" priority="74" operator="equal">
      <formula>"ผ่าน"</formula>
    </cfRule>
    <cfRule type="cellIs" dxfId="73" priority="75" operator="equal">
      <formula>"ไม่ผ่าน"</formula>
    </cfRule>
  </conditionalFormatting>
  <conditionalFormatting sqref="I431">
    <cfRule type="cellIs" dxfId="72" priority="72" operator="equal">
      <formula>"ผ่าน"</formula>
    </cfRule>
    <cfRule type="cellIs" dxfId="71" priority="73" operator="equal">
      <formula>"ไม่ผ่าน"</formula>
    </cfRule>
  </conditionalFormatting>
  <conditionalFormatting sqref="I481">
    <cfRule type="cellIs" dxfId="70" priority="70" operator="equal">
      <formula>"ผ่าน"</formula>
    </cfRule>
    <cfRule type="cellIs" dxfId="69" priority="71" operator="equal">
      <formula>"ไม่ผ่าน"</formula>
    </cfRule>
  </conditionalFormatting>
  <conditionalFormatting sqref="I487">
    <cfRule type="cellIs" dxfId="68" priority="68" operator="equal">
      <formula>"ผ่าน"</formula>
    </cfRule>
    <cfRule type="cellIs" dxfId="67" priority="69" operator="equal">
      <formula>"ไม่ผ่าน"</formula>
    </cfRule>
  </conditionalFormatting>
  <conditionalFormatting sqref="I5">
    <cfRule type="cellIs" dxfId="66" priority="66" operator="equal">
      <formula>"ผ่าน"</formula>
    </cfRule>
    <cfRule type="cellIs" dxfId="65" priority="67" operator="equal">
      <formula>"ไม่ผ่าน"</formula>
    </cfRule>
  </conditionalFormatting>
  <conditionalFormatting sqref="I6">
    <cfRule type="cellIs" dxfId="64" priority="64" operator="equal">
      <formula>"ผ่าน"</formula>
    </cfRule>
    <cfRule type="cellIs" dxfId="63" priority="65" operator="equal">
      <formula>"ไม่ผ่าน"</formula>
    </cfRule>
  </conditionalFormatting>
  <conditionalFormatting sqref="Q1:Q24 Q424:Q526 Q194:Q204 Q26:Q190 Q206:Q421 Q528:Q655 Q657:Q764 Q768:Q1048576">
    <cfRule type="cellIs" dxfId="62" priority="63" operator="equal">
      <formula>"C"</formula>
    </cfRule>
  </conditionalFormatting>
  <conditionalFormatting sqref="H423:L423">
    <cfRule type="cellIs" dxfId="61" priority="61" operator="equal">
      <formula>"ผ่าน"</formula>
    </cfRule>
    <cfRule type="cellIs" dxfId="60" priority="62" operator="equal">
      <formula>"ไม่ผ่าน"</formula>
    </cfRule>
  </conditionalFormatting>
  <conditionalFormatting sqref="H423 L423">
    <cfRule type="cellIs" dxfId="59" priority="58" operator="equal">
      <formula>"ไม่ต้องสอบ"</formula>
    </cfRule>
    <cfRule type="cellIs" dxfId="58" priority="59" operator="lessThan">
      <formula>4</formula>
    </cfRule>
    <cfRule type="cellIs" dxfId="57" priority="60" operator="equal">
      <formula>4</formula>
    </cfRule>
  </conditionalFormatting>
  <conditionalFormatting sqref="J423:K423">
    <cfRule type="cellIs" dxfId="56" priority="57" operator="equal">
      <formula>"ไม่ต้องสอบ"</formula>
    </cfRule>
  </conditionalFormatting>
  <conditionalFormatting sqref="Q423">
    <cfRule type="cellIs" dxfId="55" priority="56" operator="equal">
      <formula>"C"</formula>
    </cfRule>
  </conditionalFormatting>
  <conditionalFormatting sqref="H422:L422">
    <cfRule type="cellIs" dxfId="54" priority="54" operator="equal">
      <formula>"ผ่าน"</formula>
    </cfRule>
    <cfRule type="cellIs" dxfId="53" priority="55" operator="equal">
      <formula>"ไม่ผ่าน"</formula>
    </cfRule>
  </conditionalFormatting>
  <conditionalFormatting sqref="H422 L422">
    <cfRule type="cellIs" dxfId="52" priority="51" operator="equal">
      <formula>"ไม่ต้องสอบ"</formula>
    </cfRule>
    <cfRule type="cellIs" dxfId="51" priority="52" operator="lessThan">
      <formula>4</formula>
    </cfRule>
    <cfRule type="cellIs" dxfId="50" priority="53" operator="equal">
      <formula>4</formula>
    </cfRule>
  </conditionalFormatting>
  <conditionalFormatting sqref="J422:K422">
    <cfRule type="cellIs" dxfId="49" priority="50" operator="equal">
      <formula>"ไม่ต้องสอบ"</formula>
    </cfRule>
  </conditionalFormatting>
  <conditionalFormatting sqref="Q422">
    <cfRule type="cellIs" dxfId="48" priority="49" operator="equal">
      <formula>"C"</formula>
    </cfRule>
  </conditionalFormatting>
  <conditionalFormatting sqref="H656:L656">
    <cfRule type="cellIs" dxfId="47" priority="47" operator="equal">
      <formula>"ผ่าน"</formula>
    </cfRule>
    <cfRule type="cellIs" dxfId="46" priority="48" operator="equal">
      <formula>"ไม่ผ่าน"</formula>
    </cfRule>
  </conditionalFormatting>
  <conditionalFormatting sqref="H656 L656">
    <cfRule type="cellIs" dxfId="45" priority="44" operator="equal">
      <formula>"ไม่ต้องสอบ"</formula>
    </cfRule>
    <cfRule type="cellIs" dxfId="44" priority="45" operator="lessThan">
      <formula>4</formula>
    </cfRule>
    <cfRule type="cellIs" dxfId="43" priority="46" operator="equal">
      <formula>4</formula>
    </cfRule>
  </conditionalFormatting>
  <conditionalFormatting sqref="J656:K656">
    <cfRule type="cellIs" dxfId="42" priority="43" operator="equal">
      <formula>"ไม่ต้องสอบ"</formula>
    </cfRule>
  </conditionalFormatting>
  <conditionalFormatting sqref="Q656">
    <cfRule type="cellIs" dxfId="41" priority="42" operator="equal">
      <formula>"C"</formula>
    </cfRule>
  </conditionalFormatting>
  <conditionalFormatting sqref="H25:L25">
    <cfRule type="cellIs" dxfId="40" priority="40" operator="equal">
      <formula>"ผ่าน"</formula>
    </cfRule>
    <cfRule type="cellIs" dxfId="39" priority="41" operator="equal">
      <formula>"ไม่ผ่าน"</formula>
    </cfRule>
  </conditionalFormatting>
  <conditionalFormatting sqref="H25 L25">
    <cfRule type="cellIs" dxfId="38" priority="37" operator="equal">
      <formula>"ไม่ต้องสอบ"</formula>
    </cfRule>
    <cfRule type="cellIs" dxfId="37" priority="38" operator="lessThan">
      <formula>4</formula>
    </cfRule>
    <cfRule type="cellIs" dxfId="36" priority="39" operator="equal">
      <formula>4</formula>
    </cfRule>
  </conditionalFormatting>
  <conditionalFormatting sqref="J25:K25">
    <cfRule type="cellIs" dxfId="35" priority="36" operator="equal">
      <formula>"ไม่ต้องสอบ"</formula>
    </cfRule>
  </conditionalFormatting>
  <conditionalFormatting sqref="Q25">
    <cfRule type="cellIs" dxfId="34" priority="35" operator="equal">
      <formula>"C"</formula>
    </cfRule>
  </conditionalFormatting>
  <conditionalFormatting sqref="H205:L205">
    <cfRule type="cellIs" dxfId="33" priority="33" operator="equal">
      <formula>"ผ่าน"</formula>
    </cfRule>
    <cfRule type="cellIs" dxfId="32" priority="34" operator="equal">
      <formula>"ไม่ผ่าน"</formula>
    </cfRule>
  </conditionalFormatting>
  <conditionalFormatting sqref="H205 L205">
    <cfRule type="cellIs" dxfId="31" priority="30" operator="equal">
      <formula>"ไม่ต้องสอบ"</formula>
    </cfRule>
    <cfRule type="cellIs" dxfId="30" priority="31" operator="lessThan">
      <formula>4</formula>
    </cfRule>
    <cfRule type="cellIs" dxfId="29" priority="32" operator="equal">
      <formula>4</formula>
    </cfRule>
  </conditionalFormatting>
  <conditionalFormatting sqref="J205:K205">
    <cfRule type="cellIs" dxfId="28" priority="29" operator="equal">
      <formula>"ไม่ต้องสอบ"</formula>
    </cfRule>
  </conditionalFormatting>
  <conditionalFormatting sqref="Q205">
    <cfRule type="cellIs" dxfId="27" priority="28" operator="equal">
      <formula>"C"</formula>
    </cfRule>
  </conditionalFormatting>
  <conditionalFormatting sqref="H527:L527">
    <cfRule type="cellIs" dxfId="26" priority="26" operator="equal">
      <formula>"ผ่าน"</formula>
    </cfRule>
    <cfRule type="cellIs" dxfId="25" priority="27" operator="equal">
      <formula>"ไม่ผ่าน"</formula>
    </cfRule>
  </conditionalFormatting>
  <conditionalFormatting sqref="H527 L527">
    <cfRule type="cellIs" dxfId="24" priority="23" operator="equal">
      <formula>"ไม่ต้องสอบ"</formula>
    </cfRule>
    <cfRule type="cellIs" dxfId="23" priority="24" operator="lessThan">
      <formula>4</formula>
    </cfRule>
    <cfRule type="cellIs" dxfId="22" priority="25" operator="equal">
      <formula>4</formula>
    </cfRule>
  </conditionalFormatting>
  <conditionalFormatting sqref="J527:K527">
    <cfRule type="cellIs" dxfId="21" priority="22" operator="equal">
      <formula>"ไม่ต้องสอบ"</formula>
    </cfRule>
  </conditionalFormatting>
  <conditionalFormatting sqref="Q527">
    <cfRule type="cellIs" dxfId="20" priority="21" operator="equal">
      <formula>"C"</formula>
    </cfRule>
  </conditionalFormatting>
  <conditionalFormatting sqref="H761:L764">
    <cfRule type="cellIs" dxfId="19" priority="19" operator="equal">
      <formula>"ผ่าน"</formula>
    </cfRule>
    <cfRule type="cellIs" dxfId="18" priority="20" operator="equal">
      <formula>"ไม่ผ่าน"</formula>
    </cfRule>
  </conditionalFormatting>
  <conditionalFormatting sqref="L761:L764 H761:H764">
    <cfRule type="cellIs" dxfId="17" priority="16" operator="equal">
      <formula>"ไม่ต้องสอบ"</formula>
    </cfRule>
    <cfRule type="cellIs" dxfId="16" priority="17" operator="lessThan">
      <formula>4</formula>
    </cfRule>
    <cfRule type="cellIs" dxfId="15" priority="18" operator="equal">
      <formula>4</formula>
    </cfRule>
  </conditionalFormatting>
  <conditionalFormatting sqref="J761:K764">
    <cfRule type="cellIs" dxfId="14" priority="15" operator="equal">
      <formula>"ไม่ต้องสอบ"</formula>
    </cfRule>
  </conditionalFormatting>
  <conditionalFormatting sqref="H191:L193">
    <cfRule type="cellIs" dxfId="13" priority="13" operator="equal">
      <formula>"ผ่าน"</formula>
    </cfRule>
    <cfRule type="cellIs" dxfId="12" priority="14" operator="equal">
      <formula>"ไม่ผ่าน"</formula>
    </cfRule>
  </conditionalFormatting>
  <conditionalFormatting sqref="H191:H193 L191:L193">
    <cfRule type="cellIs" dxfId="11" priority="10" operator="equal">
      <formula>"ไม่ต้องสอบ"</formula>
    </cfRule>
    <cfRule type="cellIs" dxfId="10" priority="11" operator="lessThan">
      <formula>4</formula>
    </cfRule>
    <cfRule type="cellIs" dxfId="9" priority="12" operator="equal">
      <formula>4</formula>
    </cfRule>
  </conditionalFormatting>
  <conditionalFormatting sqref="J191:K193">
    <cfRule type="cellIs" dxfId="8" priority="9" operator="equal">
      <formula>"ไม่ต้องสอบ"</formula>
    </cfRule>
  </conditionalFormatting>
  <conditionalFormatting sqref="Q191:Q193">
    <cfRule type="cellIs" dxfId="7" priority="8" operator="equal">
      <formula>"C"</formula>
    </cfRule>
  </conditionalFormatting>
  <conditionalFormatting sqref="Q765:Q767">
    <cfRule type="cellIs" dxfId="6" priority="7" operator="equal">
      <formula>"C"</formula>
    </cfRule>
  </conditionalFormatting>
  <conditionalFormatting sqref="H765:L767">
    <cfRule type="cellIs" dxfId="5" priority="5" operator="equal">
      <formula>"ผ่าน"</formula>
    </cfRule>
    <cfRule type="cellIs" dxfId="4" priority="6" operator="equal">
      <formula>"ไม่ผ่าน"</formula>
    </cfRule>
  </conditionalFormatting>
  <conditionalFormatting sqref="L765:L767 H765:H767">
    <cfRule type="cellIs" dxfId="3" priority="2" operator="equal">
      <formula>"ไม่ต้องสอบ"</formula>
    </cfRule>
    <cfRule type="cellIs" dxfId="2" priority="3" operator="lessThan">
      <formula>4</formula>
    </cfRule>
    <cfRule type="cellIs" dxfId="1" priority="4" operator="equal">
      <formula>4</formula>
    </cfRule>
  </conditionalFormatting>
  <conditionalFormatting sqref="J765:K767">
    <cfRule type="cellIs" dxfId="0" priority="1" operator="equal">
      <formula>"ไม่ต้องสอบ"</formula>
    </cfRule>
  </conditionalFormatting>
  <hyperlinks>
    <hyperlink ref="C715" display="F00005" xr:uid="{4365D3BB-7272-44FC-BC98-48BFA7CF6C73}"/>
    <hyperlink ref="C838" display="F00001" xr:uid="{D53CC5E7-9A6B-402A-BD9C-FFD8C473CC88}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7C31-77F8-4343-AAE9-4D43E616FFDE}">
  <dimension ref="A1:J289"/>
  <sheetViews>
    <sheetView tabSelected="1" workbookViewId="0">
      <pane xSplit="3" ySplit="1" topLeftCell="D260" activePane="bottomRight" state="frozen"/>
      <selection pane="topRight" activeCell="D1" sqref="D1"/>
      <selection pane="bottomLeft" activeCell="A2" sqref="A2"/>
      <selection pane="bottomRight" activeCell="F248" sqref="F248"/>
    </sheetView>
  </sheetViews>
  <sheetFormatPr defaultRowHeight="17"/>
  <cols>
    <col min="1" max="1" width="12.1796875" style="29" customWidth="1"/>
    <col min="2" max="2" width="7.90625" style="29" customWidth="1"/>
    <col min="3" max="3" width="23.6328125" style="29" bestFit="1" customWidth="1"/>
    <col min="4" max="4" width="11.6328125" style="32" customWidth="1"/>
    <col min="5" max="5" width="9.08984375" style="32" customWidth="1"/>
    <col min="6" max="7" width="16.6328125" style="32" customWidth="1"/>
    <col min="8" max="8" width="8.7265625" style="32"/>
    <col min="9" max="9" width="35.54296875" style="29" bestFit="1" customWidth="1"/>
    <col min="10" max="16384" width="8.7265625" style="29"/>
  </cols>
  <sheetData>
    <row r="1" spans="1:10" ht="17.5" thickBot="1">
      <c r="A1" s="25" t="s">
        <v>234</v>
      </c>
      <c r="B1" s="26" t="s">
        <v>236</v>
      </c>
      <c r="C1" s="25" t="s">
        <v>1</v>
      </c>
      <c r="D1" s="30" t="s">
        <v>3149</v>
      </c>
      <c r="E1" s="30" t="s">
        <v>7</v>
      </c>
      <c r="F1" s="30" t="s">
        <v>3150</v>
      </c>
      <c r="G1" s="30" t="s">
        <v>3151</v>
      </c>
      <c r="H1" s="32" t="s">
        <v>3170</v>
      </c>
      <c r="I1" s="32" t="s">
        <v>3538</v>
      </c>
      <c r="J1" s="29" t="s">
        <v>3539</v>
      </c>
    </row>
    <row r="2" spans="1:10" ht="17.5" thickBot="1">
      <c r="A2" s="43" t="s">
        <v>3109</v>
      </c>
      <c r="B2" s="44" t="s">
        <v>752</v>
      </c>
      <c r="C2" s="44" t="s">
        <v>3110</v>
      </c>
      <c r="D2" s="45">
        <f>COUNTIF(L1L2!$M:$M,$B2)</f>
        <v>0</v>
      </c>
      <c r="E2" s="45">
        <f>COUNTIFS(L1L2!$M:$M,$B2,L1L2!$L:$L,$E$1)</f>
        <v>0</v>
      </c>
      <c r="F2" s="45">
        <f>IF(AND(H2=1,D2&gt;=2),9,IF(D2&gt;=3,9,0))</f>
        <v>0</v>
      </c>
      <c r="G2" s="45">
        <f>IF(AND(H2=1,E2&gt;=2),3,IF(E2&gt;3,3,E2))</f>
        <v>0</v>
      </c>
      <c r="H2" s="46">
        <f>IF(ISNUMBER(SEARCH("M", C2)), 1, 0)</f>
        <v>0</v>
      </c>
      <c r="I2" s="47" t="str">
        <f>VLOOKUP(B2,Sheet1!$A:$E,5,FALSE)</f>
        <v>บจก.เคแพคคอนกรีต 2004</v>
      </c>
    </row>
    <row r="3" spans="1:10" ht="17.5" thickBot="1">
      <c r="A3" s="43" t="s">
        <v>3109</v>
      </c>
      <c r="B3" s="44" t="s">
        <v>772</v>
      </c>
      <c r="C3" s="44" t="s">
        <v>3111</v>
      </c>
      <c r="D3" s="45">
        <f>COUNTIF(L1L2!$M:$M,$B3)</f>
        <v>3</v>
      </c>
      <c r="E3" s="45">
        <f>COUNTIFS(L1L2!$M:$M,$B3,L1L2!$L:$L,$E$1)</f>
        <v>1</v>
      </c>
      <c r="F3" s="45">
        <f>IF(AND(H3=1,D3&gt;=2),9,IF(D3&gt;=3,9,0))</f>
        <v>9</v>
      </c>
      <c r="G3" s="45">
        <f>IF(AND(H3=1,E3&gt;=2),3,IF(E3&gt;3,3,E3))</f>
        <v>1</v>
      </c>
      <c r="H3" s="46">
        <f>IF(ISNUMBER(SEARCH("M", C3)), 1, 0)</f>
        <v>0</v>
      </c>
      <c r="I3" s="47" t="str">
        <f>VLOOKUP(B3,Sheet1!$A:$E,5,FALSE)</f>
        <v>บจก.เคแพคคอนกรีต 2004</v>
      </c>
    </row>
    <row r="4" spans="1:10" ht="17.5" thickBot="1">
      <c r="A4" s="43" t="s">
        <v>3109</v>
      </c>
      <c r="B4" s="44" t="s">
        <v>760</v>
      </c>
      <c r="C4" s="44" t="s">
        <v>3112</v>
      </c>
      <c r="D4" s="45">
        <f>COUNTIF(L1L2!$M:$M,$B4)</f>
        <v>4</v>
      </c>
      <c r="E4" s="45">
        <f>COUNTIFS(L1L2!$M:$M,$B4,L1L2!$L:$L,$E$1)</f>
        <v>4</v>
      </c>
      <c r="F4" s="45">
        <f>IF(AND(H4=1,D4&gt;=2),9,IF(D4&gt;=3,9,0))</f>
        <v>9</v>
      </c>
      <c r="G4" s="45">
        <f>IF(AND(H4=1,E4&gt;=2),3,IF(E4&gt;3,3,E4))</f>
        <v>3</v>
      </c>
      <c r="H4" s="46">
        <f>IF(ISNUMBER(SEARCH("M", C4)), 1, 0)</f>
        <v>0</v>
      </c>
      <c r="I4" s="47" t="str">
        <f>VLOOKUP(B4,Sheet1!$A:$E,5,FALSE)</f>
        <v>บจก.เคแพคคอนกรีต 2004</v>
      </c>
    </row>
    <row r="5" spans="1:10" ht="17.5" thickBot="1">
      <c r="A5" s="43" t="s">
        <v>3109</v>
      </c>
      <c r="B5" s="44" t="s">
        <v>758</v>
      </c>
      <c r="C5" s="44" t="s">
        <v>3113</v>
      </c>
      <c r="D5" s="45">
        <f>COUNTIF(L1L2!$M:$M,$B5)</f>
        <v>3</v>
      </c>
      <c r="E5" s="45">
        <f>COUNTIFS(L1L2!$M:$M,$B5,L1L2!$L:$L,$E$1)</f>
        <v>3</v>
      </c>
      <c r="F5" s="45">
        <f>IF(AND(H5=1,D5&gt;=2),9,IF(D5&gt;=3,9,0))</f>
        <v>9</v>
      </c>
      <c r="G5" s="45">
        <f>IF(AND(H5=1,E5&gt;=2),3,IF(E5&gt;3,3,E5))</f>
        <v>3</v>
      </c>
      <c r="H5" s="46">
        <f>IF(ISNUMBER(SEARCH("M", C5)), 1, 0)</f>
        <v>0</v>
      </c>
      <c r="I5" s="47" t="str">
        <f>VLOOKUP(B5,Sheet1!$A:$E,5,FALSE)</f>
        <v>บจก.เคแพคคอนกรีต 2004</v>
      </c>
    </row>
    <row r="6" spans="1:10" ht="17.5" thickBot="1">
      <c r="A6" s="43" t="s">
        <v>3109</v>
      </c>
      <c r="B6" s="44" t="s">
        <v>782</v>
      </c>
      <c r="C6" s="44" t="s">
        <v>3114</v>
      </c>
      <c r="D6" s="45">
        <f>COUNTIF(L1L2!$M:$M,$B6)</f>
        <v>3</v>
      </c>
      <c r="E6" s="45">
        <f>COUNTIFS(L1L2!$M:$M,$B6,L1L2!$L:$L,$E$1)</f>
        <v>2</v>
      </c>
      <c r="F6" s="45">
        <f>IF(AND(H6=1,D6&gt;=2),9,IF(D6&gt;=3,9,0))</f>
        <v>9</v>
      </c>
      <c r="G6" s="45">
        <f>IF(AND(H6=1,E6&gt;=2),3,IF(E6&gt;3,3,E6))</f>
        <v>2</v>
      </c>
      <c r="H6" s="46">
        <f>IF(ISNUMBER(SEARCH("M", C6)), 1, 0)</f>
        <v>0</v>
      </c>
      <c r="I6" s="47" t="str">
        <f>VLOOKUP(B6,Sheet1!$A:$E,5,FALSE)</f>
        <v>บจก.เคแพคคอนกรีต 2004</v>
      </c>
    </row>
    <row r="7" spans="1:10" ht="17.5" thickBot="1">
      <c r="A7" s="43" t="s">
        <v>3109</v>
      </c>
      <c r="B7" s="48" t="s">
        <v>764</v>
      </c>
      <c r="C7" s="49" t="s">
        <v>3115</v>
      </c>
      <c r="D7" s="45">
        <f>COUNTIF(L1L2!$M:$M,$B7)</f>
        <v>4</v>
      </c>
      <c r="E7" s="45">
        <f>COUNTIFS(L1L2!$M:$M,$B7,L1L2!$L:$L,$E$1)</f>
        <v>3</v>
      </c>
      <c r="F7" s="45">
        <f>IF(AND(H7=1,D7&gt;=2),9,IF(D7&gt;=3,9,0))</f>
        <v>9</v>
      </c>
      <c r="G7" s="45">
        <f>IF(AND(H7=1,E7&gt;=2),3,IF(E7&gt;3,3,E7))</f>
        <v>3</v>
      </c>
      <c r="H7" s="46">
        <f>IF(ISNUMBER(SEARCH("M", C7)), 1, 0)</f>
        <v>0</v>
      </c>
      <c r="I7" s="47" t="str">
        <f>VLOOKUP(B7,Sheet1!$A:$E,5,FALSE)</f>
        <v>บจก.เคแพคคอนกรีต 2004</v>
      </c>
    </row>
    <row r="8" spans="1:10" ht="17.5" thickBot="1">
      <c r="A8" s="43" t="s">
        <v>3109</v>
      </c>
      <c r="B8" s="44" t="s">
        <v>1243</v>
      </c>
      <c r="C8" s="44" t="s">
        <v>3116</v>
      </c>
      <c r="D8" s="45">
        <f>COUNTIF(L1L2!$M:$M,$B8)</f>
        <v>3</v>
      </c>
      <c r="E8" s="45">
        <f>COUNTIFS(L1L2!$M:$M,$B8,L1L2!$L:$L,$E$1)</f>
        <v>3</v>
      </c>
      <c r="F8" s="45">
        <f>IF(AND(H8=1,D8&gt;=2),9,IF(D8&gt;=3,9,0))</f>
        <v>9</v>
      </c>
      <c r="G8" s="45">
        <f>IF(AND(H8=1,E8&gt;=2),3,IF(E8&gt;3,3,E8))</f>
        <v>3</v>
      </c>
      <c r="H8" s="46">
        <f>IF(ISNUMBER(SEARCH("M", C8)), 1, 0)</f>
        <v>0</v>
      </c>
      <c r="I8" s="47" t="str">
        <f>VLOOKUP(B8,Sheet1!$A:$E,5,FALSE)</f>
        <v>บจก.เคแพคคอนกรีต 2004</v>
      </c>
    </row>
    <row r="9" spans="1:10" ht="17.5" thickBot="1">
      <c r="A9" s="27" t="s">
        <v>3109</v>
      </c>
      <c r="B9" s="28" t="s">
        <v>574</v>
      </c>
      <c r="C9" s="28" t="s">
        <v>575</v>
      </c>
      <c r="D9" s="31">
        <f>COUNTIF(L1L2!$M:$M,$B9)</f>
        <v>4</v>
      </c>
      <c r="E9" s="31">
        <f>COUNTIFS(L1L2!$M:$M,$B9,L1L2!$L:$L,$E$1)</f>
        <v>4</v>
      </c>
      <c r="F9" s="31">
        <f>IF(AND(H9=1,D9&gt;=2),9,IF(D9&gt;=3,9,0))</f>
        <v>9</v>
      </c>
      <c r="G9" s="31">
        <f>IF(AND(H9=1,E9&gt;=2),3,IF(E9&gt;3,3,E9))</f>
        <v>3</v>
      </c>
      <c r="H9" s="33">
        <f>IF(ISNUMBER(SEARCH("M", C9)), 1, 0)</f>
        <v>0</v>
      </c>
      <c r="I9" s="29" t="str">
        <f>VLOOKUP(B9,Sheet1!$A:$E,5,FALSE)</f>
        <v>บจก.เจ.เค.คอนกรีต</v>
      </c>
    </row>
    <row r="10" spans="1:10" ht="17.5" thickBot="1">
      <c r="A10" s="27" t="s">
        <v>2855</v>
      </c>
      <c r="B10" s="28" t="s">
        <v>722</v>
      </c>
      <c r="C10" s="28" t="s">
        <v>3091</v>
      </c>
      <c r="D10" s="31">
        <f>COUNTIF(L1L2!$M:$M,$B10)</f>
        <v>3</v>
      </c>
      <c r="E10" s="31">
        <f>COUNTIFS(L1L2!$M:$M,$B10,L1L2!$L:$L,$E$1)</f>
        <v>3</v>
      </c>
      <c r="F10" s="31">
        <f>IF(AND(H10=1,D10&gt;=2),9,IF(D10&gt;=3,9,0))</f>
        <v>9</v>
      </c>
      <c r="G10" s="31">
        <f>IF(AND(H10=1,E10&gt;=2),3,IF(E10&gt;3,3,E10))</f>
        <v>3</v>
      </c>
      <c r="H10" s="33">
        <f>IF(ISNUMBER(SEARCH("M", C10)), 1, 0)</f>
        <v>0</v>
      </c>
      <c r="I10" s="29" t="str">
        <f>VLOOKUP(B10,Sheet1!$A:$E,5,FALSE)</f>
        <v>บจก.เจเอ็นเจพี ซิเมนต์</v>
      </c>
    </row>
    <row r="11" spans="1:10" ht="17.5" thickBot="1">
      <c r="A11" s="43" t="s">
        <v>2876</v>
      </c>
      <c r="B11" s="44" t="s">
        <v>530</v>
      </c>
      <c r="C11" s="44" t="s">
        <v>531</v>
      </c>
      <c r="D11" s="45">
        <f>COUNTIF(L1L2!$M:$M,$B11)</f>
        <v>3</v>
      </c>
      <c r="E11" s="45">
        <f>COUNTIFS(L1L2!$M:$M,$B11,L1L2!$L:$L,$E$1)</f>
        <v>3</v>
      </c>
      <c r="F11" s="45">
        <f>IF(AND(H11=1,D11&gt;=2),9,IF(D11&gt;=3,9,0))</f>
        <v>9</v>
      </c>
      <c r="G11" s="45">
        <f>IF(AND(H11=1,E11&gt;=2),3,IF(E11&gt;3,3,E11))</f>
        <v>3</v>
      </c>
      <c r="H11" s="46">
        <f>IF(ISNUMBER(SEARCH("M", C11)), 1, 0)</f>
        <v>0</v>
      </c>
      <c r="I11" s="47" t="str">
        <f>VLOOKUP(B11,Sheet1!$A:$E,5,FALSE)</f>
        <v>บจก.เจริญภัณฑ์ผลิตคอนกรีต</v>
      </c>
    </row>
    <row r="12" spans="1:10" ht="17.5" thickBot="1">
      <c r="A12" s="43" t="s">
        <v>2876</v>
      </c>
      <c r="B12" s="44" t="s">
        <v>534</v>
      </c>
      <c r="C12" s="44" t="s">
        <v>535</v>
      </c>
      <c r="D12" s="45">
        <f>COUNTIF(L1L2!$M:$M,$B12)</f>
        <v>5</v>
      </c>
      <c r="E12" s="45">
        <f>COUNTIFS(L1L2!$M:$M,$B12,L1L2!$L:$L,$E$1)</f>
        <v>5</v>
      </c>
      <c r="F12" s="45">
        <f>IF(AND(H12=1,D12&gt;=2),9,IF(D12&gt;=3,9,0))</f>
        <v>9</v>
      </c>
      <c r="G12" s="45">
        <f>IF(AND(H12=1,E12&gt;=2),3,IF(E12&gt;3,3,E12))</f>
        <v>3</v>
      </c>
      <c r="H12" s="46">
        <f>IF(ISNUMBER(SEARCH("M", C12)), 1, 0)</f>
        <v>0</v>
      </c>
      <c r="I12" s="47" t="str">
        <f>VLOOKUP(B12,Sheet1!$A:$E,5,FALSE)</f>
        <v>บจก.เจริญภัณฑ์ผลิตคอนกรีต</v>
      </c>
    </row>
    <row r="13" spans="1:10" ht="17.5" thickBot="1">
      <c r="A13" s="43" t="s">
        <v>2876</v>
      </c>
      <c r="B13" s="44" t="s">
        <v>542</v>
      </c>
      <c r="C13" s="44" t="s">
        <v>543</v>
      </c>
      <c r="D13" s="45">
        <f>COUNTIF(L1L2!$M:$M,$B13)</f>
        <v>5</v>
      </c>
      <c r="E13" s="45">
        <f>COUNTIFS(L1L2!$M:$M,$B13,L1L2!$L:$L,$E$1)</f>
        <v>5</v>
      </c>
      <c r="F13" s="45">
        <f>IF(AND(H13=1,D13&gt;=2),9,IF(D13&gt;=3,9,0))</f>
        <v>9</v>
      </c>
      <c r="G13" s="45">
        <f>IF(AND(H13=1,E13&gt;=2),3,IF(E13&gt;3,3,E13))</f>
        <v>3</v>
      </c>
      <c r="H13" s="46">
        <f>IF(ISNUMBER(SEARCH("M", C13)), 1, 0)</f>
        <v>0</v>
      </c>
      <c r="I13" s="47" t="str">
        <f>VLOOKUP(B13,Sheet1!$A:$E,5,FALSE)</f>
        <v>บจก.เจริญภัณฑ์ผลิตคอนกรีต</v>
      </c>
    </row>
    <row r="14" spans="1:10" ht="17.5" thickBot="1">
      <c r="A14" s="43" t="s">
        <v>2876</v>
      </c>
      <c r="B14" s="44" t="s">
        <v>1242</v>
      </c>
      <c r="C14" s="44" t="s">
        <v>1311</v>
      </c>
      <c r="D14" s="45">
        <f>COUNTIF(L1L2!$M:$M,$B14)</f>
        <v>3</v>
      </c>
      <c r="E14" s="45">
        <f>COUNTIFS(L1L2!$M:$M,$B14,L1L2!$L:$L,$E$1)</f>
        <v>3</v>
      </c>
      <c r="F14" s="45">
        <f>IF(AND(H14=1,D14&gt;=2),9,IF(D14&gt;=3,9,0))</f>
        <v>9</v>
      </c>
      <c r="G14" s="45">
        <f>IF(AND(H14=1,E14&gt;=2),3,IF(E14&gt;3,3,E14))</f>
        <v>3</v>
      </c>
      <c r="H14" s="46">
        <f>IF(ISNUMBER(SEARCH("M", C14)), 1, 0)</f>
        <v>0</v>
      </c>
      <c r="I14" s="47" t="str">
        <f>VLOOKUP(B14,Sheet1!$A:$E,5,FALSE)</f>
        <v>บจก.เจริญภัณฑ์ผลิตคอนกรีต</v>
      </c>
    </row>
    <row r="15" spans="1:10" ht="17.5" thickBot="1">
      <c r="A15" s="50" t="s">
        <v>2946</v>
      </c>
      <c r="B15" s="51" t="s">
        <v>412</v>
      </c>
      <c r="C15" s="51" t="s">
        <v>413</v>
      </c>
      <c r="D15" s="52">
        <f>COUNTIF(L1L2!$M:$M,$B15)</f>
        <v>2</v>
      </c>
      <c r="E15" s="52">
        <f>COUNTIFS(L1L2!$M:$M,$B15,L1L2!$L:$L,$E$1)</f>
        <v>1</v>
      </c>
      <c r="F15" s="52">
        <f>IF(AND(H15=1,D15&gt;=2),9,IF(D15&gt;=3,9,0))</f>
        <v>0</v>
      </c>
      <c r="G15" s="52">
        <f>IF(AND(H15=1,E15&gt;=2),3,IF(E15&gt;3,3,E15))</f>
        <v>1</v>
      </c>
      <c r="H15" s="53">
        <f>IF(ISNUMBER(SEARCH("M", C15)), 1, 0)</f>
        <v>0</v>
      </c>
      <c r="I15" s="54" t="str">
        <f>VLOOKUP(B15,Sheet1!$A:$E,5,FALSE)</f>
        <v>บจก.เจริญสหกิจหัวไทร</v>
      </c>
    </row>
    <row r="16" spans="1:10" ht="17.5" thickBot="1">
      <c r="A16" s="50" t="s">
        <v>2946</v>
      </c>
      <c r="B16" s="51" t="s">
        <v>378</v>
      </c>
      <c r="C16" s="51" t="s">
        <v>3084</v>
      </c>
      <c r="D16" s="52">
        <f>COUNTIF(L1L2!$M:$M,$B16)</f>
        <v>0</v>
      </c>
      <c r="E16" s="52">
        <f>COUNTIFS(L1L2!$M:$M,$B16,L1L2!$L:$L,$E$1)</f>
        <v>0</v>
      </c>
      <c r="F16" s="52">
        <f>IF(AND(H16=1,D16&gt;=2),9,IF(D16&gt;=3,9,0))</f>
        <v>0</v>
      </c>
      <c r="G16" s="52">
        <f>IF(AND(H16=1,E16&gt;=2),3,IF(E16&gt;3,3,E16))</f>
        <v>0</v>
      </c>
      <c r="H16" s="53">
        <f>IF(ISNUMBER(SEARCH("M", C16)), 1, 0)</f>
        <v>0</v>
      </c>
      <c r="I16" s="54" t="str">
        <f>VLOOKUP(B16,Sheet1!$A:$E,5,FALSE)</f>
        <v>บจก.เจริญสหกิจหัวไทร</v>
      </c>
    </row>
    <row r="17" spans="1:9" ht="17.5" thickBot="1">
      <c r="A17" s="50" t="s">
        <v>2946</v>
      </c>
      <c r="B17" s="51" t="s">
        <v>394</v>
      </c>
      <c r="C17" s="51" t="s">
        <v>395</v>
      </c>
      <c r="D17" s="52">
        <f>COUNTIF(L1L2!$M:$M,$B17)</f>
        <v>2</v>
      </c>
      <c r="E17" s="52">
        <f>COUNTIFS(L1L2!$M:$M,$B17,L1L2!$L:$L,$E$1)</f>
        <v>2</v>
      </c>
      <c r="F17" s="52">
        <f>IF(AND(H17=1,D17&gt;=2),9,IF(D17&gt;=3,9,0))</f>
        <v>0</v>
      </c>
      <c r="G17" s="52">
        <f>IF(AND(H17=1,E17&gt;=2),3,IF(E17&gt;3,3,E17))</f>
        <v>2</v>
      </c>
      <c r="H17" s="53">
        <f>IF(ISNUMBER(SEARCH("M", C17)), 1, 0)</f>
        <v>0</v>
      </c>
      <c r="I17" s="54" t="str">
        <f>VLOOKUP(B17,Sheet1!$A:$E,5,FALSE)</f>
        <v>บจก.เจริญสหกิจหัวไทร</v>
      </c>
    </row>
    <row r="18" spans="1:9" ht="17.5" thickBot="1">
      <c r="A18" s="50" t="s">
        <v>2946</v>
      </c>
      <c r="B18" s="51" t="s">
        <v>384</v>
      </c>
      <c r="C18" s="51" t="s">
        <v>385</v>
      </c>
      <c r="D18" s="52">
        <f>COUNTIF(L1L2!$M:$M,$B18)</f>
        <v>0</v>
      </c>
      <c r="E18" s="52">
        <f>COUNTIFS(L1L2!$M:$M,$B18,L1L2!$L:$L,$E$1)</f>
        <v>0</v>
      </c>
      <c r="F18" s="52">
        <f>IF(AND(H18=1,D18&gt;=2),9,IF(D18&gt;=3,9,0))</f>
        <v>0</v>
      </c>
      <c r="G18" s="52">
        <f>IF(AND(H18=1,E18&gt;=2),3,IF(E18&gt;3,3,E18))</f>
        <v>0</v>
      </c>
      <c r="H18" s="53">
        <f>IF(ISNUMBER(SEARCH("M", C18)), 1, 0)</f>
        <v>0</v>
      </c>
      <c r="I18" s="54" t="str">
        <f>VLOOKUP(B18,Sheet1!$A:$E,5,FALSE)</f>
        <v>บจก.เจริญสหกิจหัวไทร</v>
      </c>
    </row>
    <row r="19" spans="1:9" ht="17.5" thickBot="1">
      <c r="A19" s="50" t="s">
        <v>2946</v>
      </c>
      <c r="B19" s="51" t="s">
        <v>396</v>
      </c>
      <c r="C19" s="51" t="s">
        <v>1397</v>
      </c>
      <c r="D19" s="52">
        <f>COUNTIF(L1L2!$M:$M,$B19)</f>
        <v>1</v>
      </c>
      <c r="E19" s="52">
        <f>COUNTIFS(L1L2!$M:$M,$B19,L1L2!$L:$L,$E$1)</f>
        <v>1</v>
      </c>
      <c r="F19" s="52">
        <f>IF(AND(H19=1,D19&gt;=2),9,IF(D19&gt;=3,9,0))</f>
        <v>0</v>
      </c>
      <c r="G19" s="52">
        <f>IF(AND(H19=1,E19&gt;=2),3,IF(E19&gt;3,3,E19))</f>
        <v>1</v>
      </c>
      <c r="H19" s="53">
        <f>IF(ISNUMBER(SEARCH("M", C19)), 1, 0)</f>
        <v>0</v>
      </c>
      <c r="I19" s="54" t="str">
        <f>VLOOKUP(B19,Sheet1!$A:$E,5,FALSE)</f>
        <v>บจก.เจริญสหกิจหัวไทร</v>
      </c>
    </row>
    <row r="20" spans="1:9" ht="17.5" thickBot="1">
      <c r="A20" s="50" t="s">
        <v>2946</v>
      </c>
      <c r="B20" s="51" t="s">
        <v>376</v>
      </c>
      <c r="C20" s="51" t="s">
        <v>377</v>
      </c>
      <c r="D20" s="52">
        <f>COUNTIF(L1L2!$M:$M,$B20)</f>
        <v>2</v>
      </c>
      <c r="E20" s="52">
        <f>COUNTIFS(L1L2!$M:$M,$B20,L1L2!$L:$L,$E$1)</f>
        <v>2</v>
      </c>
      <c r="F20" s="52">
        <f>IF(AND(H20=1,D20&gt;=2),9,IF(D20&gt;=3,9,0))</f>
        <v>0</v>
      </c>
      <c r="G20" s="52">
        <f>IF(AND(H20=1,E20&gt;=2),3,IF(E20&gt;3,3,E20))</f>
        <v>2</v>
      </c>
      <c r="H20" s="53">
        <f>IF(ISNUMBER(SEARCH("M", C20)), 1, 0)</f>
        <v>0</v>
      </c>
      <c r="I20" s="54" t="str">
        <f>VLOOKUP(B20,Sheet1!$A:$E,5,FALSE)</f>
        <v>บจก.เจริญสหกิจหัวไทร</v>
      </c>
    </row>
    <row r="21" spans="1:9" ht="17.5" thickBot="1">
      <c r="A21" s="50" t="s">
        <v>2946</v>
      </c>
      <c r="B21" s="51" t="s">
        <v>354</v>
      </c>
      <c r="C21" s="51" t="s">
        <v>355</v>
      </c>
      <c r="D21" s="52">
        <f>COUNTIF(L1L2!$M:$M,$B21)</f>
        <v>0</v>
      </c>
      <c r="E21" s="52">
        <f>COUNTIFS(L1L2!$M:$M,$B21,L1L2!$L:$L,$E$1)</f>
        <v>0</v>
      </c>
      <c r="F21" s="52">
        <f>IF(AND(H21=1,D21&gt;=2),9,IF(D21&gt;=3,9,0))</f>
        <v>0</v>
      </c>
      <c r="G21" s="52">
        <f>IF(AND(H21=1,E21&gt;=2),3,IF(E21&gt;3,3,E21))</f>
        <v>0</v>
      </c>
      <c r="H21" s="53">
        <f>IF(ISNUMBER(SEARCH("M", C21)), 1, 0)</f>
        <v>0</v>
      </c>
      <c r="I21" s="54" t="str">
        <f>VLOOKUP(B21,Sheet1!$A:$E,5,FALSE)</f>
        <v>บจก.เจริญสหกิจหัวไทร</v>
      </c>
    </row>
    <row r="22" spans="1:9" ht="17.5" thickBot="1">
      <c r="A22" s="27" t="s">
        <v>2876</v>
      </c>
      <c r="B22" s="28" t="s">
        <v>1240</v>
      </c>
      <c r="C22" s="28" t="s">
        <v>3072</v>
      </c>
      <c r="D22" s="31">
        <f>COUNTIF(L1L2!$M:$M,$B22)</f>
        <v>6</v>
      </c>
      <c r="E22" s="31">
        <f>COUNTIFS(L1L2!$M:$M,$B22,L1L2!$L:$L,$E$1)</f>
        <v>6</v>
      </c>
      <c r="F22" s="31">
        <f>IF(AND(H22=1,D22&gt;=2),9,IF(D22&gt;=3,9,0))</f>
        <v>9</v>
      </c>
      <c r="G22" s="31">
        <f>IF(AND(H22=1,E22&gt;=2),3,IF(E22&gt;3,3,E22))</f>
        <v>3</v>
      </c>
      <c r="H22" s="33">
        <f>IF(ISNUMBER(SEARCH("M", C22)), 1, 0)</f>
        <v>1</v>
      </c>
      <c r="I22" s="29" t="str">
        <f>VLOOKUP(B22,Sheet1!$A:$E,5,FALSE)</f>
        <v>บจก.เทพนว</v>
      </c>
    </row>
    <row r="23" spans="1:9" ht="17.5" thickBot="1">
      <c r="A23" s="27" t="s">
        <v>2871</v>
      </c>
      <c r="B23" s="28" t="s">
        <v>256</v>
      </c>
      <c r="C23" s="28" t="s">
        <v>257</v>
      </c>
      <c r="D23" s="31">
        <f>COUNTIF(L1L2!$M:$M,$B23)</f>
        <v>3</v>
      </c>
      <c r="E23" s="31">
        <f>COUNTIFS(L1L2!$M:$M,$B23,L1L2!$L:$L,$E$1)</f>
        <v>3</v>
      </c>
      <c r="F23" s="31">
        <f>IF(AND(H23=1,D23&gt;=2),9,IF(D23&gt;=3,9,0))</f>
        <v>9</v>
      </c>
      <c r="G23" s="31">
        <f>IF(AND(H23=1,E23&gt;=2),3,IF(E23&gt;3,3,E23))</f>
        <v>3</v>
      </c>
      <c r="H23" s="33">
        <f>IF(ISNUMBER(SEARCH("M", C23)), 1, 0)</f>
        <v>0</v>
      </c>
      <c r="I23" s="29" t="str">
        <f>VLOOKUP(B23,Sheet1!$A:$E,5,FALSE)</f>
        <v>บจก.เบญจพลชัยคอนกรีต</v>
      </c>
    </row>
    <row r="24" spans="1:9" ht="17.5" thickBot="1">
      <c r="A24" s="27" t="s">
        <v>3109</v>
      </c>
      <c r="B24" s="28" t="s">
        <v>1232</v>
      </c>
      <c r="C24" s="28" t="s">
        <v>3117</v>
      </c>
      <c r="D24" s="31">
        <f>COUNTIF(L1L2!$M:$M,$B24)</f>
        <v>5</v>
      </c>
      <c r="E24" s="31">
        <f>COUNTIFS(L1L2!$M:$M,$B24,L1L2!$L:$L,$E$1)</f>
        <v>5</v>
      </c>
      <c r="F24" s="31">
        <f>IF(AND(H24=1,D24&gt;=2),9,IF(D24&gt;=3,9,0))</f>
        <v>9</v>
      </c>
      <c r="G24" s="31">
        <f>IF(AND(H24=1,E24&gt;=2),3,IF(E24&gt;3,3,E24))</f>
        <v>3</v>
      </c>
      <c r="H24" s="33">
        <f>IF(ISNUMBER(SEARCH("M", C24)), 1, 0)</f>
        <v>1</v>
      </c>
      <c r="I24" s="29" t="str">
        <f>VLOOKUP(B24,Sheet1!$A:$E,5,FALSE)</f>
        <v>บจก.เป เป้ คอนกรีต</v>
      </c>
    </row>
    <row r="25" spans="1:9" ht="17.5" thickBot="1">
      <c r="A25" s="55" t="s">
        <v>3109</v>
      </c>
      <c r="B25" s="56" t="s">
        <v>566</v>
      </c>
      <c r="C25" s="56" t="s">
        <v>567</v>
      </c>
      <c r="D25" s="57">
        <f>COUNTIF(L1L2!$M:$M,$B25)</f>
        <v>3</v>
      </c>
      <c r="E25" s="57">
        <f>COUNTIFS(L1L2!$M:$M,$B25,L1L2!$L:$L,$E$1)</f>
        <v>3</v>
      </c>
      <c r="F25" s="57">
        <f>IF(AND(H25=1,D25&gt;=2),9,IF(D25&gt;=3,9,0))</f>
        <v>9</v>
      </c>
      <c r="G25" s="57">
        <f>IF(AND(H25=1,E25&gt;=2),3,IF(E25&gt;3,3,E25))</f>
        <v>3</v>
      </c>
      <c r="H25" s="58">
        <f>IF(ISNUMBER(SEARCH("M", C25)), 1, 0)</f>
        <v>0</v>
      </c>
      <c r="I25" s="59" t="str">
        <f>VLOOKUP(B25,Sheet1!$A:$E,5,FALSE)</f>
        <v>บจก.เมโทรพาวเวอร์คอนกรีต</v>
      </c>
    </row>
    <row r="26" spans="1:9" ht="17.5" thickBot="1">
      <c r="A26" s="55" t="s">
        <v>3109</v>
      </c>
      <c r="B26" s="56" t="s">
        <v>686</v>
      </c>
      <c r="C26" s="56" t="s">
        <v>687</v>
      </c>
      <c r="D26" s="57">
        <f>COUNTIF(L1L2!$M:$M,$B26)</f>
        <v>3</v>
      </c>
      <c r="E26" s="57">
        <f>COUNTIFS(L1L2!$M:$M,$B26,L1L2!$L:$L,$E$1)</f>
        <v>3</v>
      </c>
      <c r="F26" s="57">
        <f>IF(AND(H26=1,D26&gt;=2),9,IF(D26&gt;=3,9,0))</f>
        <v>9</v>
      </c>
      <c r="G26" s="57">
        <f>IF(AND(H26=1,E26&gt;=2),3,IF(E26&gt;3,3,E26))</f>
        <v>3</v>
      </c>
      <c r="H26" s="58">
        <f>IF(ISNUMBER(SEARCH("M", C26)), 1, 0)</f>
        <v>0</v>
      </c>
      <c r="I26" s="59" t="str">
        <f>VLOOKUP(B26,Sheet1!$A:$E,5,FALSE)</f>
        <v>บจก.เมโทรพาวเวอร์คอนกรีต</v>
      </c>
    </row>
    <row r="27" spans="1:9" ht="17.5" thickBot="1">
      <c r="A27" s="50" t="s">
        <v>2876</v>
      </c>
      <c r="B27" s="51" t="s">
        <v>532</v>
      </c>
      <c r="C27" s="51" t="s">
        <v>533</v>
      </c>
      <c r="D27" s="66">
        <f>COUNTIF(L1L2!$M:$M,$B27)</f>
        <v>3</v>
      </c>
      <c r="E27" s="52">
        <f>COUNTIFS(L1L2!$M:$M,$B27,L1L2!$L:$L,$E$1)</f>
        <v>2</v>
      </c>
      <c r="F27" s="52">
        <f>IF(AND(H27=1,D27&gt;=2),9,IF(D27&gt;=3,9,0))</f>
        <v>9</v>
      </c>
      <c r="G27" s="52">
        <f>IF(AND(H27=1,E27&gt;=2),3,IF(E27&gt;3,3,E27))</f>
        <v>2</v>
      </c>
      <c r="H27" s="53">
        <f>IF(ISNUMBER(SEARCH("M", C27)), 1, 0)</f>
        <v>0</v>
      </c>
      <c r="I27" s="54" t="str">
        <f>VLOOKUP(B27,Sheet1!$A:$E,5,FALSE)</f>
        <v>บจก.เม็งรายคอนกรีต</v>
      </c>
    </row>
    <row r="28" spans="1:9" ht="17.5" thickBot="1">
      <c r="A28" s="50" t="s">
        <v>2876</v>
      </c>
      <c r="B28" s="51" t="s">
        <v>436</v>
      </c>
      <c r="C28" s="51" t="s">
        <v>437</v>
      </c>
      <c r="D28" s="66">
        <f>COUNTIF(L1L2!$M:$M,$B28)</f>
        <v>3</v>
      </c>
      <c r="E28" s="52">
        <f>COUNTIFS(L1L2!$M:$M,$B28,L1L2!$L:$L,$E$1)</f>
        <v>2</v>
      </c>
      <c r="F28" s="52">
        <f>IF(AND(H28=1,D28&gt;=2),9,IF(D28&gt;=3,9,0))</f>
        <v>9</v>
      </c>
      <c r="G28" s="52">
        <f>IF(AND(H28=1,E28&gt;=2),3,IF(E28&gt;3,3,E28))</f>
        <v>2</v>
      </c>
      <c r="H28" s="53">
        <f>IF(ISNUMBER(SEARCH("M", C28)), 1, 0)</f>
        <v>0</v>
      </c>
      <c r="I28" s="54" t="str">
        <f>VLOOKUP(B28,Sheet1!$A:$E,5,FALSE)</f>
        <v>บจก.เม็งรายคอนกรีต</v>
      </c>
    </row>
    <row r="29" spans="1:9" ht="17.5" thickBot="1">
      <c r="A29" s="50" t="s">
        <v>2876</v>
      </c>
      <c r="B29" s="51" t="s">
        <v>428</v>
      </c>
      <c r="C29" s="51" t="s">
        <v>429</v>
      </c>
      <c r="D29" s="52">
        <f>COUNTIF(L1L2!$M:$M,$B29)</f>
        <v>3</v>
      </c>
      <c r="E29" s="52">
        <f>COUNTIFS(L1L2!$M:$M,$B29,L1L2!$L:$L,$E$1)</f>
        <v>2</v>
      </c>
      <c r="F29" s="52">
        <f>IF(AND(H29=1,D29&gt;=2),9,IF(D29&gt;=3,9,0))</f>
        <v>9</v>
      </c>
      <c r="G29" s="52">
        <f>IF(AND(H29=1,E29&gt;=2),3,IF(E29&gt;3,3,E29))</f>
        <v>2</v>
      </c>
      <c r="H29" s="53">
        <f>IF(ISNUMBER(SEARCH("M", C29)), 1, 0)</f>
        <v>0</v>
      </c>
      <c r="I29" s="54" t="str">
        <f>VLOOKUP(B29,Sheet1!$A:$E,5,FALSE)</f>
        <v>บจก.เม็งรายคอนกรีต</v>
      </c>
    </row>
    <row r="30" spans="1:9" ht="17.5" thickBot="1">
      <c r="A30" s="27" t="s">
        <v>2876</v>
      </c>
      <c r="B30" s="28" t="s">
        <v>1244</v>
      </c>
      <c r="C30" s="28" t="s">
        <v>3073</v>
      </c>
      <c r="D30" s="31">
        <f>COUNTIF(L1L2!$M:$M,$B30)</f>
        <v>3</v>
      </c>
      <c r="E30" s="31">
        <f>COUNTIFS(L1L2!$M:$M,$B30,L1L2!$L:$L,$E$1)</f>
        <v>1</v>
      </c>
      <c r="F30" s="31">
        <f>IF(AND(H30=1,D30&gt;=2),9,IF(D30&gt;=3,9,0))</f>
        <v>9</v>
      </c>
      <c r="G30" s="31">
        <f>IF(AND(H30=1,E30&gt;=2),3,IF(E30&gt;3,3,E30))</f>
        <v>1</v>
      </c>
      <c r="H30" s="33">
        <f>IF(ISNUMBER(SEARCH("M", C30)), 1, 0)</f>
        <v>0</v>
      </c>
      <c r="I30" s="29" t="str">
        <f>VLOOKUP(B30,Sheet1!$A:$E,5,FALSE)</f>
        <v>บจก.เอ็น.ดี.พี.เอ็นจิเนียริ่ง</v>
      </c>
    </row>
    <row r="31" spans="1:9" ht="17.5" thickBot="1">
      <c r="A31" s="27" t="s">
        <v>2855</v>
      </c>
      <c r="B31" s="28" t="s">
        <v>726</v>
      </c>
      <c r="C31" s="28" t="s">
        <v>3092</v>
      </c>
      <c r="D31" s="31">
        <f>COUNTIF(L1L2!$M:$M,$B31)</f>
        <v>3</v>
      </c>
      <c r="E31" s="31">
        <f>COUNTIFS(L1L2!$M:$M,$B31,L1L2!$L:$L,$E$1)</f>
        <v>3</v>
      </c>
      <c r="F31" s="31">
        <f>IF(AND(H31=1,D31&gt;=2),9,IF(D31&gt;=3,9,0))</f>
        <v>9</v>
      </c>
      <c r="G31" s="31">
        <f>IF(AND(H31=1,E31&gt;=2),3,IF(E31&gt;3,3,E31))</f>
        <v>3</v>
      </c>
      <c r="H31" s="33">
        <f>IF(ISNUMBER(SEARCH("M", C31)), 1, 0)</f>
        <v>0</v>
      </c>
      <c r="I31" s="29" t="str">
        <f>VLOOKUP(B31,Sheet1!$A:$E,5,FALSE)</f>
        <v>บจก.เอส.เอส.พี (072) คอนสตรัคชั่น</v>
      </c>
    </row>
    <row r="32" spans="1:9" ht="17.5" thickBot="1">
      <c r="A32" s="27" t="s">
        <v>3109</v>
      </c>
      <c r="B32" s="28" t="s">
        <v>672</v>
      </c>
      <c r="C32" s="28" t="s">
        <v>673</v>
      </c>
      <c r="D32" s="31">
        <f>COUNTIF(L1L2!$M:$M,$B32)</f>
        <v>2</v>
      </c>
      <c r="E32" s="31">
        <f>COUNTIFS(L1L2!$M:$M,$B32,L1L2!$L:$L,$E$1)</f>
        <v>2</v>
      </c>
      <c r="F32" s="31">
        <f>IF(AND(H32=1,D32&gt;=2),9,IF(D32&gt;=3,9,0))</f>
        <v>0</v>
      </c>
      <c r="G32" s="31">
        <f>IF(AND(H32=1,E32&gt;=2),3,IF(E32&gt;3,3,E32))</f>
        <v>2</v>
      </c>
      <c r="H32" s="33">
        <f>IF(ISNUMBER(SEARCH("M", C32)), 1, 0)</f>
        <v>0</v>
      </c>
      <c r="I32" s="29" t="str">
        <f>VLOOKUP(B32,Sheet1!$A:$E,5,FALSE)</f>
        <v>บจก.แซ่หวัง(ปักกิ่ง)คอนกรีต</v>
      </c>
    </row>
    <row r="33" spans="1:10" ht="17.5" thickBot="1">
      <c r="A33" s="27" t="s">
        <v>2861</v>
      </c>
      <c r="B33" s="28" t="s">
        <v>3097</v>
      </c>
      <c r="C33" s="28" t="s">
        <v>3098</v>
      </c>
      <c r="D33" s="31">
        <f>COUNTIF(L1L2!$M:$M,$B33)</f>
        <v>0</v>
      </c>
      <c r="E33" s="31">
        <f>COUNTIFS(L1L2!$M:$M,$B33,L1L2!$L:$L,$E$1)</f>
        <v>0</v>
      </c>
      <c r="F33" s="31">
        <f>IF(AND(H33=1,D33&gt;=2),9,IF(D33&gt;=3,9,0))</f>
        <v>0</v>
      </c>
      <c r="G33" s="31">
        <f>IF(AND(H33=1,E33&gt;=2),3,IF(E33&gt;3,3,E33))</f>
        <v>0</v>
      </c>
      <c r="H33" s="33">
        <f>IF(ISNUMBER(SEARCH("M", C33)), 1, 0)</f>
        <v>0</v>
      </c>
      <c r="I33" s="29" t="str">
        <f>VLOOKUP(B33,Sheet1!$A:$E,5,FALSE)</f>
        <v>บจก.แปลงยาว คอนกรีต</v>
      </c>
    </row>
    <row r="34" spans="1:10" ht="17.5" thickBot="1">
      <c r="A34" s="27" t="s">
        <v>2946</v>
      </c>
      <c r="B34" s="28" t="s">
        <v>1238</v>
      </c>
      <c r="C34" s="28" t="s">
        <v>1403</v>
      </c>
      <c r="D34" s="31">
        <f>COUNTIF(L1L2!$M:$M,$B34)</f>
        <v>0</v>
      </c>
      <c r="E34" s="31">
        <f>COUNTIFS(L1L2!$M:$M,$B34,L1L2!$L:$L,$E$1)</f>
        <v>0</v>
      </c>
      <c r="F34" s="31">
        <f>IF(AND(H34=1,D34&gt;=2),9,IF(D34&gt;=3,9,0))</f>
        <v>0</v>
      </c>
      <c r="G34" s="31">
        <f>IF(AND(H34=1,E34&gt;=2),3,IF(E34&gt;3,3,E34))</f>
        <v>0</v>
      </c>
      <c r="H34" s="33">
        <f>IF(ISNUMBER(SEARCH("M", C34)), 1, 0)</f>
        <v>0</v>
      </c>
      <c r="I34" s="29" t="str">
        <f>VLOOKUP(B34,Sheet1!$A:$E,5,FALSE)</f>
        <v>บจก.โยธาวิทย์ โฮมเซ็นเตอร์</v>
      </c>
    </row>
    <row r="35" spans="1:10" ht="17.5" thickBot="1">
      <c r="A35" s="50" t="s">
        <v>2946</v>
      </c>
      <c r="B35" s="51" t="s">
        <v>406</v>
      </c>
      <c r="C35" s="51" t="s">
        <v>407</v>
      </c>
      <c r="D35" s="52">
        <f>COUNTIF(L1L2!$M:$M,$B35)</f>
        <v>3</v>
      </c>
      <c r="E35" s="52">
        <f>COUNTIFS(L1L2!$M:$M,$B35,L1L2!$L:$L,$E$1)</f>
        <v>3</v>
      </c>
      <c r="F35" s="52">
        <f>IF(AND(H35=1,D35&gt;=2),9,IF(D35&gt;=3,9,0))</f>
        <v>9</v>
      </c>
      <c r="G35" s="52">
        <f>IF(AND(H35=1,E35&gt;=2),3,IF(E35&gt;3,3,E35))</f>
        <v>3</v>
      </c>
      <c r="H35" s="53">
        <f>IF(ISNUMBER(SEARCH("M", C35)), 1, 0)</f>
        <v>0</v>
      </c>
      <c r="I35" s="54" t="str">
        <f>VLOOKUP(B35,Sheet1!$A:$E,5,FALSE)</f>
        <v>บจก.ไชยาคอนกรีต</v>
      </c>
    </row>
    <row r="36" spans="1:10" ht="17.5" thickBot="1">
      <c r="A36" s="50" t="s">
        <v>2946</v>
      </c>
      <c r="B36" s="51" t="s">
        <v>358</v>
      </c>
      <c r="C36" s="51" t="s">
        <v>359</v>
      </c>
      <c r="D36" s="52">
        <f>COUNTIF(L1L2!$M:$M,$B36)</f>
        <v>3</v>
      </c>
      <c r="E36" s="52">
        <f>COUNTIFS(L1L2!$M:$M,$B36,L1L2!$L:$L,$E$1)</f>
        <v>1</v>
      </c>
      <c r="F36" s="52">
        <f>IF(AND(H36=1,D36&gt;=2),9,IF(D36&gt;=3,9,0))</f>
        <v>9</v>
      </c>
      <c r="G36" s="52">
        <f>IF(AND(H36=1,E36&gt;=2),3,IF(E36&gt;3,3,E36))</f>
        <v>1</v>
      </c>
      <c r="H36" s="53">
        <f>IF(ISNUMBER(SEARCH("M", C36)), 1, 0)</f>
        <v>0</v>
      </c>
      <c r="I36" s="54" t="str">
        <f>VLOOKUP(B36,Sheet1!$A:$E,5,FALSE)</f>
        <v>บจก.ไชยาคอนกรีต</v>
      </c>
    </row>
    <row r="37" spans="1:10" ht="17.5" thickBot="1">
      <c r="A37" s="55" t="s">
        <v>3109</v>
      </c>
      <c r="B37" s="60" t="s">
        <v>638</v>
      </c>
      <c r="C37" s="60" t="s">
        <v>3118</v>
      </c>
      <c r="D37" s="57">
        <f>COUNTIF(L1L2!$M:$M,$B37)</f>
        <v>3</v>
      </c>
      <c r="E37" s="57">
        <f>COUNTIFS(L1L2!$M:$M,$B37,L1L2!$L:$L,$E$1)</f>
        <v>2</v>
      </c>
      <c r="F37" s="57">
        <f>IF(AND(H37=1,D37&gt;=2),9,IF(D37&gt;=3,9,0))</f>
        <v>9</v>
      </c>
      <c r="G37" s="57">
        <f>IF(AND(H37=1,E37&gt;=2),3,IF(E37&gt;3,3,E37))</f>
        <v>2</v>
      </c>
      <c r="H37" s="58">
        <f>IF(ISNUMBER(SEARCH("M", C37)), 1, 0)</f>
        <v>0</v>
      </c>
      <c r="I37" s="59" t="str">
        <f>VLOOKUP(B37,Sheet1!$A:$E,5,FALSE)</f>
        <v>บจก.กนกนภาคอนกรีต</v>
      </c>
    </row>
    <row r="38" spans="1:10" ht="17.5" thickBot="1">
      <c r="A38" s="55" t="s">
        <v>3109</v>
      </c>
      <c r="B38" s="60" t="s">
        <v>700</v>
      </c>
      <c r="C38" s="60" t="s">
        <v>701</v>
      </c>
      <c r="D38" s="57">
        <f>COUNTIF(L1L2!$M:$M,$B38)</f>
        <v>4</v>
      </c>
      <c r="E38" s="57">
        <f>COUNTIFS(L1L2!$M:$M,$B38,L1L2!$L:$L,$E$1)</f>
        <v>3</v>
      </c>
      <c r="F38" s="57">
        <f>IF(AND(H38=1,D38&gt;=2),9,IF(D38&gt;=3,9,0))</f>
        <v>9</v>
      </c>
      <c r="G38" s="57">
        <f>IF(AND(H38=1,E38&gt;=2),3,IF(E38&gt;3,3,E38))</f>
        <v>3</v>
      </c>
      <c r="H38" s="58">
        <f>IF(ISNUMBER(SEARCH("M", C38)), 1, 0)</f>
        <v>0</v>
      </c>
      <c r="I38" s="59" t="str">
        <f>VLOOKUP(B38,Sheet1!$A:$E,5,FALSE)</f>
        <v>บจก.กนกนภาคอนกรีต</v>
      </c>
    </row>
    <row r="39" spans="1:10" ht="17.5" thickBot="1">
      <c r="A39" s="55" t="s">
        <v>3109</v>
      </c>
      <c r="B39" s="60" t="s">
        <v>1229</v>
      </c>
      <c r="C39" s="60" t="s">
        <v>3119</v>
      </c>
      <c r="D39" s="57">
        <f>COUNTIF(L1L2!$M:$M,$B39)</f>
        <v>3</v>
      </c>
      <c r="E39" s="57">
        <f>COUNTIFS(L1L2!$M:$M,$B39,L1L2!$L:$L,$E$1)</f>
        <v>2</v>
      </c>
      <c r="F39" s="57">
        <f>IF(AND(H39=1,D39&gt;=2),9,IF(D39&gt;=3,9,0))</f>
        <v>9</v>
      </c>
      <c r="G39" s="57">
        <f>IF(AND(H39=1,E39&gt;=2),3,IF(E39&gt;3,3,E39))</f>
        <v>2</v>
      </c>
      <c r="H39" s="58">
        <f>IF(ISNUMBER(SEARCH("M", C39)), 1, 0)</f>
        <v>0</v>
      </c>
      <c r="I39" s="59" t="str">
        <f>VLOOKUP(B39,Sheet1!$A:$E,5,FALSE)</f>
        <v>บจก.กนกนภาคอนกรีต</v>
      </c>
    </row>
    <row r="40" spans="1:10" ht="17.5" thickBot="1">
      <c r="A40" s="27" t="s">
        <v>2861</v>
      </c>
      <c r="B40" s="28" t="s">
        <v>336</v>
      </c>
      <c r="C40" s="28" t="s">
        <v>337</v>
      </c>
      <c r="D40" s="31">
        <f>COUNTIF(L1L2!$M:$M,$B40)</f>
        <v>3</v>
      </c>
      <c r="E40" s="31">
        <f>COUNTIFS(L1L2!$M:$M,$B40,L1L2!$L:$L,$E$1)</f>
        <v>3</v>
      </c>
      <c r="F40" s="31">
        <f>IF(AND(H40=1,D40&gt;=2),9,IF(D40&gt;=3,9,0))</f>
        <v>9</v>
      </c>
      <c r="G40" s="31">
        <f>IF(AND(H40=1,E40&gt;=2),3,IF(E40&gt;3,3,E40))</f>
        <v>3</v>
      </c>
      <c r="H40" s="33">
        <f>IF(ISNUMBER(SEARCH("M", C40)), 1, 0)</f>
        <v>0</v>
      </c>
      <c r="I40" s="29" t="str">
        <f>VLOOKUP(B40,Sheet1!$A:$E,5,FALSE)</f>
        <v>บจก.กฤษฎ์ศุภณัฐ</v>
      </c>
    </row>
    <row r="41" spans="1:10" ht="17.5" thickBot="1">
      <c r="A41" s="55" t="s">
        <v>2871</v>
      </c>
      <c r="B41" s="60" t="s">
        <v>252</v>
      </c>
      <c r="C41" s="60" t="s">
        <v>253</v>
      </c>
      <c r="D41" s="66">
        <f>COUNTIF(L1L2!$M:$M,$B41)</f>
        <v>4</v>
      </c>
      <c r="E41" s="66">
        <f>COUNTIFS(L1L2!$M:$M,$B41,L1L2!$L:$L,$E$1)</f>
        <v>4</v>
      </c>
      <c r="F41" s="57">
        <f>IF(AND(H41=1,D41&gt;=2),9,IF(D41&gt;=3,9,0))</f>
        <v>9</v>
      </c>
      <c r="G41" s="57">
        <f>IF(AND(H41=1,E41&gt;=2),3,IF(E41&gt;3,3,E41))</f>
        <v>3</v>
      </c>
      <c r="H41" s="58">
        <f>IF(ISNUMBER(SEARCH("M", C41)), 1, 0)</f>
        <v>0</v>
      </c>
      <c r="I41" s="59" t="str">
        <f>VLOOKUP(B41,Sheet1!$A:$E,5,FALSE)</f>
        <v>บจก.กอวัฒนาคอนกรีต</v>
      </c>
    </row>
    <row r="42" spans="1:10" ht="17.5" thickBot="1">
      <c r="A42" s="55" t="s">
        <v>2871</v>
      </c>
      <c r="B42" s="60" t="s">
        <v>276</v>
      </c>
      <c r="C42" s="60" t="s">
        <v>277</v>
      </c>
      <c r="D42" s="66">
        <f>COUNTIF(L1L2!$M:$M,$B42)</f>
        <v>3</v>
      </c>
      <c r="E42" s="66">
        <f>COUNTIFS(L1L2!$M:$M,$B42,L1L2!$L:$L,$E$1)</f>
        <v>3</v>
      </c>
      <c r="F42" s="57">
        <f>IF(AND(H42=1,D42&gt;=2),9,IF(D42&gt;=3,9,0))</f>
        <v>9</v>
      </c>
      <c r="G42" s="57">
        <f>IF(AND(H42=1,E42&gt;=2),3,IF(E42&gt;3,3,E42))</f>
        <v>3</v>
      </c>
      <c r="H42" s="58">
        <f>IF(ISNUMBER(SEARCH("M", C42)), 1, 0)</f>
        <v>0</v>
      </c>
      <c r="I42" s="59" t="str">
        <f>VLOOKUP(B42,Sheet1!$A:$E,5,FALSE)</f>
        <v>บจก.กอวัฒนาคอนกรีต</v>
      </c>
      <c r="J42" s="29" t="s">
        <v>253</v>
      </c>
    </row>
    <row r="43" spans="1:10" ht="17.5" thickBot="1">
      <c r="A43" s="55" t="s">
        <v>2871</v>
      </c>
      <c r="B43" s="60" t="s">
        <v>1225</v>
      </c>
      <c r="C43" s="60" t="s">
        <v>3094</v>
      </c>
      <c r="D43" s="57">
        <f>COUNTIF(L1L2!$M:$M,$B43)</f>
        <v>3</v>
      </c>
      <c r="E43" s="57">
        <f>COUNTIFS(L1L2!$M:$M,$B43,L1L2!$L:$L,$E$1)</f>
        <v>3</v>
      </c>
      <c r="F43" s="57">
        <f>IF(AND(H43=1,D43&gt;=2),9,IF(D43&gt;=3,9,0))</f>
        <v>9</v>
      </c>
      <c r="G43" s="57">
        <f>IF(AND(H43=1,E43&gt;=2),3,IF(E43&gt;3,3,E43))</f>
        <v>3</v>
      </c>
      <c r="H43" s="58">
        <f>IF(ISNUMBER(SEARCH("M", C43)), 1, 0)</f>
        <v>0</v>
      </c>
      <c r="I43" s="59" t="str">
        <f>VLOOKUP(B43,Sheet1!$A:$E,5,FALSE)</f>
        <v>บจก.กอวัฒนาคอนกรีต</v>
      </c>
    </row>
    <row r="44" spans="1:10" ht="17.5" thickBot="1">
      <c r="A44" s="55" t="s">
        <v>2871</v>
      </c>
      <c r="B44" s="60" t="s">
        <v>2455</v>
      </c>
      <c r="C44" s="60" t="s">
        <v>2875</v>
      </c>
      <c r="D44" s="57">
        <f>COUNTIF(L1L2!$M:$M,$B44)</f>
        <v>3</v>
      </c>
      <c r="E44" s="57">
        <f>COUNTIFS(L1L2!$M:$M,$B44,L1L2!$L:$L,$E$1)</f>
        <v>2</v>
      </c>
      <c r="F44" s="57">
        <f>IF(AND(H44=1,D44&gt;=2),9,IF(D44&gt;=3,9,0))</f>
        <v>9</v>
      </c>
      <c r="G44" s="57">
        <f>IF(AND(H44=1,E44&gt;=2),3,IF(E44&gt;3,3,E44))</f>
        <v>2</v>
      </c>
      <c r="H44" s="58">
        <f>IF(ISNUMBER(SEARCH("M", C44)), 1, 0)</f>
        <v>0</v>
      </c>
      <c r="I44" s="59" t="str">
        <f>VLOOKUP(B44,Sheet1!$A:$E,5,FALSE)</f>
        <v>บจก.กอวัฒนาคอนกรีต</v>
      </c>
    </row>
    <row r="45" spans="1:10" ht="17.5" thickBot="1">
      <c r="A45" s="27" t="s">
        <v>3109</v>
      </c>
      <c r="B45" s="28" t="s">
        <v>710</v>
      </c>
      <c r="C45" s="28" t="s">
        <v>711</v>
      </c>
      <c r="D45" s="31">
        <f>COUNTIF(L1L2!$M:$M,$B45)</f>
        <v>11</v>
      </c>
      <c r="E45" s="31">
        <f>COUNTIFS(L1L2!$M:$M,$B45,L1L2!$L:$L,$E$1)</f>
        <v>11</v>
      </c>
      <c r="F45" s="31">
        <f>IF(AND(H45=1,D45&gt;=2),9,IF(D45&gt;=3,9,0))</f>
        <v>9</v>
      </c>
      <c r="G45" s="31">
        <f>IF(AND(H45=1,E45&gt;=2),3,IF(E45&gt;3,3,E45))</f>
        <v>3</v>
      </c>
      <c r="H45" s="33">
        <f>IF(ISNUMBER(SEARCH("M", C45)), 1, 0)</f>
        <v>0</v>
      </c>
      <c r="I45" s="29" t="str">
        <f>VLOOKUP(B45,Sheet1!$A:$E,5,FALSE)</f>
        <v>บจก.กิจเจริญชัย ธุรกิจคอนกรีต</v>
      </c>
    </row>
    <row r="46" spans="1:10" ht="17.5" thickBot="1">
      <c r="A46" s="27" t="s">
        <v>2946</v>
      </c>
      <c r="B46" s="28" t="s">
        <v>404</v>
      </c>
      <c r="C46" s="28" t="s">
        <v>405</v>
      </c>
      <c r="D46" s="31">
        <f>COUNTIF(L1L2!$M:$M,$B46)</f>
        <v>4</v>
      </c>
      <c r="E46" s="31">
        <f>COUNTIFS(L1L2!$M:$M,$B46,L1L2!$L:$L,$E$1)</f>
        <v>2</v>
      </c>
      <c r="F46" s="31">
        <f>IF(AND(H46=1,D46&gt;=2),9,IF(D46&gt;=3,9,0))</f>
        <v>9</v>
      </c>
      <c r="G46" s="31">
        <f>IF(AND(H46=1,E46&gt;=2),3,IF(E46&gt;3,3,E46))</f>
        <v>2</v>
      </c>
      <c r="H46" s="33">
        <f>IF(ISNUMBER(SEARCH("M", C46)), 1, 0)</f>
        <v>0</v>
      </c>
      <c r="I46" s="29" t="str">
        <f>VLOOKUP(B46,Sheet1!$A:$E,5,FALSE)</f>
        <v>บจก.คอนกรีตซีแพคระนอง</v>
      </c>
    </row>
    <row r="47" spans="1:10" ht="17.5" thickBot="1">
      <c r="A47" s="55" t="s">
        <v>3109</v>
      </c>
      <c r="B47" s="60" t="s">
        <v>3120</v>
      </c>
      <c r="C47" s="60" t="s">
        <v>3121</v>
      </c>
      <c r="D47" s="57">
        <f>COUNTIF(L1L2!$M:$M,$B47)</f>
        <v>0</v>
      </c>
      <c r="E47" s="57">
        <f>COUNTIFS(L1L2!$M:$M,$B47,L1L2!$L:$L,$E$1)</f>
        <v>0</v>
      </c>
      <c r="F47" s="57">
        <f>IF(AND(H47=1,D47&gt;=2),9,IF(D47&gt;=3,9,0))</f>
        <v>0</v>
      </c>
      <c r="G47" s="57">
        <f>IF(AND(H47=1,E47&gt;=2),3,IF(E47&gt;3,3,E47))</f>
        <v>0</v>
      </c>
      <c r="H47" s="58">
        <f>IF(ISNUMBER(SEARCH("M", C47)), 1, 0)</f>
        <v>0</v>
      </c>
      <c r="I47" s="59" t="str">
        <f>VLOOKUP(B47,Sheet1!$A:$E,5,FALSE)</f>
        <v>บจก.คูย่งฮวด (1995)</v>
      </c>
    </row>
    <row r="48" spans="1:10" ht="17.5" thickBot="1">
      <c r="A48" s="55" t="s">
        <v>3109</v>
      </c>
      <c r="B48" s="60" t="s">
        <v>624</v>
      </c>
      <c r="C48" s="60" t="s">
        <v>1344</v>
      </c>
      <c r="D48" s="57">
        <f>COUNTIF(L1L2!$M:$M,$B48)</f>
        <v>3</v>
      </c>
      <c r="E48" s="57">
        <f>COUNTIFS(L1L2!$M:$M,$B48,L1L2!$L:$L,$E$1)</f>
        <v>3</v>
      </c>
      <c r="F48" s="57">
        <f>IF(AND(H48=1,D48&gt;=2),9,IF(D48&gt;=3,9,0))</f>
        <v>9</v>
      </c>
      <c r="G48" s="57">
        <f>IF(AND(H48=1,E48&gt;=2),3,IF(E48&gt;3,3,E48))</f>
        <v>3</v>
      </c>
      <c r="H48" s="58">
        <f>IF(ISNUMBER(SEARCH("M", C48)), 1, 0)</f>
        <v>0</v>
      </c>
      <c r="I48" s="59" t="str">
        <f>VLOOKUP(B48,Sheet1!$A:$E,5,FALSE)</f>
        <v>บจก.คูย่งฮวด (1995)</v>
      </c>
    </row>
    <row r="49" spans="1:9" ht="17.5" thickBot="1">
      <c r="A49" s="55" t="s">
        <v>3109</v>
      </c>
      <c r="B49" s="60" t="s">
        <v>626</v>
      </c>
      <c r="C49" s="60" t="s">
        <v>627</v>
      </c>
      <c r="D49" s="57">
        <f>COUNTIF(L1L2!$M:$M,$B49)</f>
        <v>3</v>
      </c>
      <c r="E49" s="57">
        <f>COUNTIFS(L1L2!$M:$M,$B49,L1L2!$L:$L,$E$1)</f>
        <v>3</v>
      </c>
      <c r="F49" s="57">
        <f>IF(AND(H49=1,D49&gt;=2),9,IF(D49&gt;=3,9,0))</f>
        <v>9</v>
      </c>
      <c r="G49" s="57">
        <f>IF(AND(H49=1,E49&gt;=2),3,IF(E49&gt;3,3,E49))</f>
        <v>3</v>
      </c>
      <c r="H49" s="58">
        <f>IF(ISNUMBER(SEARCH("M", C49)), 1, 0)</f>
        <v>0</v>
      </c>
      <c r="I49" s="59" t="str">
        <f>VLOOKUP(B49,Sheet1!$A:$E,5,FALSE)</f>
        <v>บจก.คูย่งฮวด (1995)</v>
      </c>
    </row>
    <row r="50" spans="1:9" ht="17.5" thickBot="1">
      <c r="A50" s="55" t="s">
        <v>3109</v>
      </c>
      <c r="B50" s="60" t="s">
        <v>576</v>
      </c>
      <c r="C50" s="60" t="s">
        <v>577</v>
      </c>
      <c r="D50" s="57">
        <f>COUNTIF(L1L2!$M:$M,$B50)</f>
        <v>3</v>
      </c>
      <c r="E50" s="57">
        <f>COUNTIFS(L1L2!$M:$M,$B50,L1L2!$L:$L,$E$1)</f>
        <v>3</v>
      </c>
      <c r="F50" s="57">
        <f>IF(AND(H50=1,D50&gt;=2),9,IF(D50&gt;=3,9,0))</f>
        <v>9</v>
      </c>
      <c r="G50" s="57">
        <f>IF(AND(H50=1,E50&gt;=2),3,IF(E50&gt;3,3,E50))</f>
        <v>3</v>
      </c>
      <c r="H50" s="58">
        <f>IF(ISNUMBER(SEARCH("M", C50)), 1, 0)</f>
        <v>0</v>
      </c>
      <c r="I50" s="59" t="str">
        <f>VLOOKUP(B50,Sheet1!$A:$E,5,FALSE)</f>
        <v>บจก.คูย่งฮวด (1995)</v>
      </c>
    </row>
    <row r="51" spans="1:9" ht="17.5" thickBot="1">
      <c r="A51" s="55" t="s">
        <v>3109</v>
      </c>
      <c r="B51" s="60" t="s">
        <v>716</v>
      </c>
      <c r="C51" s="60" t="s">
        <v>717</v>
      </c>
      <c r="D51" s="57">
        <f>COUNTIF(L1L2!$M:$M,$B51)</f>
        <v>3</v>
      </c>
      <c r="E51" s="57">
        <f>COUNTIFS(L1L2!$M:$M,$B51,L1L2!$L:$L,$E$1)</f>
        <v>3</v>
      </c>
      <c r="F51" s="57">
        <f>IF(AND(H51=1,D51&gt;=2),9,IF(D51&gt;=3,9,0))</f>
        <v>9</v>
      </c>
      <c r="G51" s="57">
        <f>IF(AND(H51=1,E51&gt;=2),3,IF(E51&gt;3,3,E51))</f>
        <v>3</v>
      </c>
      <c r="H51" s="58">
        <f>IF(ISNUMBER(SEARCH("M", C51)), 1, 0)</f>
        <v>0</v>
      </c>
      <c r="I51" s="59" t="str">
        <f>VLOOKUP(B51,Sheet1!$A:$E,5,FALSE)</f>
        <v>บจก.คูย่งฮวด (1995)</v>
      </c>
    </row>
    <row r="52" spans="1:9" ht="17.5" thickBot="1">
      <c r="A52" s="55" t="s">
        <v>3109</v>
      </c>
      <c r="B52" s="60" t="s">
        <v>1228</v>
      </c>
      <c r="C52" s="60" t="s">
        <v>3122</v>
      </c>
      <c r="D52" s="57">
        <f>COUNTIF(L1L2!$M:$M,$B52)</f>
        <v>3</v>
      </c>
      <c r="E52" s="57">
        <f>COUNTIFS(L1L2!$M:$M,$B52,L1L2!$L:$L,$E$1)</f>
        <v>3</v>
      </c>
      <c r="F52" s="57">
        <f>IF(AND(H52=1,D52&gt;=2),9,IF(D52&gt;=3,9,0))</f>
        <v>9</v>
      </c>
      <c r="G52" s="57">
        <f>IF(AND(H52=1,E52&gt;=2),3,IF(E52&gt;3,3,E52))</f>
        <v>3</v>
      </c>
      <c r="H52" s="58">
        <f>IF(ISNUMBER(SEARCH("M", C52)), 1, 0)</f>
        <v>0</v>
      </c>
      <c r="I52" s="59" t="str">
        <f>VLOOKUP(B52,Sheet1!$A:$E,5,FALSE)</f>
        <v>บจก.คูย่งฮวด (1995)</v>
      </c>
    </row>
    <row r="53" spans="1:9" ht="17.5" thickBot="1">
      <c r="A53" s="27" t="s">
        <v>3109</v>
      </c>
      <c r="B53" s="28" t="s">
        <v>756</v>
      </c>
      <c r="C53" s="28" t="s">
        <v>3123</v>
      </c>
      <c r="D53" s="31">
        <f>COUNTIF(L1L2!$M:$M,$B53)</f>
        <v>5</v>
      </c>
      <c r="E53" s="31">
        <f>COUNTIFS(L1L2!$M:$M,$B53,L1L2!$L:$L,$E$1)</f>
        <v>5</v>
      </c>
      <c r="F53" s="31">
        <f>IF(AND(H53=1,D53&gt;=2),9,IF(D53&gt;=3,9,0))</f>
        <v>9</v>
      </c>
      <c r="G53" s="31">
        <f>IF(AND(H53=1,E53&gt;=2),3,IF(E53&gt;3,3,E53))</f>
        <v>3</v>
      </c>
      <c r="H53" s="33">
        <f>IF(ISNUMBER(SEARCH("M", C53)), 1, 0)</f>
        <v>0</v>
      </c>
      <c r="I53" s="29" t="str">
        <f>VLOOKUP(B53,Sheet1!$A:$E,5,FALSE)</f>
        <v>บจก.คูย่งฮวด อุดรธานี</v>
      </c>
    </row>
    <row r="54" spans="1:9" ht="17.5" thickBot="1">
      <c r="A54" s="27" t="s">
        <v>3109</v>
      </c>
      <c r="B54" s="28" t="s">
        <v>720</v>
      </c>
      <c r="C54" s="28" t="s">
        <v>721</v>
      </c>
      <c r="D54" s="31">
        <f>COUNTIF(L1L2!$M:$M,$B54)</f>
        <v>2</v>
      </c>
      <c r="E54" s="31">
        <f>COUNTIFS(L1L2!$M:$M,$B54,L1L2!$L:$L,$E$1)</f>
        <v>2</v>
      </c>
      <c r="F54" s="31">
        <f>IF(AND(H54=1,D54&gt;=2),9,IF(D54&gt;=3,9,0))</f>
        <v>0</v>
      </c>
      <c r="G54" s="31">
        <f>IF(AND(H54=1,E54&gt;=2),3,IF(E54&gt;3,3,E54))</f>
        <v>2</v>
      </c>
      <c r="H54" s="33">
        <f>IF(ISNUMBER(SEARCH("M", C54)), 1, 0)</f>
        <v>0</v>
      </c>
      <c r="I54" s="29" t="str">
        <f>VLOOKUP(B54,Sheet1!$A:$E,5,FALSE)</f>
        <v>บจก.จงเจริญ คอนกรีต</v>
      </c>
    </row>
    <row r="55" spans="1:9" ht="17.5" thickBot="1">
      <c r="A55" s="27" t="s">
        <v>3109</v>
      </c>
      <c r="B55" s="28" t="s">
        <v>634</v>
      </c>
      <c r="C55" s="28" t="s">
        <v>635</v>
      </c>
      <c r="D55" s="31">
        <f>COUNTIF(L1L2!$M:$M,$B55)</f>
        <v>2</v>
      </c>
      <c r="E55" s="31">
        <f>COUNTIFS(L1L2!$M:$M,$B55,L1L2!$L:$L,$E$1)</f>
        <v>2</v>
      </c>
      <c r="F55" s="31">
        <f>IF(AND(H55=1,D55&gt;=2),9,IF(D55&gt;=3,9,0))</f>
        <v>0</v>
      </c>
      <c r="G55" s="31">
        <f>IF(AND(H55=1,E55&gt;=2),3,IF(E55&gt;3,3,E55))</f>
        <v>2</v>
      </c>
      <c r="H55" s="33">
        <f>IF(ISNUMBER(SEARCH("M", C55)), 1, 0)</f>
        <v>0</v>
      </c>
      <c r="I55" s="29" t="str">
        <f>VLOOKUP(B55,Sheet1!$A:$E,5,FALSE)</f>
        <v>บจก.จำลองชัยโฮมเซ็นเตอร์</v>
      </c>
    </row>
    <row r="56" spans="1:9" ht="17.5" thickBot="1">
      <c r="A56" s="27" t="s">
        <v>2871</v>
      </c>
      <c r="B56" s="28" t="s">
        <v>244</v>
      </c>
      <c r="C56" s="28" t="s">
        <v>245</v>
      </c>
      <c r="D56" s="31">
        <f>COUNTIF(L1L2!$M:$M,$B56)</f>
        <v>3</v>
      </c>
      <c r="E56" s="31">
        <f>COUNTIFS(L1L2!$M:$M,$B56,L1L2!$L:$L,$E$1)</f>
        <v>3</v>
      </c>
      <c r="F56" s="31">
        <f>IF(AND(H56=1,D56&gt;=2),9,IF(D56&gt;=3,9,0))</f>
        <v>9</v>
      </c>
      <c r="G56" s="31">
        <f>IF(AND(H56=1,E56&gt;=2),3,IF(E56&gt;3,3,E56))</f>
        <v>3</v>
      </c>
      <c r="H56" s="33">
        <f>IF(ISNUMBER(SEARCH("M", C56)), 1, 0)</f>
        <v>0</v>
      </c>
      <c r="I56" s="29" t="str">
        <f>VLOOKUP(B56,Sheet1!$A:$E,5,FALSE)</f>
        <v>บจก.จิรดีผลิตภัณฑ์คอนกรีต</v>
      </c>
    </row>
    <row r="57" spans="1:9" ht="17.5" thickBot="1">
      <c r="A57" s="27" t="s">
        <v>2871</v>
      </c>
      <c r="B57" s="28" t="s">
        <v>260</v>
      </c>
      <c r="C57" s="28" t="s">
        <v>261</v>
      </c>
      <c r="D57" s="31">
        <f>COUNTIF(L1L2!$M:$M,$B57)</f>
        <v>1</v>
      </c>
      <c r="E57" s="31">
        <f>COUNTIFS(L1L2!$M:$M,$B57,L1L2!$L:$L,$E$1)</f>
        <v>1</v>
      </c>
      <c r="F57" s="31">
        <f>IF(AND(H57=1,D57&gt;=2),9,IF(D57&gt;=3,9,0))</f>
        <v>0</v>
      </c>
      <c r="G57" s="31">
        <f>IF(AND(H57=1,E57&gt;=2),3,IF(E57&gt;3,3,E57))</f>
        <v>1</v>
      </c>
      <c r="H57" s="33">
        <f>IF(ISNUMBER(SEARCH("M", C57)), 1, 0)</f>
        <v>0</v>
      </c>
      <c r="I57" s="29" t="str">
        <f>VLOOKUP(B57,Sheet1!$A:$E,5,FALSE)</f>
        <v>บจก.ช.พรประสิทธิ์</v>
      </c>
    </row>
    <row r="58" spans="1:9" ht="17.5" thickBot="1">
      <c r="A58" s="55" t="s">
        <v>2946</v>
      </c>
      <c r="B58" s="60" t="s">
        <v>350</v>
      </c>
      <c r="C58" s="60" t="s">
        <v>351</v>
      </c>
      <c r="D58" s="57">
        <f>COUNTIF(L1L2!$M:$M,$B58)</f>
        <v>3</v>
      </c>
      <c r="E58" s="57">
        <f>COUNTIFS(L1L2!$M:$M,$B58,L1L2!$L:$L,$E$1)</f>
        <v>3</v>
      </c>
      <c r="F58" s="57">
        <f>IF(AND(H58=1,D58&gt;=2),9,IF(D58&gt;=3,9,0))</f>
        <v>9</v>
      </c>
      <c r="G58" s="57">
        <f>IF(AND(H58=1,E58&gt;=2),3,IF(E58&gt;3,3,E58))</f>
        <v>3</v>
      </c>
      <c r="H58" s="58">
        <f>IF(ISNUMBER(SEARCH("M", C58)), 1, 0)</f>
        <v>0</v>
      </c>
      <c r="I58" s="59" t="str">
        <f>VLOOKUP(B58,Sheet1!$A:$E,5,FALSE)</f>
        <v>บจก.ชุมพรไถ่เชียงคอนกรีต</v>
      </c>
    </row>
    <row r="59" spans="1:9" ht="17.5" thickBot="1">
      <c r="A59" s="55" t="s">
        <v>2946</v>
      </c>
      <c r="B59" s="60">
        <v>3164</v>
      </c>
      <c r="C59" s="60" t="s">
        <v>3085</v>
      </c>
      <c r="D59" s="57">
        <f>COUNTIF(L1L2!$M:$M,$B59)</f>
        <v>3</v>
      </c>
      <c r="E59" s="57">
        <f>COUNTIFS(L1L2!$M:$M,$B59,L1L2!$L:$L,$E$1)</f>
        <v>3</v>
      </c>
      <c r="F59" s="57">
        <f>IF(AND(H59=1,D59&gt;=2),9,IF(D59&gt;=3,9,0))</f>
        <v>9</v>
      </c>
      <c r="G59" s="57">
        <f>IF(AND(H59=1,E59&gt;=2),3,IF(E59&gt;3,3,E59))</f>
        <v>3</v>
      </c>
      <c r="H59" s="58">
        <f>IF(ISNUMBER(SEARCH("M", C59)), 1, 0)</f>
        <v>0</v>
      </c>
      <c r="I59" s="59" t="str">
        <f>VLOOKUP(B59,Sheet1!$A:$E,5,FALSE)</f>
        <v>บจก.ชุมพรไถ่เชียงคอนกรีต</v>
      </c>
    </row>
    <row r="60" spans="1:9" ht="17.5" thickBot="1">
      <c r="A60" s="27" t="s">
        <v>2861</v>
      </c>
      <c r="B60" s="28" t="s">
        <v>3095</v>
      </c>
      <c r="C60" s="28" t="s">
        <v>3096</v>
      </c>
      <c r="D60" s="31">
        <f>COUNTIF(L1L2!$M:$M,$B60)</f>
        <v>0</v>
      </c>
      <c r="E60" s="31">
        <f>COUNTIFS(L1L2!$M:$M,$B60,L1L2!$L:$L,$E$1)</f>
        <v>0</v>
      </c>
      <c r="F60" s="31">
        <f>IF(AND(H60=1,D60&gt;=2),9,IF(D60&gt;=3,9,0))</f>
        <v>0</v>
      </c>
      <c r="G60" s="31">
        <f>IF(AND(H60=1,E60&gt;=2),3,IF(E60&gt;3,3,E60))</f>
        <v>0</v>
      </c>
      <c r="H60" s="33">
        <f>IF(ISNUMBER(SEARCH("M", C60)), 1, 0)</f>
        <v>0</v>
      </c>
      <c r="I60" s="29" t="str">
        <f>VLOOKUP(B60,Sheet1!$A:$E,5,FALSE)</f>
        <v>บจก.ซิโนมา หานดาน(ไทยแลนด์)</v>
      </c>
    </row>
    <row r="61" spans="1:9" ht="17.5" thickBot="1">
      <c r="A61" s="55" t="s">
        <v>2871</v>
      </c>
      <c r="B61" s="60" t="s">
        <v>248</v>
      </c>
      <c r="C61" s="60" t="s">
        <v>249</v>
      </c>
      <c r="D61" s="57">
        <f>COUNTIF(L1L2!$M:$M,$B61)</f>
        <v>5</v>
      </c>
      <c r="E61" s="57">
        <f>COUNTIFS(L1L2!$M:$M,$B61,L1L2!$L:$L,$E$1)</f>
        <v>3</v>
      </c>
      <c r="F61" s="57">
        <f>IF(AND(H61=1,D61&gt;=2),9,IF(D61&gt;=3,9,0))</f>
        <v>9</v>
      </c>
      <c r="G61" s="57">
        <f>IF(AND(H61=1,E61&gt;=2),3,IF(E61&gt;3,3,E61))</f>
        <v>3</v>
      </c>
      <c r="H61" s="58">
        <f>IF(ISNUMBER(SEARCH("M", C61)), 1, 0)</f>
        <v>0</v>
      </c>
      <c r="I61" s="59" t="str">
        <f>VLOOKUP(B61,Sheet1!$A:$E,5,FALSE)</f>
        <v>บจก.ซี.แอล.คอนกรีต</v>
      </c>
    </row>
    <row r="62" spans="1:9" ht="17.5" thickBot="1">
      <c r="A62" s="55" t="s">
        <v>2871</v>
      </c>
      <c r="B62" s="60" t="s">
        <v>274</v>
      </c>
      <c r="C62" s="60" t="s">
        <v>275</v>
      </c>
      <c r="D62" s="57">
        <f>COUNTIF(L1L2!$M:$M,$B62)</f>
        <v>5</v>
      </c>
      <c r="E62" s="57">
        <f>COUNTIFS(L1L2!$M:$M,$B62,L1L2!$L:$L,$E$1)</f>
        <v>4</v>
      </c>
      <c r="F62" s="57">
        <f>IF(AND(H62=1,D62&gt;=2),9,IF(D62&gt;=3,9,0))</f>
        <v>9</v>
      </c>
      <c r="G62" s="57">
        <f>IF(AND(H62=1,E62&gt;=2),3,IF(E62&gt;3,3,E62))</f>
        <v>3</v>
      </c>
      <c r="H62" s="58">
        <f>IF(ISNUMBER(SEARCH("M", C62)), 1, 0)</f>
        <v>0</v>
      </c>
      <c r="I62" s="59" t="str">
        <f>VLOOKUP(B62,Sheet1!$A:$E,5,FALSE)</f>
        <v>บจก.ซี.แอล.คอนกรีต</v>
      </c>
    </row>
    <row r="63" spans="1:9" ht="17.5" thickBot="1">
      <c r="A63" s="55" t="s">
        <v>2871</v>
      </c>
      <c r="B63" s="60" t="s">
        <v>278</v>
      </c>
      <c r="C63" s="60" t="s">
        <v>3191</v>
      </c>
      <c r="D63" s="57">
        <f>COUNTIF(L1L2!$M:$M,$B63)</f>
        <v>4</v>
      </c>
      <c r="E63" s="57">
        <f>COUNTIFS(L1L2!$M:$M,$B63,L1L2!$L:$L,$E$1)</f>
        <v>4</v>
      </c>
      <c r="F63" s="57">
        <f>IF(AND(H63=1,D63&gt;=2),9,IF(D63&gt;=3,9,0))</f>
        <v>9</v>
      </c>
      <c r="G63" s="57">
        <f>IF(AND(H63=1,E63&gt;=2),3,IF(E63&gt;3,3,E63))</f>
        <v>3</v>
      </c>
      <c r="H63" s="58">
        <f>IF(ISNUMBER(SEARCH("M", C63)), 1, 0)</f>
        <v>0</v>
      </c>
      <c r="I63" s="59" t="str">
        <f>VLOOKUP(B63,Sheet1!$A:$E,5,FALSE)</f>
        <v>บจก.ซี.แอล.คอนกรีต</v>
      </c>
    </row>
    <row r="64" spans="1:9" ht="17.5" thickBot="1">
      <c r="A64" s="55" t="s">
        <v>2871</v>
      </c>
      <c r="B64" s="60" t="s">
        <v>262</v>
      </c>
      <c r="C64" s="60" t="s">
        <v>263</v>
      </c>
      <c r="D64" s="57">
        <f>COUNTIF(L1L2!$M:$M,$B64)</f>
        <v>4</v>
      </c>
      <c r="E64" s="57">
        <f>COUNTIFS(L1L2!$M:$M,$B64,L1L2!$L:$L,$E$1)</f>
        <v>4</v>
      </c>
      <c r="F64" s="57">
        <f>IF(AND(H64=1,D64&gt;=2),9,IF(D64&gt;=3,9,0))</f>
        <v>9</v>
      </c>
      <c r="G64" s="57">
        <f>IF(AND(H64=1,E64&gt;=2),3,IF(E64&gt;3,3,E64))</f>
        <v>3</v>
      </c>
      <c r="H64" s="58">
        <f>IF(ISNUMBER(SEARCH("M", C64)), 1, 0)</f>
        <v>0</v>
      </c>
      <c r="I64" s="59" t="str">
        <f>VLOOKUP(B64,Sheet1!$A:$E,5,FALSE)</f>
        <v>บจก.ซี.แอล.คอนกรีต</v>
      </c>
    </row>
    <row r="65" spans="1:9" ht="17.5" thickBot="1">
      <c r="A65" s="55" t="s">
        <v>2871</v>
      </c>
      <c r="B65" s="60" t="s">
        <v>270</v>
      </c>
      <c r="C65" s="60" t="s">
        <v>3190</v>
      </c>
      <c r="D65" s="57">
        <f>COUNTIF(L1L2!$M:$M,$B65)</f>
        <v>3</v>
      </c>
      <c r="E65" s="57">
        <f>COUNTIFS(L1L2!$M:$M,$B65,L1L2!$L:$L,$E$1)</f>
        <v>3</v>
      </c>
      <c r="F65" s="57">
        <f>IF(AND(H65=1,D65&gt;=2),9,IF(D65&gt;=3,9,0))</f>
        <v>9</v>
      </c>
      <c r="G65" s="57">
        <f>IF(AND(H65=1,E65&gt;=2),3,IF(E65&gt;3,3,E65))</f>
        <v>3</v>
      </c>
      <c r="H65" s="58">
        <f>IF(ISNUMBER(SEARCH("M", C65)), 1, 0)</f>
        <v>0</v>
      </c>
      <c r="I65" s="59" t="str">
        <f>VLOOKUP(B65,Sheet1!$A:$E,5,FALSE)</f>
        <v>บจก.ซี.แอล.คอนกรีต</v>
      </c>
    </row>
    <row r="66" spans="1:9" ht="17.5" thickBot="1">
      <c r="A66" s="50" t="s">
        <v>3109</v>
      </c>
      <c r="B66" s="51" t="s">
        <v>580</v>
      </c>
      <c r="C66" s="51" t="s">
        <v>581</v>
      </c>
      <c r="D66" s="52">
        <f>COUNTIF(L1L2!$M:$M,$B66)</f>
        <v>3</v>
      </c>
      <c r="E66" s="52">
        <f>COUNTIFS(L1L2!$M:$M,$B66,L1L2!$L:$L,$E$1)</f>
        <v>3</v>
      </c>
      <c r="F66" s="52">
        <f>IF(AND(H66=1,D66&gt;=2),9,IF(D66&gt;=3,9,0))</f>
        <v>9</v>
      </c>
      <c r="G66" s="52">
        <f>IF(AND(H66=1,E66&gt;=2),3,IF(E66&gt;3,3,E66))</f>
        <v>3</v>
      </c>
      <c r="H66" s="53">
        <f>IF(ISNUMBER(SEARCH("M", C66)), 1, 0)</f>
        <v>0</v>
      </c>
      <c r="I66" s="54" t="str">
        <f>VLOOKUP(B66,Sheet1!$A:$E,5,FALSE)</f>
        <v>บจก.ซี.ซี.คอนกรีต</v>
      </c>
    </row>
    <row r="67" spans="1:9" ht="17.5" thickBot="1">
      <c r="A67" s="50" t="s">
        <v>3109</v>
      </c>
      <c r="B67" s="51" t="s">
        <v>684</v>
      </c>
      <c r="C67" s="51" t="s">
        <v>685</v>
      </c>
      <c r="D67" s="52">
        <f>COUNTIF(L1L2!$M:$M,$B67)</f>
        <v>2</v>
      </c>
      <c r="E67" s="52">
        <f>COUNTIFS(L1L2!$M:$M,$B67,L1L2!$L:$L,$E$1)</f>
        <v>2</v>
      </c>
      <c r="F67" s="52">
        <f>IF(AND(H67=1,D67&gt;=2),9,IF(D67&gt;=3,9,0))</f>
        <v>9</v>
      </c>
      <c r="G67" s="52">
        <f>IF(AND(H67=1,E67&gt;=2),3,IF(E67&gt;3,3,E67))</f>
        <v>3</v>
      </c>
      <c r="H67" s="53">
        <f>IF(ISNUMBER(SEARCH("M", C67)), 1, 0)</f>
        <v>1</v>
      </c>
      <c r="I67" s="54" t="str">
        <f>VLOOKUP(B67,Sheet1!$A:$E,5,FALSE)</f>
        <v>บจก.ซี.ซี.คอนกรีต</v>
      </c>
    </row>
    <row r="68" spans="1:9" ht="17.5" thickBot="1">
      <c r="A68" s="50" t="s">
        <v>3109</v>
      </c>
      <c r="B68" s="51" t="s">
        <v>750</v>
      </c>
      <c r="C68" s="51" t="s">
        <v>3124</v>
      </c>
      <c r="D68" s="52">
        <f>COUNTIF(L1L2!$M:$M,$B68)</f>
        <v>4</v>
      </c>
      <c r="E68" s="52">
        <f>COUNTIFS(L1L2!$M:$M,$B68,L1L2!$L:$L,$E$1)</f>
        <v>4</v>
      </c>
      <c r="F68" s="52">
        <f>IF(AND(H68=1,D68&gt;=2),9,IF(D68&gt;=3,9,0))</f>
        <v>9</v>
      </c>
      <c r="G68" s="52">
        <f>IF(AND(H68=1,E68&gt;=2),3,IF(E68&gt;3,3,E68))</f>
        <v>3</v>
      </c>
      <c r="H68" s="53">
        <f>IF(ISNUMBER(SEARCH("M", C68)), 1, 0)</f>
        <v>0</v>
      </c>
      <c r="I68" s="54" t="str">
        <f>VLOOKUP(B68,Sheet1!$A:$E,5,FALSE)</f>
        <v>บจก.ซี.ซี.คอนกรีต</v>
      </c>
    </row>
    <row r="69" spans="1:9" ht="17.5" thickBot="1">
      <c r="A69" s="55" t="s">
        <v>2876</v>
      </c>
      <c r="B69" s="60" t="s">
        <v>426</v>
      </c>
      <c r="C69" s="60" t="s">
        <v>427</v>
      </c>
      <c r="D69" s="57">
        <f>COUNTIF(L1L2!$M:$M,$B69)</f>
        <v>4</v>
      </c>
      <c r="E69" s="57">
        <f>COUNTIFS(L1L2!$M:$M,$B69,L1L2!$L:$L,$E$1)</f>
        <v>4</v>
      </c>
      <c r="F69" s="57">
        <f>IF(AND(H69=1,D69&gt;=2),9,IF(D69&gt;=3,9,0))</f>
        <v>9</v>
      </c>
      <c r="G69" s="57">
        <f>IF(AND(H69=1,E69&gt;=2),3,IF(E69&gt;3,3,E69))</f>
        <v>3</v>
      </c>
      <c r="H69" s="58">
        <f>IF(ISNUMBER(SEARCH("M", C69)), 1, 0)</f>
        <v>0</v>
      </c>
      <c r="I69" s="59" t="str">
        <f>VLOOKUP(B69,Sheet1!$A:$E,5,FALSE)</f>
        <v>บจก.ซีแมทคอนกรีต</v>
      </c>
    </row>
    <row r="70" spans="1:9" ht="17.5" thickBot="1">
      <c r="A70" s="55" t="s">
        <v>2876</v>
      </c>
      <c r="B70" s="60" t="s">
        <v>438</v>
      </c>
      <c r="C70" s="60" t="s">
        <v>439</v>
      </c>
      <c r="D70" s="57">
        <f>COUNTIF(L1L2!$M:$M,$B70)</f>
        <v>3</v>
      </c>
      <c r="E70" s="57">
        <f>COUNTIFS(L1L2!$M:$M,$B70,L1L2!$L:$L,$E$1)</f>
        <v>3</v>
      </c>
      <c r="F70" s="57">
        <f>IF(AND(H70=1,D70&gt;=2),9,IF(D70&gt;=3,9,0))</f>
        <v>9</v>
      </c>
      <c r="G70" s="57">
        <f>IF(AND(H70=1,E70&gt;=2),3,IF(E70&gt;3,3,E70))</f>
        <v>3</v>
      </c>
      <c r="H70" s="58">
        <f>IF(ISNUMBER(SEARCH("M", C70)), 1, 0)</f>
        <v>0</v>
      </c>
      <c r="I70" s="59" t="str">
        <f>VLOOKUP(B70,Sheet1!$A:$E,5,FALSE)</f>
        <v>บจก.ซีแมทคอนกรีต</v>
      </c>
    </row>
    <row r="71" spans="1:9" ht="17.5" thickBot="1">
      <c r="A71" s="55" t="s">
        <v>2876</v>
      </c>
      <c r="B71" s="60" t="s">
        <v>460</v>
      </c>
      <c r="C71" s="60" t="s">
        <v>461</v>
      </c>
      <c r="D71" s="57">
        <f>COUNTIF(L1L2!$M:$M,$B71)</f>
        <v>3</v>
      </c>
      <c r="E71" s="57">
        <f>COUNTIFS(L1L2!$M:$M,$B71,L1L2!$L:$L,$E$1)</f>
        <v>3</v>
      </c>
      <c r="F71" s="57">
        <f>IF(AND(H71=1,D71&gt;=2),9,IF(D71&gt;=3,9,0))</f>
        <v>9</v>
      </c>
      <c r="G71" s="57">
        <f>IF(AND(H71=1,E71&gt;=2),3,IF(E71&gt;3,3,E71))</f>
        <v>3</v>
      </c>
      <c r="H71" s="58">
        <f>IF(ISNUMBER(SEARCH("M", C71)), 1, 0)</f>
        <v>0</v>
      </c>
      <c r="I71" s="59" t="str">
        <f>VLOOKUP(B71,Sheet1!$A:$E,5,FALSE)</f>
        <v>บจก.ซีแมทคอนกรีต</v>
      </c>
    </row>
    <row r="72" spans="1:9" ht="17.5" thickBot="1">
      <c r="A72" s="55" t="s">
        <v>2876</v>
      </c>
      <c r="B72" s="60" t="s">
        <v>510</v>
      </c>
      <c r="C72" s="60" t="s">
        <v>511</v>
      </c>
      <c r="D72" s="57">
        <f>COUNTIF(L1L2!$M:$M,$B72)</f>
        <v>5</v>
      </c>
      <c r="E72" s="57">
        <f>COUNTIFS(L1L2!$M:$M,$B72,L1L2!$L:$L,$E$1)</f>
        <v>4</v>
      </c>
      <c r="F72" s="57">
        <f>IF(AND(H72=1,D72&gt;=2),9,IF(D72&gt;=3,9,0))</f>
        <v>9</v>
      </c>
      <c r="G72" s="57">
        <f>IF(AND(H72=1,E72&gt;=2),3,IF(E72&gt;3,3,E72))</f>
        <v>3</v>
      </c>
      <c r="H72" s="58">
        <f>IF(ISNUMBER(SEARCH("M", C72)), 1, 0)</f>
        <v>0</v>
      </c>
      <c r="I72" s="59" t="str">
        <f>VLOOKUP(B72,Sheet1!$A:$E,5,FALSE)</f>
        <v>บจก.ซีแมทคอนกรีต</v>
      </c>
    </row>
    <row r="73" spans="1:9" ht="17.5" thickBot="1">
      <c r="A73" s="55" t="s">
        <v>2876</v>
      </c>
      <c r="B73" s="60" t="s">
        <v>522</v>
      </c>
      <c r="C73" s="60" t="s">
        <v>523</v>
      </c>
      <c r="D73" s="57">
        <f>COUNTIF(L1L2!$M:$M,$B73)</f>
        <v>3</v>
      </c>
      <c r="E73" s="57">
        <f>COUNTIFS(L1L2!$M:$M,$B73,L1L2!$L:$L,$E$1)</f>
        <v>3</v>
      </c>
      <c r="F73" s="57">
        <f>IF(AND(H73=1,D73&gt;=2),9,IF(D73&gt;=3,9,0))</f>
        <v>9</v>
      </c>
      <c r="G73" s="57">
        <f>IF(AND(H73=1,E73&gt;=2),3,IF(E73&gt;3,3,E73))</f>
        <v>3</v>
      </c>
      <c r="H73" s="58">
        <f>IF(ISNUMBER(SEARCH("M", C73)), 1, 0)</f>
        <v>0</v>
      </c>
      <c r="I73" s="59" t="str">
        <f>VLOOKUP(B73,Sheet1!$A:$E,5,FALSE)</f>
        <v>บจก.ซีแมทคอนกรีต</v>
      </c>
    </row>
    <row r="74" spans="1:9" ht="17.5" thickBot="1">
      <c r="A74" s="55" t="s">
        <v>2876</v>
      </c>
      <c r="B74" s="60" t="s">
        <v>2850</v>
      </c>
      <c r="C74" s="60" t="s">
        <v>2879</v>
      </c>
      <c r="D74" s="57">
        <f>COUNTIF(L1L2!$M:$M,$B74)</f>
        <v>3</v>
      </c>
      <c r="E74" s="57">
        <f>COUNTIFS(L1L2!$M:$M,$B74,L1L2!$L:$L,$E$1)</f>
        <v>3</v>
      </c>
      <c r="F74" s="57">
        <f>IF(AND(H74=1,D74&gt;=2),9,IF(D74&gt;=3,9,0))</f>
        <v>9</v>
      </c>
      <c r="G74" s="57">
        <f>IF(AND(H74=1,E74&gt;=2),3,IF(E74&gt;3,3,E74))</f>
        <v>3</v>
      </c>
      <c r="H74" s="58">
        <f>IF(ISNUMBER(SEARCH("M", C74)), 1, 0)</f>
        <v>0</v>
      </c>
      <c r="I74" s="59" t="str">
        <f>VLOOKUP(B74,Sheet1!$A:$E,5,FALSE)</f>
        <v>บจก.ซีแมทคอนกรีต</v>
      </c>
    </row>
    <row r="75" spans="1:9" ht="17.5" thickBot="1">
      <c r="A75" s="50" t="s">
        <v>3109</v>
      </c>
      <c r="B75" s="51" t="s">
        <v>3125</v>
      </c>
      <c r="C75" s="51" t="s">
        <v>3126</v>
      </c>
      <c r="D75" s="52">
        <f>COUNTIF(L1L2!$M:$M,$B75)</f>
        <v>0</v>
      </c>
      <c r="E75" s="52">
        <f>COUNTIFS(L1L2!$M:$M,$B75,L1L2!$L:$L,$E$1)</f>
        <v>0</v>
      </c>
      <c r="F75" s="52">
        <f>IF(AND(H75=1,D75&gt;=2),9,IF(D75&gt;=3,9,0))</f>
        <v>0</v>
      </c>
      <c r="G75" s="52">
        <f>IF(AND(H75=1,E75&gt;=2),3,IF(E75&gt;3,3,E75))</f>
        <v>0</v>
      </c>
      <c r="H75" s="53">
        <f>IF(ISNUMBER(SEARCH("M", C75)), 1, 0)</f>
        <v>0</v>
      </c>
      <c r="I75" s="54" t="str">
        <f>VLOOKUP(B75,Sheet1!$A:$E,5,FALSE)</f>
        <v>บจก.ซีมิกซ์คอนกรีต</v>
      </c>
    </row>
    <row r="76" spans="1:9" ht="17.5" thickBot="1">
      <c r="A76" s="50" t="s">
        <v>3109</v>
      </c>
      <c r="B76" s="51" t="s">
        <v>1248</v>
      </c>
      <c r="C76" s="51" t="s">
        <v>3127</v>
      </c>
      <c r="D76" s="52">
        <f>COUNTIF(L1L2!$M:$M,$B76)</f>
        <v>3</v>
      </c>
      <c r="E76" s="52">
        <f>COUNTIFS(L1L2!$M:$M,$B76,L1L2!$L:$L,$E$1)</f>
        <v>2</v>
      </c>
      <c r="F76" s="52">
        <f>IF(AND(H76=1,D76&gt;=2),9,IF(D76&gt;=3,9,0))</f>
        <v>9</v>
      </c>
      <c r="G76" s="52">
        <f>IF(AND(H76=1,E76&gt;=2),3,IF(E76&gt;3,3,E76))</f>
        <v>2</v>
      </c>
      <c r="H76" s="53">
        <f>IF(ISNUMBER(SEARCH("M", C76)), 1, 0)</f>
        <v>0</v>
      </c>
      <c r="I76" s="54" t="str">
        <f>VLOOKUP(B76,Sheet1!$A:$E,5,FALSE)</f>
        <v>บจก.ซีมิกซ์คอนกรีต</v>
      </c>
    </row>
    <row r="77" spans="1:9" ht="17.5" thickBot="1">
      <c r="A77" s="50" t="s">
        <v>3109</v>
      </c>
      <c r="B77" s="51" t="s">
        <v>2851</v>
      </c>
      <c r="C77" s="51" t="s">
        <v>3128</v>
      </c>
      <c r="D77" s="52">
        <f>COUNTIF(L1L2!$M:$M,$B77)</f>
        <v>3</v>
      </c>
      <c r="E77" s="52">
        <f>COUNTIFS(L1L2!$M:$M,$B77,L1L2!$L:$L,$E$1)</f>
        <v>3</v>
      </c>
      <c r="F77" s="52">
        <f>IF(AND(H77=1,D77&gt;=2),9,IF(D77&gt;=3,9,0))</f>
        <v>9</v>
      </c>
      <c r="G77" s="52">
        <f>IF(AND(H77=1,E77&gt;=2),3,IF(E77&gt;3,3,E77))</f>
        <v>3</v>
      </c>
      <c r="H77" s="53">
        <f>IF(ISNUMBER(SEARCH("M", C77)), 1, 0)</f>
        <v>0</v>
      </c>
      <c r="I77" s="54" t="str">
        <f>VLOOKUP(B77,Sheet1!$A:$E,5,FALSE)</f>
        <v>บจก.ซีมิกซ์คอนกรีต</v>
      </c>
    </row>
    <row r="78" spans="1:9" ht="17.5" thickBot="1">
      <c r="A78" s="50" t="s">
        <v>3109</v>
      </c>
      <c r="B78" s="51" t="s">
        <v>776</v>
      </c>
      <c r="C78" s="51" t="s">
        <v>3129</v>
      </c>
      <c r="D78" s="52">
        <f>COUNTIF(L1L2!$M:$M,$B78)</f>
        <v>0</v>
      </c>
      <c r="E78" s="52">
        <f>COUNTIFS(L1L2!$M:$M,$B78,L1L2!$L:$L,$E$1)</f>
        <v>0</v>
      </c>
      <c r="F78" s="52">
        <f>IF(AND(H78=1,D78&gt;=2),9,IF(D78&gt;=3,9,0))</f>
        <v>0</v>
      </c>
      <c r="G78" s="52">
        <f>IF(AND(H78=1,E78&gt;=2),3,IF(E78&gt;3,3,E78))</f>
        <v>0</v>
      </c>
      <c r="H78" s="53">
        <f>IF(ISNUMBER(SEARCH("M", C78)), 1, 0)</f>
        <v>0</v>
      </c>
      <c r="I78" s="54" t="str">
        <f>VLOOKUP(B78,Sheet1!$A:$E,5,FALSE)</f>
        <v>บจก.ซีมิกซ์คอนกรีต</v>
      </c>
    </row>
    <row r="79" spans="1:9" ht="17.5" thickBot="1">
      <c r="A79" s="50" t="s">
        <v>3109</v>
      </c>
      <c r="B79" s="51" t="s">
        <v>774</v>
      </c>
      <c r="C79" s="51" t="s">
        <v>3130</v>
      </c>
      <c r="D79" s="52">
        <f>COUNTIF(L1L2!$M:$M,$B79)</f>
        <v>0</v>
      </c>
      <c r="E79" s="52">
        <f>COUNTIFS(L1L2!$M:$M,$B79,L1L2!$L:$L,$E$1)</f>
        <v>0</v>
      </c>
      <c r="F79" s="52">
        <f>IF(AND(H79=1,D79&gt;=2),9,IF(D79&gt;=3,9,0))</f>
        <v>0</v>
      </c>
      <c r="G79" s="52">
        <f>IF(AND(H79=1,E79&gt;=2),3,IF(E79&gt;3,3,E79))</f>
        <v>0</v>
      </c>
      <c r="H79" s="53">
        <f>IF(ISNUMBER(SEARCH("M", C79)), 1, 0)</f>
        <v>0</v>
      </c>
      <c r="I79" s="54" t="str">
        <f>VLOOKUP(B79,Sheet1!$A:$E,5,FALSE)</f>
        <v>บจก.ซีมิกซ์คอนกรีต</v>
      </c>
    </row>
    <row r="80" spans="1:9" ht="17.5" thickBot="1">
      <c r="A80" s="27" t="s">
        <v>2876</v>
      </c>
      <c r="B80" s="28" t="s">
        <v>504</v>
      </c>
      <c r="C80" s="28" t="s">
        <v>505</v>
      </c>
      <c r="D80" s="31">
        <f>COUNTIF(L1L2!$M:$M,$B80)</f>
        <v>3</v>
      </c>
      <c r="E80" s="31">
        <f>COUNTIFS(L1L2!$M:$M,$B80,L1L2!$L:$L,$E$1)</f>
        <v>3</v>
      </c>
      <c r="F80" s="31">
        <f>IF(AND(H80=1,D80&gt;=2),9,IF(D80&gt;=3,9,0))</f>
        <v>9</v>
      </c>
      <c r="G80" s="31">
        <f>IF(AND(H80=1,E80&gt;=2),3,IF(E80&gt;3,3,E80))</f>
        <v>3</v>
      </c>
      <c r="H80" s="33">
        <f>IF(ISNUMBER(SEARCH("M", C80)), 1, 0)</f>
        <v>0</v>
      </c>
      <c r="I80" s="29" t="str">
        <f>VLOOKUP(B80,Sheet1!$A:$E,5,FALSE)</f>
        <v>บจก.ดวงแสงทอง</v>
      </c>
    </row>
    <row r="81" spans="1:9" ht="17.5" thickBot="1">
      <c r="A81" s="50" t="s">
        <v>2871</v>
      </c>
      <c r="B81" s="51" t="s">
        <v>240</v>
      </c>
      <c r="C81" s="51" t="s">
        <v>241</v>
      </c>
      <c r="D81" s="52">
        <f>COUNTIF(L1L2!$M:$M,$B81)</f>
        <v>3</v>
      </c>
      <c r="E81" s="52">
        <f>COUNTIFS(L1L2!$M:$M,$B81,L1L2!$L:$L,$E$1)</f>
        <v>3</v>
      </c>
      <c r="F81" s="52">
        <f>IF(AND(H81=1,D81&gt;=2),9,IF(D81&gt;=3,9,0))</f>
        <v>9</v>
      </c>
      <c r="G81" s="52">
        <f>IF(AND(H81=1,E81&gt;=2),3,IF(E81&gt;3,3,E81))</f>
        <v>3</v>
      </c>
      <c r="H81" s="53">
        <f>IF(ISNUMBER(SEARCH("M", C81)), 1, 0)</f>
        <v>0</v>
      </c>
      <c r="I81" s="54" t="str">
        <f>VLOOKUP(B81,Sheet1!$A:$E,5,FALSE)</f>
        <v>บจก.ต.แสงพัฒนาคอนกรีต</v>
      </c>
    </row>
    <row r="82" spans="1:9" ht="17.5" thickBot="1">
      <c r="A82" s="50" t="s">
        <v>2871</v>
      </c>
      <c r="B82" s="51" t="s">
        <v>246</v>
      </c>
      <c r="C82" s="51" t="s">
        <v>247</v>
      </c>
      <c r="D82" s="52">
        <f>COUNTIF(L1L2!$M:$M,$B82)</f>
        <v>3</v>
      </c>
      <c r="E82" s="52">
        <f>COUNTIFS(L1L2!$M:$M,$B82,L1L2!$L:$L,$E$1)</f>
        <v>3</v>
      </c>
      <c r="F82" s="52">
        <f>IF(AND(H82=1,D82&gt;=2),9,IF(D82&gt;=3,9,0))</f>
        <v>9</v>
      </c>
      <c r="G82" s="52">
        <f>IF(AND(H82=1,E82&gt;=2),3,IF(E82&gt;3,3,E82))</f>
        <v>3</v>
      </c>
      <c r="H82" s="53">
        <f>IF(ISNUMBER(SEARCH("M", C82)), 1, 0)</f>
        <v>0</v>
      </c>
      <c r="I82" s="54" t="str">
        <f>VLOOKUP(B82,Sheet1!$A:$E,5,FALSE)</f>
        <v>บจก.ต.แสงพัฒนาคอนกรีต</v>
      </c>
    </row>
    <row r="83" spans="1:9" ht="17.5" thickBot="1">
      <c r="A83" s="50" t="s">
        <v>2871</v>
      </c>
      <c r="B83" s="51" t="s">
        <v>264</v>
      </c>
      <c r="C83" s="51" t="s">
        <v>265</v>
      </c>
      <c r="D83" s="52">
        <f>COUNTIF(L1L2!$M:$M,$B83)</f>
        <v>3</v>
      </c>
      <c r="E83" s="52">
        <f>COUNTIFS(L1L2!$M:$M,$B83,L1L2!$L:$L,$E$1)</f>
        <v>3</v>
      </c>
      <c r="F83" s="52">
        <f>IF(AND(H83=1,D83&gt;=2),9,IF(D83&gt;=3,9,0))</f>
        <v>9</v>
      </c>
      <c r="G83" s="52">
        <f>IF(AND(H83=1,E83&gt;=2),3,IF(E83&gt;3,3,E83))</f>
        <v>3</v>
      </c>
      <c r="H83" s="53">
        <f>IF(ISNUMBER(SEARCH("M", C83)), 1, 0)</f>
        <v>0</v>
      </c>
      <c r="I83" s="54" t="str">
        <f>VLOOKUP(B83,Sheet1!$A:$E,5,FALSE)</f>
        <v>บจก.ต.แสงพัฒนาคอนกรีต</v>
      </c>
    </row>
    <row r="84" spans="1:9" ht="17.5" thickBot="1">
      <c r="A84" s="27" t="s">
        <v>2861</v>
      </c>
      <c r="B84" s="28" t="s">
        <v>2737</v>
      </c>
      <c r="C84" s="28" t="s">
        <v>2870</v>
      </c>
      <c r="D84" s="31">
        <f>COUNTIF(L1L2!$M:$M,$B84)</f>
        <v>3</v>
      </c>
      <c r="E84" s="31">
        <f>COUNTIFS(L1L2!$M:$M,$B84,L1L2!$L:$L,$E$1)</f>
        <v>3</v>
      </c>
      <c r="F84" s="31">
        <f>IF(AND(H84=1,D84&gt;=2),9,IF(D84&gt;=3,9,0))</f>
        <v>9</v>
      </c>
      <c r="G84" s="31">
        <f>IF(AND(H84=1,E84&gt;=2),3,IF(E84&gt;3,3,E84))</f>
        <v>3</v>
      </c>
      <c r="H84" s="33">
        <f>IF(ISNUMBER(SEARCH("M", C84)), 1, 0)</f>
        <v>0</v>
      </c>
      <c r="I84" s="29" t="str">
        <f>VLOOKUP(B84,Sheet1!$A:$E,5,FALSE)</f>
        <v>บจก.ตราดคอนกรีต เรดดี้มิกซ์</v>
      </c>
    </row>
    <row r="85" spans="1:9" ht="17.5" thickBot="1">
      <c r="A85" s="50" t="s">
        <v>2876</v>
      </c>
      <c r="B85" s="51" t="s">
        <v>462</v>
      </c>
      <c r="C85" s="51" t="s">
        <v>463</v>
      </c>
      <c r="D85" s="52">
        <f>COUNTIF(L1L2!$M:$M,$B85)</f>
        <v>3</v>
      </c>
      <c r="E85" s="52">
        <f>COUNTIFS(L1L2!$M:$M,$B85,L1L2!$L:$L,$E$1)</f>
        <v>3</v>
      </c>
      <c r="F85" s="52">
        <f>IF(AND(H85=1,D85&gt;=2),9,IF(D85&gt;=3,9,0))</f>
        <v>9</v>
      </c>
      <c r="G85" s="52">
        <f>IF(AND(H85=1,E85&gt;=2),3,IF(E85&gt;3,3,E85))</f>
        <v>3</v>
      </c>
      <c r="H85" s="53">
        <f>IF(ISNUMBER(SEARCH("M", C85)), 1, 0)</f>
        <v>0</v>
      </c>
      <c r="I85" s="54" t="str">
        <f>VLOOKUP(B85,Sheet1!$A:$E,5,FALSE)</f>
        <v>บจก.ตึกน้ำเงินคอนกรีต</v>
      </c>
    </row>
    <row r="86" spans="1:9" ht="17.5" thickBot="1">
      <c r="A86" s="50" t="s">
        <v>2876</v>
      </c>
      <c r="B86" s="51" t="s">
        <v>432</v>
      </c>
      <c r="C86" s="51" t="s">
        <v>433</v>
      </c>
      <c r="D86" s="52">
        <f>COUNTIF(L1L2!$M:$M,$B86)</f>
        <v>4</v>
      </c>
      <c r="E86" s="52">
        <f>COUNTIFS(L1L2!$M:$M,$B86,L1L2!$L:$L,$E$1)</f>
        <v>4</v>
      </c>
      <c r="F86" s="52">
        <f>IF(AND(H86=1,D86&gt;=2),9,IF(D86&gt;=3,9,0))</f>
        <v>9</v>
      </c>
      <c r="G86" s="52">
        <f>IF(AND(H86=1,E86&gt;=2),3,IF(E86&gt;3,3,E86))</f>
        <v>3</v>
      </c>
      <c r="H86" s="53">
        <f>IF(ISNUMBER(SEARCH("M", C86)), 1, 0)</f>
        <v>0</v>
      </c>
      <c r="I86" s="54" t="str">
        <f>VLOOKUP(B86,Sheet1!$A:$E,5,FALSE)</f>
        <v>บจก.ตึกน้ำเงินคอนกรีต</v>
      </c>
    </row>
    <row r="87" spans="1:9" ht="17.5" thickBot="1">
      <c r="A87" s="50" t="s">
        <v>2876</v>
      </c>
      <c r="B87" s="51" t="s">
        <v>434</v>
      </c>
      <c r="C87" s="51" t="s">
        <v>435</v>
      </c>
      <c r="D87" s="52">
        <f>COUNTIF(L1L2!$M:$M,$B87)</f>
        <v>3</v>
      </c>
      <c r="E87" s="52">
        <f>COUNTIFS(L1L2!$M:$M,$B87,L1L2!$L:$L,$E$1)</f>
        <v>3</v>
      </c>
      <c r="F87" s="52">
        <f>IF(AND(H87=1,D87&gt;=2),9,IF(D87&gt;=3,9,0))</f>
        <v>9</v>
      </c>
      <c r="G87" s="52">
        <f>IF(AND(H87=1,E87&gt;=2),3,IF(E87&gt;3,3,E87))</f>
        <v>3</v>
      </c>
      <c r="H87" s="53">
        <f>IF(ISNUMBER(SEARCH("M", C87)), 1, 0)</f>
        <v>0</v>
      </c>
      <c r="I87" s="54" t="str">
        <f>VLOOKUP(B87,Sheet1!$A:$E,5,FALSE)</f>
        <v>บจก.ตึกน้ำเงินคอนกรีต</v>
      </c>
    </row>
    <row r="88" spans="1:9" ht="17.5" thickBot="1">
      <c r="A88" s="50" t="s">
        <v>2876</v>
      </c>
      <c r="B88" s="51" t="s">
        <v>484</v>
      </c>
      <c r="C88" s="51" t="s">
        <v>485</v>
      </c>
      <c r="D88" s="52">
        <f>COUNTIF(L1L2!$M:$M,$B88)</f>
        <v>3</v>
      </c>
      <c r="E88" s="52">
        <f>COUNTIFS(L1L2!$M:$M,$B88,L1L2!$L:$L,$E$1)</f>
        <v>3</v>
      </c>
      <c r="F88" s="52">
        <f>IF(AND(H88=1,D88&gt;=2),9,IF(D88&gt;=3,9,0))</f>
        <v>9</v>
      </c>
      <c r="G88" s="52">
        <f>IF(AND(H88=1,E88&gt;=2),3,IF(E88&gt;3,3,E88))</f>
        <v>3</v>
      </c>
      <c r="H88" s="53">
        <f>IF(ISNUMBER(SEARCH("M", C88)), 1, 0)</f>
        <v>0</v>
      </c>
      <c r="I88" s="54" t="str">
        <f>VLOOKUP(B88,Sheet1!$A:$E,5,FALSE)</f>
        <v>บจก.ตึกน้ำเงินคอนกรีต</v>
      </c>
    </row>
    <row r="89" spans="1:9" ht="17.5" thickBot="1">
      <c r="A89" s="55" t="s">
        <v>3109</v>
      </c>
      <c r="B89" s="60" t="s">
        <v>628</v>
      </c>
      <c r="C89" s="60" t="s">
        <v>629</v>
      </c>
      <c r="D89" s="57">
        <f>COUNTIF(L1L2!$M:$M,$B89)</f>
        <v>5</v>
      </c>
      <c r="E89" s="57">
        <f>COUNTIFS(L1L2!$M:$M,$B89,L1L2!$L:$L,$E$1)</f>
        <v>5</v>
      </c>
      <c r="F89" s="57">
        <f>IF(AND(H89=1,D89&gt;=2),9,IF(D89&gt;=3,9,0))</f>
        <v>9</v>
      </c>
      <c r="G89" s="57">
        <f>IF(AND(H89=1,E89&gt;=2),3,IF(E89&gt;3,3,E89))</f>
        <v>3</v>
      </c>
      <c r="H89" s="58">
        <f>IF(ISNUMBER(SEARCH("M", C89)), 1, 0)</f>
        <v>0</v>
      </c>
      <c r="I89" s="59" t="str">
        <f>VLOOKUP(B89,Sheet1!$A:$E,5,FALSE)</f>
        <v>บจก.ทวีสินคอนกรีต</v>
      </c>
    </row>
    <row r="90" spans="1:9" ht="17.5" thickBot="1">
      <c r="A90" s="55" t="s">
        <v>3109</v>
      </c>
      <c r="B90" s="60" t="s">
        <v>646</v>
      </c>
      <c r="C90" s="60" t="s">
        <v>647</v>
      </c>
      <c r="D90" s="57">
        <f>COUNTIF(L1L2!$M:$M,$B90)</f>
        <v>4</v>
      </c>
      <c r="E90" s="57">
        <f>COUNTIFS(L1L2!$M:$M,$B90,L1L2!$L:$L,$E$1)</f>
        <v>4</v>
      </c>
      <c r="F90" s="57">
        <f>IF(AND(H90=1,D90&gt;=2),9,IF(D90&gt;=3,9,0))</f>
        <v>9</v>
      </c>
      <c r="G90" s="57">
        <f>IF(AND(H90=1,E90&gt;=2),3,IF(E90&gt;3,3,E90))</f>
        <v>3</v>
      </c>
      <c r="H90" s="58">
        <f>IF(ISNUMBER(SEARCH("M", C90)), 1, 0)</f>
        <v>0</v>
      </c>
      <c r="I90" s="59" t="str">
        <f>VLOOKUP(B90,Sheet1!$A:$E,5,FALSE)</f>
        <v>บจก.ทวีสินคอนกรีต</v>
      </c>
    </row>
    <row r="91" spans="1:9" ht="17.5" thickBot="1">
      <c r="A91" s="55" t="s">
        <v>3109</v>
      </c>
      <c r="B91" s="60" t="s">
        <v>564</v>
      </c>
      <c r="C91" s="60" t="s">
        <v>565</v>
      </c>
      <c r="D91" s="57">
        <f>COUNTIF(L1L2!$M:$M,$B91)</f>
        <v>4</v>
      </c>
      <c r="E91" s="57">
        <f>COUNTIFS(L1L2!$M:$M,$B91,L1L2!$L:$L,$E$1)</f>
        <v>4</v>
      </c>
      <c r="F91" s="57">
        <f>IF(AND(H91=1,D91&gt;=2),9,IF(D91&gt;=3,9,0))</f>
        <v>9</v>
      </c>
      <c r="G91" s="57">
        <f>IF(AND(H91=1,E91&gt;=2),3,IF(E91&gt;3,3,E91))</f>
        <v>3</v>
      </c>
      <c r="H91" s="58">
        <f>IF(ISNUMBER(SEARCH("M", C91)), 1, 0)</f>
        <v>0</v>
      </c>
      <c r="I91" s="59" t="str">
        <f>VLOOKUP(B91,Sheet1!$A:$E,5,FALSE)</f>
        <v>บจก.ทวีสินคอนกรีต</v>
      </c>
    </row>
    <row r="92" spans="1:9" ht="17.5" thickBot="1">
      <c r="A92" s="50" t="s">
        <v>2876</v>
      </c>
      <c r="B92" s="51" t="s">
        <v>1245</v>
      </c>
      <c r="C92" s="51" t="s">
        <v>3074</v>
      </c>
      <c r="D92" s="66">
        <f>COUNTIF(L1L2!$M:$M,$B92)</f>
        <v>4</v>
      </c>
      <c r="E92" s="66">
        <f>COUNTIFS(L1L2!$M:$M,$B92,L1L2!$L:$L,$E$1)</f>
        <v>3</v>
      </c>
      <c r="F92" s="52">
        <f>IF(AND(H92=1,D92&gt;=2),9,IF(D92&gt;=3,9,0))</f>
        <v>9</v>
      </c>
      <c r="G92" s="52">
        <f>IF(AND(H92=1,E92&gt;=2),3,IF(E92&gt;3,3,E92))</f>
        <v>3</v>
      </c>
      <c r="H92" s="53">
        <f>IF(ISNUMBER(SEARCH("M", C92)), 1, 0)</f>
        <v>0</v>
      </c>
      <c r="I92" s="54" t="str">
        <f>VLOOKUP(B92,Sheet1!$A:$E,5,FALSE)</f>
        <v>บจก.นอร์ทเทิร์น แมททีเรียล แอนด์ คอนกรีต</v>
      </c>
    </row>
    <row r="93" spans="1:9" ht="17.5" thickBot="1">
      <c r="A93" s="50" t="s">
        <v>2876</v>
      </c>
      <c r="B93" s="51" t="s">
        <v>1246</v>
      </c>
      <c r="C93" s="51" t="s">
        <v>3075</v>
      </c>
      <c r="D93" s="52">
        <f>COUNTIF(L1L2!$M:$M,$B93)</f>
        <v>3</v>
      </c>
      <c r="E93" s="52">
        <f>COUNTIFS(L1L2!$M:$M,$B93,L1L2!$L:$L,$E$1)</f>
        <v>3</v>
      </c>
      <c r="F93" s="52">
        <f>IF(AND(H93=1,D93&gt;=2),9,IF(D93&gt;=3,9,0))</f>
        <v>9</v>
      </c>
      <c r="G93" s="52">
        <f>IF(AND(H93=1,E93&gt;=2),3,IF(E93&gt;3,3,E93))</f>
        <v>3</v>
      </c>
      <c r="H93" s="53">
        <f>IF(ISNUMBER(SEARCH("M", C93)), 1, 0)</f>
        <v>0</v>
      </c>
      <c r="I93" s="54" t="str">
        <f>VLOOKUP(B93,Sheet1!$A:$E,5,FALSE)</f>
        <v>บจก.นอร์ทเทิร์น แมททีเรียล แอนด์ คอนกรีต</v>
      </c>
    </row>
    <row r="94" spans="1:9" ht="17.5" thickBot="1">
      <c r="A94" s="50" t="s">
        <v>2876</v>
      </c>
      <c r="B94" s="51" t="s">
        <v>1241</v>
      </c>
      <c r="C94" s="51" t="s">
        <v>1329</v>
      </c>
      <c r="D94" s="66">
        <f>COUNTIF(L1L2!$M:$M,$B94)</f>
        <v>3</v>
      </c>
      <c r="E94" s="66">
        <f>COUNTIFS(L1L2!$M:$M,$B94,L1L2!$L:$L,$E$1)</f>
        <v>3</v>
      </c>
      <c r="F94" s="52">
        <f>IF(AND(H94=1,D94&gt;=2),9,IF(D94&gt;=3,9,0))</f>
        <v>9</v>
      </c>
      <c r="G94" s="52">
        <f>IF(AND(H94=1,E94&gt;=2),3,IF(E94&gt;3,3,E94))</f>
        <v>3</v>
      </c>
      <c r="H94" s="53">
        <f>IF(ISNUMBER(SEARCH("M", C94)), 1, 0)</f>
        <v>0</v>
      </c>
      <c r="I94" s="54" t="str">
        <f>VLOOKUP(B94,Sheet1!$A:$E,5,FALSE)</f>
        <v>บจก.นอร์ทเทิร์น แมททีเรียล แอนด์ คอนกรีต</v>
      </c>
    </row>
    <row r="95" spans="1:9" ht="17.5" thickBot="1">
      <c r="A95" s="27" t="s">
        <v>2861</v>
      </c>
      <c r="B95" s="28" t="s">
        <v>312</v>
      </c>
      <c r="C95" s="28" t="s">
        <v>313</v>
      </c>
      <c r="D95" s="31">
        <f>COUNTIF(L1L2!$M:$M,$B95)</f>
        <v>4</v>
      </c>
      <c r="E95" s="31">
        <f>COUNTIFS(L1L2!$M:$M,$B95,L1L2!$L:$L,$E$1)</f>
        <v>4</v>
      </c>
      <c r="F95" s="31">
        <f>IF(AND(H95=1,D95&gt;=2),9,IF(D95&gt;=3,9,0))</f>
        <v>9</v>
      </c>
      <c r="G95" s="31">
        <f>IF(AND(H95=1,E95&gt;=2),3,IF(E95&gt;3,3,E95))</f>
        <v>3</v>
      </c>
      <c r="H95" s="33">
        <f>IF(ISNUMBER(SEARCH("M", C95)), 1, 0)</f>
        <v>0</v>
      </c>
      <c r="I95" s="29" t="str">
        <f>VLOOKUP(B95,Sheet1!$A:$E,5,FALSE)</f>
        <v>บจก.นิติมงคลคอนกรีต</v>
      </c>
    </row>
    <row r="96" spans="1:9" ht="17.5" thickBot="1">
      <c r="A96" s="27" t="s">
        <v>2861</v>
      </c>
      <c r="B96" s="28" t="s">
        <v>302</v>
      </c>
      <c r="C96" s="28" t="s">
        <v>303</v>
      </c>
      <c r="D96" s="31">
        <f>COUNTIF(L1L2!$M:$M,$B96)</f>
        <v>3</v>
      </c>
      <c r="E96" s="31">
        <f>COUNTIFS(L1L2!$M:$M,$B96,L1L2!$L:$L,$E$1)</f>
        <v>3</v>
      </c>
      <c r="F96" s="31">
        <f>IF(AND(H96=1,D96&gt;=2),9,IF(D96&gt;=3,9,0))</f>
        <v>9</v>
      </c>
      <c r="G96" s="31">
        <f>IF(AND(H96=1,E96&gt;=2),3,IF(E96&gt;3,3,E96))</f>
        <v>3</v>
      </c>
      <c r="H96" s="33">
        <f>IF(ISNUMBER(SEARCH("M", C96)), 1, 0)</f>
        <v>0</v>
      </c>
      <c r="I96" s="29" t="str">
        <f>VLOOKUP(B96,Sheet1!$A:$E,5,FALSE)</f>
        <v>บจก.นิธิศพันธ์</v>
      </c>
    </row>
    <row r="97" spans="1:9" ht="17.5" thickBot="1">
      <c r="A97" s="27" t="s">
        <v>2861</v>
      </c>
      <c r="B97" s="28" t="s">
        <v>728</v>
      </c>
      <c r="C97" s="28" t="s">
        <v>3099</v>
      </c>
      <c r="D97" s="31">
        <f>COUNTIF(L1L2!$M:$M,$B97)</f>
        <v>6</v>
      </c>
      <c r="E97" s="31">
        <f>COUNTIFS(L1L2!$M:$M,$B97,L1L2!$L:$L,$E$1)</f>
        <v>5</v>
      </c>
      <c r="F97" s="31">
        <f>IF(AND(H97=1,D97&gt;=2),9,IF(D97&gt;=3,9,0))</f>
        <v>9</v>
      </c>
      <c r="G97" s="31">
        <f>IF(AND(H97=1,E97&gt;=2),3,IF(E97&gt;3,3,E97))</f>
        <v>3</v>
      </c>
      <c r="H97" s="33">
        <f>IF(ISNUMBER(SEARCH("M", C97)), 1, 0)</f>
        <v>0</v>
      </c>
      <c r="I97" s="29" t="str">
        <f>VLOOKUP(B97,Sheet1!$A:$E,5,FALSE)</f>
        <v>บจก.บางแสนมหานคร ผลิตภัณฑ์คอนกรีต</v>
      </c>
    </row>
    <row r="98" spans="1:9" ht="17.5" thickBot="1">
      <c r="A98" s="38" t="s">
        <v>2861</v>
      </c>
      <c r="B98" s="39" t="s">
        <v>316</v>
      </c>
      <c r="C98" s="39" t="s">
        <v>1262</v>
      </c>
      <c r="D98" s="66">
        <f>COUNTIF(L1L2!$M:$M,$B98)</f>
        <v>4</v>
      </c>
      <c r="E98" s="66">
        <f>COUNTIFS(L1L2!$M:$M,$B98,L1L2!$L:$L,$E$1)</f>
        <v>4</v>
      </c>
      <c r="F98" s="40">
        <f>IF(AND(H98=1,D98&gt;=2),9,IF(D98&gt;=3,9,0))</f>
        <v>9</v>
      </c>
      <c r="G98" s="40">
        <f>IF(AND(H98=1,E98&gt;=2),3,IF(E98&gt;3,3,E98))</f>
        <v>3</v>
      </c>
      <c r="H98" s="41">
        <f>IF(ISNUMBER(SEARCH("M", C98)), 1, 0)</f>
        <v>0</v>
      </c>
      <c r="I98" s="42" t="str">
        <f>VLOOKUP(B98,Sheet1!$A:$E,5,FALSE)</f>
        <v>บจก.บี.เอ.ซี.คอนกรีต</v>
      </c>
    </row>
    <row r="99" spans="1:9" ht="17.5" thickBot="1">
      <c r="A99" s="38" t="s">
        <v>2861</v>
      </c>
      <c r="B99" s="39" t="s">
        <v>328</v>
      </c>
      <c r="C99" s="39" t="s">
        <v>1263</v>
      </c>
      <c r="D99" s="66">
        <f>COUNTIF(L1L2!$M:$M,$B99)</f>
        <v>3</v>
      </c>
      <c r="E99" s="66">
        <f>COUNTIFS(L1L2!$M:$M,$B99,L1L2!$L:$L,$E$1)</f>
        <v>3</v>
      </c>
      <c r="F99" s="40">
        <f>IF(AND(H99=1,D99&gt;=2),9,IF(D99&gt;=3,9,0))</f>
        <v>9</v>
      </c>
      <c r="G99" s="40">
        <f>IF(AND(H99=1,E99&gt;=2),3,IF(E99&gt;3,3,E99))</f>
        <v>3</v>
      </c>
      <c r="H99" s="41">
        <f>IF(ISNUMBER(SEARCH("M", C99)), 1, 0)</f>
        <v>0</v>
      </c>
      <c r="I99" s="42" t="str">
        <f>VLOOKUP(B99,Sheet1!$A:$E,5,FALSE)</f>
        <v>บจก.บี.เอ.ซี.คอนกรีต</v>
      </c>
    </row>
    <row r="100" spans="1:9" ht="17.5" thickBot="1">
      <c r="A100" s="38" t="s">
        <v>2861</v>
      </c>
      <c r="B100" s="39" t="s">
        <v>284</v>
      </c>
      <c r="C100" s="39" t="s">
        <v>1264</v>
      </c>
      <c r="D100" s="40">
        <f>COUNTIF(L1L2!$M:$M,$B100)</f>
        <v>9</v>
      </c>
      <c r="E100" s="40">
        <f>COUNTIFS(L1L2!$M:$M,$B100,L1L2!$L:$L,$E$1)</f>
        <v>9</v>
      </c>
      <c r="F100" s="40">
        <f>IF(AND(H100=1,D100&gt;=2),9,IF(D100&gt;=3,9,0))</f>
        <v>9</v>
      </c>
      <c r="G100" s="40">
        <f>IF(AND(H100=1,E100&gt;=2),3,IF(E100&gt;3,3,E100))</f>
        <v>3</v>
      </c>
      <c r="H100" s="41">
        <f>IF(ISNUMBER(SEARCH("M", C100)), 1, 0)</f>
        <v>0</v>
      </c>
      <c r="I100" s="42" t="str">
        <f>VLOOKUP(B100,Sheet1!$A:$E,5,FALSE)</f>
        <v>บจก.บี.เอ.ซี.คอนกรีต</v>
      </c>
    </row>
    <row r="101" spans="1:9" ht="17.5" thickBot="1">
      <c r="A101" s="38" t="s">
        <v>2861</v>
      </c>
      <c r="B101" s="39" t="s">
        <v>298</v>
      </c>
      <c r="C101" s="39" t="s">
        <v>299</v>
      </c>
      <c r="D101" s="40">
        <f>COUNTIF(L1L2!$M:$M,$B101)</f>
        <v>5</v>
      </c>
      <c r="E101" s="40">
        <f>COUNTIFS(L1L2!$M:$M,$B101,L1L2!$L:$L,$E$1)</f>
        <v>4</v>
      </c>
      <c r="F101" s="40">
        <f>IF(AND(H101=1,D101&gt;=2),9,IF(D101&gt;=3,9,0))</f>
        <v>9</v>
      </c>
      <c r="G101" s="40">
        <f>IF(AND(H101=1,E101&gt;=2),3,IF(E101&gt;3,3,E101))</f>
        <v>3</v>
      </c>
      <c r="H101" s="41">
        <f>IF(ISNUMBER(SEARCH("M", C101)), 1, 0)</f>
        <v>0</v>
      </c>
      <c r="I101" s="42" t="str">
        <f>VLOOKUP(B101,Sheet1!$A:$E,5,FALSE)</f>
        <v>บจก.บี.เอ.ซี.คอนกรีต</v>
      </c>
    </row>
    <row r="102" spans="1:9" ht="17.5" thickBot="1">
      <c r="A102" s="55" t="s">
        <v>3109</v>
      </c>
      <c r="B102" s="60" t="s">
        <v>642</v>
      </c>
      <c r="C102" s="60" t="s">
        <v>1355</v>
      </c>
      <c r="D102" s="57">
        <f>COUNTIF(L1L2!$M:$M,$B102)</f>
        <v>3</v>
      </c>
      <c r="E102" s="57">
        <f>COUNTIFS(L1L2!$M:$M,$B102,L1L2!$L:$L,$E$1)</f>
        <v>3</v>
      </c>
      <c r="F102" s="57">
        <f>IF(AND(H102=1,D102&gt;=2),9,IF(D102&gt;=3,9,0))</f>
        <v>9</v>
      </c>
      <c r="G102" s="57">
        <f>IF(AND(H102=1,E102&gt;=2),3,IF(E102&gt;3,3,E102))</f>
        <v>3</v>
      </c>
      <c r="H102" s="58">
        <f>IF(ISNUMBER(SEARCH("M", C102)), 1, 0)</f>
        <v>0</v>
      </c>
      <c r="I102" s="59" t="str">
        <f>VLOOKUP(B102,Sheet1!$A:$E,5,FALSE)</f>
        <v>บจก.บุษยาคอนกรีต อำนาจเจริญ</v>
      </c>
    </row>
    <row r="103" spans="1:9" ht="17.5" thickBot="1">
      <c r="A103" s="55" t="s">
        <v>3109</v>
      </c>
      <c r="B103" s="60" t="s">
        <v>670</v>
      </c>
      <c r="C103" s="60" t="s">
        <v>671</v>
      </c>
      <c r="D103" s="57">
        <f>COUNTIF(L1L2!$M:$M,$B103)</f>
        <v>3</v>
      </c>
      <c r="E103" s="57">
        <f>COUNTIFS(L1L2!$M:$M,$B103,L1L2!$L:$L,$E$1)</f>
        <v>3</v>
      </c>
      <c r="F103" s="57">
        <f>IF(AND(H103=1,D103&gt;=2),9,IF(D103&gt;=3,9,0))</f>
        <v>9</v>
      </c>
      <c r="G103" s="57">
        <f>IF(AND(H103=1,E103&gt;=2),3,IF(E103&gt;3,3,E103))</f>
        <v>3</v>
      </c>
      <c r="H103" s="58">
        <f>IF(ISNUMBER(SEARCH("M", C103)), 1, 0)</f>
        <v>0</v>
      </c>
      <c r="I103" s="59" t="str">
        <f>VLOOKUP(B103,Sheet1!$A:$E,5,FALSE)</f>
        <v>บจก.บุษยาคอนกรีต อำนาจเจริญ</v>
      </c>
    </row>
    <row r="104" spans="1:9" ht="17.5" thickBot="1">
      <c r="A104" s="55" t="s">
        <v>3109</v>
      </c>
      <c r="B104" s="60" t="s">
        <v>608</v>
      </c>
      <c r="C104" s="60" t="s">
        <v>609</v>
      </c>
      <c r="D104" s="57">
        <f>COUNTIF(L1L2!$M:$M,$B104)</f>
        <v>3</v>
      </c>
      <c r="E104" s="57">
        <f>COUNTIFS(L1L2!$M:$M,$B104,L1L2!$L:$L,$E$1)</f>
        <v>3</v>
      </c>
      <c r="F104" s="57">
        <f>IF(AND(H104=1,D104&gt;=2),9,IF(D104&gt;=3,9,0))</f>
        <v>9</v>
      </c>
      <c r="G104" s="57">
        <f>IF(AND(H104=1,E104&gt;=2),3,IF(E104&gt;3,3,E104))</f>
        <v>3</v>
      </c>
      <c r="H104" s="58">
        <f>IF(ISNUMBER(SEARCH("M", C104)), 1, 0)</f>
        <v>0</v>
      </c>
      <c r="I104" s="59" t="str">
        <f>VLOOKUP(B104,Sheet1!$A:$E,5,FALSE)</f>
        <v>บจก.บุษยาคอนกรีต อำนาจเจริญ</v>
      </c>
    </row>
    <row r="105" spans="1:9" ht="17.5" thickBot="1">
      <c r="A105" s="55" t="s">
        <v>3109</v>
      </c>
      <c r="B105" s="60" t="s">
        <v>1231</v>
      </c>
      <c r="C105" s="60" t="s">
        <v>3131</v>
      </c>
      <c r="D105" s="57">
        <f>COUNTIF(L1L2!$M:$M,$B105)</f>
        <v>3</v>
      </c>
      <c r="E105" s="57">
        <f>COUNTIFS(L1L2!$M:$M,$B105,L1L2!$L:$L,$E$1)</f>
        <v>3</v>
      </c>
      <c r="F105" s="57">
        <f>IF(AND(H105=1,D105&gt;=2),9,IF(D105&gt;=3,9,0))</f>
        <v>9</v>
      </c>
      <c r="G105" s="57">
        <f>IF(AND(H105=1,E105&gt;=2),3,IF(E105&gt;3,3,E105))</f>
        <v>3</v>
      </c>
      <c r="H105" s="58">
        <f>IF(ISNUMBER(SEARCH("M", C105)), 1, 0)</f>
        <v>0</v>
      </c>
      <c r="I105" s="59" t="str">
        <f>VLOOKUP(B105,Sheet1!$A:$E,5,FALSE)</f>
        <v>บจก.บุษยาคอนกรีต อำนาจเจริญ</v>
      </c>
    </row>
    <row r="106" spans="1:9" ht="17.5" thickBot="1">
      <c r="A106" s="55" t="s">
        <v>3109</v>
      </c>
      <c r="B106" s="60" t="s">
        <v>1230</v>
      </c>
      <c r="C106" s="60" t="s">
        <v>3132</v>
      </c>
      <c r="D106" s="57">
        <f>COUNTIF(L1L2!$M:$M,$B106)</f>
        <v>3</v>
      </c>
      <c r="E106" s="57">
        <f>COUNTIFS(L1L2!$M:$M,$B106,L1L2!$L:$L,$E$1)</f>
        <v>3</v>
      </c>
      <c r="F106" s="57">
        <f>IF(AND(H106=1,D106&gt;=2),9,IF(D106&gt;=3,9,0))</f>
        <v>9</v>
      </c>
      <c r="G106" s="57">
        <f>IF(AND(H106=1,E106&gt;=2),3,IF(E106&gt;3,3,E106))</f>
        <v>3</v>
      </c>
      <c r="H106" s="58">
        <f>IF(ISNUMBER(SEARCH("M", C106)), 1, 0)</f>
        <v>0</v>
      </c>
      <c r="I106" s="59" t="str">
        <f>VLOOKUP(B106,Sheet1!$A:$E,5,FALSE)</f>
        <v>บจก.บุษยาคอนกรีต อำนาจเจริญ</v>
      </c>
    </row>
    <row r="107" spans="1:9" ht="17.5" thickBot="1">
      <c r="A107" s="55" t="s">
        <v>3109</v>
      </c>
      <c r="B107" s="60" t="s">
        <v>2555</v>
      </c>
      <c r="C107" s="60" t="s">
        <v>3133</v>
      </c>
      <c r="D107" s="57">
        <f>COUNTIF(L1L2!$M:$M,$B107)</f>
        <v>3</v>
      </c>
      <c r="E107" s="57">
        <f>COUNTIFS(L1L2!$M:$M,$B107,L1L2!$L:$L,$E$1)</f>
        <v>3</v>
      </c>
      <c r="F107" s="57">
        <f>IF(AND(H107=1,D107&gt;=2),9,IF(D107&gt;=3,9,0))</f>
        <v>9</v>
      </c>
      <c r="G107" s="57">
        <f>IF(AND(H107=1,E107&gt;=2),3,IF(E107&gt;3,3,E107))</f>
        <v>3</v>
      </c>
      <c r="H107" s="58">
        <f>IF(ISNUMBER(SEARCH("M", C107)), 1, 0)</f>
        <v>0</v>
      </c>
      <c r="I107" s="59" t="str">
        <f>VLOOKUP(B107,Sheet1!$A:$E,5,FALSE)</f>
        <v>บจก.บุษยาคอนกรีต อำนาจเจริญ</v>
      </c>
    </row>
    <row r="108" spans="1:9" ht="17.5" thickBot="1">
      <c r="A108" s="27" t="s">
        <v>2861</v>
      </c>
      <c r="B108" s="28" t="s">
        <v>3100</v>
      </c>
      <c r="C108" s="28" t="s">
        <v>3101</v>
      </c>
      <c r="D108" s="31">
        <f>COUNTIF(L1L2!$M:$M,$B108)</f>
        <v>0</v>
      </c>
      <c r="E108" s="31">
        <f>COUNTIFS(L1L2!$M:$M,$B108,L1L2!$L:$L,$E$1)</f>
        <v>0</v>
      </c>
      <c r="F108" s="31">
        <f>IF(AND(H108=1,D108&gt;=2),9,IF(D108&gt;=3,9,0))</f>
        <v>0</v>
      </c>
      <c r="G108" s="31">
        <f>IF(AND(H108=1,E108&gt;=2),3,IF(E108&gt;3,3,E108))</f>
        <v>0</v>
      </c>
      <c r="H108" s="33">
        <f>IF(ISNUMBER(SEARCH("M", C108)), 1, 0)</f>
        <v>0</v>
      </c>
      <c r="I108" s="29" t="str">
        <f>VLOOKUP(B108,Sheet1!$A:$E,5,FALSE)</f>
        <v>บจก.บูรพาคอนกรีต แอนด์ คอนสตรัคชั่น</v>
      </c>
    </row>
    <row r="109" spans="1:9" ht="17.5" thickBot="1">
      <c r="A109" s="27" t="s">
        <v>3109</v>
      </c>
      <c r="B109" s="28" t="s">
        <v>622</v>
      </c>
      <c r="C109" s="28" t="s">
        <v>623</v>
      </c>
      <c r="D109" s="31">
        <f>COUNTIF(L1L2!$M:$M,$B109)</f>
        <v>2</v>
      </c>
      <c r="E109" s="31">
        <f>COUNTIFS(L1L2!$M:$M,$B109,L1L2!$L:$L,$E$1)</f>
        <v>2</v>
      </c>
      <c r="F109" s="31">
        <f>IF(AND(H109=1,D109&gt;=2),9,IF(D109&gt;=3,9,0))</f>
        <v>0</v>
      </c>
      <c r="G109" s="31">
        <f>IF(AND(H109=1,E109&gt;=2),3,IF(E109&gt;3,3,E109))</f>
        <v>2</v>
      </c>
      <c r="H109" s="33">
        <f>IF(ISNUMBER(SEARCH("M", C109)), 1, 0)</f>
        <v>0</v>
      </c>
      <c r="I109" s="29" t="str">
        <f>VLOOKUP(B109,Sheet1!$A:$E,5,FALSE)</f>
        <v>บจก.ประทุมศิริ ซิเมนต์</v>
      </c>
    </row>
    <row r="110" spans="1:9" ht="17.5" thickBot="1">
      <c r="A110" s="55" t="s">
        <v>2946</v>
      </c>
      <c r="B110" s="60" t="s">
        <v>408</v>
      </c>
      <c r="C110" s="60" t="s">
        <v>409</v>
      </c>
      <c r="D110" s="57">
        <f>COUNTIF(L1L2!$M:$M,$B110)</f>
        <v>3</v>
      </c>
      <c r="E110" s="57">
        <f>COUNTIFS(L1L2!$M:$M,$B110,L1L2!$L:$L,$E$1)</f>
        <v>3</v>
      </c>
      <c r="F110" s="57">
        <f>IF(AND(H110=1,D110&gt;=2),9,IF(D110&gt;=3,9,0))</f>
        <v>9</v>
      </c>
      <c r="G110" s="57">
        <f>IF(AND(H110=1,E110&gt;=2),3,IF(E110&gt;3,3,E110))</f>
        <v>3</v>
      </c>
      <c r="H110" s="58">
        <f>IF(ISNUMBER(SEARCH("M", C110)), 1, 0)</f>
        <v>0</v>
      </c>
      <c r="I110" s="59" t="str">
        <f>VLOOKUP(B110,Sheet1!$A:$E,5,FALSE)</f>
        <v>บจก.ปัญญามาตรฐานคอนกรีต</v>
      </c>
    </row>
    <row r="111" spans="1:9" ht="17.5" thickBot="1">
      <c r="A111" s="55" t="s">
        <v>2946</v>
      </c>
      <c r="B111" s="60" t="s">
        <v>410</v>
      </c>
      <c r="C111" s="60" t="s">
        <v>411</v>
      </c>
      <c r="D111" s="66">
        <f>COUNTIF(L1L2!$M:$M,$B111)</f>
        <v>3</v>
      </c>
      <c r="E111" s="66">
        <f>COUNTIFS(L1L2!$M:$M,$B111,L1L2!$L:$L,$E$1)</f>
        <v>3</v>
      </c>
      <c r="F111" s="57">
        <f>IF(AND(H111=1,D111&gt;=2),9,IF(D111&gt;=3,9,0))</f>
        <v>9</v>
      </c>
      <c r="G111" s="57">
        <f>IF(AND(H111=1,E111&gt;=2),3,IF(E111&gt;3,3,E111))</f>
        <v>3</v>
      </c>
      <c r="H111" s="58">
        <f>IF(ISNUMBER(SEARCH("M", C111)), 1, 0)</f>
        <v>0</v>
      </c>
      <c r="I111" s="59" t="str">
        <f>VLOOKUP(B111,Sheet1!$A:$E,5,FALSE)</f>
        <v>บจก.ปัญญามาตรฐานคอนกรีต</v>
      </c>
    </row>
    <row r="112" spans="1:9" ht="17.5" thickBot="1">
      <c r="A112" s="55" t="s">
        <v>2946</v>
      </c>
      <c r="B112" s="60" t="s">
        <v>374</v>
      </c>
      <c r="C112" s="60" t="s">
        <v>375</v>
      </c>
      <c r="D112" s="57">
        <f>COUNTIF(L1L2!$M:$M,$B112)</f>
        <v>3</v>
      </c>
      <c r="E112" s="57">
        <f>COUNTIFS(L1L2!$M:$M,$B112,L1L2!$L:$L,$E$1)</f>
        <v>3</v>
      </c>
      <c r="F112" s="57">
        <f>IF(AND(H112=1,D112&gt;=2),9,IF(D112&gt;=3,9,0))</f>
        <v>9</v>
      </c>
      <c r="G112" s="57">
        <f>IF(AND(H112=1,E112&gt;=2),3,IF(E112&gt;3,3,E112))</f>
        <v>3</v>
      </c>
      <c r="H112" s="58">
        <f>IF(ISNUMBER(SEARCH("M", C112)), 1, 0)</f>
        <v>0</v>
      </c>
      <c r="I112" s="59" t="str">
        <f>VLOOKUP(B112,Sheet1!$A:$E,5,FALSE)</f>
        <v>บจก.ปัญญามาตรฐานคอนกรีต</v>
      </c>
    </row>
    <row r="113" spans="1:10" ht="17.5" thickBot="1">
      <c r="A113" s="55" t="s">
        <v>2946</v>
      </c>
      <c r="B113" s="60" t="s">
        <v>368</v>
      </c>
      <c r="C113" s="60" t="s">
        <v>369</v>
      </c>
      <c r="D113" s="66">
        <f>COUNTIF(L1L2!$M:$M,$B113)</f>
        <v>1</v>
      </c>
      <c r="E113" s="66">
        <f>COUNTIFS(L1L2!$M:$M,$B113,L1L2!$L:$L,$E$1)</f>
        <v>1</v>
      </c>
      <c r="F113" s="57">
        <f>IF(AND(H113=1,D113&gt;=2),9,IF(D113&gt;=3,9,0))</f>
        <v>0</v>
      </c>
      <c r="G113" s="57">
        <f>IF(AND(H113=1,E113&gt;=2),3,IF(E113&gt;3,3,E113))</f>
        <v>1</v>
      </c>
      <c r="H113" s="58">
        <f>IF(ISNUMBER(SEARCH("M", C113)), 1, 0)</f>
        <v>0</v>
      </c>
      <c r="I113" s="59" t="str">
        <f>VLOOKUP(B113,Sheet1!$A:$E,5,FALSE)</f>
        <v>บจก.ปัญญามาตรฐานคอนกรีต</v>
      </c>
      <c r="J113" s="29" t="s">
        <v>411</v>
      </c>
    </row>
    <row r="114" spans="1:10" ht="17.5" thickBot="1">
      <c r="A114" s="55" t="s">
        <v>2946</v>
      </c>
      <c r="B114" s="60" t="s">
        <v>2539</v>
      </c>
      <c r="C114" s="60" t="s">
        <v>2954</v>
      </c>
      <c r="D114" s="57">
        <f>COUNTIF(L1L2!$M:$M,$B114)</f>
        <v>3</v>
      </c>
      <c r="E114" s="57">
        <f>COUNTIFS(L1L2!$M:$M,$B114,L1L2!$L:$L,$E$1)</f>
        <v>3</v>
      </c>
      <c r="F114" s="57">
        <f>IF(AND(H114=1,D114&gt;=2),9,IF(D114&gt;=3,9,0))</f>
        <v>9</v>
      </c>
      <c r="G114" s="57">
        <f>IF(AND(H114=1,E114&gt;=2),3,IF(E114&gt;3,3,E114))</f>
        <v>3</v>
      </c>
      <c r="H114" s="58">
        <f>IF(ISNUMBER(SEARCH("M", C114)), 1, 0)</f>
        <v>0</v>
      </c>
      <c r="I114" s="59" t="str">
        <f>VLOOKUP(B114,Sheet1!$A:$E,5,FALSE)</f>
        <v>บจก.ปัญญามาตรฐานคอนกรีต</v>
      </c>
    </row>
    <row r="115" spans="1:10" ht="17.5" thickBot="1">
      <c r="A115" s="50" t="s">
        <v>2946</v>
      </c>
      <c r="B115" s="51" t="s">
        <v>362</v>
      </c>
      <c r="C115" s="51" t="s">
        <v>363</v>
      </c>
      <c r="D115" s="66">
        <f>COUNTIF(L1L2!$M:$M,$B115)</f>
        <v>3</v>
      </c>
      <c r="E115" s="66">
        <f>COUNTIFS(L1L2!$M:$M,$B115,L1L2!$L:$L,$E$1)</f>
        <v>3</v>
      </c>
      <c r="F115" s="52">
        <f>IF(AND(H115=1,D115&gt;=2),9,IF(D115&gt;=3,9,0))</f>
        <v>9</v>
      </c>
      <c r="G115" s="52">
        <f>IF(AND(H115=1,E115&gt;=2),3,IF(E115&gt;3,3,E115))</f>
        <v>3</v>
      </c>
      <c r="H115" s="53">
        <f>IF(ISNUMBER(SEARCH("M", C115)), 1, 0)</f>
        <v>0</v>
      </c>
      <c r="I115" s="54" t="str">
        <f>VLOOKUP(B115,Sheet1!$A:$E,5,FALSE)</f>
        <v>บจก.ปัตตานีคอนกรีต</v>
      </c>
    </row>
    <row r="116" spans="1:10" ht="17.5" thickBot="1">
      <c r="A116" s="50" t="s">
        <v>2946</v>
      </c>
      <c r="B116" s="51" t="s">
        <v>416</v>
      </c>
      <c r="C116" s="51" t="s">
        <v>2957</v>
      </c>
      <c r="D116" s="66">
        <f>COUNTIF(L1L2!$M:$M,$B116)</f>
        <v>3</v>
      </c>
      <c r="E116" s="66">
        <f>COUNTIFS(L1L2!$M:$M,$B116,L1L2!$L:$L,$E$1)</f>
        <v>3</v>
      </c>
      <c r="F116" s="52">
        <f>IF(AND(H116=1,D116&gt;=2),9,IF(D116&gt;=3,9,0))</f>
        <v>9</v>
      </c>
      <c r="G116" s="52">
        <f>IF(AND(H116=1,E116&gt;=2),3,IF(E116&gt;3,3,E116))</f>
        <v>3</v>
      </c>
      <c r="H116" s="53">
        <f>IF(ISNUMBER(SEARCH("M", C116)), 1, 0)</f>
        <v>0</v>
      </c>
      <c r="I116" s="54" t="str">
        <f>VLOOKUP(B116,Sheet1!$A:$E,5,FALSE)</f>
        <v>บจก.ปัตตานีคอนกรีต</v>
      </c>
    </row>
    <row r="117" spans="1:10" ht="17.5" thickBot="1">
      <c r="A117" s="55" t="s">
        <v>2946</v>
      </c>
      <c r="B117" s="60" t="s">
        <v>736</v>
      </c>
      <c r="C117" s="60" t="s">
        <v>3086</v>
      </c>
      <c r="D117" s="57">
        <f>COUNTIF(L1L2!$M:$M,$B117)</f>
        <v>2</v>
      </c>
      <c r="E117" s="57">
        <f>COUNTIFS(L1L2!$M:$M,$B117,L1L2!$L:$L,$E$1)</f>
        <v>2</v>
      </c>
      <c r="F117" s="57">
        <f>IF(AND(H117=1,D117&gt;=2),9,IF(D117&gt;=3,9,0))</f>
        <v>0</v>
      </c>
      <c r="G117" s="57">
        <f>IF(AND(H117=1,E117&gt;=2),3,IF(E117&gt;3,3,E117))</f>
        <v>2</v>
      </c>
      <c r="H117" s="58">
        <f>IF(ISNUMBER(SEARCH("M", C117)), 1, 0)</f>
        <v>0</v>
      </c>
      <c r="I117" s="59" t="str">
        <f>VLOOKUP(B117,Sheet1!$A:$E,5,FALSE)</f>
        <v>บจก.ผาหลวงคอนกรีต</v>
      </c>
    </row>
    <row r="118" spans="1:10" ht="17.5" thickBot="1">
      <c r="A118" s="55" t="s">
        <v>2946</v>
      </c>
      <c r="B118" s="60" t="s">
        <v>730</v>
      </c>
      <c r="C118" s="60" t="s">
        <v>3087</v>
      </c>
      <c r="D118" s="57">
        <f>COUNTIF(L1L2!$M:$M,$B118)</f>
        <v>1</v>
      </c>
      <c r="E118" s="57">
        <f>COUNTIFS(L1L2!$M:$M,$B118,L1L2!$L:$L,$E$1)</f>
        <v>1</v>
      </c>
      <c r="F118" s="57">
        <f>IF(AND(H118=1,D118&gt;=2),9,IF(D118&gt;=3,9,0))</f>
        <v>0</v>
      </c>
      <c r="G118" s="57">
        <f>IF(AND(H118=1,E118&gt;=2),3,IF(E118&gt;3,3,E118))</f>
        <v>1</v>
      </c>
      <c r="H118" s="58">
        <f>IF(ISNUMBER(SEARCH("M", C118)), 1, 0)</f>
        <v>0</v>
      </c>
      <c r="I118" s="59" t="str">
        <f>VLOOKUP(B118,Sheet1!$A:$E,5,FALSE)</f>
        <v>บจก.ผาหลวงคอนกรีต</v>
      </c>
    </row>
    <row r="119" spans="1:10" ht="17.5" thickBot="1">
      <c r="A119" s="27" t="s">
        <v>3109</v>
      </c>
      <c r="B119" s="28" t="s">
        <v>698</v>
      </c>
      <c r="C119" s="28" t="s">
        <v>699</v>
      </c>
      <c r="D119" s="31">
        <f>COUNTIF(L1L2!$M:$M,$B119)</f>
        <v>3</v>
      </c>
      <c r="E119" s="31">
        <f>COUNTIFS(L1L2!$M:$M,$B119,L1L2!$L:$L,$E$1)</f>
        <v>3</v>
      </c>
      <c r="F119" s="31">
        <f>IF(AND(H119=1,D119&gt;=2),9,IF(D119&gt;=3,9,0))</f>
        <v>9</v>
      </c>
      <c r="G119" s="31">
        <f>IF(AND(H119=1,E119&gt;=2),3,IF(E119&gt;3,3,E119))</f>
        <v>3</v>
      </c>
      <c r="H119" s="33">
        <f>IF(ISNUMBER(SEARCH("M", C119)), 1, 0)</f>
        <v>0</v>
      </c>
      <c r="I119" s="29" t="str">
        <f>VLOOKUP(B119,Sheet1!$A:$E,5,FALSE)</f>
        <v>บจก.พี เอ็น คอนกรีต</v>
      </c>
    </row>
    <row r="120" spans="1:10" ht="17.5" thickBot="1">
      <c r="A120" s="55" t="s">
        <v>2861</v>
      </c>
      <c r="B120" s="60" t="s">
        <v>334</v>
      </c>
      <c r="C120" s="60" t="s">
        <v>335</v>
      </c>
      <c r="D120" s="57">
        <f>COUNTIF(L1L2!$M:$M,$B120)</f>
        <v>3</v>
      </c>
      <c r="E120" s="57">
        <f>COUNTIFS(L1L2!$M:$M,$B120,L1L2!$L:$L,$E$1)</f>
        <v>3</v>
      </c>
      <c r="F120" s="57">
        <f>IF(AND(H120=1,D120&gt;=2),9,IF(D120&gt;=3,9,0))</f>
        <v>9</v>
      </c>
      <c r="G120" s="57">
        <f>IF(AND(H120=1,E120&gt;=2),3,IF(E120&gt;3,3,E120))</f>
        <v>3</v>
      </c>
      <c r="H120" s="58">
        <f>IF(ISNUMBER(SEARCH("M", C120)), 1, 0)</f>
        <v>0</v>
      </c>
      <c r="I120" s="59" t="str">
        <f>VLOOKUP(B120,Sheet1!$A:$E,5,FALSE)</f>
        <v>บจก.พี.เอส.ดี.คอนกรีตโปรดักส์</v>
      </c>
    </row>
    <row r="121" spans="1:10" ht="17.5" thickBot="1">
      <c r="A121" s="55" t="s">
        <v>2861</v>
      </c>
      <c r="B121" s="60" t="s">
        <v>1224</v>
      </c>
      <c r="C121" s="60" t="s">
        <v>1266</v>
      </c>
      <c r="D121" s="57">
        <f>COUNTIF(L1L2!$M:$M,$B121)</f>
        <v>4</v>
      </c>
      <c r="E121" s="57">
        <f>COUNTIFS(L1L2!$M:$M,$B121,L1L2!$L:$L,$E$1)</f>
        <v>2</v>
      </c>
      <c r="F121" s="57">
        <f>IF(AND(H121=1,D121&gt;=2),9,IF(D121&gt;=3,9,0))</f>
        <v>9</v>
      </c>
      <c r="G121" s="57">
        <f>IF(AND(H121=1,E121&gt;=2),3,IF(E121&gt;3,3,E121))</f>
        <v>2</v>
      </c>
      <c r="H121" s="58">
        <f>IF(ISNUMBER(SEARCH("M", C121)), 1, 0)</f>
        <v>0</v>
      </c>
      <c r="I121" s="59" t="str">
        <f>VLOOKUP(B121,Sheet1!$A:$E,5,FALSE)</f>
        <v>บจก.พี.เอส.ดี.คอนกรีตโปรดักส์</v>
      </c>
    </row>
    <row r="122" spans="1:10" ht="17.5" thickBot="1">
      <c r="A122" s="50" t="s">
        <v>2946</v>
      </c>
      <c r="B122" s="51" t="s">
        <v>370</v>
      </c>
      <c r="C122" s="51" t="s">
        <v>371</v>
      </c>
      <c r="D122" s="66">
        <f>COUNTIF(L1L2!$M:$M,$B122)</f>
        <v>3</v>
      </c>
      <c r="E122" s="66">
        <f>COUNTIFS(L1L2!$M:$M,$B122,L1L2!$L:$L,$E$1)</f>
        <v>3</v>
      </c>
      <c r="F122" s="52">
        <f>IF(AND(H122=1,D122&gt;=2),9,IF(D122&gt;=3,9,0))</f>
        <v>9</v>
      </c>
      <c r="G122" s="52">
        <f>IF(AND(H122=1,E122&gt;=2),3,IF(E122&gt;3,3,E122))</f>
        <v>3</v>
      </c>
      <c r="H122" s="53">
        <f>IF(ISNUMBER(SEARCH("M", C122)), 1, 0)</f>
        <v>0</v>
      </c>
      <c r="I122" s="54" t="str">
        <f>VLOOKUP(B122,Sheet1!$A:$E,5,FALSE)</f>
        <v>บจก.พีระวัฒน์คอนกรีต</v>
      </c>
    </row>
    <row r="123" spans="1:10" ht="17.5" thickBot="1">
      <c r="A123" s="50" t="s">
        <v>2946</v>
      </c>
      <c r="B123" s="51" t="s">
        <v>386</v>
      </c>
      <c r="C123" s="51" t="s">
        <v>387</v>
      </c>
      <c r="D123" s="66">
        <f>COUNTIF(L1L2!$M:$M,$B123)</f>
        <v>3</v>
      </c>
      <c r="E123" s="66">
        <f>COUNTIFS(L1L2!$M:$M,$B123,L1L2!$L:$L,$E$1)</f>
        <v>3</v>
      </c>
      <c r="F123" s="52">
        <f>IF(AND(H123=1,D123&gt;=2),9,IF(D123&gt;=3,9,0))</f>
        <v>9</v>
      </c>
      <c r="G123" s="52">
        <f>IF(AND(H123=1,E123&gt;=2),3,IF(E123&gt;3,3,E123))</f>
        <v>3</v>
      </c>
      <c r="H123" s="53">
        <f>IF(ISNUMBER(SEARCH("M", C123)), 1, 0)</f>
        <v>0</v>
      </c>
      <c r="I123" s="54" t="str">
        <f>VLOOKUP(B123,Sheet1!$A:$E,5,FALSE)</f>
        <v>บจก.พีระวัฒน์คอนกรีต</v>
      </c>
    </row>
    <row r="124" spans="1:10" ht="17.5" thickBot="1">
      <c r="A124" s="27" t="s">
        <v>2946</v>
      </c>
      <c r="B124" s="28" t="s">
        <v>742</v>
      </c>
      <c r="C124" s="28" t="s">
        <v>3088</v>
      </c>
      <c r="D124" s="31">
        <f>COUNTIF(L1L2!$M:$M,$B124)</f>
        <v>3</v>
      </c>
      <c r="E124" s="31">
        <f>COUNTIFS(L1L2!$M:$M,$B124,L1L2!$L:$L,$E$1)</f>
        <v>3</v>
      </c>
      <c r="F124" s="31">
        <f>IF(AND(H124=1,D124&gt;=2),9,IF(D124&gt;=3,9,0))</f>
        <v>9</v>
      </c>
      <c r="G124" s="31">
        <f>IF(AND(H124=1,E124&gt;=2),3,IF(E124&gt;3,3,E124))</f>
        <v>3</v>
      </c>
      <c r="H124" s="33">
        <f>IF(ISNUMBER(SEARCH("M", C124)), 1, 0)</f>
        <v>0</v>
      </c>
      <c r="I124" s="29" t="str">
        <f>VLOOKUP(B124,Sheet1!$A:$E,5,FALSE)</f>
        <v>บจก.พุนพินมาตรฐานคอนกรีต</v>
      </c>
    </row>
    <row r="125" spans="1:10" ht="17.5" thickBot="1">
      <c r="A125" s="50" t="s">
        <v>2876</v>
      </c>
      <c r="B125" s="51" t="s">
        <v>490</v>
      </c>
      <c r="C125" s="51" t="s">
        <v>491</v>
      </c>
      <c r="D125" s="52">
        <f>COUNTIF(L1L2!$M:$M,$B125)</f>
        <v>4</v>
      </c>
      <c r="E125" s="52">
        <f>COUNTIFS(L1L2!$M:$M,$B125,L1L2!$L:$L,$E$1)</f>
        <v>4</v>
      </c>
      <c r="F125" s="52">
        <f>IF(AND(H125=1,D125&gt;=2),9,IF(D125&gt;=3,9,0))</f>
        <v>9</v>
      </c>
      <c r="G125" s="52">
        <f>IF(AND(H125=1,E125&gt;=2),3,IF(E125&gt;3,3,E125))</f>
        <v>3</v>
      </c>
      <c r="H125" s="53">
        <f>IF(ISNUMBER(SEARCH("M", C125)), 1, 0)</f>
        <v>0</v>
      </c>
      <c r="I125" s="54" t="str">
        <f>VLOOKUP(B125,Sheet1!$A:$E,5,FALSE)</f>
        <v>บจก.รุ่งวิชัยคอนกรีต</v>
      </c>
    </row>
    <row r="126" spans="1:10" ht="17.5" thickBot="1">
      <c r="A126" s="50" t="s">
        <v>2876</v>
      </c>
      <c r="B126" s="51" t="s">
        <v>506</v>
      </c>
      <c r="C126" s="51" t="s">
        <v>507</v>
      </c>
      <c r="D126" s="52">
        <f>COUNTIF(L1L2!$M:$M,$B126)</f>
        <v>4</v>
      </c>
      <c r="E126" s="52">
        <f>COUNTIFS(L1L2!$M:$M,$B126,L1L2!$L:$L,$E$1)</f>
        <v>4</v>
      </c>
      <c r="F126" s="52">
        <f>IF(AND(H126=1,D126&gt;=2),9,IF(D126&gt;=3,9,0))</f>
        <v>9</v>
      </c>
      <c r="G126" s="52">
        <f>IF(AND(H126=1,E126&gt;=2),3,IF(E126&gt;3,3,E126))</f>
        <v>3</v>
      </c>
      <c r="H126" s="53">
        <f>IF(ISNUMBER(SEARCH("M", C126)), 1, 0)</f>
        <v>0</v>
      </c>
      <c r="I126" s="54" t="str">
        <f>VLOOKUP(B126,Sheet1!$A:$E,5,FALSE)</f>
        <v>บจก.รุ่งวิชัยคอนกรีต</v>
      </c>
    </row>
    <row r="127" spans="1:10" ht="17.5" thickBot="1">
      <c r="A127" s="27" t="s">
        <v>2946</v>
      </c>
      <c r="B127" s="28" t="s">
        <v>400</v>
      </c>
      <c r="C127" s="28" t="s">
        <v>401</v>
      </c>
      <c r="D127" s="31">
        <f>COUNTIF(L1L2!$M:$M,$B127)</f>
        <v>3</v>
      </c>
      <c r="E127" s="31">
        <f>COUNTIFS(L1L2!$M:$M,$B127,L1L2!$L:$L,$E$1)</f>
        <v>3</v>
      </c>
      <c r="F127" s="31">
        <f>IF(AND(H127=1,D127&gt;=2),9,IF(D127&gt;=3,9,0))</f>
        <v>9</v>
      </c>
      <c r="G127" s="31">
        <f>IF(AND(H127=1,E127&gt;=2),3,IF(E127&gt;3,3,E127))</f>
        <v>3</v>
      </c>
      <c r="H127" s="33">
        <f>IF(ISNUMBER(SEARCH("M", C127)), 1, 0)</f>
        <v>0</v>
      </c>
      <c r="I127" s="29" t="str">
        <f>VLOOKUP(B127,Sheet1!$A:$E,5,FALSE)</f>
        <v>บจก.ลันตามิกซ์คอน</v>
      </c>
    </row>
    <row r="128" spans="1:10" ht="17.5" thickBot="1">
      <c r="A128" s="27" t="s">
        <v>2871</v>
      </c>
      <c r="B128" s="28" t="s">
        <v>242</v>
      </c>
      <c r="C128" s="28" t="s">
        <v>243</v>
      </c>
      <c r="D128" s="31">
        <f>COUNTIF(L1L2!$M:$M,$B128)</f>
        <v>4</v>
      </c>
      <c r="E128" s="31">
        <f>COUNTIFS(L1L2!$M:$M,$B128,L1L2!$L:$L,$E$1)</f>
        <v>4</v>
      </c>
      <c r="F128" s="31">
        <f>IF(AND(H128=1,D128&gt;=2),9,IF(D128&gt;=3,9,0))</f>
        <v>9</v>
      </c>
      <c r="G128" s="31">
        <f>IF(AND(H128=1,E128&gt;=2),3,IF(E128&gt;3,3,E128))</f>
        <v>3</v>
      </c>
      <c r="H128" s="33">
        <f>IF(ISNUMBER(SEARCH("M", C128)), 1, 0)</f>
        <v>0</v>
      </c>
      <c r="I128" s="29" t="str">
        <f>VLOOKUP(B128,Sheet1!$A:$E,5,FALSE)</f>
        <v>บจก.ว.บัญชา คอนสตรัคชั่น</v>
      </c>
    </row>
    <row r="129" spans="1:10" ht="17.5" thickBot="1">
      <c r="A129" s="27" t="s">
        <v>2871</v>
      </c>
      <c r="B129" s="28" t="s">
        <v>266</v>
      </c>
      <c r="C129" s="28" t="s">
        <v>267</v>
      </c>
      <c r="D129" s="31">
        <f>COUNTIF(L1L2!$M:$M,$B129)</f>
        <v>4</v>
      </c>
      <c r="E129" s="31">
        <f>COUNTIFS(L1L2!$M:$M,$B129,L1L2!$L:$L,$E$1)</f>
        <v>4</v>
      </c>
      <c r="F129" s="31">
        <f>IF(AND(H129=1,D129&gt;=2),9,IF(D129&gt;=3,9,0))</f>
        <v>9</v>
      </c>
      <c r="G129" s="31">
        <f>IF(AND(H129=1,E129&gt;=2),3,IF(E129&gt;3,3,E129))</f>
        <v>3</v>
      </c>
      <c r="H129" s="33">
        <f>IF(ISNUMBER(SEARCH("M", C129)), 1, 0)</f>
        <v>0</v>
      </c>
      <c r="I129" s="29" t="str">
        <f>VLOOKUP(B129,Sheet1!$A:$E,5,FALSE)</f>
        <v>บจก.วรวิทย์คอนกรีต</v>
      </c>
    </row>
    <row r="130" spans="1:10" ht="17.5" thickBot="1">
      <c r="A130" s="27" t="s">
        <v>2876</v>
      </c>
      <c r="B130" s="28" t="s">
        <v>454</v>
      </c>
      <c r="C130" s="28" t="s">
        <v>455</v>
      </c>
      <c r="D130" s="31">
        <f>COUNTIF(L1L2!$M:$M,$B130)</f>
        <v>3</v>
      </c>
      <c r="E130" s="31">
        <f>COUNTIFS(L1L2!$M:$M,$B130,L1L2!$L:$L,$E$1)</f>
        <v>3</v>
      </c>
      <c r="F130" s="31">
        <f>IF(AND(H130=1,D130&gt;=2),9,IF(D130&gt;=3,9,0))</f>
        <v>9</v>
      </c>
      <c r="G130" s="31">
        <f>IF(AND(H130=1,E130&gt;=2),3,IF(E130&gt;3,3,E130))</f>
        <v>3</v>
      </c>
      <c r="H130" s="33">
        <f>IF(ISNUMBER(SEARCH("M", C130)), 1, 0)</f>
        <v>0</v>
      </c>
      <c r="I130" s="29" t="str">
        <f>VLOOKUP(B130,Sheet1!$A:$E,5,FALSE)</f>
        <v>บจก.วังทองเซอร์วิส</v>
      </c>
    </row>
    <row r="131" spans="1:10" ht="17.5" thickBot="1">
      <c r="A131" s="50" t="s">
        <v>2876</v>
      </c>
      <c r="B131" s="51" t="s">
        <v>516</v>
      </c>
      <c r="C131" s="51" t="s">
        <v>517</v>
      </c>
      <c r="D131" s="52">
        <f>COUNTIF(L1L2!$M:$M,$B131)</f>
        <v>5</v>
      </c>
      <c r="E131" s="52">
        <f>COUNTIFS(L1L2!$M:$M,$B131,L1L2!$L:$L,$E$1)</f>
        <v>5</v>
      </c>
      <c r="F131" s="52">
        <f>IF(AND(H131=1,D131&gt;=2),9,IF(D131&gt;=3,9,0))</f>
        <v>9</v>
      </c>
      <c r="G131" s="52">
        <f>IF(AND(H131=1,E131&gt;=2),3,IF(E131&gt;3,3,E131))</f>
        <v>3</v>
      </c>
      <c r="H131" s="53">
        <f>IF(ISNUMBER(SEARCH("M", C131)), 1, 0)</f>
        <v>0</v>
      </c>
      <c r="I131" s="54" t="str">
        <f>VLOOKUP(B131,Sheet1!$A:$E,5,FALSE)</f>
        <v>บจก.วีคอนกรีต</v>
      </c>
    </row>
    <row r="132" spans="1:10" ht="17.5" thickBot="1">
      <c r="A132" s="50" t="s">
        <v>2876</v>
      </c>
      <c r="B132" s="51" t="s">
        <v>448</v>
      </c>
      <c r="C132" s="51" t="s">
        <v>449</v>
      </c>
      <c r="D132" s="52">
        <f>COUNTIF(L1L2!$M:$M,$B132)</f>
        <v>4</v>
      </c>
      <c r="E132" s="52">
        <f>COUNTIFS(L1L2!$M:$M,$B132,L1L2!$L:$L,$E$1)</f>
        <v>4</v>
      </c>
      <c r="F132" s="52">
        <f>IF(AND(H132=1,D132&gt;=2),9,IF(D132&gt;=3,9,0))</f>
        <v>9</v>
      </c>
      <c r="G132" s="52">
        <f>IF(AND(H132=1,E132&gt;=2),3,IF(E132&gt;3,3,E132))</f>
        <v>3</v>
      </c>
      <c r="H132" s="53">
        <f>IF(ISNUMBER(SEARCH("M", C132)), 1, 0)</f>
        <v>0</v>
      </c>
      <c r="I132" s="54" t="str">
        <f>VLOOKUP(B132,Sheet1!$A:$E,5,FALSE)</f>
        <v>บจก.วีคอนกรีต</v>
      </c>
    </row>
    <row r="133" spans="1:10" ht="17.5" thickBot="1">
      <c r="A133" s="50" t="s">
        <v>2876</v>
      </c>
      <c r="B133" s="51" t="s">
        <v>450</v>
      </c>
      <c r="C133" s="51" t="s">
        <v>451</v>
      </c>
      <c r="D133" s="52">
        <f>COUNTIF(L1L2!$M:$M,$B133)</f>
        <v>3</v>
      </c>
      <c r="E133" s="52">
        <f>COUNTIFS(L1L2!$M:$M,$B133,L1L2!$L:$L,$E$1)</f>
        <v>3</v>
      </c>
      <c r="F133" s="52">
        <f>IF(AND(H133=1,D133&gt;=2),9,IF(D133&gt;=3,9,0))</f>
        <v>9</v>
      </c>
      <c r="G133" s="52">
        <f>IF(AND(H133=1,E133&gt;=2),3,IF(E133&gt;3,3,E133))</f>
        <v>3</v>
      </c>
      <c r="H133" s="53">
        <f>IF(ISNUMBER(SEARCH("M", C133)), 1, 0)</f>
        <v>0</v>
      </c>
      <c r="I133" s="54" t="str">
        <f>VLOOKUP(B133,Sheet1!$A:$E,5,FALSE)</f>
        <v>บจก.วีคอนกรีต</v>
      </c>
    </row>
    <row r="134" spans="1:10" ht="17.5" thickBot="1">
      <c r="A134" s="50" t="s">
        <v>2876</v>
      </c>
      <c r="B134" s="51" t="s">
        <v>482</v>
      </c>
      <c r="C134" s="51" t="s">
        <v>483</v>
      </c>
      <c r="D134" s="52">
        <f>COUNTIF(L1L2!$M:$M,$B134)</f>
        <v>4</v>
      </c>
      <c r="E134" s="52">
        <f>COUNTIFS(L1L2!$M:$M,$B134,L1L2!$L:$L,$E$1)</f>
        <v>4</v>
      </c>
      <c r="F134" s="52">
        <f>IF(AND(H134=1,D134&gt;=2),9,IF(D134&gt;=3,9,0))</f>
        <v>9</v>
      </c>
      <c r="G134" s="52">
        <f>IF(AND(H134=1,E134&gt;=2),3,IF(E134&gt;3,3,E134))</f>
        <v>3</v>
      </c>
      <c r="H134" s="53">
        <f>IF(ISNUMBER(SEARCH("M", C134)), 1, 0)</f>
        <v>0</v>
      </c>
      <c r="I134" s="54" t="str">
        <f>VLOOKUP(B134,Sheet1!$A:$E,5,FALSE)</f>
        <v>บจก.วีคอนกรีต</v>
      </c>
    </row>
    <row r="135" spans="1:10" ht="17.5" thickBot="1">
      <c r="A135" s="50" t="s">
        <v>2876</v>
      </c>
      <c r="B135" s="51" t="s">
        <v>466</v>
      </c>
      <c r="C135" s="51" t="s">
        <v>467</v>
      </c>
      <c r="D135" s="52">
        <f>COUNTIF(L1L2!$M:$M,$B135)</f>
        <v>3</v>
      </c>
      <c r="E135" s="52">
        <f>COUNTIFS(L1L2!$M:$M,$B135,L1L2!$L:$L,$E$1)</f>
        <v>3</v>
      </c>
      <c r="F135" s="52">
        <f>IF(AND(H135=1,D135&gt;=2),9,IF(D135&gt;=3,9,0))</f>
        <v>9</v>
      </c>
      <c r="G135" s="52">
        <f>IF(AND(H135=1,E135&gt;=2),3,IF(E135&gt;3,3,E135))</f>
        <v>3</v>
      </c>
      <c r="H135" s="53">
        <f>IF(ISNUMBER(SEARCH("M", C135)), 1, 0)</f>
        <v>0</v>
      </c>
      <c r="I135" s="54" t="str">
        <f>VLOOKUP(B135,Sheet1!$A:$E,5,FALSE)</f>
        <v>บจก.วีคอนกรีต</v>
      </c>
    </row>
    <row r="136" spans="1:10" ht="17.5" thickBot="1">
      <c r="A136" s="27" t="s">
        <v>2861</v>
      </c>
      <c r="B136" s="28" t="s">
        <v>2383</v>
      </c>
      <c r="C136" s="28" t="s">
        <v>3102</v>
      </c>
      <c r="D136" s="31">
        <f>COUNTIF(L1L2!$M:$M,$B136)</f>
        <v>3</v>
      </c>
      <c r="E136" s="31">
        <f>COUNTIFS(L1L2!$M:$M,$B136,L1L2!$L:$L,$E$1)</f>
        <v>3</v>
      </c>
      <c r="F136" s="31">
        <f>IF(AND(H136=1,D136&gt;=2),9,IF(D136&gt;=3,9,0))</f>
        <v>9</v>
      </c>
      <c r="G136" s="31">
        <f>IF(AND(H136=1,E136&gt;=2),3,IF(E136&gt;3,3,E136))</f>
        <v>3</v>
      </c>
      <c r="H136" s="33">
        <f>IF(ISNUMBER(SEARCH("M", C136)), 1, 0)</f>
        <v>0</v>
      </c>
      <c r="I136" s="29" t="str">
        <f>VLOOKUP(B136,Sheet1!$A:$E,5,FALSE)</f>
        <v>บจก.ศุภภัณฑ์คอนกรีต</v>
      </c>
    </row>
    <row r="137" spans="1:10" ht="17.5" thickBot="1">
      <c r="A137" s="50" t="s">
        <v>2946</v>
      </c>
      <c r="B137" s="51" t="s">
        <v>388</v>
      </c>
      <c r="C137" s="51" t="s">
        <v>389</v>
      </c>
      <c r="D137" s="52">
        <f>COUNTIF(L1L2!$M:$M,$B137)</f>
        <v>3</v>
      </c>
      <c r="E137" s="52">
        <f>COUNTIFS(L1L2!$M:$M,$B137,L1L2!$L:$L,$E$1)</f>
        <v>3</v>
      </c>
      <c r="F137" s="52">
        <f>IF(AND(H137=1,D137&gt;=2),9,IF(D137&gt;=3,9,0))</f>
        <v>9</v>
      </c>
      <c r="G137" s="52">
        <f>IF(AND(H137=1,E137&gt;=2),3,IF(E137&gt;3,3,E137))</f>
        <v>3</v>
      </c>
      <c r="H137" s="53">
        <f>IF(ISNUMBER(SEARCH("M", C137)), 1, 0)</f>
        <v>0</v>
      </c>
      <c r="I137" s="54" t="str">
        <f>VLOOKUP(B137,Sheet1!$A:$E,5,FALSE)</f>
        <v>บจก.สตูลผลิตภัณฑ์คอนกรีต</v>
      </c>
      <c r="J137" s="29" t="s">
        <v>3540</v>
      </c>
    </row>
    <row r="138" spans="1:10" ht="17.5" thickBot="1">
      <c r="A138" s="50" t="s">
        <v>2946</v>
      </c>
      <c r="B138" s="51" t="s">
        <v>402</v>
      </c>
      <c r="C138" s="51" t="s">
        <v>403</v>
      </c>
      <c r="D138" s="66">
        <f>COUNTIF(L1L2!$M:$M,$B138)</f>
        <v>3</v>
      </c>
      <c r="E138" s="66">
        <f>COUNTIFS(L1L2!$M:$M,$B138,L1L2!$L:$L,$E$1)</f>
        <v>3</v>
      </c>
      <c r="F138" s="52">
        <f>IF(AND(H138=1,D138&gt;=2),9,IF(D138&gt;=3,9,0))</f>
        <v>9</v>
      </c>
      <c r="G138" s="52">
        <f>IF(AND(H138=1,E138&gt;=2),3,IF(E138&gt;3,3,E138))</f>
        <v>3</v>
      </c>
      <c r="H138" s="53">
        <f>IF(ISNUMBER(SEARCH("M", C138)), 1, 0)</f>
        <v>0</v>
      </c>
      <c r="I138" s="54" t="str">
        <f>VLOOKUP(B138,Sheet1!$A:$E,5,FALSE)</f>
        <v>บจก.สตูลผลิตภัณฑ์คอนกรีต</v>
      </c>
    </row>
    <row r="139" spans="1:10" ht="17.5" thickBot="1">
      <c r="A139" s="27" t="s">
        <v>3109</v>
      </c>
      <c r="B139" s="28" t="s">
        <v>658</v>
      </c>
      <c r="C139" s="28" t="s">
        <v>659</v>
      </c>
      <c r="D139" s="31">
        <f>COUNTIF(L1L2!$M:$M,$B139)</f>
        <v>2</v>
      </c>
      <c r="E139" s="31">
        <f>COUNTIFS(L1L2!$M:$M,$B139,L1L2!$L:$L,$E$1)</f>
        <v>2</v>
      </c>
      <c r="F139" s="31">
        <f>IF(AND(H139=1,D139&gt;=2),9,IF(D139&gt;=3,9,0))</f>
        <v>0</v>
      </c>
      <c r="G139" s="31">
        <f>IF(AND(H139=1,E139&gt;=2),3,IF(E139&gt;3,3,E139))</f>
        <v>2</v>
      </c>
      <c r="H139" s="33">
        <f>IF(ISNUMBER(SEARCH("M", C139)), 1, 0)</f>
        <v>0</v>
      </c>
      <c r="I139" s="29" t="str">
        <f>VLOOKUP(B139,Sheet1!$A:$E,5,FALSE)</f>
        <v>บจก.สมยงคอนกรีต</v>
      </c>
    </row>
    <row r="140" spans="1:10" ht="17.5" thickBot="1">
      <c r="A140" s="50" t="s">
        <v>2855</v>
      </c>
      <c r="B140" s="51" t="s">
        <v>238</v>
      </c>
      <c r="C140" s="51" t="s">
        <v>239</v>
      </c>
      <c r="D140" s="52">
        <f>COUNTIF(L1L2!$M:$M,$B140)</f>
        <v>3</v>
      </c>
      <c r="E140" s="66">
        <f>COUNTIFS(L1L2!$M:$M,$B140,L1L2!$L:$L,$E$1)</f>
        <v>3</v>
      </c>
      <c r="F140" s="52">
        <f>IF(AND(H140=1,D140&gt;=2),9,IF(D140&gt;=3,9,0))</f>
        <v>9</v>
      </c>
      <c r="G140" s="52">
        <f>IF(AND(H140=1,E140&gt;=2),3,IF(E140&gt;3,3,E140))</f>
        <v>3</v>
      </c>
      <c r="H140" s="53">
        <f>IF(ISNUMBER(SEARCH("M", C140)), 1, 0)</f>
        <v>0</v>
      </c>
      <c r="I140" s="54" t="str">
        <f>VLOOKUP(B140,Sheet1!$A:$E,5,FALSE)</f>
        <v>บจก.สหชัยธุรกิจก่อสร้าง 1993</v>
      </c>
    </row>
    <row r="141" spans="1:10" ht="17.5" thickBot="1">
      <c r="A141" s="50" t="s">
        <v>2861</v>
      </c>
      <c r="B141" s="51" t="s">
        <v>340</v>
      </c>
      <c r="C141" s="51" t="s">
        <v>341</v>
      </c>
      <c r="D141" s="52">
        <f>COUNTIF(L1L2!$M:$M,$B141)</f>
        <v>4</v>
      </c>
      <c r="E141" s="66">
        <f>COUNTIFS(L1L2!$M:$M,$B141,L1L2!$L:$L,$E$1)</f>
        <v>4</v>
      </c>
      <c r="F141" s="52">
        <f>IF(AND(H141=1,D141&gt;=2),9,IF(D141&gt;=3,9,0))</f>
        <v>9</v>
      </c>
      <c r="G141" s="52">
        <f>IF(AND(H141=1,E141&gt;=2),3,IF(E141&gt;3,3,E141))</f>
        <v>3</v>
      </c>
      <c r="H141" s="53">
        <f>IF(ISNUMBER(SEARCH("M", C141)), 1, 0)</f>
        <v>0</v>
      </c>
      <c r="I141" s="54" t="str">
        <f>VLOOKUP(B141,Sheet1!$A:$E,5,FALSE)</f>
        <v>บจก.สหชัยธุรกิจก่อสร้าง 1993</v>
      </c>
    </row>
    <row r="142" spans="1:10" ht="17.5" thickBot="1">
      <c r="A142" s="50" t="s">
        <v>2861</v>
      </c>
      <c r="B142" s="51" t="s">
        <v>338</v>
      </c>
      <c r="C142" s="51" t="s">
        <v>339</v>
      </c>
      <c r="D142" s="52">
        <f>COUNTIF(L1L2!$M:$M,$B142)</f>
        <v>5</v>
      </c>
      <c r="E142" s="66">
        <f>COUNTIFS(L1L2!$M:$M,$B142,L1L2!$L:$L,$E$1)</f>
        <v>4</v>
      </c>
      <c r="F142" s="52">
        <f>IF(AND(H142=1,D142&gt;=2),9,IF(D142&gt;=3,9,0))</f>
        <v>9</v>
      </c>
      <c r="G142" s="52">
        <f>IF(AND(H142=1,E142&gt;=2),3,IF(E142&gt;3,3,E142))</f>
        <v>3</v>
      </c>
      <c r="H142" s="53">
        <f>IF(ISNUMBER(SEARCH("M", C142)), 1, 0)</f>
        <v>0</v>
      </c>
      <c r="I142" s="54" t="str">
        <f>VLOOKUP(B142,Sheet1!$A:$E,5,FALSE)</f>
        <v>บจก.สหชัยธุรกิจก่อสร้าง 1993</v>
      </c>
    </row>
    <row r="143" spans="1:10" ht="17.5" thickBot="1">
      <c r="A143" s="50" t="s">
        <v>2861</v>
      </c>
      <c r="B143" s="51" t="s">
        <v>286</v>
      </c>
      <c r="C143" s="51" t="s">
        <v>287</v>
      </c>
      <c r="D143" s="52">
        <f>COUNTIF(L1L2!$M:$M,$B143)</f>
        <v>4</v>
      </c>
      <c r="E143" s="52">
        <f>COUNTIFS(L1L2!$M:$M,$B143,L1L2!$L:$L,$E$1)</f>
        <v>3</v>
      </c>
      <c r="F143" s="52">
        <f>IF(AND(H143=1,D143&gt;=2),9,IF(D143&gt;=3,9,0))</f>
        <v>9</v>
      </c>
      <c r="G143" s="52">
        <f>IF(AND(H143=1,E143&gt;=2),3,IF(E143&gt;3,3,E143))</f>
        <v>3</v>
      </c>
      <c r="H143" s="53">
        <f>IF(ISNUMBER(SEARCH("M", C143)), 1, 0)</f>
        <v>0</v>
      </c>
      <c r="I143" s="54" t="str">
        <f>VLOOKUP(B143,Sheet1!$A:$E,5,FALSE)</f>
        <v>บจก.สหชัยธุรกิจก่อสร้าง 1993</v>
      </c>
    </row>
    <row r="144" spans="1:10" ht="17.5" thickBot="1">
      <c r="A144" s="50" t="s">
        <v>2861</v>
      </c>
      <c r="B144" s="51" t="s">
        <v>1247</v>
      </c>
      <c r="C144" s="51" t="s">
        <v>1256</v>
      </c>
      <c r="D144" s="52">
        <f>COUNTIF(L1L2!$M:$M,$B144)</f>
        <v>4</v>
      </c>
      <c r="E144" s="66">
        <f>COUNTIFS(L1L2!$M:$M,$B144,L1L2!$L:$L,$E$1)</f>
        <v>3</v>
      </c>
      <c r="F144" s="52">
        <f>IF(AND(H144=1,D144&gt;=2),9,IF(D144&gt;=3,9,0))</f>
        <v>9</v>
      </c>
      <c r="G144" s="52">
        <f>IF(AND(H144=1,E144&gt;=2),3,IF(E144&gt;3,3,E144))</f>
        <v>3</v>
      </c>
      <c r="H144" s="53">
        <f>IF(ISNUMBER(SEARCH("M", C144)), 1, 0)</f>
        <v>0</v>
      </c>
      <c r="I144" s="54" t="str">
        <f>VLOOKUP(B144,Sheet1!$A:$E,5,FALSE)</f>
        <v>บจก.สหชัยธุรกิจก่อสร้าง 1993</v>
      </c>
    </row>
    <row r="145" spans="1:9" ht="17.5" thickBot="1">
      <c r="A145" s="27" t="s">
        <v>3109</v>
      </c>
      <c r="B145" s="28" t="s">
        <v>778</v>
      </c>
      <c r="C145" s="28" t="s">
        <v>3134</v>
      </c>
      <c r="D145" s="31">
        <f>COUNTIF(L1L2!$M:$M,$B145)</f>
        <v>4</v>
      </c>
      <c r="E145" s="31">
        <f>COUNTIFS(L1L2!$M:$M,$B145,L1L2!$L:$L,$E$1)</f>
        <v>4</v>
      </c>
      <c r="F145" s="31">
        <f>IF(AND(H145=1,D145&gt;=2),9,IF(D145&gt;=3,9,0))</f>
        <v>9</v>
      </c>
      <c r="G145" s="31">
        <f>IF(AND(H145=1,E145&gt;=2),3,IF(E145&gt;3,3,E145))</f>
        <v>3</v>
      </c>
      <c r="H145" s="33">
        <f>IF(ISNUMBER(SEARCH("M", C145)), 1, 0)</f>
        <v>0</v>
      </c>
      <c r="I145" s="29" t="str">
        <f>VLOOKUP(B145,Sheet1!$A:$E,5,FALSE)</f>
        <v>บจก.สิริพัฒน์ บิวดิ้ง</v>
      </c>
    </row>
    <row r="146" spans="1:9" ht="17.5" thickBot="1">
      <c r="A146" s="43" t="s">
        <v>2861</v>
      </c>
      <c r="B146" s="44" t="s">
        <v>280</v>
      </c>
      <c r="C146" s="44" t="s">
        <v>281</v>
      </c>
      <c r="D146" s="45">
        <f>COUNTIF(L1L2!$M:$M,$B146)</f>
        <v>5</v>
      </c>
      <c r="E146" s="45">
        <f>COUNTIFS(L1L2!$M:$M,$B146,L1L2!$L:$L,$E$1)</f>
        <v>3</v>
      </c>
      <c r="F146" s="45">
        <f>IF(AND(H146=1,D146&gt;=2),9,IF(D146&gt;=3,9,0))</f>
        <v>9</v>
      </c>
      <c r="G146" s="45">
        <f>IF(AND(H146=1,E146&gt;=2),3,IF(E146&gt;3,3,E146))</f>
        <v>3</v>
      </c>
      <c r="H146" s="46">
        <f>IF(ISNUMBER(SEARCH("M", C146)), 1, 0)</f>
        <v>0</v>
      </c>
      <c r="I146" s="47" t="str">
        <f>VLOOKUP(B146,Sheet1!$A:$E,5,FALSE)</f>
        <v>บจก.หนองใหญ่คอนกรีต</v>
      </c>
    </row>
    <row r="147" spans="1:9" ht="17.5" thickBot="1">
      <c r="A147" s="43" t="s">
        <v>2861</v>
      </c>
      <c r="B147" s="44" t="s">
        <v>288</v>
      </c>
      <c r="C147" s="44" t="s">
        <v>289</v>
      </c>
      <c r="D147" s="45">
        <f>COUNTIF(L1L2!$M:$M,$B147)</f>
        <v>4</v>
      </c>
      <c r="E147" s="66">
        <f>COUNTIFS(L1L2!$M:$M,$B147,L1L2!$L:$L,$E$1)</f>
        <v>3</v>
      </c>
      <c r="F147" s="45">
        <f>IF(AND(H147=1,D147&gt;=2),9,IF(D147&gt;=3,9,0))</f>
        <v>9</v>
      </c>
      <c r="G147" s="45">
        <f>IF(AND(H147=1,E147&gt;=2),3,IF(E147&gt;3,3,E147))</f>
        <v>3</v>
      </c>
      <c r="H147" s="46">
        <f>IF(ISNUMBER(SEARCH("M", C147)), 1, 0)</f>
        <v>0</v>
      </c>
      <c r="I147" s="47" t="str">
        <f>VLOOKUP(B147,Sheet1!$A:$E,5,FALSE)</f>
        <v>บจก.หนองใหญ่คอนกรีต</v>
      </c>
    </row>
    <row r="148" spans="1:9" ht="17.5" thickBot="1">
      <c r="A148" s="43" t="s">
        <v>2861</v>
      </c>
      <c r="B148" s="44" t="s">
        <v>314</v>
      </c>
      <c r="C148" s="44" t="s">
        <v>315</v>
      </c>
      <c r="D148" s="45">
        <f>COUNTIF(L1L2!$M:$M,$B148)</f>
        <v>5</v>
      </c>
      <c r="E148" s="66">
        <f>COUNTIFS(L1L2!$M:$M,$B148,L1L2!$L:$L,$E$1)</f>
        <v>3</v>
      </c>
      <c r="F148" s="45">
        <f>IF(AND(H148=1,D148&gt;=2),9,IF(D148&gt;=3,9,0))</f>
        <v>9</v>
      </c>
      <c r="G148" s="45">
        <f>IF(AND(H148=1,E148&gt;=2),3,IF(E148&gt;3,3,E148))</f>
        <v>3</v>
      </c>
      <c r="H148" s="46">
        <f>IF(ISNUMBER(SEARCH("M", C148)), 1, 0)</f>
        <v>0</v>
      </c>
      <c r="I148" s="47" t="str">
        <f>VLOOKUP(B148,Sheet1!$A:$E,5,FALSE)</f>
        <v>บจก.หนองใหญ่คอนกรีต</v>
      </c>
    </row>
    <row r="149" spans="1:9" ht="17.5" thickBot="1">
      <c r="A149" s="43" t="s">
        <v>2861</v>
      </c>
      <c r="B149" s="44" t="s">
        <v>344</v>
      </c>
      <c r="C149" s="44" t="s">
        <v>345</v>
      </c>
      <c r="D149" s="45">
        <f>COUNTIF(L1L2!$M:$M,$B149)</f>
        <v>5</v>
      </c>
      <c r="E149" s="66">
        <f>COUNTIFS(L1L2!$M:$M,$B149,L1L2!$L:$L,$E$1)</f>
        <v>3</v>
      </c>
      <c r="F149" s="45">
        <f>IF(AND(H149=1,D149&gt;=2),9,IF(D149&gt;=3,9,0))</f>
        <v>9</v>
      </c>
      <c r="G149" s="45">
        <f>IF(AND(H149=1,E149&gt;=2),3,IF(E149&gt;3,3,E149))</f>
        <v>3</v>
      </c>
      <c r="H149" s="46">
        <f>IF(ISNUMBER(SEARCH("M", C149)), 1, 0)</f>
        <v>0</v>
      </c>
      <c r="I149" s="47" t="str">
        <f>VLOOKUP(B149,Sheet1!$A:$E,5,FALSE)</f>
        <v>บจก.หนองใหญ่คอนกรีต</v>
      </c>
    </row>
    <row r="150" spans="1:9" ht="17.5" thickBot="1">
      <c r="A150" s="43" t="s">
        <v>2861</v>
      </c>
      <c r="B150" s="44" t="s">
        <v>292</v>
      </c>
      <c r="C150" s="44" t="s">
        <v>293</v>
      </c>
      <c r="D150" s="45">
        <f>COUNTIF(L1L2!$M:$M,$B150)</f>
        <v>5</v>
      </c>
      <c r="E150" s="45">
        <f>COUNTIFS(L1L2!$M:$M,$B150,L1L2!$L:$L,$E$1)</f>
        <v>3</v>
      </c>
      <c r="F150" s="45">
        <f>IF(AND(H150=1,D150&gt;=2),9,IF(D150&gt;=3,9,0))</f>
        <v>9</v>
      </c>
      <c r="G150" s="45">
        <f>IF(AND(H150=1,E150&gt;=2),3,IF(E150&gt;3,3,E150))</f>
        <v>3</v>
      </c>
      <c r="H150" s="46">
        <f>IF(ISNUMBER(SEARCH("M", C150)), 1, 0)</f>
        <v>0</v>
      </c>
      <c r="I150" s="47" t="str">
        <f>VLOOKUP(B150,Sheet1!$A:$E,5,FALSE)</f>
        <v>บจก.หนองใหญ่คอนกรีต</v>
      </c>
    </row>
    <row r="151" spans="1:9" ht="17.5" thickBot="1">
      <c r="A151" s="43" t="s">
        <v>2861</v>
      </c>
      <c r="B151" s="44" t="s">
        <v>2556</v>
      </c>
      <c r="C151" s="44" t="s">
        <v>2866</v>
      </c>
      <c r="D151" s="45">
        <f>COUNTIF(L1L2!$M:$M,$B151)</f>
        <v>6</v>
      </c>
      <c r="E151" s="66">
        <f>COUNTIFS(L1L2!$M:$M,$B151,L1L2!$L:$L,$E$1)</f>
        <v>3</v>
      </c>
      <c r="F151" s="45">
        <f>IF(AND(H151=1,D151&gt;=2),9,IF(D151&gt;=3,9,0))</f>
        <v>9</v>
      </c>
      <c r="G151" s="45">
        <f>IF(AND(H151=1,E151&gt;=2),3,IF(E151&gt;3,3,E151))</f>
        <v>3</v>
      </c>
      <c r="H151" s="46">
        <f>IF(ISNUMBER(SEARCH("M", C151)), 1, 0)</f>
        <v>0</v>
      </c>
      <c r="I151" s="47" t="str">
        <f>VLOOKUP(B151,Sheet1!$A:$E,5,FALSE)</f>
        <v>บจก.หนองใหญ่คอนกรีต</v>
      </c>
    </row>
    <row r="152" spans="1:9" ht="17.5" thickBot="1">
      <c r="A152" s="43" t="s">
        <v>2861</v>
      </c>
      <c r="B152" s="44" t="s">
        <v>2454</v>
      </c>
      <c r="C152" s="44" t="s">
        <v>2453</v>
      </c>
      <c r="D152" s="45">
        <f>COUNTIF(L1L2!$M:$M,$B152)</f>
        <v>6</v>
      </c>
      <c r="E152" s="45">
        <f>COUNTIFS(L1L2!$M:$M,$B152,L1L2!$L:$L,$E$1)</f>
        <v>3</v>
      </c>
      <c r="F152" s="45">
        <f>IF(AND(H152=1,D152&gt;=2),9,IF(D152&gt;=3,9,0))</f>
        <v>9</v>
      </c>
      <c r="G152" s="45">
        <f>IF(AND(H152=1,E152&gt;=2),3,IF(E152&gt;3,3,E152))</f>
        <v>3</v>
      </c>
      <c r="H152" s="46">
        <f>IF(ISNUMBER(SEARCH("M", C152)), 1, 0)</f>
        <v>0</v>
      </c>
      <c r="I152" s="47" t="str">
        <f>VLOOKUP(B152,Sheet1!$A:$E,5,FALSE)</f>
        <v>บจก.หนองใหญ่คอนกรีต</v>
      </c>
    </row>
    <row r="153" spans="1:9" ht="17.5" thickBot="1">
      <c r="A153" s="43" t="s">
        <v>2861</v>
      </c>
      <c r="B153" s="44" t="s">
        <v>2697</v>
      </c>
      <c r="C153" s="44" t="s">
        <v>2867</v>
      </c>
      <c r="D153" s="45">
        <f>COUNTIF(L1L2!$M:$M,$B153)</f>
        <v>7</v>
      </c>
      <c r="E153" s="45">
        <f>COUNTIFS(L1L2!$M:$M,$B153,L1L2!$L:$L,$E$1)</f>
        <v>3</v>
      </c>
      <c r="F153" s="45">
        <f>IF(AND(H153=1,D153&gt;=2),9,IF(D153&gt;=3,9,0))</f>
        <v>9</v>
      </c>
      <c r="G153" s="45">
        <f>IF(AND(H153=1,E153&gt;=2),3,IF(E153&gt;3,3,E153))</f>
        <v>3</v>
      </c>
      <c r="H153" s="46">
        <f>IF(ISNUMBER(SEARCH("M", C153)), 1, 0)</f>
        <v>0</v>
      </c>
      <c r="I153" s="47" t="str">
        <f>VLOOKUP(B153,Sheet1!$A:$E,5,FALSE)</f>
        <v>บจก.หนองใหญ่คอนกรีต</v>
      </c>
    </row>
    <row r="154" spans="1:9" ht="17.5" thickBot="1">
      <c r="A154" s="43" t="s">
        <v>2861</v>
      </c>
      <c r="B154" s="44" t="s">
        <v>3103</v>
      </c>
      <c r="C154" s="44" t="s">
        <v>3104</v>
      </c>
      <c r="D154" s="45">
        <f>COUNTIF(L1L2!$M:$M,$B154)</f>
        <v>4</v>
      </c>
      <c r="E154" s="66">
        <f>COUNTIFS(L1L2!$M:$M,$B154,L1L2!$L:$L,$E$1)</f>
        <v>3</v>
      </c>
      <c r="F154" s="45">
        <f>IF(AND(H154=1,D154&gt;=2),9,IF(D154&gt;=3,9,0))</f>
        <v>9</v>
      </c>
      <c r="G154" s="45">
        <f>IF(AND(H154=1,E154&gt;=2),3,IF(E154&gt;3,3,E154))</f>
        <v>3</v>
      </c>
      <c r="H154" s="46">
        <f>IF(ISNUMBER(SEARCH("M", C154)), 1, 0)</f>
        <v>0</v>
      </c>
      <c r="I154" s="47" t="str">
        <f>VLOOKUP(B154,Sheet1!$A:$E,5,FALSE)</f>
        <v>บจก.หนองใหญ่คอนกรีต</v>
      </c>
    </row>
    <row r="155" spans="1:9" ht="17.5" thickBot="1">
      <c r="A155" s="27" t="s">
        <v>2861</v>
      </c>
      <c r="B155" s="28" t="s">
        <v>300</v>
      </c>
      <c r="C155" s="28" t="s">
        <v>301</v>
      </c>
      <c r="D155" s="31">
        <f>COUNTIF(L1L2!$M:$M,$B155)</f>
        <v>4</v>
      </c>
      <c r="E155" s="31">
        <f>COUNTIFS(L1L2!$M:$M,$B155,L1L2!$L:$L,$E$1)</f>
        <v>4</v>
      </c>
      <c r="F155" s="31">
        <f>IF(AND(H155=1,D155&gt;=2),9,IF(D155&gt;=3,9,0))</f>
        <v>9</v>
      </c>
      <c r="G155" s="31">
        <f>IF(AND(H155=1,E155&gt;=2),3,IF(E155&gt;3,3,E155))</f>
        <v>3</v>
      </c>
      <c r="H155" s="33">
        <f>IF(ISNUMBER(SEARCH("M", C155)), 1, 0)</f>
        <v>0</v>
      </c>
      <c r="I155" s="29" t="str">
        <f>VLOOKUP(B155,Sheet1!$A:$E,5,FALSE)</f>
        <v>บจก.อีสต์บลู</v>
      </c>
    </row>
    <row r="156" spans="1:9" ht="17.5" thickBot="1">
      <c r="A156" s="27" t="s">
        <v>2876</v>
      </c>
      <c r="B156" s="28" t="s">
        <v>496</v>
      </c>
      <c r="C156" s="28" t="s">
        <v>497</v>
      </c>
      <c r="D156" s="31">
        <f>COUNTIF(L1L2!$M:$M,$B156)</f>
        <v>3</v>
      </c>
      <c r="E156" s="31">
        <f>COUNTIFS(L1L2!$M:$M,$B156,L1L2!$L:$L,$E$1)</f>
        <v>3</v>
      </c>
      <c r="F156" s="31">
        <f>IF(AND(H156=1,D156&gt;=2),9,IF(D156&gt;=3,9,0))</f>
        <v>9</v>
      </c>
      <c r="G156" s="31">
        <f>IF(AND(H156=1,E156&gt;=2),3,IF(E156&gt;3,3,E156))</f>
        <v>3</v>
      </c>
      <c r="H156" s="33">
        <f>IF(ISNUMBER(SEARCH("M", C156)), 1, 0)</f>
        <v>0</v>
      </c>
      <c r="I156" s="29" t="str">
        <f>VLOOKUP(B156,Sheet1!$A:$E,5,FALSE)</f>
        <v>บจก.อุตรดิตถ์พิชัย</v>
      </c>
    </row>
    <row r="157" spans="1:9" ht="17.5" thickBot="1">
      <c r="A157" s="27" t="s">
        <v>2876</v>
      </c>
      <c r="B157" s="28" t="s">
        <v>470</v>
      </c>
      <c r="C157" s="28" t="s">
        <v>471</v>
      </c>
      <c r="D157" s="31">
        <f>COUNTIF(L1L2!$M:$M,$B157)</f>
        <v>5</v>
      </c>
      <c r="E157" s="31">
        <f>COUNTIFS(L1L2!$M:$M,$B157,L1L2!$L:$L,$E$1)</f>
        <v>5</v>
      </c>
      <c r="F157" s="31">
        <f>IF(AND(H157=1,D157&gt;=2),9,IF(D157&gt;=3,9,0))</f>
        <v>9</v>
      </c>
      <c r="G157" s="31">
        <f>IF(AND(H157=1,E157&gt;=2),3,IF(E157&gt;3,3,E157))</f>
        <v>3</v>
      </c>
      <c r="H157" s="33">
        <f>IF(ISNUMBER(SEARCH("M", C157)), 1, 0)</f>
        <v>0</v>
      </c>
      <c r="I157" s="29" t="str">
        <f>VLOOKUP(B157,Sheet1!$A:$E,5,FALSE)</f>
        <v>หจก.เกษมชัยพานิช</v>
      </c>
    </row>
    <row r="158" spans="1:9" ht="17.5" thickBot="1">
      <c r="A158" s="27" t="s">
        <v>2861</v>
      </c>
      <c r="B158" s="28" t="s">
        <v>342</v>
      </c>
      <c r="C158" s="28" t="s">
        <v>343</v>
      </c>
      <c r="D158" s="31">
        <f>COUNTIF(L1L2!$M:$M,$B158)</f>
        <v>3</v>
      </c>
      <c r="E158" s="31">
        <f>COUNTIFS(L1L2!$M:$M,$B158,L1L2!$L:$L,$E$1)</f>
        <v>3</v>
      </c>
      <c r="F158" s="31">
        <f>IF(AND(H158=1,D158&gt;=2),9,IF(D158&gt;=3,9,0))</f>
        <v>9</v>
      </c>
      <c r="G158" s="31">
        <f>IF(AND(H158=1,E158&gt;=2),3,IF(E158&gt;3,3,E158))</f>
        <v>3</v>
      </c>
      <c r="H158" s="33">
        <f>IF(ISNUMBER(SEARCH("M", C158)), 1, 0)</f>
        <v>0</v>
      </c>
      <c r="I158" s="29" t="str">
        <f>VLOOKUP(B158,Sheet1!$A:$E,5,FALSE)</f>
        <v>หจก.เกาะช้างคอนกรีต</v>
      </c>
    </row>
    <row r="159" spans="1:9" ht="17.5" thickBot="1">
      <c r="A159" s="50" t="s">
        <v>3109</v>
      </c>
      <c r="B159" s="51" t="s">
        <v>706</v>
      </c>
      <c r="C159" s="51" t="s">
        <v>707</v>
      </c>
      <c r="D159" s="52">
        <f>COUNTIF(L1L2!$M:$M,$B159)</f>
        <v>3</v>
      </c>
      <c r="E159" s="52">
        <f>COUNTIFS(L1L2!$M:$M,$B159,L1L2!$L:$L,$E$1)</f>
        <v>3</v>
      </c>
      <c r="F159" s="52">
        <f>IF(AND(H159=1,D159&gt;=2),9,IF(D159&gt;=3,9,0))</f>
        <v>9</v>
      </c>
      <c r="G159" s="52">
        <f>IF(AND(H159=1,E159&gt;=2),3,IF(E159&gt;3,3,E159))</f>
        <v>3</v>
      </c>
      <c r="H159" s="53">
        <f>IF(ISNUMBER(SEARCH("M", C159)), 1, 0)</f>
        <v>0</v>
      </c>
      <c r="I159" s="54" t="str">
        <f>VLOOKUP(B159,Sheet1!$A:$E,5,FALSE)</f>
        <v>หจก.เค.ที.เอส.ผลิตภัณฑ์คอนกรีต</v>
      </c>
    </row>
    <row r="160" spans="1:9" ht="17.5" thickBot="1">
      <c r="A160" s="50" t="s">
        <v>3109</v>
      </c>
      <c r="B160" s="51" t="s">
        <v>552</v>
      </c>
      <c r="C160" s="51" t="s">
        <v>553</v>
      </c>
      <c r="D160" s="52">
        <f>COUNTIF(L1L2!$M:$M,$B160)</f>
        <v>3</v>
      </c>
      <c r="E160" s="52">
        <f>COUNTIFS(L1L2!$M:$M,$B160,L1L2!$L:$L,$E$1)</f>
        <v>3</v>
      </c>
      <c r="F160" s="52">
        <f>IF(AND(H160=1,D160&gt;=2),9,IF(D160&gt;=3,9,0))</f>
        <v>9</v>
      </c>
      <c r="G160" s="52">
        <f>IF(AND(H160=1,E160&gt;=2),3,IF(E160&gt;3,3,E160))</f>
        <v>3</v>
      </c>
      <c r="H160" s="53">
        <f>IF(ISNUMBER(SEARCH("M", C160)), 1, 0)</f>
        <v>0</v>
      </c>
      <c r="I160" s="54" t="str">
        <f>VLOOKUP(B160,Sheet1!$A:$E,5,FALSE)</f>
        <v>หจก.เค.ที.เอส.ผลิตภัณฑ์คอนกรีต</v>
      </c>
    </row>
    <row r="161" spans="1:10" ht="17.5" thickBot="1">
      <c r="A161" s="50" t="s">
        <v>3109</v>
      </c>
      <c r="B161" s="51" t="s">
        <v>604</v>
      </c>
      <c r="C161" s="51" t="s">
        <v>605</v>
      </c>
      <c r="D161" s="52">
        <f>COUNTIF(L1L2!$M:$M,$B161)</f>
        <v>3</v>
      </c>
      <c r="E161" s="52">
        <f>COUNTIFS(L1L2!$M:$M,$B161,L1L2!$L:$L,$E$1)</f>
        <v>3</v>
      </c>
      <c r="F161" s="52">
        <f>IF(AND(H161=1,D161&gt;=2),9,IF(D161&gt;=3,9,0))</f>
        <v>9</v>
      </c>
      <c r="G161" s="52">
        <f>IF(AND(H161=1,E161&gt;=2),3,IF(E161&gt;3,3,E161))</f>
        <v>3</v>
      </c>
      <c r="H161" s="53">
        <f>IF(ISNUMBER(SEARCH("M", C161)), 1, 0)</f>
        <v>0</v>
      </c>
      <c r="I161" s="54" t="str">
        <f>VLOOKUP(B161,Sheet1!$A:$E,5,FALSE)</f>
        <v>หจก.เค.ที.เอส.ผลิตภัณฑ์คอนกรีต</v>
      </c>
    </row>
    <row r="162" spans="1:10" ht="17.5" thickBot="1">
      <c r="A162" s="50" t="s">
        <v>3109</v>
      </c>
      <c r="B162" s="51" t="s">
        <v>654</v>
      </c>
      <c r="C162" s="51" t="s">
        <v>655</v>
      </c>
      <c r="D162" s="52">
        <f>COUNTIF(L1L2!$M:$M,$B162)</f>
        <v>4</v>
      </c>
      <c r="E162" s="52">
        <f>COUNTIFS(L1L2!$M:$M,$B162,L1L2!$L:$L,$E$1)</f>
        <v>4</v>
      </c>
      <c r="F162" s="52">
        <f>IF(AND(H162=1,D162&gt;=2),9,IF(D162&gt;=3,9,0))</f>
        <v>9</v>
      </c>
      <c r="G162" s="52">
        <f>IF(AND(H162=1,E162&gt;=2),3,IF(E162&gt;3,3,E162))</f>
        <v>3</v>
      </c>
      <c r="H162" s="53">
        <f>IF(ISNUMBER(SEARCH("M", C162)), 1, 0)</f>
        <v>0</v>
      </c>
      <c r="I162" s="54" t="str">
        <f>VLOOKUP(B162,Sheet1!$A:$E,5,FALSE)</f>
        <v>หจก.เค.ที.เอส.ผลิตภัณฑ์คอนกรีต</v>
      </c>
    </row>
    <row r="163" spans="1:10" ht="17.5" thickBot="1">
      <c r="A163" s="50" t="s">
        <v>3109</v>
      </c>
      <c r="B163" s="51" t="s">
        <v>584</v>
      </c>
      <c r="C163" s="51" t="s">
        <v>585</v>
      </c>
      <c r="D163" s="52">
        <f>COUNTIF(L1L2!$M:$M,$B163)</f>
        <v>3</v>
      </c>
      <c r="E163" s="52">
        <f>COUNTIFS(L1L2!$M:$M,$B163,L1L2!$L:$L,$E$1)</f>
        <v>3</v>
      </c>
      <c r="F163" s="52">
        <f>IF(AND(H163=1,D163&gt;=2),9,IF(D163&gt;=3,9,0))</f>
        <v>9</v>
      </c>
      <c r="G163" s="52">
        <f>IF(AND(H163=1,E163&gt;=2),3,IF(E163&gt;3,3,E163))</f>
        <v>3</v>
      </c>
      <c r="H163" s="53">
        <f>IF(ISNUMBER(SEARCH("M", C163)), 1, 0)</f>
        <v>0</v>
      </c>
      <c r="I163" s="54" t="str">
        <f>VLOOKUP(B163,Sheet1!$A:$E,5,FALSE)</f>
        <v>หจก.เค.ที.เอส.ผลิตภัณฑ์คอนกรีต</v>
      </c>
    </row>
    <row r="164" spans="1:10" ht="17.5" thickBot="1">
      <c r="A164" s="50" t="s">
        <v>3109</v>
      </c>
      <c r="B164" s="51" t="s">
        <v>3135</v>
      </c>
      <c r="C164" s="51" t="s">
        <v>3136</v>
      </c>
      <c r="D164" s="52">
        <f>COUNTIF(L1L2!$M:$M,$B164)</f>
        <v>0</v>
      </c>
      <c r="E164" s="52">
        <f>COUNTIFS(L1L2!$M:$M,$B164,L1L2!$L:$L,$E$1)</f>
        <v>0</v>
      </c>
      <c r="F164" s="52">
        <f>IF(AND(H164=1,D164&gt;=2),9,IF(D164&gt;=3,9,0))</f>
        <v>0</v>
      </c>
      <c r="G164" s="52">
        <f>IF(AND(H164=1,E164&gt;=2),3,IF(E164&gt;3,3,E164))</f>
        <v>0</v>
      </c>
      <c r="H164" s="53">
        <f>IF(ISNUMBER(SEARCH("M", C164)), 1, 0)</f>
        <v>0</v>
      </c>
      <c r="I164" s="54" t="str">
        <f>VLOOKUP(B164,Sheet1!$A:$E,5,FALSE)</f>
        <v>หจก.เค.ที.เอส.ผลิตภัณฑ์คอนกรีต</v>
      </c>
    </row>
    <row r="165" spans="1:10" ht="17.5" thickBot="1">
      <c r="A165" s="27" t="s">
        <v>3109</v>
      </c>
      <c r="B165" s="28" t="s">
        <v>688</v>
      </c>
      <c r="C165" s="28" t="s">
        <v>689</v>
      </c>
      <c r="D165" s="31">
        <f>COUNTIF(L1L2!$M:$M,$B165)</f>
        <v>3</v>
      </c>
      <c r="E165" s="31">
        <f>COUNTIFS(L1L2!$M:$M,$B165,L1L2!$L:$L,$E$1)</f>
        <v>3</v>
      </c>
      <c r="F165" s="31">
        <f>IF(AND(H165=1,D165&gt;=2),9,IF(D165&gt;=3,9,0))</f>
        <v>9</v>
      </c>
      <c r="G165" s="31">
        <f>IF(AND(H165=1,E165&gt;=2),3,IF(E165&gt;3,3,E165))</f>
        <v>3</v>
      </c>
      <c r="H165" s="33">
        <f>IF(ISNUMBER(SEARCH("M", C165)), 1, 0)</f>
        <v>0</v>
      </c>
      <c r="I165" s="29" t="str">
        <f>VLOOKUP(B165,Sheet1!$A:$E,5,FALSE)</f>
        <v>หจก.เคพีอาร์ คอนกรีต</v>
      </c>
    </row>
    <row r="166" spans="1:10" ht="17.5" thickBot="1">
      <c r="A166" s="50" t="s">
        <v>2876</v>
      </c>
      <c r="B166" s="51" t="s">
        <v>446</v>
      </c>
      <c r="C166" s="51" t="s">
        <v>447</v>
      </c>
      <c r="D166" s="52">
        <f>COUNTIF(L1L2!$M:$M,$B166)</f>
        <v>2</v>
      </c>
      <c r="E166" s="52">
        <f>COUNTIFS(L1L2!$M:$M,$B166,L1L2!$L:$L,$E$1)</f>
        <v>2</v>
      </c>
      <c r="F166" s="52">
        <f>IF(AND(H166=1,D166&gt;=2),9,IF(D166&gt;=3,9,0))</f>
        <v>9</v>
      </c>
      <c r="G166" s="52">
        <f>IF(AND(H166=1,E166&gt;=2),3,IF(E166&gt;3,3,E166))</f>
        <v>3</v>
      </c>
      <c r="H166" s="53">
        <f>IF(ISNUMBER(SEARCH("M", C166)), 1, 0)</f>
        <v>1</v>
      </c>
      <c r="I166" s="54" t="str">
        <f>VLOOKUP(B166,Sheet1!$A:$E,5,FALSE)</f>
        <v>หจก.เจเอ็นเพาเวอร์ คอนกรีต</v>
      </c>
    </row>
    <row r="167" spans="1:10" ht="17.5" thickBot="1">
      <c r="A167" s="50" t="s">
        <v>2876</v>
      </c>
      <c r="B167" s="51" t="s">
        <v>2700</v>
      </c>
      <c r="C167" s="51" t="s">
        <v>3076</v>
      </c>
      <c r="D167" s="52">
        <f>COUNTIF(L1L2!$M:$M,$B167)</f>
        <v>3</v>
      </c>
      <c r="E167" s="52">
        <f>COUNTIFS(L1L2!$M:$M,$B167,L1L2!$L:$L,$E$1)</f>
        <v>3</v>
      </c>
      <c r="F167" s="52">
        <f>IF(AND(H167=1,D167&gt;=2),9,IF(D167&gt;=3,9,0))</f>
        <v>9</v>
      </c>
      <c r="G167" s="52">
        <f>IF(AND(H167=1,E167&gt;=2),3,IF(E167&gt;3,3,E167))</f>
        <v>3</v>
      </c>
      <c r="H167" s="53">
        <f>IF(ISNUMBER(SEARCH("M", C167)), 1, 0)</f>
        <v>1</v>
      </c>
      <c r="I167" s="54" t="str">
        <f>VLOOKUP(B167,Sheet1!$A:$E,5,FALSE)</f>
        <v>หจก.เจเอ็นเพาเวอร์ คอนกรีต</v>
      </c>
    </row>
    <row r="168" spans="1:10" ht="17.5" thickBot="1">
      <c r="A168" s="27" t="s">
        <v>3109</v>
      </c>
      <c r="B168" s="28" t="s">
        <v>694</v>
      </c>
      <c r="C168" s="28" t="s">
        <v>695</v>
      </c>
      <c r="D168" s="31">
        <f>COUNTIF(L1L2!$M:$M,$B168)</f>
        <v>3</v>
      </c>
      <c r="E168" s="31">
        <f>COUNTIFS(L1L2!$M:$M,$B168,L1L2!$L:$L,$E$1)</f>
        <v>3</v>
      </c>
      <c r="F168" s="31">
        <f>IF(AND(H168=1,D168&gt;=2),9,IF(D168&gt;=3,9,0))</f>
        <v>9</v>
      </c>
      <c r="G168" s="31">
        <f>IF(AND(H168=1,E168&gt;=2),3,IF(E168&gt;3,3,E168))</f>
        <v>3</v>
      </c>
      <c r="H168" s="33">
        <f>IF(ISNUMBER(SEARCH("M", C168)), 1, 0)</f>
        <v>0</v>
      </c>
      <c r="I168" s="29" t="str">
        <f>VLOOKUP(B168,Sheet1!$A:$E,5,FALSE)</f>
        <v>หจก.เจตนะธรรมค้าไม้</v>
      </c>
    </row>
    <row r="169" spans="1:10" ht="17.5" thickBot="1">
      <c r="A169" s="55" t="s">
        <v>3109</v>
      </c>
      <c r="B169" s="60" t="s">
        <v>594</v>
      </c>
      <c r="C169" s="60" t="s">
        <v>595</v>
      </c>
      <c r="D169" s="57">
        <f>COUNTIF(L1L2!$M:$M,$B169)</f>
        <v>3</v>
      </c>
      <c r="E169" s="57">
        <f>COUNTIFS(L1L2!$M:$M,$B169,L1L2!$L:$L,$E$1)</f>
        <v>3</v>
      </c>
      <c r="F169" s="57">
        <f>IF(AND(H169=1,D169&gt;=2),9,IF(D169&gt;=3,9,0))</f>
        <v>9</v>
      </c>
      <c r="G169" s="57">
        <f>IF(AND(H169=1,E169&gt;=2),3,IF(E169&gt;3,3,E169))</f>
        <v>3</v>
      </c>
      <c r="H169" s="58">
        <f>IF(ISNUMBER(SEARCH("M", C169)), 1, 0)</f>
        <v>0</v>
      </c>
      <c r="I169" s="59" t="str">
        <f>VLOOKUP(B169,Sheet1!$A:$E,5,FALSE)</f>
        <v>หจก.เจริญพัฒนา</v>
      </c>
    </row>
    <row r="170" spans="1:10" ht="17.5" thickBot="1">
      <c r="A170" s="55" t="s">
        <v>3109</v>
      </c>
      <c r="B170" s="60" t="s">
        <v>668</v>
      </c>
      <c r="C170" s="60" t="s">
        <v>669</v>
      </c>
      <c r="D170" s="66">
        <f>COUNTIF(L1L2!$M:$M,$B170)</f>
        <v>3</v>
      </c>
      <c r="E170" s="66">
        <f>COUNTIFS(L1L2!$M:$M,$B170,L1L2!$L:$L,$E$1)</f>
        <v>3</v>
      </c>
      <c r="F170" s="57">
        <f>IF(AND(H170=1,D170&gt;=2),9,IF(D170&gt;=3,9,0))</f>
        <v>9</v>
      </c>
      <c r="G170" s="57">
        <f>IF(AND(H170=1,E170&gt;=2),3,IF(E170&gt;3,3,E170))</f>
        <v>3</v>
      </c>
      <c r="H170" s="58">
        <f>IF(ISNUMBER(SEARCH("M", C170)), 1, 0)</f>
        <v>0</v>
      </c>
      <c r="I170" s="59" t="str">
        <f>VLOOKUP(B170,Sheet1!$A:$E,5,FALSE)</f>
        <v>หจก.เจริญพัฒนา</v>
      </c>
      <c r="J170" s="29" t="s">
        <v>3541</v>
      </c>
    </row>
    <row r="171" spans="1:10" ht="17.5" thickBot="1">
      <c r="A171" s="27" t="s">
        <v>3109</v>
      </c>
      <c r="B171" s="28" t="s">
        <v>718</v>
      </c>
      <c r="C171" s="28" t="s">
        <v>719</v>
      </c>
      <c r="D171" s="31">
        <f>COUNTIF(L1L2!$M:$M,$B171)</f>
        <v>3</v>
      </c>
      <c r="E171" s="31">
        <f>COUNTIFS(L1L2!$M:$M,$B171,L1L2!$L:$L,$E$1)</f>
        <v>3</v>
      </c>
      <c r="F171" s="31">
        <f>IF(AND(H171=1,D171&gt;=2),9,IF(D171&gt;=3,9,0))</f>
        <v>9</v>
      </c>
      <c r="G171" s="31">
        <f>IF(AND(H171=1,E171&gt;=2),3,IF(E171&gt;3,3,E171))</f>
        <v>3</v>
      </c>
      <c r="H171" s="33">
        <f>IF(ISNUMBER(SEARCH("M", C171)), 1, 0)</f>
        <v>0</v>
      </c>
      <c r="I171" s="29" t="str">
        <f>VLOOKUP(B171,Sheet1!$A:$E,5,FALSE)</f>
        <v>หจก.เจริญศิลป์เคหะละหานทราย</v>
      </c>
    </row>
    <row r="172" spans="1:10" ht="17.5" thickBot="1">
      <c r="A172" s="27" t="s">
        <v>3109</v>
      </c>
      <c r="B172" s="28" t="s">
        <v>662</v>
      </c>
      <c r="C172" s="28" t="s">
        <v>3137</v>
      </c>
      <c r="D172" s="31">
        <f>COUNTIF(L1L2!$M:$M,$B172)</f>
        <v>2</v>
      </c>
      <c r="E172" s="31">
        <f>COUNTIFS(L1L2!$M:$M,$B172,L1L2!$L:$L,$E$1)</f>
        <v>2</v>
      </c>
      <c r="F172" s="31">
        <f>IF(AND(H172=1,D172&gt;=2),9,IF(D172&gt;=3,9,0))</f>
        <v>0</v>
      </c>
      <c r="G172" s="31">
        <f>IF(AND(H172=1,E172&gt;=2),3,IF(E172&gt;3,3,E172))</f>
        <v>2</v>
      </c>
      <c r="H172" s="33">
        <f>IF(ISNUMBER(SEARCH("M", C172)), 1, 0)</f>
        <v>0</v>
      </c>
      <c r="I172" s="29" t="str">
        <f>VLOOKUP(B172,Sheet1!$A:$E,5,FALSE)</f>
        <v>หจก.เจริญศิลป์เคหะละหานทราย</v>
      </c>
    </row>
    <row r="173" spans="1:10" ht="17.5" thickBot="1">
      <c r="A173" s="27" t="s">
        <v>2876</v>
      </c>
      <c r="B173" s="28" t="s">
        <v>440</v>
      </c>
      <c r="C173" s="28" t="s">
        <v>441</v>
      </c>
      <c r="D173" s="31">
        <f>COUNTIF(L1L2!$M:$M,$B173)</f>
        <v>3</v>
      </c>
      <c r="E173" s="31">
        <f>COUNTIFS(L1L2!$M:$M,$B173,L1L2!$L:$L,$E$1)</f>
        <v>3</v>
      </c>
      <c r="F173" s="31">
        <f>IF(AND(H173=1,D173&gt;=2),9,IF(D173&gt;=3,9,0))</f>
        <v>9</v>
      </c>
      <c r="G173" s="31">
        <f>IF(AND(H173=1,E173&gt;=2),3,IF(E173&gt;3,3,E173))</f>
        <v>3</v>
      </c>
      <c r="H173" s="33">
        <f>IF(ISNUMBER(SEARCH("M", C173)), 1, 0)</f>
        <v>0</v>
      </c>
      <c r="I173" s="29" t="str">
        <f>VLOOKUP(B173,Sheet1!$A:$E,5,FALSE)</f>
        <v>หจก.เชียงคำคอนกรีต(2011)</v>
      </c>
    </row>
    <row r="174" spans="1:10" ht="17.5" thickBot="1">
      <c r="A174" s="27" t="s">
        <v>3109</v>
      </c>
      <c r="B174" s="28" t="s">
        <v>600</v>
      </c>
      <c r="C174" s="28" t="s">
        <v>601</v>
      </c>
      <c r="D174" s="31">
        <f>COUNTIF(L1L2!$M:$M,$B174)</f>
        <v>4</v>
      </c>
      <c r="E174" s="31">
        <f>COUNTIFS(L1L2!$M:$M,$B174,L1L2!$L:$L,$E$1)</f>
        <v>4</v>
      </c>
      <c r="F174" s="31">
        <f>IF(AND(H174=1,D174&gt;=2),9,IF(D174&gt;=3,9,0))</f>
        <v>9</v>
      </c>
      <c r="G174" s="31">
        <f>IF(AND(H174=1,E174&gt;=2),3,IF(E174&gt;3,3,E174))</f>
        <v>3</v>
      </c>
      <c r="H174" s="33">
        <f>IF(ISNUMBER(SEARCH("M", C174)), 1, 0)</f>
        <v>0</v>
      </c>
      <c r="I174" s="29" t="str">
        <f>VLOOKUP(B174,Sheet1!$A:$E,5,FALSE)</f>
        <v>หจก.เนรมิตวัสดุก่อสร้าง</v>
      </c>
    </row>
    <row r="175" spans="1:10" ht="17.5" thickBot="1">
      <c r="A175" s="27" t="s">
        <v>3109</v>
      </c>
      <c r="B175" s="28" t="s">
        <v>578</v>
      </c>
      <c r="C175" s="28" t="s">
        <v>579</v>
      </c>
      <c r="D175" s="31">
        <f>COUNTIF(L1L2!$M:$M,$B175)</f>
        <v>3</v>
      </c>
      <c r="E175" s="31">
        <f>COUNTIFS(L1L2!$M:$M,$B175,L1L2!$L:$L,$E$1)</f>
        <v>3</v>
      </c>
      <c r="F175" s="31">
        <f>IF(AND(H175=1,D175&gt;=2),9,IF(D175&gt;=3,9,0))</f>
        <v>9</v>
      </c>
      <c r="G175" s="31">
        <f>IF(AND(H175=1,E175&gt;=2),3,IF(E175&gt;3,3,E175))</f>
        <v>3</v>
      </c>
      <c r="H175" s="33">
        <f>IF(ISNUMBER(SEARCH("M", C175)), 1, 0)</f>
        <v>0</v>
      </c>
      <c r="I175" s="29" t="str">
        <f>VLOOKUP(B175,Sheet1!$A:$E,5,FALSE)</f>
        <v>หจก.เนรมิตวัสดุก่อสร้าง</v>
      </c>
    </row>
    <row r="176" spans="1:10" ht="17.5" thickBot="1">
      <c r="A176" s="27" t="s">
        <v>3109</v>
      </c>
      <c r="B176" s="28" t="s">
        <v>618</v>
      </c>
      <c r="C176" s="28" t="s">
        <v>619</v>
      </c>
      <c r="D176" s="31">
        <f>COUNTIF(L1L2!$M:$M,$B176)</f>
        <v>3</v>
      </c>
      <c r="E176" s="31">
        <f>COUNTIFS(L1L2!$M:$M,$B176,L1L2!$L:$L,$E$1)</f>
        <v>2</v>
      </c>
      <c r="F176" s="31">
        <f>IF(AND(H176=1,D176&gt;=2),9,IF(D176&gt;=3,9,0))</f>
        <v>9</v>
      </c>
      <c r="G176" s="31">
        <f>IF(AND(H176=1,E176&gt;=2),3,IF(E176&gt;3,3,E176))</f>
        <v>2</v>
      </c>
      <c r="H176" s="33">
        <f>IF(ISNUMBER(SEARCH("M", C176)), 1, 0)</f>
        <v>0</v>
      </c>
      <c r="I176" s="29" t="str">
        <f>VLOOKUP(B176,Sheet1!$A:$E,5,FALSE)</f>
        <v>หจก.เนินปัญญา ก่อสร้าง</v>
      </c>
    </row>
    <row r="177" spans="1:10" ht="17.5" thickBot="1">
      <c r="A177" s="27" t="s">
        <v>2855</v>
      </c>
      <c r="B177" s="28" t="s">
        <v>724</v>
      </c>
      <c r="C177" s="28" t="s">
        <v>3093</v>
      </c>
      <c r="D177" s="31">
        <f>COUNTIF(L1L2!$M:$M,$B177)</f>
        <v>3</v>
      </c>
      <c r="E177" s="31">
        <f>COUNTIFS(L1L2!$M:$M,$B177,L1L2!$L:$L,$E$1)</f>
        <v>3</v>
      </c>
      <c r="F177" s="31">
        <f>IF(AND(H177=1,D177&gt;=2),9,IF(D177&gt;=3,9,0))</f>
        <v>9</v>
      </c>
      <c r="G177" s="31">
        <f>IF(AND(H177=1,E177&gt;=2),3,IF(E177&gt;3,3,E177))</f>
        <v>3</v>
      </c>
      <c r="H177" s="33">
        <f>IF(ISNUMBER(SEARCH("M", C177)), 1, 0)</f>
        <v>0</v>
      </c>
      <c r="I177" s="29" t="str">
        <f>VLOOKUP(B177,Sheet1!$A:$E,5,FALSE)</f>
        <v>หจก.เพาเวอร์ แลนด์ คอนกรีต</v>
      </c>
    </row>
    <row r="178" spans="1:10" ht="17.5" thickBot="1">
      <c r="A178" s="55" t="s">
        <v>2876</v>
      </c>
      <c r="B178" s="60" t="s">
        <v>520</v>
      </c>
      <c r="C178" s="60" t="s">
        <v>521</v>
      </c>
      <c r="D178" s="57">
        <f>COUNTIF(L1L2!$M:$M,$B178)</f>
        <v>4</v>
      </c>
      <c r="E178" s="57">
        <f>COUNTIFS(L1L2!$M:$M,$B178,L1L2!$L:$L,$E$1)</f>
        <v>3</v>
      </c>
      <c r="F178" s="57">
        <f>IF(AND(H178=1,D178&gt;=2),9,IF(D178&gt;=3,9,0))</f>
        <v>9</v>
      </c>
      <c r="G178" s="57">
        <f>IF(AND(H178=1,E178&gt;=2),3,IF(E178&gt;3,3,E178))</f>
        <v>3</v>
      </c>
      <c r="H178" s="58">
        <f>IF(ISNUMBER(SEARCH("M", C178)), 1, 0)</f>
        <v>0</v>
      </c>
      <c r="I178" s="59" t="str">
        <f>VLOOKUP(B178,Sheet1!$A:$E,5,FALSE)</f>
        <v>หจก.เรืองชัยคอนกรีต</v>
      </c>
    </row>
    <row r="179" spans="1:10" ht="17.5" thickBot="1">
      <c r="A179" s="55" t="s">
        <v>2876</v>
      </c>
      <c r="B179" s="60" t="s">
        <v>464</v>
      </c>
      <c r="C179" s="60" t="s">
        <v>465</v>
      </c>
      <c r="D179" s="57">
        <f>COUNTIF(L1L2!$M:$M,$B179)</f>
        <v>3</v>
      </c>
      <c r="E179" s="57">
        <f>COUNTIFS(L1L2!$M:$M,$B179,L1L2!$L:$L,$E$1)</f>
        <v>3</v>
      </c>
      <c r="F179" s="57">
        <f>IF(AND(H179=1,D179&gt;=2),9,IF(D179&gt;=3,9,0))</f>
        <v>9</v>
      </c>
      <c r="G179" s="57">
        <f>IF(AND(H179=1,E179&gt;=2),3,IF(E179&gt;3,3,E179))</f>
        <v>3</v>
      </c>
      <c r="H179" s="58">
        <f>IF(ISNUMBER(SEARCH("M", C179)), 1, 0)</f>
        <v>0</v>
      </c>
      <c r="I179" s="59" t="str">
        <f>VLOOKUP(B179,Sheet1!$A:$E,5,FALSE)</f>
        <v>หจก.เรืองชัยคอนกรีต</v>
      </c>
    </row>
    <row r="180" spans="1:10" ht="17.5" thickBot="1">
      <c r="A180" s="55" t="s">
        <v>2876</v>
      </c>
      <c r="B180" s="60" t="s">
        <v>468</v>
      </c>
      <c r="C180" s="60" t="s">
        <v>469</v>
      </c>
      <c r="D180" s="57">
        <f>COUNTIF(L1L2!$M:$M,$B180)</f>
        <v>3</v>
      </c>
      <c r="E180" s="57">
        <f>COUNTIFS(L1L2!$M:$M,$B180,L1L2!$L:$L,$E$1)</f>
        <v>3</v>
      </c>
      <c r="F180" s="57">
        <f>IF(AND(H180=1,D180&gt;=2),9,IF(D180&gt;=3,9,0))</f>
        <v>9</v>
      </c>
      <c r="G180" s="57">
        <f>IF(AND(H180=1,E180&gt;=2),3,IF(E180&gt;3,3,E180))</f>
        <v>3</v>
      </c>
      <c r="H180" s="58">
        <f>IF(ISNUMBER(SEARCH("M", C180)), 1, 0)</f>
        <v>0</v>
      </c>
      <c r="I180" s="59" t="str">
        <f>VLOOKUP(B180,Sheet1!$A:$E,5,FALSE)</f>
        <v>หจก.เรืองชัยคอนกรีต</v>
      </c>
    </row>
    <row r="181" spans="1:10" ht="17.5" thickBot="1">
      <c r="A181" s="27" t="s">
        <v>2876</v>
      </c>
      <c r="B181" s="28" t="s">
        <v>744</v>
      </c>
      <c r="C181" s="28" t="s">
        <v>3077</v>
      </c>
      <c r="D181" s="31">
        <f>COUNTIF(L1L2!$M:$M,$B181)</f>
        <v>3</v>
      </c>
      <c r="E181" s="31">
        <f>COUNTIFS(L1L2!$M:$M,$B181,L1L2!$L:$L,$E$1)</f>
        <v>1</v>
      </c>
      <c r="F181" s="31">
        <f>IF(AND(H181=1,D181&gt;=2),9,IF(D181&gt;=3,9,0))</f>
        <v>9</v>
      </c>
      <c r="G181" s="31">
        <f>IF(AND(H181=1,E181&gt;=2),3,IF(E181&gt;3,3,E181))</f>
        <v>1</v>
      </c>
      <c r="H181" s="33">
        <f>IF(ISNUMBER(SEARCH("M", C181)), 1, 0)</f>
        <v>0</v>
      </c>
      <c r="I181" s="29" t="str">
        <f>VLOOKUP(B181,Sheet1!$A:$E,5,FALSE)</f>
        <v>หจก.เอ็นพี วัสดุก่อสร้าง</v>
      </c>
    </row>
    <row r="182" spans="1:10" ht="17.5" thickBot="1">
      <c r="A182" s="27" t="s">
        <v>2876</v>
      </c>
      <c r="B182" s="28" t="s">
        <v>2385</v>
      </c>
      <c r="C182" s="28" t="s">
        <v>3078</v>
      </c>
      <c r="D182" s="31">
        <f>COUNTIF(L1L2!$M:$M,$B182)</f>
        <v>3</v>
      </c>
      <c r="E182" s="31">
        <f>COUNTIFS(L1L2!$M:$M,$B182,L1L2!$L:$L,$E$1)</f>
        <v>2</v>
      </c>
      <c r="F182" s="31">
        <f>IF(AND(H182=1,D182&gt;=2),9,IF(D182&gt;=3,9,0))</f>
        <v>9</v>
      </c>
      <c r="G182" s="31">
        <f>IF(AND(H182=1,E182&gt;=2),3,IF(E182&gt;3,3,E182))</f>
        <v>3</v>
      </c>
      <c r="H182" s="33">
        <f>IF(ISNUMBER(SEARCH("M", C182)), 1, 0)</f>
        <v>1</v>
      </c>
      <c r="I182" s="29" t="str">
        <f>VLOOKUP(B182,Sheet1!$A:$E,5,FALSE)</f>
        <v>หจก.เอ็นพี วัสดุก่อสร้าง</v>
      </c>
    </row>
    <row r="183" spans="1:10" ht="17.5" thickBot="1">
      <c r="A183" s="55" t="s">
        <v>3109</v>
      </c>
      <c r="B183" s="60" t="s">
        <v>714</v>
      </c>
      <c r="C183" s="60" t="s">
        <v>715</v>
      </c>
      <c r="D183" s="57">
        <f>COUNTIF(L1L2!$M:$M,$B183)</f>
        <v>3</v>
      </c>
      <c r="E183" s="57">
        <f>COUNTIFS(L1L2!$M:$M,$B183,L1L2!$L:$L,$E$1)</f>
        <v>3</v>
      </c>
      <c r="F183" s="57">
        <f>IF(AND(H183=1,D183&gt;=2),9,IF(D183&gt;=3,9,0))</f>
        <v>9</v>
      </c>
      <c r="G183" s="57">
        <f>IF(AND(H183=1,E183&gt;=2),3,IF(E183&gt;3,3,E183))</f>
        <v>3</v>
      </c>
      <c r="H183" s="58">
        <f>IF(ISNUMBER(SEARCH("M", C183)), 1, 0)</f>
        <v>0</v>
      </c>
      <c r="I183" s="59" t="str">
        <f>VLOOKUP(B183,Sheet1!$A:$E,5,FALSE)</f>
        <v>หจก.เอส พี เค คอนกรีต</v>
      </c>
    </row>
    <row r="184" spans="1:10" ht="17.5" thickBot="1">
      <c r="A184" s="55" t="s">
        <v>3109</v>
      </c>
      <c r="B184" s="61" t="s">
        <v>588</v>
      </c>
      <c r="C184" s="62" t="s">
        <v>589</v>
      </c>
      <c r="D184" s="57">
        <f>COUNTIF(L1L2!$M:$M,$B184)</f>
        <v>0</v>
      </c>
      <c r="E184" s="57">
        <f>COUNTIFS(L1L2!$M:$M,$B184,L1L2!$L:$L,$E$1)</f>
        <v>0</v>
      </c>
      <c r="F184" s="57">
        <f>IF(AND(H184=1,D184&gt;=2),9,IF(D184&gt;=3,9,0))</f>
        <v>0</v>
      </c>
      <c r="G184" s="57">
        <f>IF(AND(H184=1,E184&gt;=2),3,IF(E184&gt;3,3,E184))</f>
        <v>0</v>
      </c>
      <c r="H184" s="58">
        <f>IF(ISNUMBER(SEARCH("M", C184)), 1, 0)</f>
        <v>0</v>
      </c>
      <c r="I184" s="59" t="str">
        <f>VLOOKUP(B184,Sheet1!$A:$E,5,FALSE)</f>
        <v>หจก.เอส พี เค คอนกรีต</v>
      </c>
    </row>
    <row r="185" spans="1:10" ht="17.5" thickBot="1">
      <c r="A185" s="27" t="s">
        <v>3109</v>
      </c>
      <c r="B185" s="28" t="s">
        <v>3141</v>
      </c>
      <c r="C185" s="28" t="s">
        <v>3142</v>
      </c>
      <c r="D185" s="31">
        <f>COUNTIF(L1L2!$M:$M,$B185)</f>
        <v>0</v>
      </c>
      <c r="E185" s="31">
        <f>COUNTIFS(L1L2!$M:$M,$B185,L1L2!$L:$L,$E$1)</f>
        <v>0</v>
      </c>
      <c r="F185" s="31">
        <f>IF(AND(H185=1,D185&gt;=2),9,IF(D185&gt;=3,9,0))</f>
        <v>0</v>
      </c>
      <c r="G185" s="31">
        <f>IF(AND(H185=1,E185&gt;=2),3,IF(E185&gt;3,3,E185))</f>
        <v>0</v>
      </c>
      <c r="H185" s="33">
        <f>IF(ISNUMBER(SEARCH("M", C185)), 1, 0)</f>
        <v>0</v>
      </c>
      <c r="I185" s="29" t="str">
        <f>VLOOKUP(B185,Sheet1!$A:$E,5,FALSE)</f>
        <v>หจก.เอส อาร์ อาร์ คอนกรีต</v>
      </c>
    </row>
    <row r="186" spans="1:10" ht="17.5" thickBot="1">
      <c r="A186" s="27" t="s">
        <v>3109</v>
      </c>
      <c r="B186" s="28" t="s">
        <v>762</v>
      </c>
      <c r="C186" s="28" t="s">
        <v>3138</v>
      </c>
      <c r="D186" s="31">
        <f>COUNTIF(L1L2!$M:$M,$B186)</f>
        <v>0</v>
      </c>
      <c r="E186" s="31">
        <f>COUNTIFS(L1L2!$M:$M,$B186,L1L2!$L:$L,$E$1)</f>
        <v>0</v>
      </c>
      <c r="F186" s="31">
        <f>IF(AND(H186=1,D186&gt;=2),9,IF(D186&gt;=3,9,0))</f>
        <v>0</v>
      </c>
      <c r="G186" s="31">
        <f>IF(AND(H186=1,E186&gt;=2),3,IF(E186&gt;3,3,E186))</f>
        <v>0</v>
      </c>
      <c r="H186" s="33">
        <f>IF(ISNUMBER(SEARCH("M", C186)), 1, 0)</f>
        <v>0</v>
      </c>
      <c r="I186" s="29" t="str">
        <f>VLOOKUP(B186,Sheet1!$A:$E,5,FALSE)</f>
        <v>หจก.โนนศิลาดาวเงินคอนกรีต</v>
      </c>
    </row>
    <row r="187" spans="1:10" ht="17.5" thickBot="1">
      <c r="A187" s="27" t="s">
        <v>2876</v>
      </c>
      <c r="B187" s="28" t="s">
        <v>430</v>
      </c>
      <c r="C187" s="28" t="s">
        <v>431</v>
      </c>
      <c r="D187" s="31">
        <f>COUNTIF(L1L2!$M:$M,$B187)</f>
        <v>4</v>
      </c>
      <c r="E187" s="31">
        <f>COUNTIFS(L1L2!$M:$M,$B187,L1L2!$L:$L,$E$1)</f>
        <v>4</v>
      </c>
      <c r="F187" s="31">
        <f>IF(AND(H187=1,D187&gt;=2),9,IF(D187&gt;=3,9,0))</f>
        <v>9</v>
      </c>
      <c r="G187" s="31">
        <f>IF(AND(H187=1,E187&gt;=2),3,IF(E187&gt;3,3,E187))</f>
        <v>3</v>
      </c>
      <c r="H187" s="33">
        <f>IF(ISNUMBER(SEARCH("M", C187)), 1, 0)</f>
        <v>0</v>
      </c>
      <c r="I187" s="29" t="str">
        <f>VLOOKUP(B187,Sheet1!$A:$E,5,FALSE)</f>
        <v>หจก.ไทยสมบูรณ์ บิ๊กโฮม คอนกรีต</v>
      </c>
    </row>
    <row r="188" spans="1:10" ht="17.5" thickBot="1">
      <c r="A188" s="27" t="s">
        <v>2876</v>
      </c>
      <c r="B188" s="28" t="s">
        <v>500</v>
      </c>
      <c r="C188" s="28" t="s">
        <v>501</v>
      </c>
      <c r="D188" s="31">
        <f>COUNTIF(L1L2!$M:$M,$B188)</f>
        <v>3</v>
      </c>
      <c r="E188" s="31">
        <f>COUNTIFS(L1L2!$M:$M,$B188,L1L2!$L:$L,$E$1)</f>
        <v>3</v>
      </c>
      <c r="F188" s="31">
        <f>IF(AND(H188=1,D188&gt;=2),9,IF(D188&gt;=3,9,0))</f>
        <v>9</v>
      </c>
      <c r="G188" s="31">
        <f>IF(AND(H188=1,E188&gt;=2),3,IF(E188&gt;3,3,E188))</f>
        <v>3</v>
      </c>
      <c r="H188" s="33">
        <f>IF(ISNUMBER(SEARCH("M", C188)), 1, 0)</f>
        <v>1</v>
      </c>
      <c r="I188" s="29" t="str">
        <f>VLOOKUP(B188,Sheet1!$A:$E,5,FALSE)</f>
        <v xml:space="preserve">หจก.กิจเจริญคอนกรีต(2558)
</v>
      </c>
    </row>
    <row r="189" spans="1:10" ht="17.5" thickBot="1">
      <c r="A189" s="55" t="s">
        <v>2946</v>
      </c>
      <c r="B189" s="60" t="s">
        <v>356</v>
      </c>
      <c r="C189" s="60" t="s">
        <v>357</v>
      </c>
      <c r="D189" s="66">
        <f>COUNTIF(L1L2!$M:$M,$B189)</f>
        <v>3</v>
      </c>
      <c r="E189" s="66">
        <f>COUNTIFS(L1L2!$M:$M,$B189,L1L2!$L:$L,$E$1)</f>
        <v>3</v>
      </c>
      <c r="F189" s="57">
        <f>IF(AND(H189=1,D189&gt;=2),9,IF(D189&gt;=3,9,0))</f>
        <v>9</v>
      </c>
      <c r="G189" s="57">
        <f>IF(AND(H189=1,E189&gt;=2),3,IF(E189&gt;3,3,E189))</f>
        <v>3</v>
      </c>
      <c r="H189" s="58">
        <f>IF(ISNUMBER(SEARCH("M", C189)), 1, 0)</f>
        <v>0</v>
      </c>
      <c r="I189" s="59" t="str">
        <f>VLOOKUP(B189,Sheet1!$A:$E,5,FALSE)</f>
        <v>หจก.ขนอมคอนกรีต 2000</v>
      </c>
    </row>
    <row r="190" spans="1:10" ht="17.5" thickBot="1">
      <c r="A190" s="55" t="s">
        <v>2946</v>
      </c>
      <c r="B190" s="60" t="s">
        <v>382</v>
      </c>
      <c r="C190" s="60" t="s">
        <v>383</v>
      </c>
      <c r="D190" s="66">
        <f>COUNTIF(L1L2!$M:$M,$B190)</f>
        <v>3</v>
      </c>
      <c r="E190" s="66">
        <f>COUNTIFS(L1L2!$M:$M,$B190,L1L2!$L:$L,$E$1)</f>
        <v>3</v>
      </c>
      <c r="F190" s="57">
        <f>IF(AND(H190=1,D190&gt;=2),9,IF(D190&gt;=3,9,0))</f>
        <v>9</v>
      </c>
      <c r="G190" s="57">
        <f>IF(AND(H190=1,E190&gt;=2),3,IF(E190&gt;3,3,E190))</f>
        <v>3</v>
      </c>
      <c r="H190" s="58">
        <f>IF(ISNUMBER(SEARCH("M", C190)), 1, 0)</f>
        <v>0</v>
      </c>
      <c r="I190" s="59" t="str">
        <f>VLOOKUP(B190,Sheet1!$A:$E,5,FALSE)</f>
        <v>หจก.ขนอมคอนกรีต 2000</v>
      </c>
      <c r="J190" s="29" t="s">
        <v>3542</v>
      </c>
    </row>
    <row r="191" spans="1:10" ht="17.5" thickBot="1">
      <c r="A191" s="27" t="s">
        <v>3109</v>
      </c>
      <c r="B191" s="28" t="s">
        <v>644</v>
      </c>
      <c r="C191" s="28" t="s">
        <v>645</v>
      </c>
      <c r="D191" s="31">
        <f>COUNTIF(L1L2!$M:$M,$B191)</f>
        <v>5</v>
      </c>
      <c r="E191" s="31">
        <f>COUNTIFS(L1L2!$M:$M,$B191,L1L2!$L:$L,$E$1)</f>
        <v>5</v>
      </c>
      <c r="F191" s="31">
        <f>IF(AND(H191=1,D191&gt;=2),9,IF(D191&gt;=3,9,0))</f>
        <v>9</v>
      </c>
      <c r="G191" s="31">
        <f>IF(AND(H191=1,E191&gt;=2),3,IF(E191&gt;3,3,E191))</f>
        <v>3</v>
      </c>
      <c r="H191" s="33">
        <f>IF(ISNUMBER(SEARCH("M", C191)), 1, 0)</f>
        <v>0</v>
      </c>
      <c r="I191" s="29" t="str">
        <f>VLOOKUP(B191,Sheet1!$A:$E,5,FALSE)</f>
        <v>หจก.ขุนคลังคอนกรีต</v>
      </c>
    </row>
    <row r="192" spans="1:10" ht="17.5" thickBot="1">
      <c r="A192" s="27" t="s">
        <v>2876</v>
      </c>
      <c r="B192" s="28" t="s">
        <v>492</v>
      </c>
      <c r="C192" s="28" t="s">
        <v>1313</v>
      </c>
      <c r="D192" s="31">
        <f>COUNTIF(L1L2!$M:$M,$B192)</f>
        <v>3</v>
      </c>
      <c r="E192" s="31">
        <f>COUNTIFS(L1L2!$M:$M,$B192,L1L2!$L:$L,$E$1)</f>
        <v>3</v>
      </c>
      <c r="F192" s="31">
        <f>IF(AND(H192=1,D192&gt;=2),9,IF(D192&gt;=3,9,0))</f>
        <v>9</v>
      </c>
      <c r="G192" s="31">
        <f>IF(AND(H192=1,E192&gt;=2),3,IF(E192&gt;3,3,E192))</f>
        <v>3</v>
      </c>
      <c r="H192" s="33">
        <f>IF(ISNUMBER(SEARCH("M", C192)), 1, 0)</f>
        <v>0</v>
      </c>
      <c r="I192" s="29" t="str">
        <f>VLOOKUP(B192,Sheet1!$A:$E,5,FALSE)</f>
        <v>หจก.คณฑาทองการโยธา</v>
      </c>
    </row>
    <row r="193" spans="1:9" ht="17.5" thickBot="1">
      <c r="A193" s="27" t="s">
        <v>2876</v>
      </c>
      <c r="B193" s="28" t="s">
        <v>494</v>
      </c>
      <c r="C193" s="28" t="s">
        <v>495</v>
      </c>
      <c r="D193" s="31">
        <f>COUNTIF(L1L2!$M:$M,$B193)</f>
        <v>3</v>
      </c>
      <c r="E193" s="31">
        <f>COUNTIFS(L1L2!$M:$M,$B193,L1L2!$L:$L,$E$1)</f>
        <v>3</v>
      </c>
      <c r="F193" s="31">
        <f>IF(AND(H193=1,D193&gt;=2),9,IF(D193&gt;=3,9,0))</f>
        <v>9</v>
      </c>
      <c r="G193" s="31">
        <f>IF(AND(H193=1,E193&gt;=2),3,IF(E193&gt;3,3,E193))</f>
        <v>3</v>
      </c>
      <c r="H193" s="33">
        <f>IF(ISNUMBER(SEARCH("M", C193)), 1, 0)</f>
        <v>0</v>
      </c>
      <c r="I193" s="29" t="str">
        <f>VLOOKUP(B193,Sheet1!$A:$E,5,FALSE)</f>
        <v>หจก.คณฑาทองการโยธา</v>
      </c>
    </row>
    <row r="194" spans="1:9" ht="17.5" thickBot="1">
      <c r="A194" s="27" t="s">
        <v>3109</v>
      </c>
      <c r="B194" s="28" t="s">
        <v>1237</v>
      </c>
      <c r="C194" s="28" t="s">
        <v>1382</v>
      </c>
      <c r="D194" s="31">
        <f>COUNTIF(L1L2!$M:$M,$B194)</f>
        <v>3</v>
      </c>
      <c r="E194" s="31">
        <f>COUNTIFS(L1L2!$M:$M,$B194,L1L2!$L:$L,$E$1)</f>
        <v>3</v>
      </c>
      <c r="F194" s="31">
        <f>IF(AND(H194=1,D194&gt;=2),9,IF(D194&gt;=3,9,0))</f>
        <v>9</v>
      </c>
      <c r="G194" s="31">
        <f>IF(AND(H194=1,E194&gt;=2),3,IF(E194&gt;3,3,E194))</f>
        <v>3</v>
      </c>
      <c r="H194" s="33">
        <f>IF(ISNUMBER(SEARCH("M", C194)), 1, 0)</f>
        <v>0</v>
      </c>
      <c r="I194" s="29" t="str">
        <f>VLOOKUP(B194,Sheet1!$A:$E,5,FALSE)</f>
        <v>หจก.คอนกรีตรุ่งโรจน์</v>
      </c>
    </row>
    <row r="195" spans="1:9" ht="17.5" thickBot="1">
      <c r="A195" s="55" t="s">
        <v>2861</v>
      </c>
      <c r="B195" s="60" t="s">
        <v>322</v>
      </c>
      <c r="C195" s="60" t="s">
        <v>323</v>
      </c>
      <c r="D195" s="57">
        <f>COUNTIF(L1L2!$M:$M,$B195)</f>
        <v>3</v>
      </c>
      <c r="E195" s="57">
        <f>COUNTIFS(L1L2!$M:$M,$B195,L1L2!$L:$L,$E$1)</f>
        <v>3</v>
      </c>
      <c r="F195" s="57">
        <f>IF(AND(H195=1,D195&gt;=2),9,IF(D195&gt;=3,9,0))</f>
        <v>9</v>
      </c>
      <c r="G195" s="57">
        <f>IF(AND(H195=1,E195&gt;=2),3,IF(E195&gt;3,3,E195))</f>
        <v>3</v>
      </c>
      <c r="H195" s="58">
        <f>IF(ISNUMBER(SEARCH("M", C195)), 1, 0)</f>
        <v>0</v>
      </c>
      <c r="I195" s="59" t="str">
        <f>VLOOKUP(B195,Sheet1!$A:$E,5,FALSE)</f>
        <v>หจก.งามยิ่งเจริญคอนกรีต</v>
      </c>
    </row>
    <row r="196" spans="1:9" ht="17.5" thickBot="1">
      <c r="A196" s="55" t="s">
        <v>2871</v>
      </c>
      <c r="B196" s="60" t="s">
        <v>250</v>
      </c>
      <c r="C196" s="60" t="s">
        <v>251</v>
      </c>
      <c r="D196" s="57">
        <f>COUNTIF(L1L2!$M:$M,$B196)</f>
        <v>3</v>
      </c>
      <c r="E196" s="57">
        <f>COUNTIFS(L1L2!$M:$M,$B196,L1L2!$L:$L,$E$1)</f>
        <v>3</v>
      </c>
      <c r="F196" s="57">
        <f>IF(AND(H196=1,D196&gt;=2),9,IF(D196&gt;=3,9,0))</f>
        <v>9</v>
      </c>
      <c r="G196" s="57">
        <f>IF(AND(H196=1,E196&gt;=2),3,IF(E196&gt;3,3,E196))</f>
        <v>3</v>
      </c>
      <c r="H196" s="58">
        <f>IF(ISNUMBER(SEARCH("M", C196)), 1, 0)</f>
        <v>0</v>
      </c>
      <c r="I196" s="59" t="str">
        <f>VLOOKUP(B196,Sheet1!$A:$E,5,FALSE)</f>
        <v>หจก.งามยิ่งเจริญคอนกรีต</v>
      </c>
    </row>
    <row r="197" spans="1:9" ht="17.5" thickBot="1">
      <c r="A197" s="27" t="s">
        <v>2876</v>
      </c>
      <c r="B197" s="28" t="s">
        <v>458</v>
      </c>
      <c r="C197" s="28" t="s">
        <v>459</v>
      </c>
      <c r="D197" s="31">
        <f>COUNTIF(L1L2!$M:$M,$B197)</f>
        <v>4</v>
      </c>
      <c r="E197" s="31">
        <f>COUNTIFS(L1L2!$M:$M,$B197,L1L2!$L:$L,$E$1)</f>
        <v>4</v>
      </c>
      <c r="F197" s="31">
        <f>IF(AND(H197=1,D197&gt;=2),9,IF(D197&gt;=3,9,0))</f>
        <v>9</v>
      </c>
      <c r="G197" s="31">
        <f>IF(AND(H197=1,E197&gt;=2),3,IF(E197&gt;3,3,E197))</f>
        <v>3</v>
      </c>
      <c r="H197" s="33">
        <f>IF(ISNUMBER(SEARCH("M", C197)), 1, 0)</f>
        <v>0</v>
      </c>
      <c r="I197" s="29" t="str">
        <f>VLOOKUP(B197,Sheet1!$A:$E,5,FALSE)</f>
        <v>หจก.จรูญคอนกรีต</v>
      </c>
    </row>
    <row r="198" spans="1:9" ht="17.5" thickBot="1">
      <c r="A198" s="27" t="s">
        <v>2876</v>
      </c>
      <c r="B198" s="28" t="s">
        <v>422</v>
      </c>
      <c r="C198" s="28" t="s">
        <v>423</v>
      </c>
      <c r="D198" s="31">
        <f>COUNTIF(L1L2!$M:$M,$B198)</f>
        <v>4</v>
      </c>
      <c r="E198" s="31">
        <f>COUNTIFS(L1L2!$M:$M,$B198,L1L2!$L:$L,$E$1)</f>
        <v>4</v>
      </c>
      <c r="F198" s="31">
        <f>IF(AND(H198=1,D198&gt;=2),9,IF(D198&gt;=3,9,0))</f>
        <v>9</v>
      </c>
      <c r="G198" s="31">
        <f>IF(AND(H198=1,E198&gt;=2),3,IF(E198&gt;3,3,E198))</f>
        <v>3</v>
      </c>
      <c r="H198" s="33">
        <f>IF(ISNUMBER(SEARCH("M", C198)), 1, 0)</f>
        <v>0</v>
      </c>
      <c r="I198" s="29" t="str">
        <f>VLOOKUP(B198,Sheet1!$A:$E,5,FALSE)</f>
        <v>หจก.จักรภัทรคอนกรีต</v>
      </c>
    </row>
    <row r="199" spans="1:9" ht="17.5" thickBot="1">
      <c r="A199" s="55" t="s">
        <v>3109</v>
      </c>
      <c r="B199" s="60" t="s">
        <v>768</v>
      </c>
      <c r="C199" s="60" t="s">
        <v>3139</v>
      </c>
      <c r="D199" s="57">
        <f>COUNTIF(L1L2!$M:$M,$B199)</f>
        <v>1</v>
      </c>
      <c r="E199" s="57">
        <f>COUNTIFS(L1L2!$M:$M,$B199,L1L2!$L:$L,$E$1)</f>
        <v>0</v>
      </c>
      <c r="F199" s="57">
        <f>IF(AND(H199=1,D199&gt;=2),9,IF(D199&gt;=3,9,0))</f>
        <v>0</v>
      </c>
      <c r="G199" s="57">
        <f>IF(AND(H199=1,E199&gt;=2),3,IF(E199&gt;3,3,E199))</f>
        <v>0</v>
      </c>
      <c r="H199" s="58">
        <f>IF(ISNUMBER(SEARCH("M", C199)), 1, 0)</f>
        <v>0</v>
      </c>
      <c r="I199" s="59" t="str">
        <f>VLOOKUP(B199,Sheet1!$A:$E,5,FALSE)</f>
        <v>หจก.จำลองชัยคอนกรีต</v>
      </c>
    </row>
    <row r="200" spans="1:9" ht="17.5" thickBot="1">
      <c r="A200" s="55" t="s">
        <v>3109</v>
      </c>
      <c r="B200" s="60" t="s">
        <v>678</v>
      </c>
      <c r="C200" s="60" t="s">
        <v>679</v>
      </c>
      <c r="D200" s="57">
        <f>COUNTIF(L1L2!$M:$M,$B200)</f>
        <v>3</v>
      </c>
      <c r="E200" s="57">
        <f>COUNTIFS(L1L2!$M:$M,$B200,L1L2!$L:$L,$E$1)</f>
        <v>3</v>
      </c>
      <c r="F200" s="57">
        <f>IF(AND(H200=1,D200&gt;=2),9,IF(D200&gt;=3,9,0))</f>
        <v>9</v>
      </c>
      <c r="G200" s="57">
        <f>IF(AND(H200=1,E200&gt;=2),3,IF(E200&gt;3,3,E200))</f>
        <v>3</v>
      </c>
      <c r="H200" s="58">
        <f>IF(ISNUMBER(SEARCH("M", C200)), 1, 0)</f>
        <v>0</v>
      </c>
      <c r="I200" s="59" t="str">
        <f>VLOOKUP(B200,Sheet1!$A:$E,5,FALSE)</f>
        <v>หจก.จำลองชัยคอนกรีต</v>
      </c>
    </row>
    <row r="201" spans="1:9" ht="17.5" thickBot="1">
      <c r="A201" s="55" t="s">
        <v>3109</v>
      </c>
      <c r="B201" s="56" t="s">
        <v>612</v>
      </c>
      <c r="C201" s="56" t="s">
        <v>613</v>
      </c>
      <c r="D201" s="57">
        <f>COUNTIF(L1L2!$M:$M,$B201)</f>
        <v>2</v>
      </c>
      <c r="E201" s="57">
        <f>COUNTIFS(L1L2!$M:$M,$B201,L1L2!$L:$L,$E$1)</f>
        <v>2</v>
      </c>
      <c r="F201" s="57">
        <f>IF(AND(H201=1,D201&gt;=2),9,IF(D201&gt;=3,9,0))</f>
        <v>0</v>
      </c>
      <c r="G201" s="57">
        <f>IF(AND(H201=1,E201&gt;=2),3,IF(E201&gt;3,3,E201))</f>
        <v>2</v>
      </c>
      <c r="H201" s="58">
        <f>IF(ISNUMBER(SEARCH("M", C201)), 1, 0)</f>
        <v>0</v>
      </c>
      <c r="I201" s="59" t="str">
        <f>VLOOKUP(B201,Sheet1!$A:$E,5,FALSE)</f>
        <v>หจก.จำลองชัยคอนกรีต</v>
      </c>
    </row>
    <row r="202" spans="1:9" ht="17.5" thickBot="1">
      <c r="A202" s="27" t="s">
        <v>2946</v>
      </c>
      <c r="B202" s="28" t="s">
        <v>3089</v>
      </c>
      <c r="C202" s="28" t="s">
        <v>3090</v>
      </c>
      <c r="D202" s="31">
        <f>COUNTIF(L1L2!$M:$M,$B202)</f>
        <v>0</v>
      </c>
      <c r="E202" s="31">
        <f>COUNTIFS(L1L2!$M:$M,$B202,L1L2!$L:$L,$E$1)</f>
        <v>0</v>
      </c>
      <c r="F202" s="31">
        <f>IF(AND(H202=1,D202&gt;=2),9,IF(D202&gt;=3,9,0))</f>
        <v>0</v>
      </c>
      <c r="G202" s="31">
        <f>IF(AND(H202=1,E202&gt;=2),3,IF(E202&gt;3,3,E202))</f>
        <v>0</v>
      </c>
      <c r="H202" s="33">
        <f>IF(ISNUMBER(SEARCH("M", C202)), 1, 0)</f>
        <v>0</v>
      </c>
      <c r="I202" s="29" t="str">
        <f>VLOOKUP(B202,Sheet1!$A:$E,5,FALSE)</f>
        <v>หจก.จุฑารัตน์คอนกรีต</v>
      </c>
    </row>
    <row r="203" spans="1:9" ht="17.5" thickBot="1">
      <c r="A203" s="27" t="s">
        <v>3109</v>
      </c>
      <c r="B203" s="28" t="s">
        <v>636</v>
      </c>
      <c r="C203" s="28" t="s">
        <v>3140</v>
      </c>
      <c r="D203" s="31">
        <f>COUNTIF(L1L2!$M:$M,$B203)</f>
        <v>2</v>
      </c>
      <c r="E203" s="31">
        <f>COUNTIFS(L1L2!$M:$M,$B203,L1L2!$L:$L,$E$1)</f>
        <v>2</v>
      </c>
      <c r="F203" s="31">
        <f>IF(AND(H203=1,D203&gt;=2),9,IF(D203&gt;=3,9,0))</f>
        <v>0</v>
      </c>
      <c r="G203" s="31">
        <f>IF(AND(H203=1,E203&gt;=2),3,IF(E203&gt;3,3,E203))</f>
        <v>2</v>
      </c>
      <c r="H203" s="33">
        <f>IF(ISNUMBER(SEARCH("M", C203)), 1, 0)</f>
        <v>0</v>
      </c>
      <c r="I203" s="29" t="str">
        <f>VLOOKUP(B203,Sheet1!$A:$E,5,FALSE)</f>
        <v>หจก.ชัยวัฒน์เซ่งฮะเซียง</v>
      </c>
    </row>
    <row r="204" spans="1:9" ht="17.5" thickBot="1">
      <c r="A204" s="27" t="s">
        <v>2876</v>
      </c>
      <c r="B204" s="28" t="s">
        <v>476</v>
      </c>
      <c r="C204" s="28" t="s">
        <v>477</v>
      </c>
      <c r="D204" s="31">
        <f>COUNTIF(L1L2!$M:$M,$B204)</f>
        <v>3</v>
      </c>
      <c r="E204" s="31">
        <f>COUNTIFS(L1L2!$M:$M,$B204,L1L2!$L:$L,$E$1)</f>
        <v>3</v>
      </c>
      <c r="F204" s="31">
        <f>IF(AND(H204=1,D204&gt;=2),9,IF(D204&gt;=3,9,0))</f>
        <v>9</v>
      </c>
      <c r="G204" s="31">
        <f>IF(AND(H204=1,E204&gt;=2),3,IF(E204&gt;3,3,E204))</f>
        <v>3</v>
      </c>
      <c r="H204" s="33">
        <f>IF(ISNUMBER(SEARCH("M", C204)), 1, 0)</f>
        <v>0</v>
      </c>
      <c r="I204" s="29" t="str">
        <f>VLOOKUP(B204,Sheet1!$A:$E,5,FALSE)</f>
        <v>หจก.ชื่นชูไพรคอนกรีต</v>
      </c>
    </row>
    <row r="205" spans="1:9" ht="17.5" thickBot="1">
      <c r="A205" s="27" t="s">
        <v>2876</v>
      </c>
      <c r="B205" s="28" t="s">
        <v>526</v>
      </c>
      <c r="C205" s="28" t="s">
        <v>3079</v>
      </c>
      <c r="D205" s="31">
        <f>COUNTIF(L1L2!$M:$M,$B205)</f>
        <v>2</v>
      </c>
      <c r="E205" s="31">
        <f>COUNTIFS(L1L2!$M:$M,$B205,L1L2!$L:$L,$E$1)</f>
        <v>2</v>
      </c>
      <c r="F205" s="31">
        <f>IF(AND(H205=1,D205&gt;=2),9,IF(D205&gt;=3,9,0))</f>
        <v>9</v>
      </c>
      <c r="G205" s="31">
        <f>IF(AND(H205=1,E205&gt;=2),3,IF(E205&gt;3,3,E205))</f>
        <v>3</v>
      </c>
      <c r="H205" s="33">
        <f>IF(ISNUMBER(SEARCH("M", C205)), 1, 0)</f>
        <v>1</v>
      </c>
      <c r="I205" s="29" t="str">
        <f>VLOOKUP(B205,Sheet1!$A:$E,5,FALSE)</f>
        <v xml:space="preserve">หจก.ชุมพลวัสดุก่อสร้าง </v>
      </c>
    </row>
    <row r="206" spans="1:9" ht="17.5" thickBot="1">
      <c r="A206" s="27" t="s">
        <v>2876</v>
      </c>
      <c r="B206" s="28" t="s">
        <v>524</v>
      </c>
      <c r="C206" s="28" t="s">
        <v>3080</v>
      </c>
      <c r="D206" s="31">
        <f>COUNTIF(L1L2!$M:$M,$B206)</f>
        <v>2</v>
      </c>
      <c r="E206" s="31">
        <f>COUNTIFS(L1L2!$M:$M,$B206,L1L2!$L:$L,$E$1)</f>
        <v>2</v>
      </c>
      <c r="F206" s="31">
        <f>IF(AND(H206=1,D206&gt;=2),9,IF(D206&gt;=3,9,0))</f>
        <v>9</v>
      </c>
      <c r="G206" s="31">
        <f>IF(AND(H206=1,E206&gt;=2),3,IF(E206&gt;3,3,E206))</f>
        <v>3</v>
      </c>
      <c r="H206" s="33">
        <f>IF(ISNUMBER(SEARCH("M", C206)), 1, 0)</f>
        <v>1</v>
      </c>
      <c r="I206" s="29" t="str">
        <f>VLOOKUP(B206,Sheet1!$A:$E,5,FALSE)</f>
        <v>หจก.ซีเค 2024 คอนกรีต</v>
      </c>
    </row>
    <row r="207" spans="1:9" ht="17.5" thickBot="1">
      <c r="A207" s="55" t="s">
        <v>3109</v>
      </c>
      <c r="B207" s="60" t="s">
        <v>692</v>
      </c>
      <c r="C207" s="60" t="s">
        <v>693</v>
      </c>
      <c r="D207" s="57">
        <f>COUNTIF(L1L2!$M:$M,$B207)</f>
        <v>3</v>
      </c>
      <c r="E207" s="57">
        <f>COUNTIFS(L1L2!$M:$M,$B207,L1L2!$L:$L,$E$1)</f>
        <v>3</v>
      </c>
      <c r="F207" s="57">
        <f>IF(AND(H207=1,D207&gt;=2),9,IF(D207&gt;=3,9,0))</f>
        <v>9</v>
      </c>
      <c r="G207" s="57">
        <f>IF(AND(H207=1,E207&gt;=2),3,IF(E207&gt;3,3,E207))</f>
        <v>3</v>
      </c>
      <c r="H207" s="58">
        <f>IF(ISNUMBER(SEARCH("M", C207)), 1, 0)</f>
        <v>0</v>
      </c>
      <c r="I207" s="59" t="str">
        <f>VLOOKUP(B207,Sheet1!$A:$E,5,FALSE)</f>
        <v>หจก.ซีเมนต์ทอง 2543</v>
      </c>
    </row>
    <row r="208" spans="1:9" ht="17.5" thickBot="1">
      <c r="A208" s="55" t="s">
        <v>3109</v>
      </c>
      <c r="B208" s="60" t="s">
        <v>712</v>
      </c>
      <c r="C208" s="60" t="s">
        <v>713</v>
      </c>
      <c r="D208" s="57">
        <f>COUNTIF(L1L2!$M:$M,$B208)</f>
        <v>3</v>
      </c>
      <c r="E208" s="57">
        <f>COUNTIFS(L1L2!$M:$M,$B208,L1L2!$L:$L,$E$1)</f>
        <v>2</v>
      </c>
      <c r="F208" s="57">
        <f>IF(AND(H208=1,D208&gt;=2),9,IF(D208&gt;=3,9,0))</f>
        <v>9</v>
      </c>
      <c r="G208" s="57">
        <f>IF(AND(H208=1,E208&gt;=2),3,IF(E208&gt;3,3,E208))</f>
        <v>2</v>
      </c>
      <c r="H208" s="58">
        <f>IF(ISNUMBER(SEARCH("M", C208)), 1, 0)</f>
        <v>0</v>
      </c>
      <c r="I208" s="59" t="str">
        <f>VLOOKUP(B208,Sheet1!$A:$E,5,FALSE)</f>
        <v>หจก.ซีเมนต์ทอง 2543</v>
      </c>
    </row>
    <row r="209" spans="1:10" ht="17.5" thickBot="1">
      <c r="A209" s="27" t="s">
        <v>2876</v>
      </c>
      <c r="B209" s="28" t="s">
        <v>424</v>
      </c>
      <c r="C209" s="28" t="s">
        <v>425</v>
      </c>
      <c r="D209" s="31">
        <f>COUNTIF(L1L2!$M:$M,$B209)</f>
        <v>4</v>
      </c>
      <c r="E209" s="31">
        <f>COUNTIFS(L1L2!$M:$M,$B209,L1L2!$L:$L,$E$1)</f>
        <v>4</v>
      </c>
      <c r="F209" s="31">
        <f>IF(AND(H209=1,D209&gt;=2),9,IF(D209&gt;=3,9,0))</f>
        <v>9</v>
      </c>
      <c r="G209" s="31">
        <f>IF(AND(H209=1,E209&gt;=2),3,IF(E209&gt;3,3,E209))</f>
        <v>3</v>
      </c>
      <c r="H209" s="33">
        <f>IF(ISNUMBER(SEARCH("M", C209)), 1, 0)</f>
        <v>0</v>
      </c>
      <c r="I209" s="29" t="str">
        <f>VLOOKUP(B209,Sheet1!$A:$E,5,FALSE)</f>
        <v>หจก.ณัฐชูพงศ์คอนกรีต</v>
      </c>
    </row>
    <row r="210" spans="1:10" ht="17.5" thickBot="1">
      <c r="A210" s="27" t="s">
        <v>3109</v>
      </c>
      <c r="B210" s="28" t="s">
        <v>554</v>
      </c>
      <c r="C210" s="28" t="s">
        <v>555</v>
      </c>
      <c r="D210" s="31">
        <f>COUNTIF(L1L2!$M:$M,$B210)</f>
        <v>4</v>
      </c>
      <c r="E210" s="31">
        <f>COUNTIFS(L1L2!$M:$M,$B210,L1L2!$L:$L,$E$1)</f>
        <v>4</v>
      </c>
      <c r="F210" s="31">
        <f>IF(AND(H210=1,D210&gt;=2),9,IF(D210&gt;=3,9,0))</f>
        <v>9</v>
      </c>
      <c r="G210" s="31">
        <f>IF(AND(H210=1,E210&gt;=2),3,IF(E210&gt;3,3,E210))</f>
        <v>3</v>
      </c>
      <c r="H210" s="33">
        <f>IF(ISNUMBER(SEARCH("M", C210)), 1, 0)</f>
        <v>0</v>
      </c>
      <c r="I210" s="29" t="str">
        <f>VLOOKUP(B210,Sheet1!$A:$E,5,FALSE)</f>
        <v>หจก.ณัฐรวี คอนกรีต</v>
      </c>
    </row>
    <row r="211" spans="1:10" ht="17.5" thickBot="1">
      <c r="A211" s="55" t="s">
        <v>2861</v>
      </c>
      <c r="B211" s="60" t="s">
        <v>320</v>
      </c>
      <c r="C211" s="60" t="s">
        <v>321</v>
      </c>
      <c r="D211" s="57">
        <f>COUNTIF(L1L2!$M:$M,$B211)</f>
        <v>3</v>
      </c>
      <c r="E211" s="57">
        <f>COUNTIFS(L1L2!$M:$M,$B211,L1L2!$L:$L,$E$1)</f>
        <v>3</v>
      </c>
      <c r="F211" s="57">
        <f>IF(AND(H211=1,D211&gt;=2),9,IF(D211&gt;=3,9,0))</f>
        <v>9</v>
      </c>
      <c r="G211" s="57">
        <f>IF(AND(H211=1,E211&gt;=2),3,IF(E211&gt;3,3,E211))</f>
        <v>3</v>
      </c>
      <c r="H211" s="58">
        <f>IF(ISNUMBER(SEARCH("M", C211)), 1, 0)</f>
        <v>0</v>
      </c>
      <c r="I211" s="59" t="str">
        <f>VLOOKUP(B211,Sheet1!$A:$E,5,FALSE)</f>
        <v>หจก.ดวงแสงทองคอนกรีต</v>
      </c>
      <c r="J211" s="29" t="s">
        <v>3543</v>
      </c>
    </row>
    <row r="212" spans="1:10" ht="17.5" thickBot="1">
      <c r="A212" s="55" t="s">
        <v>2861</v>
      </c>
      <c r="B212" s="60" t="s">
        <v>1223</v>
      </c>
      <c r="C212" s="60" t="s">
        <v>1260</v>
      </c>
      <c r="D212" s="66">
        <f>COUNTIF(L1L2!$M:$M,$B212)</f>
        <v>3</v>
      </c>
      <c r="E212" s="66">
        <f>COUNTIFS(L1L2!$M:$M,$B212,L1L2!$L:$L,$E$1)</f>
        <v>3</v>
      </c>
      <c r="F212" s="57">
        <f>IF(AND(H212=1,D212&gt;=2),9,IF(D212&gt;=3,9,0))</f>
        <v>9</v>
      </c>
      <c r="G212" s="57">
        <f>IF(AND(H212=1,E212&gt;=2),3,IF(E212&gt;3,3,E212))</f>
        <v>3</v>
      </c>
      <c r="H212" s="58">
        <f>IF(ISNUMBER(SEARCH("M", C212)), 1, 0)</f>
        <v>0</v>
      </c>
      <c r="I212" s="59" t="str">
        <f>VLOOKUP(B212,Sheet1!$A:$E,5,FALSE)</f>
        <v>หจก.ดวงแสงทองคอนกรีต</v>
      </c>
    </row>
    <row r="213" spans="1:10" ht="17.5" thickBot="1">
      <c r="A213" s="27" t="s">
        <v>2876</v>
      </c>
      <c r="B213" s="28" t="s">
        <v>546</v>
      </c>
      <c r="C213" s="28" t="s">
        <v>547</v>
      </c>
      <c r="D213" s="31">
        <f>COUNTIF(L1L2!$M:$M,$B213)</f>
        <v>2</v>
      </c>
      <c r="E213" s="31">
        <f>COUNTIFS(L1L2!$M:$M,$B213,L1L2!$L:$L,$E$1)</f>
        <v>2</v>
      </c>
      <c r="F213" s="31">
        <f>IF(AND(H213=1,D213&gt;=2),9,IF(D213&gt;=3,9,0))</f>
        <v>9</v>
      </c>
      <c r="G213" s="31">
        <f>IF(AND(H213=1,E213&gt;=2),3,IF(E213&gt;3,3,E213))</f>
        <v>3</v>
      </c>
      <c r="H213" s="33">
        <f>IF(ISNUMBER(SEARCH("M", C213)), 1, 0)</f>
        <v>1</v>
      </c>
      <c r="I213" s="29" t="str">
        <f>VLOOKUP(B213,Sheet1!$A:$E,5,FALSE)</f>
        <v>หจก.ดับเบิ้ลยูซี คอนกรีต</v>
      </c>
    </row>
    <row r="214" spans="1:10" ht="17.5" thickBot="1">
      <c r="A214" s="55" t="s">
        <v>2861</v>
      </c>
      <c r="B214" s="60" t="s">
        <v>308</v>
      </c>
      <c r="C214" s="60" t="s">
        <v>1270</v>
      </c>
      <c r="D214" s="57">
        <f>COUNTIF(L1L2!$M:$M,$B214)</f>
        <v>3</v>
      </c>
      <c r="E214" s="57">
        <f>COUNTIFS(L1L2!$M:$M,$B214,L1L2!$L:$L,$E$1)</f>
        <v>3</v>
      </c>
      <c r="F214" s="57">
        <f>IF(AND(H214=1,D214&gt;=2),9,IF(D214&gt;=3,9,0))</f>
        <v>9</v>
      </c>
      <c r="G214" s="57">
        <f>IF(AND(H214=1,E214&gt;=2),3,IF(E214&gt;3,3,E214))</f>
        <v>3</v>
      </c>
      <c r="H214" s="58">
        <f>IF(ISNUMBER(SEARCH("M", C214)), 1, 0)</f>
        <v>0</v>
      </c>
      <c r="I214" s="59" t="str">
        <f>VLOOKUP(B214,Sheet1!$A:$E,5,FALSE)</f>
        <v>หจก.ท.ทวีทรัพย์คอนกรีต</v>
      </c>
    </row>
    <row r="215" spans="1:10" ht="17.5" thickBot="1">
      <c r="A215" s="55" t="s">
        <v>2861</v>
      </c>
      <c r="B215" s="60" t="s">
        <v>290</v>
      </c>
      <c r="C215" s="60" t="s">
        <v>291</v>
      </c>
      <c r="D215" s="57">
        <f>COUNTIF(L1L2!$M:$M,$B215)</f>
        <v>3</v>
      </c>
      <c r="E215" s="57">
        <f>COUNTIFS(L1L2!$M:$M,$B215,L1L2!$L:$L,$E$1)</f>
        <v>3</v>
      </c>
      <c r="F215" s="57">
        <f>IF(AND(H215=1,D215&gt;=2),9,IF(D215&gt;=3,9,0))</f>
        <v>9</v>
      </c>
      <c r="G215" s="57">
        <f>IF(AND(H215=1,E215&gt;=2),3,IF(E215&gt;3,3,E215))</f>
        <v>3</v>
      </c>
      <c r="H215" s="58">
        <f>IF(ISNUMBER(SEARCH("M", C215)), 1, 0)</f>
        <v>0</v>
      </c>
      <c r="I215" s="59" t="str">
        <f>VLOOKUP(B215,Sheet1!$A:$E,5,FALSE)</f>
        <v>หจก.ท.ทวีทรัพย์คอนกรีต</v>
      </c>
    </row>
    <row r="216" spans="1:10" ht="17.5" thickBot="1">
      <c r="A216" s="27" t="s">
        <v>3109</v>
      </c>
      <c r="B216" s="28" t="s">
        <v>680</v>
      </c>
      <c r="C216" s="28" t="s">
        <v>681</v>
      </c>
      <c r="D216" s="31">
        <f>COUNTIF(L1L2!$M:$M,$B216)</f>
        <v>5</v>
      </c>
      <c r="E216" s="31">
        <f>COUNTIFS(L1L2!$M:$M,$B216,L1L2!$L:$L,$E$1)</f>
        <v>4</v>
      </c>
      <c r="F216" s="31">
        <f>IF(AND(H216=1,D216&gt;=2),9,IF(D216&gt;=3,9,0))</f>
        <v>9</v>
      </c>
      <c r="G216" s="31">
        <f>IF(AND(H216=1,E216&gt;=2),3,IF(E216&gt;3,3,E216))</f>
        <v>3</v>
      </c>
      <c r="H216" s="33">
        <f>IF(ISNUMBER(SEARCH("M", C216)), 1, 0)</f>
        <v>0</v>
      </c>
      <c r="I216" s="29" t="str">
        <f>VLOOKUP(B216,Sheet1!$A:$E,5,FALSE)</f>
        <v>หจก.ทรัพย์รุ่งเรืองวัสดุ</v>
      </c>
    </row>
    <row r="217" spans="1:10" ht="17.5" thickBot="1">
      <c r="A217" s="27" t="s">
        <v>2876</v>
      </c>
      <c r="B217" s="28" t="s">
        <v>528</v>
      </c>
      <c r="C217" s="28" t="s">
        <v>529</v>
      </c>
      <c r="D217" s="31">
        <f>COUNTIF(L1L2!$M:$M,$B217)</f>
        <v>2</v>
      </c>
      <c r="E217" s="31">
        <f>COUNTIFS(L1L2!$M:$M,$B217,L1L2!$L:$L,$E$1)</f>
        <v>2</v>
      </c>
      <c r="F217" s="31">
        <f>IF(AND(H217=1,D217&gt;=2),9,IF(D217&gt;=3,9,0))</f>
        <v>0</v>
      </c>
      <c r="G217" s="31">
        <f>IF(AND(H217=1,E217&gt;=2),3,IF(E217&gt;3,3,E217))</f>
        <v>2</v>
      </c>
      <c r="H217" s="33">
        <f>IF(ISNUMBER(SEARCH("M", C217)), 1, 0)</f>
        <v>0</v>
      </c>
      <c r="I217" s="29" t="str">
        <f>VLOOKUP(B217,Sheet1!$A:$E,5,FALSE)</f>
        <v>หจก.ทวิภัณฑ์ฮอดคอนกรีต</v>
      </c>
    </row>
    <row r="218" spans="1:10" ht="17.5" thickBot="1">
      <c r="A218" s="55" t="s">
        <v>2876</v>
      </c>
      <c r="B218" s="60" t="s">
        <v>544</v>
      </c>
      <c r="C218" s="60" t="s">
        <v>545</v>
      </c>
      <c r="D218" s="57">
        <f>COUNTIF(L1L2!$M:$M,$B218)</f>
        <v>4</v>
      </c>
      <c r="E218" s="57">
        <f>COUNTIFS(L1L2!$M:$M,$B218,L1L2!$L:$L,$E$1)</f>
        <v>1</v>
      </c>
      <c r="F218" s="57">
        <f>IF(AND(H218=1,D218&gt;=2),9,IF(D218&gt;=3,9,0))</f>
        <v>9</v>
      </c>
      <c r="G218" s="57">
        <f>IF(AND(H218=1,E218&gt;=2),3,IF(E218&gt;3,3,E218))</f>
        <v>1</v>
      </c>
      <c r="H218" s="58">
        <f>IF(ISNUMBER(SEARCH("M", C218)), 1, 0)</f>
        <v>0</v>
      </c>
      <c r="I218" s="59" t="str">
        <f>VLOOKUP(B218,Sheet1!$A:$E,5,FALSE)</f>
        <v>หจก.ทองคอนส์ซัพพลาย</v>
      </c>
    </row>
    <row r="219" spans="1:10" ht="17.5" thickBot="1">
      <c r="A219" s="55" t="s">
        <v>2876</v>
      </c>
      <c r="B219" s="60" t="s">
        <v>1250</v>
      </c>
      <c r="C219" s="60" t="s">
        <v>1297</v>
      </c>
      <c r="D219" s="57">
        <f>COUNTIF(L1L2!$M:$M,$B219)</f>
        <v>1</v>
      </c>
      <c r="E219" s="57">
        <f>COUNTIFS(L1L2!$M:$M,$B219,L1L2!$L:$L,$E$1)</f>
        <v>0</v>
      </c>
      <c r="F219" s="57">
        <f>IF(AND(H219=1,D219&gt;=2),9,IF(D219&gt;=3,9,0))</f>
        <v>0</v>
      </c>
      <c r="G219" s="57">
        <f>IF(AND(H219=1,E219&gt;=2),3,IF(E219&gt;3,3,E219))</f>
        <v>0</v>
      </c>
      <c r="H219" s="58">
        <f>IF(ISNUMBER(SEARCH("M", C219)), 1, 0)</f>
        <v>0</v>
      </c>
      <c r="I219" s="59" t="str">
        <f>VLOOKUP(B219,Sheet1!$A:$E,5,FALSE)</f>
        <v>หจก.ทองคอนส์ซัพพลาย</v>
      </c>
    </row>
    <row r="220" spans="1:10" ht="17.5" thickBot="1">
      <c r="A220" s="27" t="s">
        <v>2876</v>
      </c>
      <c r="B220" s="28" t="s">
        <v>512</v>
      </c>
      <c r="C220" s="28" t="s">
        <v>513</v>
      </c>
      <c r="D220" s="31">
        <f>COUNTIF(L1L2!$M:$M,$B220)</f>
        <v>2</v>
      </c>
      <c r="E220" s="31">
        <f>COUNTIFS(L1L2!$M:$M,$B220,L1L2!$L:$L,$E$1)</f>
        <v>2</v>
      </c>
      <c r="F220" s="31">
        <f>IF(AND(H220=1,D220&gt;=2),9,IF(D220&gt;=3,9,0))</f>
        <v>0</v>
      </c>
      <c r="G220" s="31">
        <f>IF(AND(H220=1,E220&gt;=2),3,IF(E220&gt;3,3,E220))</f>
        <v>2</v>
      </c>
      <c r="H220" s="33">
        <f>IF(ISNUMBER(SEARCH("M", C220)), 1, 0)</f>
        <v>0</v>
      </c>
      <c r="I220" s="29" t="str">
        <f>VLOOKUP(B220,Sheet1!$A:$E,5,FALSE)</f>
        <v xml:space="preserve">หจก.ที เอ็น ดับเบิ้ลยู เชียงดาวก่อสร้าง </v>
      </c>
    </row>
    <row r="221" spans="1:10" ht="17.5" thickBot="1">
      <c r="A221" s="27" t="s">
        <v>3109</v>
      </c>
      <c r="B221" s="28" t="s">
        <v>2696</v>
      </c>
      <c r="C221" s="28" t="s">
        <v>2941</v>
      </c>
      <c r="D221" s="31">
        <f>COUNTIF(L1L2!$M:$M,$B221)</f>
        <v>3</v>
      </c>
      <c r="E221" s="31">
        <f>COUNTIFS(L1L2!$M:$M,$B221,L1L2!$L:$L,$E$1)</f>
        <v>3</v>
      </c>
      <c r="F221" s="31">
        <f>IF(AND(H221=1,D221&gt;=2),9,IF(D221&gt;=3,9,0))</f>
        <v>9</v>
      </c>
      <c r="G221" s="31">
        <f>IF(AND(H221=1,E221&gt;=2),3,IF(E221&gt;3,3,E221))</f>
        <v>3</v>
      </c>
      <c r="H221" s="33">
        <f>IF(ISNUMBER(SEARCH("M", C221)), 1, 0)</f>
        <v>0</v>
      </c>
      <c r="I221" s="29" t="str">
        <f>VLOOKUP(B221,Sheet1!$A:$E,5,FALSE)</f>
        <v>หจก.ธีระคอนกรีต</v>
      </c>
    </row>
    <row r="222" spans="1:10" ht="17.5" thickBot="1">
      <c r="A222" s="27" t="s">
        <v>3109</v>
      </c>
      <c r="B222" s="28" t="s">
        <v>1233</v>
      </c>
      <c r="C222" s="28" t="s">
        <v>3143</v>
      </c>
      <c r="D222" s="31">
        <f>COUNTIF(L1L2!$M:$M,$B222)</f>
        <v>3</v>
      </c>
      <c r="E222" s="31">
        <f>COUNTIFS(L1L2!$M:$M,$B222,L1L2!$L:$L,$E$1)</f>
        <v>3</v>
      </c>
      <c r="F222" s="31">
        <f>IF(AND(H222=1,D222&gt;=2),9,IF(D222&gt;=3,9,0))</f>
        <v>9</v>
      </c>
      <c r="G222" s="31">
        <f>IF(AND(H222=1,E222&gt;=2),3,IF(E222&gt;3,3,E222))</f>
        <v>3</v>
      </c>
      <c r="H222" s="33">
        <f>IF(ISNUMBER(SEARCH("M", C222)), 1, 0)</f>
        <v>1</v>
      </c>
      <c r="I222" s="29" t="str">
        <f>VLOOKUP(B222,Sheet1!$A:$E,5,FALSE)</f>
        <v>หจก.นครพัฒน์ คอนกรีต</v>
      </c>
    </row>
    <row r="223" spans="1:10" ht="17.5" thickBot="1">
      <c r="A223" s="27" t="s">
        <v>2946</v>
      </c>
      <c r="B223" s="28" t="s">
        <v>392</v>
      </c>
      <c r="C223" s="28" t="s">
        <v>393</v>
      </c>
      <c r="D223" s="31">
        <f>COUNTIF(L1L2!$M:$M,$B223)</f>
        <v>4</v>
      </c>
      <c r="E223" s="31">
        <f>COUNTIFS(L1L2!$M:$M,$B223,L1L2!$L:$L,$E$1)</f>
        <v>3</v>
      </c>
      <c r="F223" s="31">
        <f>IF(AND(H223=1,D223&gt;=2),9,IF(D223&gt;=3,9,0))</f>
        <v>9</v>
      </c>
      <c r="G223" s="31">
        <f>IF(AND(H223=1,E223&gt;=2),3,IF(E223&gt;3,3,E223))</f>
        <v>3</v>
      </c>
      <c r="H223" s="33">
        <f>IF(ISNUMBER(SEARCH("M", C223)), 1, 0)</f>
        <v>0</v>
      </c>
      <c r="I223" s="29" t="str">
        <f>VLOOKUP(B223,Sheet1!$A:$E,5,FALSE)</f>
        <v>หจก.นราธิวาสทักษิณคอนกรีต</v>
      </c>
    </row>
    <row r="224" spans="1:10" ht="17.5" thickBot="1">
      <c r="A224" s="55" t="s">
        <v>3109</v>
      </c>
      <c r="B224" s="60" t="s">
        <v>1235</v>
      </c>
      <c r="C224" s="60" t="s">
        <v>3144</v>
      </c>
      <c r="D224" s="57">
        <f>COUNTIF(L1L2!$M:$M,$B224)</f>
        <v>2</v>
      </c>
      <c r="E224" s="57">
        <f>COUNTIFS(L1L2!$M:$M,$B224,L1L2!$L:$L,$E$1)</f>
        <v>2</v>
      </c>
      <c r="F224" s="57">
        <f>IF(AND(H224=1,D224&gt;=2),9,IF(D224&gt;=3,9,0))</f>
        <v>0</v>
      </c>
      <c r="G224" s="57">
        <f>IF(AND(H224=1,E224&gt;=2),3,IF(E224&gt;3,3,E224))</f>
        <v>2</v>
      </c>
      <c r="H224" s="58">
        <f>IF(ISNUMBER(SEARCH("M", C224)), 1, 0)</f>
        <v>0</v>
      </c>
      <c r="I224" s="59" t="str">
        <f>VLOOKUP(B224,Sheet1!$A:$E,5,FALSE)</f>
        <v>หจก.นาซ่าคอนกรีต</v>
      </c>
    </row>
    <row r="225" spans="1:10" ht="17.5" thickBot="1">
      <c r="A225" s="55" t="s">
        <v>3109</v>
      </c>
      <c r="B225" s="60" t="s">
        <v>562</v>
      </c>
      <c r="C225" s="60" t="s">
        <v>563</v>
      </c>
      <c r="D225" s="57">
        <f>COUNTIF(L1L2!$M:$M,$B225)</f>
        <v>3</v>
      </c>
      <c r="E225" s="57">
        <f>COUNTIFS(L1L2!$M:$M,$B225,L1L2!$L:$L,$E$1)</f>
        <v>3</v>
      </c>
      <c r="F225" s="57">
        <f>IF(AND(H225=1,D225&gt;=2),9,IF(D225&gt;=3,9,0))</f>
        <v>9</v>
      </c>
      <c r="G225" s="57">
        <f>IF(AND(H225=1,E225&gt;=2),3,IF(E225&gt;3,3,E225))</f>
        <v>3</v>
      </c>
      <c r="H225" s="58">
        <f>IF(ISNUMBER(SEARCH("M", C225)), 1, 0)</f>
        <v>0</v>
      </c>
      <c r="I225" s="59" t="str">
        <f>VLOOKUP(B225,Sheet1!$A:$E,5,FALSE)</f>
        <v>หจก.นาซ่าคอนกรีต</v>
      </c>
    </row>
    <row r="226" spans="1:10" ht="17.5" thickBot="1">
      <c r="A226" s="55" t="s">
        <v>3109</v>
      </c>
      <c r="B226" s="60" t="s">
        <v>614</v>
      </c>
      <c r="C226" s="60" t="s">
        <v>615</v>
      </c>
      <c r="D226" s="57">
        <f>COUNTIF(L1L2!$M:$M,$B226)</f>
        <v>3</v>
      </c>
      <c r="E226" s="57">
        <f>COUNTIFS(L1L2!$M:$M,$B226,L1L2!$L:$L,$E$1)</f>
        <v>2</v>
      </c>
      <c r="F226" s="57">
        <f>IF(AND(H226=1,D226&gt;=2),9,IF(D226&gt;=3,9,0))</f>
        <v>9</v>
      </c>
      <c r="G226" s="57">
        <f>IF(AND(H226=1,E226&gt;=2),3,IF(E226&gt;3,3,E226))</f>
        <v>2</v>
      </c>
      <c r="H226" s="58">
        <f>IF(ISNUMBER(SEARCH("M", C226)), 1, 0)</f>
        <v>0</v>
      </c>
      <c r="I226" s="59" t="str">
        <f>VLOOKUP(B226,Sheet1!$A:$E,5,FALSE)</f>
        <v>หจก.นาซ่าคอนกรีต</v>
      </c>
    </row>
    <row r="227" spans="1:10" ht="17.5" thickBot="1">
      <c r="A227" s="55" t="s">
        <v>3109</v>
      </c>
      <c r="B227" s="60" t="s">
        <v>1234</v>
      </c>
      <c r="C227" s="60" t="s">
        <v>1366</v>
      </c>
      <c r="D227" s="57">
        <f>COUNTIF(L1L2!$M:$M,$B227)</f>
        <v>3</v>
      </c>
      <c r="E227" s="57">
        <f>COUNTIFS(L1L2!$M:$M,$B227,L1L2!$L:$L,$E$1)</f>
        <v>3</v>
      </c>
      <c r="F227" s="57">
        <f>IF(AND(H227=1,D227&gt;=2),9,IF(D227&gt;=3,9,0))</f>
        <v>9</v>
      </c>
      <c r="G227" s="57">
        <f>IF(AND(H227=1,E227&gt;=2),3,IF(E227&gt;3,3,E227))</f>
        <v>3</v>
      </c>
      <c r="H227" s="58">
        <f>IF(ISNUMBER(SEARCH("M", C227)), 1, 0)</f>
        <v>0</v>
      </c>
      <c r="I227" s="59" t="str">
        <f>VLOOKUP(B227,Sheet1!$A:$E,5,FALSE)</f>
        <v>หจก.นาซ่าคอนกรีต</v>
      </c>
    </row>
    <row r="228" spans="1:10" ht="17.5" thickBot="1">
      <c r="A228" s="27" t="s">
        <v>2876</v>
      </c>
      <c r="B228" s="28" t="s">
        <v>518</v>
      </c>
      <c r="C228" s="28" t="s">
        <v>519</v>
      </c>
      <c r="D228" s="31">
        <f>COUNTIF(L1L2!$M:$M,$B228)</f>
        <v>2</v>
      </c>
      <c r="E228" s="31">
        <f>COUNTIFS(L1L2!$M:$M,$B228,L1L2!$L:$L,$E$1)</f>
        <v>2</v>
      </c>
      <c r="F228" s="31">
        <f>IF(AND(H228=1,D228&gt;=2),9,IF(D228&gt;=3,9,0))</f>
        <v>0</v>
      </c>
      <c r="G228" s="31">
        <f>IF(AND(H228=1,E228&gt;=2),3,IF(E228&gt;3,3,E228))</f>
        <v>2</v>
      </c>
      <c r="H228" s="33">
        <f>IF(ISNUMBER(SEARCH("M", C228)), 1, 0)</f>
        <v>0</v>
      </c>
      <c r="I228" s="29" t="str">
        <f>VLOOKUP(B228,Sheet1!$A:$E,5,FALSE)</f>
        <v>หจก.บรรจงกิจคอนกรีต</v>
      </c>
    </row>
    <row r="229" spans="1:10" ht="17.5" thickBot="1">
      <c r="A229" s="27" t="s">
        <v>3109</v>
      </c>
      <c r="B229" s="28" t="s">
        <v>656</v>
      </c>
      <c r="C229" s="28" t="s">
        <v>657</v>
      </c>
      <c r="D229" s="31">
        <f>COUNTIF(L1L2!$M:$M,$B229)</f>
        <v>3</v>
      </c>
      <c r="E229" s="31">
        <f>COUNTIFS(L1L2!$M:$M,$B229,L1L2!$L:$L,$E$1)</f>
        <v>3</v>
      </c>
      <c r="F229" s="31">
        <f>IF(AND(H229=1,D229&gt;=2),9,IF(D229&gt;=3,9,0))</f>
        <v>9</v>
      </c>
      <c r="G229" s="31">
        <f>IF(AND(H229=1,E229&gt;=2),3,IF(E229&gt;3,3,E229))</f>
        <v>3</v>
      </c>
      <c r="H229" s="33">
        <f>IF(ISNUMBER(SEARCH("M", C229)), 1, 0)</f>
        <v>0</v>
      </c>
      <c r="I229" s="29" t="str">
        <f>VLOOKUP(B229,Sheet1!$A:$E,5,FALSE)</f>
        <v>หจก.บิ๊ก.เอส.คอนกรีต</v>
      </c>
    </row>
    <row r="230" spans="1:10" ht="17.5" thickBot="1">
      <c r="A230" s="55" t="s">
        <v>2861</v>
      </c>
      <c r="B230" s="60" t="s">
        <v>294</v>
      </c>
      <c r="C230" s="60" t="s">
        <v>295</v>
      </c>
      <c r="D230" s="57">
        <f>COUNTIF(L1L2!$M:$M,$B230)</f>
        <v>4</v>
      </c>
      <c r="E230" s="57">
        <f>COUNTIFS(L1L2!$M:$M,$B230,L1L2!$L:$L,$E$1)</f>
        <v>4</v>
      </c>
      <c r="F230" s="57">
        <f>IF(AND(H230=1,D230&gt;=2),9,IF(D230&gt;=3,9,0))</f>
        <v>9</v>
      </c>
      <c r="G230" s="57">
        <f>IF(AND(H230=1,E230&gt;=2),3,IF(E230&gt;3,3,E230))</f>
        <v>3</v>
      </c>
      <c r="H230" s="58">
        <f>IF(ISNUMBER(SEARCH("M", C230)), 1, 0)</f>
        <v>0</v>
      </c>
      <c r="I230" s="59" t="str">
        <f>VLOOKUP(B230,Sheet1!$A:$E,5,FALSE)</f>
        <v>หจก.บุญทวีคอนกรีต</v>
      </c>
    </row>
    <row r="231" spans="1:10" ht="17.5" thickBot="1">
      <c r="A231" s="55" t="s">
        <v>2861</v>
      </c>
      <c r="B231" s="60" t="s">
        <v>304</v>
      </c>
      <c r="C231" s="60" t="s">
        <v>305</v>
      </c>
      <c r="D231" s="57">
        <f>COUNTIF(L1L2!$M:$M,$B231)</f>
        <v>3</v>
      </c>
      <c r="E231" s="57">
        <f>COUNTIFS(L1L2!$M:$M,$B231,L1L2!$L:$L,$E$1)</f>
        <v>3</v>
      </c>
      <c r="F231" s="57">
        <f>IF(AND(H231=1,D231&gt;=2),9,IF(D231&gt;=3,9,0))</f>
        <v>9</v>
      </c>
      <c r="G231" s="57">
        <f>IF(AND(H231=1,E231&gt;=2),3,IF(E231&gt;3,3,E231))</f>
        <v>3</v>
      </c>
      <c r="H231" s="58">
        <f>IF(ISNUMBER(SEARCH("M", C231)), 1, 0)</f>
        <v>0</v>
      </c>
      <c r="I231" s="59" t="str">
        <f>VLOOKUP(B231,Sheet1!$A:$E,5,FALSE)</f>
        <v>หจก.บุญทวีคอนกรีต</v>
      </c>
    </row>
    <row r="232" spans="1:10" ht="17.5" thickBot="1">
      <c r="A232" s="27" t="s">
        <v>2861</v>
      </c>
      <c r="B232" s="28" t="s">
        <v>330</v>
      </c>
      <c r="C232" s="28" t="s">
        <v>331</v>
      </c>
      <c r="D232" s="31">
        <f>COUNTIF(L1L2!$M:$M,$B232)</f>
        <v>3</v>
      </c>
      <c r="E232" s="31">
        <f>COUNTIFS(L1L2!$M:$M,$B232,L1L2!$L:$L,$E$1)</f>
        <v>3</v>
      </c>
      <c r="F232" s="31">
        <f>IF(AND(H232=1,D232&gt;=2),9,IF(D232&gt;=3,9,0))</f>
        <v>9</v>
      </c>
      <c r="G232" s="31">
        <f>IF(AND(H232=1,E232&gt;=2),3,IF(E232&gt;3,3,E232))</f>
        <v>3</v>
      </c>
      <c r="H232" s="33">
        <f>IF(ISNUMBER(SEARCH("M", C232)), 1, 0)</f>
        <v>0</v>
      </c>
      <c r="I232" s="29" t="str">
        <f>VLOOKUP(B232,Sheet1!$A:$E,5,FALSE)</f>
        <v>หจก.บุญทวีพนมคอนกรีต</v>
      </c>
    </row>
    <row r="233" spans="1:10" ht="17.5" thickBot="1">
      <c r="A233" s="27" t="s">
        <v>2876</v>
      </c>
      <c r="B233" s="28" t="s">
        <v>498</v>
      </c>
      <c r="C233" s="28" t="s">
        <v>499</v>
      </c>
      <c r="D233" s="31">
        <f>COUNTIF(L1L2!$M:$M,$B233)</f>
        <v>3</v>
      </c>
      <c r="E233" s="31">
        <f>COUNTIFS(L1L2!$M:$M,$B233,L1L2!$L:$L,$E$1)</f>
        <v>3</v>
      </c>
      <c r="F233" s="31">
        <f>IF(AND(H233=1,D233&gt;=2),9,IF(D233&gt;=3,9,0))</f>
        <v>9</v>
      </c>
      <c r="G233" s="31">
        <f>IF(AND(H233=1,E233&gt;=2),3,IF(E233&gt;3,3,E233))</f>
        <v>3</v>
      </c>
      <c r="H233" s="33">
        <f>IF(ISNUMBER(SEARCH("M", C233)), 1, 0)</f>
        <v>0</v>
      </c>
      <c r="I233" s="29" t="str">
        <f>VLOOKUP(B233,Sheet1!$A:$E,5,FALSE)</f>
        <v>หจก.บุญพลกิจ คอนกรีต</v>
      </c>
    </row>
    <row r="234" spans="1:10" ht="17.5" thickBot="1">
      <c r="A234" s="27" t="s">
        <v>2876</v>
      </c>
      <c r="B234" s="28" t="s">
        <v>486</v>
      </c>
      <c r="C234" s="28" t="s">
        <v>487</v>
      </c>
      <c r="D234" s="31">
        <f>COUNTIF(L1L2!$M:$M,$B234)</f>
        <v>2</v>
      </c>
      <c r="E234" s="31">
        <f>COUNTIFS(L1L2!$M:$M,$B234,L1L2!$L:$L,$E$1)</f>
        <v>2</v>
      </c>
      <c r="F234" s="31">
        <f>IF(AND(H234=1,D234&gt;=2),9,IF(D234&gt;=3,9,0))</f>
        <v>9</v>
      </c>
      <c r="G234" s="31">
        <f>IF(AND(H234=1,E234&gt;=2),3,IF(E234&gt;3,3,E234))</f>
        <v>3</v>
      </c>
      <c r="H234" s="33">
        <f>IF(ISNUMBER(SEARCH("M", C234)), 1, 0)</f>
        <v>1</v>
      </c>
      <c r="I234" s="29" t="str">
        <f>VLOOKUP(B234,Sheet1!$A:$E,5,FALSE)</f>
        <v>หจก.ปงคอนกรีต</v>
      </c>
    </row>
    <row r="235" spans="1:10" ht="17.5" thickBot="1">
      <c r="A235" s="55" t="s">
        <v>3109</v>
      </c>
      <c r="B235" s="60" t="s">
        <v>640</v>
      </c>
      <c r="C235" s="60" t="s">
        <v>641</v>
      </c>
      <c r="D235" s="57">
        <f>COUNTIF(L1L2!$M:$M,$B235)</f>
        <v>3</v>
      </c>
      <c r="E235" s="57">
        <f>COUNTIFS(L1L2!$M:$M,$B235,L1L2!$L:$L,$E$1)</f>
        <v>3</v>
      </c>
      <c r="F235" s="57">
        <f>IF(AND(H235=1,D235&gt;=2),9,IF(D235&gt;=3,9,0))</f>
        <v>9</v>
      </c>
      <c r="G235" s="57">
        <f>IF(AND(H235=1,E235&gt;=2),3,IF(E235&gt;3,3,E235))</f>
        <v>3</v>
      </c>
      <c r="H235" s="58">
        <f>IF(ISNUMBER(SEARCH("M", C235)), 1, 0)</f>
        <v>0</v>
      </c>
      <c r="I235" s="59" t="str">
        <f>VLOOKUP(B235,Sheet1!$A:$E,5,FALSE)</f>
        <v>หจก.ผาน้ำเที่ยง</v>
      </c>
    </row>
    <row r="236" spans="1:10" ht="17.5" thickBot="1">
      <c r="A236" s="55" t="s">
        <v>3109</v>
      </c>
      <c r="B236" s="60" t="s">
        <v>558</v>
      </c>
      <c r="C236" s="60" t="s">
        <v>559</v>
      </c>
      <c r="D236" s="57">
        <f>COUNTIF(L1L2!$M:$M,$B236)</f>
        <v>5</v>
      </c>
      <c r="E236" s="57">
        <f>COUNTIFS(L1L2!$M:$M,$B236,L1L2!$L:$L,$E$1)</f>
        <v>5</v>
      </c>
      <c r="F236" s="57">
        <f>IF(AND(H236=1,D236&gt;=2),9,IF(D236&gt;=3,9,0))</f>
        <v>9</v>
      </c>
      <c r="G236" s="57">
        <f>IF(AND(H236=1,E236&gt;=2),3,IF(E236&gt;3,3,E236))</f>
        <v>3</v>
      </c>
      <c r="H236" s="58">
        <f>IF(ISNUMBER(SEARCH("M", C236)), 1, 0)</f>
        <v>0</v>
      </c>
      <c r="I236" s="59" t="str">
        <f>VLOOKUP(B236,Sheet1!$A:$E,5,FALSE)</f>
        <v>หจก.ผาน้ำเที่ยง</v>
      </c>
    </row>
    <row r="237" spans="1:10" ht="17.5" thickBot="1">
      <c r="A237" s="27" t="s">
        <v>2876</v>
      </c>
      <c r="B237" s="28" t="s">
        <v>1239</v>
      </c>
      <c r="C237" s="28" t="s">
        <v>3081</v>
      </c>
      <c r="D237" s="31">
        <f>COUNTIF(L1L2!$M:$M,$B237)</f>
        <v>2</v>
      </c>
      <c r="E237" s="31">
        <f>COUNTIFS(L1L2!$M:$M,$B237,L1L2!$L:$L,$E$1)</f>
        <v>2</v>
      </c>
      <c r="F237" s="31">
        <f>IF(AND(H237=1,D237&gt;=2),9,IF(D237&gt;=3,9,0))</f>
        <v>9</v>
      </c>
      <c r="G237" s="31">
        <f>IF(AND(H237=1,E237&gt;=2),3,IF(E237&gt;3,3,E237))</f>
        <v>3</v>
      </c>
      <c r="H237" s="33">
        <f>IF(ISNUMBER(SEARCH("M", C237)), 1, 0)</f>
        <v>1</v>
      </c>
      <c r="I237" s="29" t="str">
        <f>VLOOKUP(B237,Sheet1!$A:$E,5,FALSE)</f>
        <v>หจก.พงษ์ศราคอนกรีต</v>
      </c>
    </row>
    <row r="238" spans="1:10" ht="17.5" thickBot="1">
      <c r="A238" s="27" t="s">
        <v>3109</v>
      </c>
      <c r="B238" s="28" t="s">
        <v>598</v>
      </c>
      <c r="C238" s="28" t="s">
        <v>599</v>
      </c>
      <c r="D238" s="31">
        <f>COUNTIF(L1L2!$M:$M,$B238)</f>
        <v>3</v>
      </c>
      <c r="E238" s="31">
        <f>COUNTIFS(L1L2!$M:$M,$B238,L1L2!$L:$L,$E$1)</f>
        <v>3</v>
      </c>
      <c r="F238" s="31">
        <f>IF(AND(H238=1,D238&gt;=2),9,IF(D238&gt;=3,9,0))</f>
        <v>9</v>
      </c>
      <c r="G238" s="31">
        <f>IF(AND(H238=1,E238&gt;=2),3,IF(E238&gt;3,3,E238))</f>
        <v>3</v>
      </c>
      <c r="H238" s="33">
        <f>IF(ISNUMBER(SEARCH("M", C238)), 1, 0)</f>
        <v>0</v>
      </c>
      <c r="I238" s="29" t="str">
        <f>VLOOKUP(B238,Sheet1!$A:$E,5,FALSE)</f>
        <v>หจก.พลังเพชร (2009)</v>
      </c>
    </row>
    <row r="239" spans="1:10" ht="17.5" thickBot="1">
      <c r="A239" s="55" t="s">
        <v>2946</v>
      </c>
      <c r="B239" s="60" t="s">
        <v>360</v>
      </c>
      <c r="C239" s="60" t="s">
        <v>361</v>
      </c>
      <c r="D239" s="52">
        <f>COUNTIF(L1L2!$M:$M,$B239)</f>
        <v>3</v>
      </c>
      <c r="E239" s="57">
        <f>COUNTIFS(L1L2!$M:$M,$B239,L1L2!$L:$L,$E$1)</f>
        <v>1</v>
      </c>
      <c r="F239" s="57">
        <f>IF(AND(H239=1,D239&gt;=2),9,IF(D239&gt;=3,9,0))</f>
        <v>9</v>
      </c>
      <c r="G239" s="57">
        <f>IF(AND(H239=1,E239&gt;=2),3,IF(E239&gt;3,3,E239))</f>
        <v>1</v>
      </c>
      <c r="H239" s="58">
        <f>IF(ISNUMBER(SEARCH("M", C239)), 1, 0)</f>
        <v>0</v>
      </c>
      <c r="I239" s="59" t="str">
        <f>VLOOKUP(B239,Sheet1!$A:$E,5,FALSE)</f>
        <v>หจก.พังงาซีแพค</v>
      </c>
      <c r="J239" s="29" t="s">
        <v>3544</v>
      </c>
    </row>
    <row r="240" spans="1:10" ht="17.5" thickBot="1">
      <c r="A240" s="55" t="s">
        <v>2946</v>
      </c>
      <c r="B240" s="60" t="s">
        <v>348</v>
      </c>
      <c r="C240" s="60" t="s">
        <v>349</v>
      </c>
      <c r="D240" s="66">
        <f>COUNTIF(L1L2!$M:$M,$B240)</f>
        <v>3</v>
      </c>
      <c r="E240" s="57">
        <f>COUNTIFS(L1L2!$M:$M,$B240,L1L2!$L:$L,$E$1)</f>
        <v>2</v>
      </c>
      <c r="F240" s="57">
        <f>IF(AND(H240=1,D240&gt;=2),9,IF(D240&gt;=3,9,0))</f>
        <v>9</v>
      </c>
      <c r="G240" s="57">
        <f>IF(AND(H240=1,E240&gt;=2),3,IF(E240&gt;3,3,E240))</f>
        <v>2</v>
      </c>
      <c r="H240" s="58">
        <f>IF(ISNUMBER(SEARCH("M", C240)), 1, 0)</f>
        <v>0</v>
      </c>
      <c r="I240" s="59" t="str">
        <f>VLOOKUP(B240,Sheet1!$A:$E,5,FALSE)</f>
        <v>หจก.พังงาซีแพค</v>
      </c>
    </row>
    <row r="241" spans="1:10" ht="17.5" thickBot="1">
      <c r="A241" s="55" t="s">
        <v>2946</v>
      </c>
      <c r="B241" s="60" t="s">
        <v>398</v>
      </c>
      <c r="C241" s="60" t="s">
        <v>399</v>
      </c>
      <c r="D241" s="66">
        <f>COUNTIF(L1L2!$M:$M,$B241)</f>
        <v>3</v>
      </c>
      <c r="E241" s="57">
        <f>COUNTIFS(L1L2!$M:$M,$B241,L1L2!$L:$L,$E$1)</f>
        <v>2</v>
      </c>
      <c r="F241" s="57">
        <f>IF(AND(H241=1,D241&gt;=2),9,IF(D241&gt;=3,9,0))</f>
        <v>9</v>
      </c>
      <c r="G241" s="57">
        <f>IF(AND(H241=1,E241&gt;=2),3,IF(E241&gt;3,3,E241))</f>
        <v>2</v>
      </c>
      <c r="H241" s="58">
        <f>IF(ISNUMBER(SEARCH("M", C241)), 1, 0)</f>
        <v>0</v>
      </c>
      <c r="I241" s="59" t="str">
        <f>VLOOKUP(B241,Sheet1!$A:$E,5,FALSE)</f>
        <v>หจก.พังงาซีแพค</v>
      </c>
    </row>
    <row r="242" spans="1:10" ht="17.5" thickBot="1">
      <c r="A242" s="55" t="s">
        <v>2946</v>
      </c>
      <c r="B242" s="60" t="s">
        <v>3027</v>
      </c>
      <c r="C242" s="60" t="s">
        <v>3029</v>
      </c>
      <c r="D242" s="52">
        <f>COUNTIF(L1L2!$M:$M,$B242)</f>
        <v>3</v>
      </c>
      <c r="E242" s="57">
        <f>COUNTIFS(L1L2!$M:$M,$B242,L1L2!$L:$L,$E$1)</f>
        <v>0</v>
      </c>
      <c r="F242" s="57">
        <f>IF(AND(H242=1,D242&gt;=2),9,IF(D242&gt;=3,9,0))</f>
        <v>9</v>
      </c>
      <c r="G242" s="57">
        <f>IF(AND(H242=1,E242&gt;=2),3,IF(E242&gt;3,3,E242))</f>
        <v>0</v>
      </c>
      <c r="H242" s="58">
        <f>IF(ISNUMBER(SEARCH("M", C242)), 1, 0)</f>
        <v>0</v>
      </c>
      <c r="I242" s="59" t="str">
        <f>VLOOKUP(B242,Sheet1!$A:$E,5,FALSE)</f>
        <v>หจก.พังงาซีแพค</v>
      </c>
      <c r="J242" s="29" t="s">
        <v>3544</v>
      </c>
    </row>
    <row r="243" spans="1:10" ht="17.5" thickBot="1">
      <c r="A243" s="27" t="s">
        <v>3109</v>
      </c>
      <c r="B243" s="28" t="s">
        <v>602</v>
      </c>
      <c r="C243" s="28" t="s">
        <v>603</v>
      </c>
      <c r="D243" s="31">
        <f>COUNTIF(L1L2!$M:$M,$B243)</f>
        <v>2</v>
      </c>
      <c r="E243" s="31">
        <f>COUNTIFS(L1L2!$M:$M,$B243,L1L2!$L:$L,$E$1)</f>
        <v>2</v>
      </c>
      <c r="F243" s="31">
        <f>IF(AND(H243=1,D243&gt;=2),9,IF(D243&gt;=3,9,0))</f>
        <v>0</v>
      </c>
      <c r="G243" s="31">
        <f>IF(AND(H243=1,E243&gt;=2),3,IF(E243&gt;3,3,E243))</f>
        <v>2</v>
      </c>
      <c r="H243" s="33">
        <f>IF(ISNUMBER(SEARCH("M", C243)), 1, 0)</f>
        <v>0</v>
      </c>
      <c r="I243" s="29" t="str">
        <f>VLOOKUP(B243,Sheet1!$A:$E,5,FALSE)</f>
        <v>หจก.พัฒนกิจคอนกรีต</v>
      </c>
    </row>
    <row r="244" spans="1:10" ht="17.5" thickBot="1">
      <c r="A244" s="27" t="s">
        <v>3109</v>
      </c>
      <c r="B244" s="28" t="s">
        <v>606</v>
      </c>
      <c r="C244" s="28" t="s">
        <v>607</v>
      </c>
      <c r="D244" s="31">
        <f>COUNTIF(L1L2!$M:$M,$B244)</f>
        <v>2</v>
      </c>
      <c r="E244" s="31">
        <f>COUNTIFS(L1L2!$M:$M,$B244,L1L2!$L:$L,$E$1)</f>
        <v>2</v>
      </c>
      <c r="F244" s="31">
        <f>IF(AND(H244=1,D244&gt;=2),9,IF(D244&gt;=3,9,0))</f>
        <v>0</v>
      </c>
      <c r="G244" s="31">
        <f>IF(AND(H244=1,E244&gt;=2),3,IF(E244&gt;3,3,E244))</f>
        <v>2</v>
      </c>
      <c r="H244" s="33">
        <f>IF(ISNUMBER(SEARCH("M", C244)), 1, 0)</f>
        <v>0</v>
      </c>
      <c r="I244" s="29" t="str">
        <f>VLOOKUP(B244,Sheet1!$A:$E,5,FALSE)</f>
        <v>หจก.พัฒนกิจคอนกรีต</v>
      </c>
    </row>
    <row r="245" spans="1:10" ht="17.5" thickBot="1">
      <c r="A245" s="27" t="s">
        <v>3109</v>
      </c>
      <c r="B245" s="28" t="s">
        <v>550</v>
      </c>
      <c r="C245" s="28" t="s">
        <v>551</v>
      </c>
      <c r="D245" s="31">
        <f>COUNTIF(L1L2!$M:$M,$B245)</f>
        <v>3</v>
      </c>
      <c r="E245" s="31">
        <f>COUNTIFS(L1L2!$M:$M,$B245,L1L2!$L:$L,$E$1)</f>
        <v>3</v>
      </c>
      <c r="F245" s="31">
        <f>IF(AND(H245=1,D245&gt;=2),9,IF(D245&gt;=3,9,0))</f>
        <v>9</v>
      </c>
      <c r="G245" s="31">
        <f>IF(AND(H245=1,E245&gt;=2),3,IF(E245&gt;3,3,E245))</f>
        <v>3</v>
      </c>
      <c r="H245" s="33">
        <f>IF(ISNUMBER(SEARCH("M", C245)), 1, 0)</f>
        <v>0</v>
      </c>
      <c r="I245" s="29" t="str">
        <f>VLOOKUP(B245,Sheet1!$A:$E,5,FALSE)</f>
        <v>หจก.พัฒนกิจคอนกรีต</v>
      </c>
    </row>
    <row r="246" spans="1:10" ht="17.5" thickBot="1">
      <c r="A246" s="27" t="s">
        <v>3109</v>
      </c>
      <c r="B246" s="28" t="s">
        <v>1249</v>
      </c>
      <c r="C246" s="28" t="s">
        <v>3145</v>
      </c>
      <c r="D246" s="31">
        <f>COUNTIF(L1L2!$M:$M,$B246)</f>
        <v>3</v>
      </c>
      <c r="E246" s="31">
        <f>COUNTIFS(L1L2!$M:$M,$B246,L1L2!$L:$L,$E$1)</f>
        <v>3</v>
      </c>
      <c r="F246" s="31">
        <f>IF(AND(H246=1,D246&gt;=2),9,IF(D246&gt;=3,9,0))</f>
        <v>9</v>
      </c>
      <c r="G246" s="31">
        <f>IF(AND(H246=1,E246&gt;=2),3,IF(E246&gt;3,3,E246))</f>
        <v>3</v>
      </c>
      <c r="H246" s="33">
        <f>IF(ISNUMBER(SEARCH("M", C246)), 1, 0)</f>
        <v>0</v>
      </c>
      <c r="I246" s="29" t="str">
        <f>VLOOKUP(B246,Sheet1!$A:$E,5,FALSE)</f>
        <v>หจก.พัฒนกิจคอนกรีต</v>
      </c>
    </row>
    <row r="247" spans="1:10" ht="17.5" thickBot="1">
      <c r="A247" s="27" t="s">
        <v>2946</v>
      </c>
      <c r="B247" s="28" t="s">
        <v>390</v>
      </c>
      <c r="C247" s="28" t="s">
        <v>391</v>
      </c>
      <c r="D247" s="31">
        <f>COUNTIF(L1L2!$M:$M,$B247)</f>
        <v>3</v>
      </c>
      <c r="E247" s="31">
        <f>COUNTIFS(L1L2!$M:$M,$B247,L1L2!$L:$L,$E$1)</f>
        <v>2</v>
      </c>
      <c r="F247" s="31">
        <f>IF(AND(H247=1,D247&gt;=2),9,IF(D247&gt;=3,9,0))</f>
        <v>9</v>
      </c>
      <c r="G247" s="31">
        <f>IF(AND(H247=1,E247&gt;=2),3,IF(E247&gt;3,3,E247))</f>
        <v>2</v>
      </c>
      <c r="H247" s="33">
        <f>IF(ISNUMBER(SEARCH("M", C247)), 1, 0)</f>
        <v>0</v>
      </c>
      <c r="I247" s="29" t="str">
        <f>VLOOKUP(B247,Sheet1!$A:$E,5,FALSE)</f>
        <v>หจก.พิชัยอุปกรณ์ก่อสร้าง</v>
      </c>
    </row>
    <row r="248" spans="1:10" ht="17.5" thickBot="1">
      <c r="A248" s="27" t="s">
        <v>2876</v>
      </c>
      <c r="B248" s="28" t="s">
        <v>444</v>
      </c>
      <c r="C248" s="28" t="s">
        <v>445</v>
      </c>
      <c r="D248" s="31">
        <f>COUNTIF(L1L2!$M:$M,$B248)</f>
        <v>5</v>
      </c>
      <c r="E248" s="31">
        <f>COUNTIFS(L1L2!$M:$M,$B248,L1L2!$L:$L,$E$1)</f>
        <v>5</v>
      </c>
      <c r="F248" s="31">
        <f>IF(AND(H248=1,D248&gt;=2),9,IF(D248&gt;=3,9,0))</f>
        <v>9</v>
      </c>
      <c r="G248" s="31">
        <f>IF(AND(H248=1,E248&gt;=2),3,IF(E248&gt;3,3,E248))</f>
        <v>3</v>
      </c>
      <c r="H248" s="33">
        <f>IF(ISNUMBER(SEARCH("M", C248)), 1, 0)</f>
        <v>0</v>
      </c>
      <c r="I248" s="29" t="str">
        <f>VLOOKUP(B248,Sheet1!$A:$E,5,FALSE)</f>
        <v>หจก.พี ดี คอนกรีต</v>
      </c>
    </row>
    <row r="249" spans="1:10" ht="17.5" thickBot="1">
      <c r="A249" s="27" t="s">
        <v>3109</v>
      </c>
      <c r="B249" s="28" t="s">
        <v>770</v>
      </c>
      <c r="C249" s="28" t="s">
        <v>3146</v>
      </c>
      <c r="D249" s="31">
        <f>COUNTIF(L1L2!$M:$M,$B249)</f>
        <v>0</v>
      </c>
      <c r="E249" s="31">
        <f>COUNTIFS(L1L2!$M:$M,$B249,L1L2!$L:$L,$E$1)</f>
        <v>0</v>
      </c>
      <c r="F249" s="31">
        <f>IF(AND(H249=1,D249&gt;=2),9,IF(D249&gt;=3,9,0))</f>
        <v>0</v>
      </c>
      <c r="G249" s="31">
        <f>IF(AND(H249=1,E249&gt;=2),3,IF(E249&gt;3,3,E249))</f>
        <v>0</v>
      </c>
      <c r="H249" s="33">
        <f>IF(ISNUMBER(SEARCH("M", C249)), 1, 0)</f>
        <v>0</v>
      </c>
      <c r="I249" s="29" t="str">
        <f>VLOOKUP(B249,Sheet1!$A:$E,5,FALSE)</f>
        <v>หจก.ภูเวียงคอนกรีต</v>
      </c>
    </row>
    <row r="250" spans="1:10" ht="17.5" thickBot="1">
      <c r="A250" s="27" t="s">
        <v>2876</v>
      </c>
      <c r="B250" s="28" t="s">
        <v>456</v>
      </c>
      <c r="C250" s="28" t="s">
        <v>457</v>
      </c>
      <c r="D250" s="31">
        <f>COUNTIF(L1L2!$M:$M,$B250)</f>
        <v>3</v>
      </c>
      <c r="E250" s="31">
        <f>COUNTIFS(L1L2!$M:$M,$B250,L1L2!$L:$L,$E$1)</f>
        <v>3</v>
      </c>
      <c r="F250" s="31">
        <f>IF(AND(H250=1,D250&gt;=2),9,IF(D250&gt;=3,9,0))</f>
        <v>9</v>
      </c>
      <c r="G250" s="31">
        <f>IF(AND(H250=1,E250&gt;=2),3,IF(E250&gt;3,3,E250))</f>
        <v>3</v>
      </c>
      <c r="H250" s="33">
        <f>IF(ISNUMBER(SEARCH("M", C250)), 1, 0)</f>
        <v>0</v>
      </c>
      <c r="I250" s="29" t="str">
        <f>VLOOKUP(B250,Sheet1!$A:$E,5,FALSE)</f>
        <v>หจก.ม.บุญทำพานิช</v>
      </c>
    </row>
    <row r="251" spans="1:10" ht="17.5" thickBot="1">
      <c r="A251" s="55" t="s">
        <v>2876</v>
      </c>
      <c r="B251" s="60" t="s">
        <v>536</v>
      </c>
      <c r="C251" s="60" t="s">
        <v>537</v>
      </c>
      <c r="D251" s="66">
        <f>COUNTIF(L1L2!$M:$M,$B251)</f>
        <v>3</v>
      </c>
      <c r="E251" s="66">
        <f>COUNTIFS(L1L2!$M:$M,$B251,L1L2!$L:$L,$E$1)</f>
        <v>3</v>
      </c>
      <c r="F251" s="57">
        <f>IF(AND(H251=1,D251&gt;=2),9,IF(D251&gt;=3,9,0))</f>
        <v>9</v>
      </c>
      <c r="G251" s="57">
        <f>IF(AND(H251=1,E251&gt;=2),3,IF(E251&gt;3,3,E251))</f>
        <v>3</v>
      </c>
      <c r="H251" s="58">
        <f>IF(ISNUMBER(SEARCH("M", C251)), 1, 0)</f>
        <v>0</v>
      </c>
      <c r="I251" s="59" t="str">
        <f>VLOOKUP(B251,Sheet1!$A:$E,5,FALSE)</f>
        <v>หจก.มังกรทองคอนกรีต</v>
      </c>
      <c r="J251" s="29" t="s">
        <v>3545</v>
      </c>
    </row>
    <row r="252" spans="1:10" ht="17.5" thickBot="1">
      <c r="A252" s="55" t="s">
        <v>2876</v>
      </c>
      <c r="B252" s="60" t="s">
        <v>418</v>
      </c>
      <c r="C252" s="60" t="s">
        <v>419</v>
      </c>
      <c r="D252" s="66">
        <f>COUNTIF(L1L2!$M:$M,$B252)</f>
        <v>3</v>
      </c>
      <c r="E252" s="66">
        <f>COUNTIFS(L1L2!$M:$M,$B252,L1L2!$L:$L,$E$1)</f>
        <v>3</v>
      </c>
      <c r="F252" s="57">
        <f>IF(AND(H252=1,D252&gt;=2),9,IF(D252&gt;=3,9,0))</f>
        <v>9</v>
      </c>
      <c r="G252" s="57">
        <f>IF(AND(H252=1,E252&gt;=2),3,IF(E252&gt;3,3,E252))</f>
        <v>3</v>
      </c>
      <c r="H252" s="58">
        <f>IF(ISNUMBER(SEARCH("M", C252)), 1, 0)</f>
        <v>0</v>
      </c>
      <c r="I252" s="59" t="str">
        <f>VLOOKUP(B252,Sheet1!$A:$E,5,FALSE)</f>
        <v>หจก.มังกรทองคอนกรีต</v>
      </c>
    </row>
    <row r="253" spans="1:10" ht="17.5" thickBot="1">
      <c r="A253" s="55" t="s">
        <v>2876</v>
      </c>
      <c r="B253" s="60" t="s">
        <v>538</v>
      </c>
      <c r="C253" s="60" t="s">
        <v>539</v>
      </c>
      <c r="D253" s="66">
        <f>COUNTIF(L1L2!$M:$M,$B253)</f>
        <v>3</v>
      </c>
      <c r="E253" s="66">
        <f>COUNTIFS(L1L2!$M:$M,$B253,L1L2!$L:$L,$E$1)</f>
        <v>3</v>
      </c>
      <c r="F253" s="57">
        <f>IF(AND(H253=1,D253&gt;=2),9,IF(D253&gt;=3,9,0))</f>
        <v>9</v>
      </c>
      <c r="G253" s="57">
        <f>IF(AND(H253=1,E253&gt;=2),3,IF(E253&gt;3,3,E253))</f>
        <v>3</v>
      </c>
      <c r="H253" s="58">
        <f>IF(ISNUMBER(SEARCH("M", C253)), 1, 0)</f>
        <v>0</v>
      </c>
      <c r="I253" s="59" t="str">
        <f>VLOOKUP(B253,Sheet1!$A:$E,5,FALSE)</f>
        <v>หจก.มังกรทองคอนกรีต</v>
      </c>
    </row>
    <row r="254" spans="1:10" ht="17.5" thickBot="1">
      <c r="A254" s="55" t="s">
        <v>2876</v>
      </c>
      <c r="B254" s="60" t="s">
        <v>442</v>
      </c>
      <c r="C254" s="60" t="s">
        <v>443</v>
      </c>
      <c r="D254" s="66">
        <f>COUNTIF(L1L2!$M:$M,$B254)</f>
        <v>3</v>
      </c>
      <c r="E254" s="66">
        <f>COUNTIFS(L1L2!$M:$M,$B254,L1L2!$L:$L,$E$1)</f>
        <v>3</v>
      </c>
      <c r="F254" s="57">
        <f>IF(AND(H254=1,D254&gt;=2),9,IF(D254&gt;=3,9,0))</f>
        <v>9</v>
      </c>
      <c r="G254" s="57">
        <f>IF(AND(H254=1,E254&gt;=2),3,IF(E254&gt;3,3,E254))</f>
        <v>3</v>
      </c>
      <c r="H254" s="58">
        <f>IF(ISNUMBER(SEARCH("M", C254)), 1, 0)</f>
        <v>0</v>
      </c>
      <c r="I254" s="59" t="str">
        <f>VLOOKUP(B254,Sheet1!$A:$E,5,FALSE)</f>
        <v>หจก.มังกรทองคอนกรีต</v>
      </c>
      <c r="J254" s="29" t="s">
        <v>3546</v>
      </c>
    </row>
    <row r="255" spans="1:10" ht="17.5" thickBot="1">
      <c r="A255" s="27" t="s">
        <v>2871</v>
      </c>
      <c r="B255" s="28" t="s">
        <v>254</v>
      </c>
      <c r="C255" s="28" t="s">
        <v>255</v>
      </c>
      <c r="D255" s="31">
        <f>COUNTIF(L1L2!$M:$M,$B255)</f>
        <v>2</v>
      </c>
      <c r="E255" s="31">
        <f>COUNTIFS(L1L2!$M:$M,$B255,L1L2!$L:$L,$E$1)</f>
        <v>2</v>
      </c>
      <c r="F255" s="31">
        <f>IF(AND(H255=1,D255&gt;=2),9,IF(D255&gt;=3,9,0))</f>
        <v>0</v>
      </c>
      <c r="G255" s="31">
        <f>IF(AND(H255=1,E255&gt;=2),3,IF(E255&gt;3,3,E255))</f>
        <v>2</v>
      </c>
      <c r="H255" s="33">
        <f>IF(ISNUMBER(SEARCH("M", C255)), 1, 0)</f>
        <v>0</v>
      </c>
      <c r="I255" s="29" t="str">
        <f>VLOOKUP(B255,Sheet1!$A:$E,5,FALSE)</f>
        <v>หจก.ร่อนทองชัย</v>
      </c>
    </row>
    <row r="256" spans="1:10" ht="17.5" thickBot="1">
      <c r="A256" s="27" t="s">
        <v>2946</v>
      </c>
      <c r="B256" s="28" t="s">
        <v>414</v>
      </c>
      <c r="C256" s="28" t="s">
        <v>415</v>
      </c>
      <c r="D256" s="31">
        <f>COUNTIF(L1L2!$M:$M,$B256)</f>
        <v>5</v>
      </c>
      <c r="E256" s="31">
        <f>COUNTIFS(L1L2!$M:$M,$B256,L1L2!$L:$L,$E$1)</f>
        <v>5</v>
      </c>
      <c r="F256" s="31">
        <f>IF(AND(H256=1,D256&gt;=2),9,IF(D256&gt;=3,9,0))</f>
        <v>9</v>
      </c>
      <c r="G256" s="31">
        <f>IF(AND(H256=1,E256&gt;=2),3,IF(E256&gt;3,3,E256))</f>
        <v>3</v>
      </c>
      <c r="H256" s="33">
        <f>IF(ISNUMBER(SEARCH("M", C256)), 1, 0)</f>
        <v>0</v>
      </c>
      <c r="I256" s="29" t="str">
        <f>VLOOKUP(B256,Sheet1!$A:$E,5,FALSE)</f>
        <v>หจก.ลิ้มปิพงษ์ค้าวัสดุก่อสร้างและคอนกรีต</v>
      </c>
    </row>
    <row r="257" spans="1:9" ht="17.5" thickBot="1">
      <c r="A257" s="55" t="s">
        <v>3109</v>
      </c>
      <c r="B257" s="60" t="s">
        <v>650</v>
      </c>
      <c r="C257" s="60" t="s">
        <v>651</v>
      </c>
      <c r="D257" s="57">
        <f>COUNTIF(L1L2!$M:$M,$B257)</f>
        <v>3</v>
      </c>
      <c r="E257" s="57">
        <f>COUNTIFS(L1L2!$M:$M,$B257,L1L2!$L:$L,$E$1)</f>
        <v>3</v>
      </c>
      <c r="F257" s="57">
        <f>IF(AND(H257=1,D257&gt;=2),9,IF(D257&gt;=3,9,0))</f>
        <v>9</v>
      </c>
      <c r="G257" s="57">
        <f>IF(AND(H257=1,E257&gt;=2),3,IF(E257&gt;3,3,E257))</f>
        <v>3</v>
      </c>
      <c r="H257" s="58">
        <f>IF(ISNUMBER(SEARCH("M", C257)), 1, 0)</f>
        <v>0</v>
      </c>
      <c r="I257" s="59" t="str">
        <f>VLOOKUP(B257,Sheet1!$A:$E,5,FALSE)</f>
        <v>หจก.ว.รามฤทธิรงค์ เอ็นจิเนียริ่ง</v>
      </c>
    </row>
    <row r="258" spans="1:9" ht="17.5" thickBot="1">
      <c r="A258" s="55" t="s">
        <v>3109</v>
      </c>
      <c r="B258" s="60" t="s">
        <v>616</v>
      </c>
      <c r="C258" s="60" t="s">
        <v>617</v>
      </c>
      <c r="D258" s="57">
        <f>COUNTIF(L1L2!$M:$M,$B258)</f>
        <v>3</v>
      </c>
      <c r="E258" s="57">
        <f>COUNTIFS(L1L2!$M:$M,$B258,L1L2!$L:$L,$E$1)</f>
        <v>3</v>
      </c>
      <c r="F258" s="57">
        <f>IF(AND(H258=1,D258&gt;=2),9,IF(D258&gt;=3,9,0))</f>
        <v>9</v>
      </c>
      <c r="G258" s="57">
        <f>IF(AND(H258=1,E258&gt;=2),3,IF(E258&gt;3,3,E258))</f>
        <v>3</v>
      </c>
      <c r="H258" s="58">
        <f>IF(ISNUMBER(SEARCH("M", C258)), 1, 0)</f>
        <v>0</v>
      </c>
      <c r="I258" s="59" t="str">
        <f>VLOOKUP(B258,Sheet1!$A:$E,5,FALSE)</f>
        <v>หจก.ว.รามฤทธิรงค์ เอ็นจิเนียริ่ง</v>
      </c>
    </row>
    <row r="259" spans="1:9" ht="17.5" thickBot="1">
      <c r="A259" s="55" t="s">
        <v>3109</v>
      </c>
      <c r="B259" s="60" t="s">
        <v>1236</v>
      </c>
      <c r="C259" s="60" t="s">
        <v>3147</v>
      </c>
      <c r="D259" s="57">
        <f>COUNTIF(L1L2!$M:$M,$B259)</f>
        <v>3</v>
      </c>
      <c r="E259" s="57">
        <f>COUNTIFS(L1L2!$M:$M,$B259,L1L2!$L:$L,$E$1)</f>
        <v>3</v>
      </c>
      <c r="F259" s="57">
        <f>IF(AND(H259=1,D259&gt;=2),9,IF(D259&gt;=3,9,0))</f>
        <v>9</v>
      </c>
      <c r="G259" s="57">
        <f>IF(AND(H259=1,E259&gt;=2),3,IF(E259&gt;3,3,E259))</f>
        <v>3</v>
      </c>
      <c r="H259" s="58">
        <f>IF(ISNUMBER(SEARCH("M", C259)), 1, 0)</f>
        <v>0</v>
      </c>
      <c r="I259" s="59" t="str">
        <f>VLOOKUP(B259,Sheet1!$A:$E,5,FALSE)</f>
        <v>หจก.ว.รามฤทธิรงค์ เอ็นจิเนียริ่ง</v>
      </c>
    </row>
    <row r="260" spans="1:9" ht="17.5" thickBot="1">
      <c r="A260" s="27" t="s">
        <v>2861</v>
      </c>
      <c r="B260" s="28" t="s">
        <v>3105</v>
      </c>
      <c r="C260" s="28" t="s">
        <v>3106</v>
      </c>
      <c r="D260" s="31">
        <f>COUNTIF(L1L2!$M:$M,$B260)</f>
        <v>0</v>
      </c>
      <c r="E260" s="31">
        <f>COUNTIFS(L1L2!$M:$M,$B260,L1L2!$L:$L,$E$1)</f>
        <v>0</v>
      </c>
      <c r="F260" s="31">
        <f>IF(AND(H260=1,D260&gt;=2),9,IF(D260&gt;=3,9,0))</f>
        <v>0</v>
      </c>
      <c r="G260" s="31">
        <f>IF(AND(H260=1,E260&gt;=2),3,IF(E260&gt;3,3,E260))</f>
        <v>0</v>
      </c>
      <c r="H260" s="33">
        <f>IF(ISNUMBER(SEARCH("M", C260)), 1, 0)</f>
        <v>0</v>
      </c>
      <c r="I260" s="29" t="str">
        <f>VLOOKUP(B260,Sheet1!$A:$E,5,FALSE)</f>
        <v>หจก.วี.เอส.อินดัสเตรียล ซัพพลาย</v>
      </c>
    </row>
    <row r="261" spans="1:9" ht="17.5" thickBot="1">
      <c r="A261" s="27" t="s">
        <v>2861</v>
      </c>
      <c r="B261" s="28" t="s">
        <v>3107</v>
      </c>
      <c r="C261" s="28" t="s">
        <v>3108</v>
      </c>
      <c r="D261" s="31">
        <f>COUNTIF(L1L2!$M:$M,$B261)</f>
        <v>0</v>
      </c>
      <c r="E261" s="31">
        <f>COUNTIFS(L1L2!$M:$M,$B261,L1L2!$L:$L,$E$1)</f>
        <v>0</v>
      </c>
      <c r="F261" s="31">
        <f>IF(AND(H261=1,D261&gt;=2),9,IF(D261&gt;=3,9,0))</f>
        <v>0</v>
      </c>
      <c r="G261" s="31">
        <f>IF(AND(H261=1,E261&gt;=2),3,IF(E261&gt;3,3,E261))</f>
        <v>0</v>
      </c>
      <c r="H261" s="33">
        <f>IF(ISNUMBER(SEARCH("M", C261)), 1, 0)</f>
        <v>0</v>
      </c>
      <c r="I261" s="29" t="str">
        <f>VLOOKUP(B261,Sheet1!$A:$E,5,FALSE)</f>
        <v>หจก.วี.เอส.อินดัสเตรียล ซัพพลาย</v>
      </c>
    </row>
    <row r="262" spans="1:9" ht="17.5" thickBot="1">
      <c r="A262" s="27" t="s">
        <v>2861</v>
      </c>
      <c r="B262" s="28" t="s">
        <v>3386</v>
      </c>
      <c r="C262" s="28" t="s">
        <v>3387</v>
      </c>
      <c r="D262" s="31">
        <f>COUNTIF(L1L2!$M:$M,$B262)</f>
        <v>0</v>
      </c>
      <c r="E262" s="31">
        <f>COUNTIFS(L1L2!$M:$M,$B262,L1L2!$L:$L,$E$1)</f>
        <v>0</v>
      </c>
      <c r="F262" s="31">
        <f>IF(AND(H262=1,D262&gt;=2),9,IF(D262&gt;=3,9,0))</f>
        <v>0</v>
      </c>
      <c r="G262" s="31">
        <f>IF(AND(H262=1,E262&gt;=2),3,IF(E262&gt;3,3,E262))</f>
        <v>0</v>
      </c>
      <c r="H262" s="33">
        <f>IF(ISNUMBER(SEARCH("M", C262)), 1, 0)</f>
        <v>0</v>
      </c>
      <c r="I262" s="29" t="str">
        <f>VLOOKUP(B262,Sheet1!$A:$E,5,FALSE)</f>
        <v>หจก.วี.เอส.อินดัสเตรียล ซัพพลาย</v>
      </c>
    </row>
    <row r="263" spans="1:9" ht="17.5" thickBot="1">
      <c r="A263" s="27" t="s">
        <v>2946</v>
      </c>
      <c r="B263" s="28" t="s">
        <v>2554</v>
      </c>
      <c r="C263" s="28" t="s">
        <v>2958</v>
      </c>
      <c r="D263" s="31">
        <f>COUNTIF(L1L2!$M:$M,$B263)</f>
        <v>3</v>
      </c>
      <c r="E263" s="31">
        <f>COUNTIFS(L1L2!$M:$M,$B263,L1L2!$L:$L,$E$1)</f>
        <v>0</v>
      </c>
      <c r="F263" s="31">
        <f>IF(AND(H263=1,D263&gt;=2),9,IF(D263&gt;=3,9,0))</f>
        <v>9</v>
      </c>
      <c r="G263" s="31">
        <f>IF(AND(H263=1,E263&gt;=2),3,IF(E263&gt;3,3,E263))</f>
        <v>0</v>
      </c>
      <c r="H263" s="33">
        <f>IF(ISNUMBER(SEARCH("M", C263)), 1, 0)</f>
        <v>0</v>
      </c>
      <c r="I263" s="29" t="str">
        <f>VLOOKUP(B263,Sheet1!$A:$E,5,FALSE)</f>
        <v>หจก.วี.วี.เอ็มคอนกรีต</v>
      </c>
    </row>
    <row r="264" spans="1:9" ht="17.5" thickBot="1">
      <c r="A264" s="27" t="s">
        <v>2946</v>
      </c>
      <c r="B264" s="28" t="s">
        <v>2959</v>
      </c>
      <c r="C264" s="28" t="s">
        <v>2960</v>
      </c>
      <c r="D264" s="31">
        <f>COUNTIF(L1L2!$M:$M,$B264)</f>
        <v>3</v>
      </c>
      <c r="E264" s="31">
        <f>COUNTIFS(L1L2!$M:$M,$B264,L1L2!$L:$L,$E$1)</f>
        <v>0</v>
      </c>
      <c r="F264" s="31">
        <f>IF(AND(H264=1,D264&gt;=2),9,IF(D264&gt;=3,9,0))</f>
        <v>9</v>
      </c>
      <c r="G264" s="31">
        <f>IF(AND(H264=1,E264&gt;=2),3,IF(E264&gt;3,3,E264))</f>
        <v>0</v>
      </c>
      <c r="H264" s="33">
        <f>IF(ISNUMBER(SEARCH("M", C264)), 1, 0)</f>
        <v>0</v>
      </c>
      <c r="I264" s="29" t="str">
        <f>VLOOKUP(B264,Sheet1!$A:$E,5,FALSE)</f>
        <v>หจก.วี.วี.เอ็มคอนกรีต</v>
      </c>
    </row>
    <row r="265" spans="1:9" ht="17.5" thickBot="1">
      <c r="A265" s="55" t="s">
        <v>2876</v>
      </c>
      <c r="B265" s="60" t="s">
        <v>472</v>
      </c>
      <c r="C265" s="60" t="s">
        <v>473</v>
      </c>
      <c r="D265" s="57">
        <f>COUNTIF(L1L2!$M:$M,$B265)</f>
        <v>3</v>
      </c>
      <c r="E265" s="57">
        <f>COUNTIFS(L1L2!$M:$M,$B265,L1L2!$L:$L,$E$1)</f>
        <v>3</v>
      </c>
      <c r="F265" s="57">
        <f>IF(AND(H265=1,D265&gt;=2),9,IF(D265&gt;=3,9,0))</f>
        <v>9</v>
      </c>
      <c r="G265" s="57">
        <f>IF(AND(H265=1,E265&gt;=2),3,IF(E265&gt;3,3,E265))</f>
        <v>3</v>
      </c>
      <c r="H265" s="58">
        <f>IF(ISNUMBER(SEARCH("M", C265)), 1, 0)</f>
        <v>0</v>
      </c>
      <c r="I265" s="59" t="str">
        <f>VLOOKUP(B265,Sheet1!$A:$E,5,FALSE)</f>
        <v>หจก.ศรีเทพคอนกรีตผสมเสร็จ</v>
      </c>
    </row>
    <row r="266" spans="1:9" ht="17.5" thickBot="1">
      <c r="A266" s="55" t="s">
        <v>2876</v>
      </c>
      <c r="B266" s="60" t="s">
        <v>474</v>
      </c>
      <c r="C266" s="60" t="s">
        <v>475</v>
      </c>
      <c r="D266" s="57">
        <f>COUNTIF(L1L2!$M:$M,$B266)</f>
        <v>5</v>
      </c>
      <c r="E266" s="57">
        <f>COUNTIFS(L1L2!$M:$M,$B266,L1L2!$L:$L,$E$1)</f>
        <v>3</v>
      </c>
      <c r="F266" s="57">
        <f>IF(AND(H266=1,D266&gt;=2),9,IF(D266&gt;=3,9,0))</f>
        <v>9</v>
      </c>
      <c r="G266" s="57">
        <f>IF(AND(H266=1,E266&gt;=2),3,IF(E266&gt;3,3,E266))</f>
        <v>3</v>
      </c>
      <c r="H266" s="58">
        <f>IF(ISNUMBER(SEARCH("M", C266)), 1, 0)</f>
        <v>0</v>
      </c>
      <c r="I266" s="59" t="str">
        <f>VLOOKUP(B266,Sheet1!$A:$E,5,FALSE)</f>
        <v>หจก.ศรีเทพคอนกรีตผสมเสร็จ</v>
      </c>
    </row>
    <row r="267" spans="1:9" ht="17.5" thickBot="1">
      <c r="A267" s="27" t="s">
        <v>2871</v>
      </c>
      <c r="B267" s="28" t="s">
        <v>258</v>
      </c>
      <c r="C267" s="28" t="s">
        <v>259</v>
      </c>
      <c r="D267" s="31">
        <f>COUNTIF(L1L2!$M:$M,$B267)</f>
        <v>3</v>
      </c>
      <c r="E267" s="31">
        <f>COUNTIFS(L1L2!$M:$M,$B267,L1L2!$L:$L,$E$1)</f>
        <v>3</v>
      </c>
      <c r="F267" s="31">
        <f>IF(AND(H267=1,D267&gt;=2),9,IF(D267&gt;=3,9,0))</f>
        <v>9</v>
      </c>
      <c r="G267" s="31">
        <f>IF(AND(H267=1,E267&gt;=2),3,IF(E267&gt;3,3,E267))</f>
        <v>3</v>
      </c>
      <c r="H267" s="33">
        <f>IF(ISNUMBER(SEARCH("M", C267)), 1, 0)</f>
        <v>0</v>
      </c>
      <c r="I267" s="29" t="str">
        <f>VLOOKUP(B267,Sheet1!$A:$E,5,FALSE)</f>
        <v>หจก.ศิริภัณฑ์บางสะพานคอนกรีต</v>
      </c>
    </row>
    <row r="268" spans="1:9" ht="17.5" thickBot="1">
      <c r="A268" s="27" t="s">
        <v>3109</v>
      </c>
      <c r="B268" s="28" t="s">
        <v>648</v>
      </c>
      <c r="C268" s="28" t="s">
        <v>649</v>
      </c>
      <c r="D268" s="31">
        <f>COUNTIF(L1L2!$M:$M,$B268)</f>
        <v>3</v>
      </c>
      <c r="E268" s="31">
        <f>COUNTIFS(L1L2!$M:$M,$B268,L1L2!$L:$L,$E$1)</f>
        <v>2</v>
      </c>
      <c r="F268" s="31">
        <f>IF(AND(H268=1,D268&gt;=2),9,IF(D268&gt;=3,9,0))</f>
        <v>9</v>
      </c>
      <c r="G268" s="31">
        <f>IF(AND(H268=1,E268&gt;=2),3,IF(E268&gt;3,3,E268))</f>
        <v>2</v>
      </c>
      <c r="H268" s="33">
        <f>IF(ISNUMBER(SEARCH("M", C268)), 1, 0)</f>
        <v>0</v>
      </c>
      <c r="I268" s="29" t="str">
        <f>VLOOKUP(B268,Sheet1!$A:$E,5,FALSE)</f>
        <v>หจก.ส.ปราณี(คอนกรีต)</v>
      </c>
    </row>
    <row r="269" spans="1:9" ht="17.5" thickBot="1">
      <c r="A269" s="27" t="s">
        <v>2876</v>
      </c>
      <c r="B269" s="28" t="s">
        <v>452</v>
      </c>
      <c r="C269" s="28" t="s">
        <v>453</v>
      </c>
      <c r="D269" s="31">
        <f>COUNTIF(L1L2!$M:$M,$B269)</f>
        <v>3</v>
      </c>
      <c r="E269" s="31">
        <f>COUNTIFS(L1L2!$M:$M,$B269,L1L2!$L:$L,$E$1)</f>
        <v>3</v>
      </c>
      <c r="F269" s="31">
        <f>IF(AND(H269=1,D269&gt;=2),9,IF(D269&gt;=3,9,0))</f>
        <v>9</v>
      </c>
      <c r="G269" s="31">
        <f>IF(AND(H269=1,E269&gt;=2),3,IF(E269&gt;3,3,E269))</f>
        <v>3</v>
      </c>
      <c r="H269" s="33">
        <f>IF(ISNUMBER(SEARCH("M", C269)), 1, 0)</f>
        <v>0</v>
      </c>
      <c r="I269" s="29" t="str">
        <f>VLOOKUP(B269,Sheet1!$A:$E,5,FALSE)</f>
        <v>หจก.ส.พงษ์เจริญคอนกรีตผสมเสร็จ</v>
      </c>
    </row>
    <row r="270" spans="1:9" ht="17.5" thickBot="1">
      <c r="A270" s="55" t="s">
        <v>3109</v>
      </c>
      <c r="B270" s="60" t="s">
        <v>560</v>
      </c>
      <c r="C270" s="60" t="s">
        <v>561</v>
      </c>
      <c r="D270" s="57">
        <f>COUNTIF(L1L2!$M:$M,$B270)</f>
        <v>4</v>
      </c>
      <c r="E270" s="57">
        <f>COUNTIFS(L1L2!$M:$M,$B270,L1L2!$L:$L,$E$1)</f>
        <v>4</v>
      </c>
      <c r="F270" s="57">
        <f>IF(AND(H270=1,D270&gt;=2),9,IF(D270&gt;=3,9,0))</f>
        <v>9</v>
      </c>
      <c r="G270" s="57">
        <f>IF(AND(H270=1,E270&gt;=2),3,IF(E270&gt;3,3,E270))</f>
        <v>3</v>
      </c>
      <c r="H270" s="58">
        <f>IF(ISNUMBER(SEARCH("M", C270)), 1, 0)</f>
        <v>0</v>
      </c>
      <c r="I270" s="59" t="str">
        <f>VLOOKUP(B270,Sheet1!$A:$E,5,FALSE)</f>
        <v>หจก.สมจินตนาวงษ์เจริญ คอนกรีต</v>
      </c>
    </row>
    <row r="271" spans="1:9" ht="17.5" thickBot="1">
      <c r="A271" s="55" t="s">
        <v>3109</v>
      </c>
      <c r="B271" s="60" t="s">
        <v>682</v>
      </c>
      <c r="C271" s="60" t="s">
        <v>683</v>
      </c>
      <c r="D271" s="57">
        <f>COUNTIF(L1L2!$M:$M,$B271)</f>
        <v>3</v>
      </c>
      <c r="E271" s="57">
        <f>COUNTIFS(L1L2!$M:$M,$B271,L1L2!$L:$L,$E$1)</f>
        <v>3</v>
      </c>
      <c r="F271" s="57">
        <f>IF(AND(H271=1,D271&gt;=2),9,IF(D271&gt;=3,9,0))</f>
        <v>9</v>
      </c>
      <c r="G271" s="57">
        <f>IF(AND(H271=1,E271&gt;=2),3,IF(E271&gt;3,3,E271))</f>
        <v>3</v>
      </c>
      <c r="H271" s="58">
        <f>IF(ISNUMBER(SEARCH("M", C271)), 1, 0)</f>
        <v>0</v>
      </c>
      <c r="I271" s="59" t="str">
        <f>VLOOKUP(B271,Sheet1!$A:$E,5,FALSE)</f>
        <v>หจก.สมจินตนาวงษ์เจริญ คอนกรีต</v>
      </c>
    </row>
    <row r="272" spans="1:9" ht="17.5" thickBot="1">
      <c r="A272" s="55" t="s">
        <v>3109</v>
      </c>
      <c r="B272" s="60" t="s">
        <v>548</v>
      </c>
      <c r="C272" s="60" t="s">
        <v>1361</v>
      </c>
      <c r="D272" s="57">
        <f>COUNTIF(L1L2!$M:$M,$B272)</f>
        <v>3</v>
      </c>
      <c r="E272" s="57">
        <f>COUNTIFS(L1L2!$M:$M,$B272,L1L2!$L:$L,$E$1)</f>
        <v>3</v>
      </c>
      <c r="F272" s="57">
        <f>IF(AND(H272=1,D272&gt;=2),9,IF(D272&gt;=3,9,0))</f>
        <v>9</v>
      </c>
      <c r="G272" s="57">
        <f>IF(AND(H272=1,E272&gt;=2),3,IF(E272&gt;3,3,E272))</f>
        <v>3</v>
      </c>
      <c r="H272" s="58">
        <f>IF(ISNUMBER(SEARCH("M", C272)), 1, 0)</f>
        <v>0</v>
      </c>
      <c r="I272" s="59" t="str">
        <f>VLOOKUP(B272,Sheet1!$A:$E,5,FALSE)</f>
        <v>หจก.สมจินตนาวงษ์เจริญ คอนกรีต</v>
      </c>
    </row>
    <row r="273" spans="1:9" ht="17.5" thickBot="1">
      <c r="A273" s="55" t="s">
        <v>3109</v>
      </c>
      <c r="B273" s="60" t="s">
        <v>1227</v>
      </c>
      <c r="C273" s="60" t="s">
        <v>3148</v>
      </c>
      <c r="D273" s="57">
        <f>COUNTIF(L1L2!$M:$M,$B273)</f>
        <v>3</v>
      </c>
      <c r="E273" s="57">
        <f>COUNTIFS(L1L2!$M:$M,$B273,L1L2!$L:$L,$E$1)</f>
        <v>3</v>
      </c>
      <c r="F273" s="57">
        <f>IF(AND(H273=1,D273&gt;=2),9,IF(D273&gt;=3,9,0))</f>
        <v>9</v>
      </c>
      <c r="G273" s="57">
        <f>IF(AND(H273=1,E273&gt;=2),3,IF(E273&gt;3,3,E273))</f>
        <v>3</v>
      </c>
      <c r="H273" s="58">
        <f>IF(ISNUMBER(SEARCH("M", C273)), 1, 0)</f>
        <v>0</v>
      </c>
      <c r="I273" s="59" t="str">
        <f>VLOOKUP(B273,Sheet1!$A:$E,5,FALSE)</f>
        <v>หจก.สมจินตนาวงษ์เจริญ คอนกรีต</v>
      </c>
    </row>
    <row r="274" spans="1:9" ht="17.5" thickBot="1">
      <c r="A274" s="27" t="s">
        <v>3109</v>
      </c>
      <c r="B274" s="28" t="s">
        <v>660</v>
      </c>
      <c r="C274" s="28" t="s">
        <v>661</v>
      </c>
      <c r="D274" s="31">
        <f>COUNTIF(L1L2!$M:$M,$B274)</f>
        <v>3</v>
      </c>
      <c r="E274" s="31">
        <f>COUNTIFS(L1L2!$M:$M,$B274,L1L2!$L:$L,$E$1)</f>
        <v>3</v>
      </c>
      <c r="F274" s="31">
        <f>IF(AND(H274=1,D274&gt;=2),9,IF(D274&gt;=3,9,0))</f>
        <v>9</v>
      </c>
      <c r="G274" s="31">
        <f>IF(AND(H274=1,E274&gt;=2),3,IF(E274&gt;3,3,E274))</f>
        <v>3</v>
      </c>
      <c r="H274" s="33">
        <f>IF(ISNUMBER(SEARCH("M", C274)), 1, 0)</f>
        <v>0</v>
      </c>
      <c r="I274" s="29" t="str">
        <f>VLOOKUP(B274,Sheet1!$A:$E,5,FALSE)</f>
        <v>หจก.สมพรพาณิชย์ คอนกรีต</v>
      </c>
    </row>
    <row r="275" spans="1:9" ht="17.5" thickBot="1">
      <c r="A275" s="55" t="s">
        <v>3109</v>
      </c>
      <c r="B275" s="60" t="s">
        <v>664</v>
      </c>
      <c r="C275" s="60" t="s">
        <v>665</v>
      </c>
      <c r="D275" s="57">
        <f>COUNTIF(L1L2!$M:$M,$B275)</f>
        <v>3</v>
      </c>
      <c r="E275" s="57">
        <f>COUNTIFS(L1L2!$M:$M,$B275,L1L2!$L:$L,$E$1)</f>
        <v>3</v>
      </c>
      <c r="F275" s="57">
        <f>IF(AND(H275=1,D275&gt;=2),9,IF(D275&gt;=3,9,0))</f>
        <v>9</v>
      </c>
      <c r="G275" s="57">
        <f>IF(AND(H275=1,E275&gt;=2),3,IF(E275&gt;3,3,E275))</f>
        <v>3</v>
      </c>
      <c r="H275" s="58">
        <f>IF(ISNUMBER(SEARCH("M", C275)), 1, 0)</f>
        <v>0</v>
      </c>
      <c r="I275" s="59" t="str">
        <f>VLOOKUP(B275,Sheet1!$A:$E,5,FALSE)</f>
        <v>หจก.สยาม เค กรุ๊ป</v>
      </c>
    </row>
    <row r="276" spans="1:9" ht="17.5" thickBot="1">
      <c r="A276" s="55" t="s">
        <v>3109</v>
      </c>
      <c r="B276" s="60" t="s">
        <v>1226</v>
      </c>
      <c r="C276" s="60" t="s">
        <v>1379</v>
      </c>
      <c r="D276" s="57">
        <f>COUNTIF(L1L2!$M:$M,$B276)</f>
        <v>2</v>
      </c>
      <c r="E276" s="57">
        <f>COUNTIFS(L1L2!$M:$M,$B276,L1L2!$L:$L,$E$1)</f>
        <v>1</v>
      </c>
      <c r="F276" s="57">
        <f>IF(AND(H276=1,D276&gt;=2),9,IF(D276&gt;=3,9,0))</f>
        <v>0</v>
      </c>
      <c r="G276" s="57">
        <f>IF(AND(H276=1,E276&gt;=2),3,IF(E276&gt;3,3,E276))</f>
        <v>1</v>
      </c>
      <c r="H276" s="58">
        <f>IF(ISNUMBER(SEARCH("M", C276)), 1, 0)</f>
        <v>0</v>
      </c>
      <c r="I276" s="59" t="str">
        <f>VLOOKUP(B276,Sheet1!$A:$E,5,FALSE)</f>
        <v>หจก.สยาม เค กรุ๊ป</v>
      </c>
    </row>
    <row r="277" spans="1:9" ht="17.5" thickBot="1">
      <c r="A277" s="55" t="s">
        <v>3109</v>
      </c>
      <c r="B277" s="60" t="s">
        <v>2699</v>
      </c>
      <c r="C277" s="60" t="s">
        <v>2936</v>
      </c>
      <c r="D277" s="57">
        <f>COUNTIF(L1L2!$M:$M,$B277)</f>
        <v>3</v>
      </c>
      <c r="E277" s="57">
        <f>COUNTIFS(L1L2!$M:$M,$B277,L1L2!$L:$L,$E$1)</f>
        <v>3</v>
      </c>
      <c r="F277" s="57">
        <f>IF(AND(H277=1,D277&gt;=2),9,IF(D277&gt;=3,9,0))</f>
        <v>9</v>
      </c>
      <c r="G277" s="57">
        <f>IF(AND(H277=1,E277&gt;=2),3,IF(E277&gt;3,3,E277))</f>
        <v>3</v>
      </c>
      <c r="H277" s="58">
        <f>IF(ISNUMBER(SEARCH("M", C277)), 1, 0)</f>
        <v>0</v>
      </c>
      <c r="I277" s="59" t="str">
        <f>VLOOKUP(B277,Sheet1!$A:$E,5,FALSE)</f>
        <v>หจก.สยาม เค กรุ๊ป</v>
      </c>
    </row>
    <row r="278" spans="1:9" ht="17.5" thickBot="1">
      <c r="A278" s="27" t="s">
        <v>2876</v>
      </c>
      <c r="B278" s="28" t="s">
        <v>3082</v>
      </c>
      <c r="C278" s="28" t="s">
        <v>3083</v>
      </c>
      <c r="D278" s="31">
        <f>COUNTIF(L1L2!$M:$M,$B278)</f>
        <v>1</v>
      </c>
      <c r="E278" s="31">
        <f>COUNTIFS(L1L2!$M:$M,$B278,L1L2!$L:$L,$E$1)</f>
        <v>1</v>
      </c>
      <c r="F278" s="31">
        <f>IF(AND(H278=1,D278&gt;=2),9,IF(D278&gt;=3,9,0))</f>
        <v>0</v>
      </c>
      <c r="G278" s="31">
        <f>IF(AND(H278=1,E278&gt;=2),3,IF(E278&gt;3,3,E278))</f>
        <v>1</v>
      </c>
      <c r="H278" s="33">
        <f>IF(ISNUMBER(SEARCH("M", C278)), 1, 0)</f>
        <v>1</v>
      </c>
      <c r="I278" s="29" t="str">
        <f>VLOOKUP(B278,Sheet1!$A:$E,5,FALSE)</f>
        <v>หจก.สิงโตทอง คอนกรีต</v>
      </c>
    </row>
    <row r="279" spans="1:9" ht="17.5" thickBot="1">
      <c r="A279" s="27" t="s">
        <v>2876</v>
      </c>
      <c r="B279" s="28" t="s">
        <v>502</v>
      </c>
      <c r="C279" s="28" t="s">
        <v>503</v>
      </c>
      <c r="D279" s="31">
        <f>COUNTIF(L1L2!$M:$M,$B279)</f>
        <v>3</v>
      </c>
      <c r="E279" s="31">
        <f>COUNTIFS(L1L2!$M:$M,$B279,L1L2!$L:$L,$E$1)</f>
        <v>3</v>
      </c>
      <c r="F279" s="31">
        <f>IF(AND(H279=1,D279&gt;=2),9,IF(D279&gt;=3,9,0))</f>
        <v>9</v>
      </c>
      <c r="G279" s="31">
        <f>IF(AND(H279=1,E279&gt;=2),3,IF(E279&gt;3,3,E279))</f>
        <v>3</v>
      </c>
      <c r="H279" s="33">
        <f>IF(ISNUMBER(SEARCH("M", C279)), 1, 0)</f>
        <v>0</v>
      </c>
      <c r="I279" s="29" t="str">
        <f>VLOOKUP(B279,Sheet1!$A:$E,5,FALSE)</f>
        <v>หจก.สุเกียวคอนกรีต</v>
      </c>
    </row>
    <row r="280" spans="1:9" ht="17.5" thickBot="1">
      <c r="A280" s="55" t="s">
        <v>3109</v>
      </c>
      <c r="B280" s="60" t="s">
        <v>708</v>
      </c>
      <c r="C280" s="60" t="s">
        <v>709</v>
      </c>
      <c r="D280" s="57">
        <f>COUNTIF(L1L2!$M:$M,$B280)</f>
        <v>7</v>
      </c>
      <c r="E280" s="57">
        <f>COUNTIFS(L1L2!$M:$M,$B280,L1L2!$L:$L,$E$1)</f>
        <v>7</v>
      </c>
      <c r="F280" s="57">
        <f>IF(AND(H280=1,D280&gt;=2),9,IF(D280&gt;=3,9,0))</f>
        <v>9</v>
      </c>
      <c r="G280" s="57">
        <f>IF(AND(H280=1,E280&gt;=2),3,IF(E280&gt;3,3,E280))</f>
        <v>3</v>
      </c>
      <c r="H280" s="58">
        <f>IF(ISNUMBER(SEARCH("M", C280)), 1, 0)</f>
        <v>0</v>
      </c>
      <c r="I280" s="59" t="str">
        <f>VLOOKUP(B280,Sheet1!$A:$E,5,FALSE)</f>
        <v>หจก.อังครงค์รักษ์พาณิชย์</v>
      </c>
    </row>
    <row r="281" spans="1:9" ht="17.5" thickBot="1">
      <c r="A281" s="55" t="s">
        <v>3109</v>
      </c>
      <c r="B281" s="60" t="s">
        <v>666</v>
      </c>
      <c r="C281" s="60" t="s">
        <v>667</v>
      </c>
      <c r="D281" s="57">
        <f>COUNTIF(L1L2!$M:$M,$B281)</f>
        <v>5</v>
      </c>
      <c r="E281" s="57">
        <f>COUNTIFS(L1L2!$M:$M,$B281,L1L2!$L:$L,$E$1)</f>
        <v>5</v>
      </c>
      <c r="F281" s="57">
        <f>IF(AND(H281=1,D281&gt;=2),9,IF(D281&gt;=3,9,0))</f>
        <v>9</v>
      </c>
      <c r="G281" s="57">
        <f>IF(AND(H281=1,E281&gt;=2),3,IF(E281&gt;3,3,E281))</f>
        <v>3</v>
      </c>
      <c r="H281" s="58">
        <f>IF(ISNUMBER(SEARCH("M", C281)), 1, 0)</f>
        <v>0</v>
      </c>
      <c r="I281" s="59" t="str">
        <f>VLOOKUP(B281,Sheet1!$A:$E,5,FALSE)</f>
        <v>หจก.อังครงค์รักษ์พาณิชย์</v>
      </c>
    </row>
    <row r="282" spans="1:9" ht="17.5" thickBot="1">
      <c r="A282" s="55" t="s">
        <v>3109</v>
      </c>
      <c r="B282" s="60" t="s">
        <v>596</v>
      </c>
      <c r="C282" s="60" t="s">
        <v>597</v>
      </c>
      <c r="D282" s="57">
        <f>COUNTIF(L1L2!$M:$M,$B282)</f>
        <v>6</v>
      </c>
      <c r="E282" s="57">
        <f>COUNTIFS(L1L2!$M:$M,$B282,L1L2!$L:$L,$E$1)</f>
        <v>6</v>
      </c>
      <c r="F282" s="57">
        <f>IF(AND(H282=1,D282&gt;=2),9,IF(D282&gt;=3,9,0))</f>
        <v>9</v>
      </c>
      <c r="G282" s="57">
        <f>IF(AND(H282=1,E282&gt;=2),3,IF(E282&gt;3,3,E282))</f>
        <v>3</v>
      </c>
      <c r="H282" s="58">
        <f>IF(ISNUMBER(SEARCH("M", C282)), 1, 0)</f>
        <v>0</v>
      </c>
      <c r="I282" s="59" t="str">
        <f>VLOOKUP(B282,Sheet1!$A:$E,5,FALSE)</f>
        <v>หจก.อังครงค์รักษ์พาณิชย์</v>
      </c>
    </row>
    <row r="283" spans="1:9" ht="17.5" thickBot="1">
      <c r="A283" s="55" t="s">
        <v>3109</v>
      </c>
      <c r="B283" s="60" t="s">
        <v>556</v>
      </c>
      <c r="C283" s="60" t="s">
        <v>557</v>
      </c>
      <c r="D283" s="57">
        <f>COUNTIF(L1L2!$M:$M,$B283)</f>
        <v>5</v>
      </c>
      <c r="E283" s="57">
        <f>COUNTIFS(L1L2!$M:$M,$B283,L1L2!$L:$L,$E$1)</f>
        <v>5</v>
      </c>
      <c r="F283" s="57">
        <f>IF(AND(H283=1,D283&gt;=2),9,IF(D283&gt;=3,9,0))</f>
        <v>9</v>
      </c>
      <c r="G283" s="57">
        <f>IF(AND(H283=1,E283&gt;=2),3,IF(E283&gt;3,3,E283))</f>
        <v>3</v>
      </c>
      <c r="H283" s="58">
        <f>IF(ISNUMBER(SEARCH("M", C283)), 1, 0)</f>
        <v>0</v>
      </c>
      <c r="I283" s="59" t="str">
        <f>VLOOKUP(B283,Sheet1!$A:$E,5,FALSE)</f>
        <v>หจก.อังครงค์รักษ์พาณิชย์</v>
      </c>
    </row>
    <row r="284" spans="1:9" ht="17.5" thickBot="1">
      <c r="A284" s="55" t="s">
        <v>3109</v>
      </c>
      <c r="B284" s="60" t="s">
        <v>674</v>
      </c>
      <c r="C284" s="60" t="s">
        <v>675</v>
      </c>
      <c r="D284" s="57">
        <f>COUNTIF(L1L2!$M:$M,$B284)</f>
        <v>8</v>
      </c>
      <c r="E284" s="57">
        <f>COUNTIFS(L1L2!$M:$M,$B284,L1L2!$L:$L,$E$1)</f>
        <v>8</v>
      </c>
      <c r="F284" s="57">
        <f>IF(AND(H284=1,D284&gt;=2),9,IF(D284&gt;=3,9,0))</f>
        <v>9</v>
      </c>
      <c r="G284" s="57">
        <f>IF(AND(H284=1,E284&gt;=2),3,IF(E284&gt;3,3,E284))</f>
        <v>3</v>
      </c>
      <c r="H284" s="58">
        <f>IF(ISNUMBER(SEARCH("M", C284)), 1, 0)</f>
        <v>0</v>
      </c>
      <c r="I284" s="59" t="str">
        <f>VLOOKUP(B284,Sheet1!$A:$E,5,FALSE)</f>
        <v>หจก.อังครงค์รักษ์พาณิชย์</v>
      </c>
    </row>
    <row r="285" spans="1:9" ht="17.5" thickBot="1">
      <c r="A285" s="55" t="s">
        <v>3109</v>
      </c>
      <c r="B285" s="60" t="s">
        <v>590</v>
      </c>
      <c r="C285" s="60" t="s">
        <v>591</v>
      </c>
      <c r="D285" s="57">
        <f>COUNTIF(L1L2!$M:$M,$B285)</f>
        <v>5</v>
      </c>
      <c r="E285" s="57">
        <f>COUNTIFS(L1L2!$M:$M,$B285,L1L2!$L:$L,$E$1)</f>
        <v>5</v>
      </c>
      <c r="F285" s="57">
        <f>IF(AND(H285=1,D285&gt;=2),9,IF(D285&gt;=3,9,0))</f>
        <v>9</v>
      </c>
      <c r="G285" s="57">
        <f>IF(AND(H285=1,E285&gt;=2),3,IF(E285&gt;3,3,E285))</f>
        <v>3</v>
      </c>
      <c r="H285" s="58">
        <f>IF(ISNUMBER(SEARCH("M", C285)), 1, 0)</f>
        <v>0</v>
      </c>
      <c r="I285" s="59" t="str">
        <f>VLOOKUP(B285,Sheet1!$A:$E,5,FALSE)</f>
        <v>หจก.อังครงค์รักษ์พาณิชย์</v>
      </c>
    </row>
    <row r="286" spans="1:9" ht="17.5" thickBot="1">
      <c r="A286" s="55" t="s">
        <v>3109</v>
      </c>
      <c r="B286" s="60" t="s">
        <v>620</v>
      </c>
      <c r="C286" s="60" t="s">
        <v>621</v>
      </c>
      <c r="D286" s="57">
        <f>COUNTIF(L1L2!$M:$M,$B286)</f>
        <v>3</v>
      </c>
      <c r="E286" s="57">
        <f>COUNTIFS(L1L2!$M:$M,$B286,L1L2!$L:$L,$E$1)</f>
        <v>3</v>
      </c>
      <c r="F286" s="57">
        <f>IF(AND(H286=1,D286&gt;=2),9,IF(D286&gt;=3,9,0))</f>
        <v>9</v>
      </c>
      <c r="G286" s="57">
        <f>IF(AND(H286=1,E286&gt;=2),3,IF(E286&gt;3,3,E286))</f>
        <v>3</v>
      </c>
      <c r="H286" s="58">
        <f>IF(ISNUMBER(SEARCH("M", C286)), 1, 0)</f>
        <v>0</v>
      </c>
      <c r="I286" s="59" t="str">
        <f>VLOOKUP(B286,Sheet1!$A:$E,5,FALSE)</f>
        <v>หจก.อังครงค์รักษ์พาณิชย์</v>
      </c>
    </row>
    <row r="287" spans="1:9" ht="17.5" thickBot="1">
      <c r="A287" s="55" t="s">
        <v>3109</v>
      </c>
      <c r="B287" s="60" t="s">
        <v>2384</v>
      </c>
      <c r="C287" s="60" t="s">
        <v>2905</v>
      </c>
      <c r="D287" s="57">
        <f>COUNTIF(L1L2!$M:$M,$B287)</f>
        <v>4</v>
      </c>
      <c r="E287" s="57">
        <f>COUNTIFS(L1L2!$M:$M,$B287,L1L2!$L:$L,$E$1)</f>
        <v>4</v>
      </c>
      <c r="F287" s="57">
        <f>IF(AND(H287=1,D287&gt;=2),9,IF(D287&gt;=3,9,0))</f>
        <v>9</v>
      </c>
      <c r="G287" s="57">
        <f>IF(AND(H287=1,E287&gt;=2),3,IF(E287&gt;3,3,E287))</f>
        <v>3</v>
      </c>
      <c r="H287" s="58">
        <f>IF(ISNUMBER(SEARCH("M", C287)), 1, 0)</f>
        <v>0</v>
      </c>
      <c r="I287" s="59" t="str">
        <f>VLOOKUP(B287,Sheet1!$A:$E,5,FALSE)</f>
        <v>หจก.อังครงค์รักษ์พาณิชย์</v>
      </c>
    </row>
    <row r="288" spans="1:9" ht="17.5" thickBot="1">
      <c r="A288" s="55" t="s">
        <v>3109</v>
      </c>
      <c r="B288" s="60" t="s">
        <v>2698</v>
      </c>
      <c r="C288" s="60" t="s">
        <v>2906</v>
      </c>
      <c r="D288" s="57">
        <f>COUNTIF(L1L2!$M:$M,$B288)</f>
        <v>6</v>
      </c>
      <c r="E288" s="57">
        <f>COUNTIFS(L1L2!$M:$M,$B288,L1L2!$L:$L,$E$1)</f>
        <v>6</v>
      </c>
      <c r="F288" s="57">
        <f>IF(AND(H288=1,D288&gt;=2),9,IF(D288&gt;=3,9,0))</f>
        <v>9</v>
      </c>
      <c r="G288" s="57">
        <f>IF(AND(H288=1,E288&gt;=2),3,IF(E288&gt;3,3,E288))</f>
        <v>3</v>
      </c>
      <c r="H288" s="58">
        <f>IF(ISNUMBER(SEARCH("M", C288)), 1, 0)</f>
        <v>0</v>
      </c>
      <c r="I288" s="59" t="str">
        <f>VLOOKUP(B288,Sheet1!$A:$E,5,FALSE)</f>
        <v>หจก.อังครงค์รักษ์พาณิชย์</v>
      </c>
    </row>
    <row r="289" spans="1:9" ht="17.5" thickBot="1">
      <c r="A289" s="27" t="s">
        <v>3109</v>
      </c>
      <c r="B289" s="28" t="s">
        <v>572</v>
      </c>
      <c r="C289" s="28" t="s">
        <v>3168</v>
      </c>
      <c r="D289" s="31">
        <f>COUNTIF(L1L2!$M:$M,$B289)</f>
        <v>4</v>
      </c>
      <c r="E289" s="31">
        <f>COUNTIFS(L1L2!$M:$M,$B289,L1L2!$L:$L,$E$1)</f>
        <v>4</v>
      </c>
      <c r="F289" s="31">
        <f>IF(AND(H289=1,D289&gt;=2),9,IF(D289&gt;=3,9,0))</f>
        <v>9</v>
      </c>
      <c r="G289" s="31">
        <f>IF(AND(H289=1,E289&gt;=2),3,IF(E289&gt;3,3,E289))</f>
        <v>3</v>
      </c>
      <c r="H289" s="33">
        <f>IF(ISNUMBER(SEARCH("M", C289)), 1, 0)</f>
        <v>0</v>
      </c>
      <c r="I289" s="29" t="str">
        <f>VLOOKUP(B289,Sheet1!$A:$E,5,FALSE)</f>
        <v>หจก.เซ็นจูรี่บึงกาฬ</v>
      </c>
    </row>
  </sheetData>
  <autoFilter ref="A1:I289" xr:uid="{448650CE-A0D7-4293-9E81-618248FDCFCB}"/>
  <sortState ref="A2:I289">
    <sortCondition ref="I2:I289"/>
    <sortCondition ref="A2:A28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C7EA-F913-433B-B2E1-B1884C06ACC5}">
  <dimension ref="A1:F291"/>
  <sheetViews>
    <sheetView topLeftCell="A274" workbookViewId="0">
      <selection activeCell="A284" sqref="A284:B284"/>
    </sheetView>
  </sheetViews>
  <sheetFormatPr defaultRowHeight="14.5"/>
  <cols>
    <col min="1" max="1" width="5.81640625" bestFit="1" customWidth="1"/>
    <col min="2" max="2" width="32.6328125" bestFit="1" customWidth="1"/>
    <col min="3" max="3" width="8.26953125" bestFit="1" customWidth="1"/>
    <col min="4" max="4" width="5.81640625" bestFit="1" customWidth="1"/>
    <col min="5" max="5" width="36.7265625" bestFit="1" customWidth="1"/>
  </cols>
  <sheetData>
    <row r="1" spans="1:6">
      <c r="A1" t="s">
        <v>3363</v>
      </c>
      <c r="B1" t="s">
        <v>2963</v>
      </c>
      <c r="C1" t="s">
        <v>234</v>
      </c>
      <c r="D1" t="s">
        <v>3363</v>
      </c>
      <c r="E1" t="s">
        <v>2964</v>
      </c>
    </row>
    <row r="2" spans="1:6">
      <c r="A2" t="s">
        <v>722</v>
      </c>
      <c r="B2" t="s">
        <v>2854</v>
      </c>
      <c r="C2" t="s">
        <v>2855</v>
      </c>
      <c r="D2" t="s">
        <v>3364</v>
      </c>
      <c r="E2" t="s">
        <v>1251</v>
      </c>
      <c r="F2" t="str">
        <f>VLOOKUP(A2,Score!B:B,1,FALSE)</f>
        <v>31ED</v>
      </c>
    </row>
    <row r="3" spans="1:6">
      <c r="A3" t="s">
        <v>726</v>
      </c>
      <c r="B3" t="s">
        <v>1253</v>
      </c>
      <c r="C3" t="s">
        <v>2855</v>
      </c>
      <c r="D3" t="s">
        <v>3365</v>
      </c>
      <c r="E3" t="s">
        <v>3366</v>
      </c>
      <c r="F3" t="str">
        <f>VLOOKUP(A3,Score!B:B,1,FALSE)</f>
        <v>31EC</v>
      </c>
    </row>
    <row r="4" spans="1:6">
      <c r="A4" t="s">
        <v>724</v>
      </c>
      <c r="B4" t="s">
        <v>2858</v>
      </c>
      <c r="C4" t="s">
        <v>2855</v>
      </c>
      <c r="D4" t="s">
        <v>3367</v>
      </c>
      <c r="E4" t="s">
        <v>1254</v>
      </c>
      <c r="F4" t="str">
        <f>VLOOKUP(A4,Score!B:B,1,FALSE)</f>
        <v>31EF</v>
      </c>
    </row>
    <row r="5" spans="1:6">
      <c r="A5" t="s">
        <v>238</v>
      </c>
      <c r="B5" t="s">
        <v>239</v>
      </c>
      <c r="C5" t="s">
        <v>2855</v>
      </c>
      <c r="D5" t="s">
        <v>3368</v>
      </c>
      <c r="E5" t="s">
        <v>1255</v>
      </c>
      <c r="F5" t="str">
        <f>VLOOKUP(A5,Score!B:B,1,FALSE)</f>
        <v>FC139</v>
      </c>
    </row>
    <row r="6" spans="1:6">
      <c r="A6" t="s">
        <v>338</v>
      </c>
      <c r="B6" t="s">
        <v>339</v>
      </c>
      <c r="C6" t="s">
        <v>2861</v>
      </c>
      <c r="D6" t="s">
        <v>3368</v>
      </c>
      <c r="E6" t="s">
        <v>1255</v>
      </c>
      <c r="F6" t="str">
        <f>VLOOKUP(A6,Score!B:B,1,FALSE)</f>
        <v>FC095</v>
      </c>
    </row>
    <row r="7" spans="1:6">
      <c r="A7" t="s">
        <v>340</v>
      </c>
      <c r="B7" t="s">
        <v>341</v>
      </c>
      <c r="C7" t="s">
        <v>2861</v>
      </c>
      <c r="D7" t="s">
        <v>3368</v>
      </c>
      <c r="E7" t="s">
        <v>1255</v>
      </c>
      <c r="F7" t="str">
        <f>VLOOKUP(A7,Score!B:B,1,FALSE)</f>
        <v>FC046</v>
      </c>
    </row>
    <row r="8" spans="1:6">
      <c r="A8" t="s">
        <v>286</v>
      </c>
      <c r="B8" t="s">
        <v>287</v>
      </c>
      <c r="C8" t="s">
        <v>2861</v>
      </c>
      <c r="D8" t="s">
        <v>3368</v>
      </c>
      <c r="E8" t="s">
        <v>1255</v>
      </c>
      <c r="F8" t="str">
        <f>VLOOKUP(A8,Score!B:B,1,FALSE)</f>
        <v>FC175</v>
      </c>
    </row>
    <row r="9" spans="1:6">
      <c r="A9" t="s">
        <v>1247</v>
      </c>
      <c r="B9" t="s">
        <v>1256</v>
      </c>
      <c r="C9" t="s">
        <v>2861</v>
      </c>
      <c r="D9" t="s">
        <v>3368</v>
      </c>
      <c r="E9" t="s">
        <v>1255</v>
      </c>
      <c r="F9" t="str">
        <f>VLOOKUP(A9,Score!B:B,1,FALSE)</f>
        <v>FC390</v>
      </c>
    </row>
    <row r="10" spans="1:6">
      <c r="A10" t="s">
        <v>302</v>
      </c>
      <c r="B10" t="s">
        <v>303</v>
      </c>
      <c r="C10" t="s">
        <v>2861</v>
      </c>
      <c r="D10" t="s">
        <v>3369</v>
      </c>
      <c r="E10" t="s">
        <v>1257</v>
      </c>
      <c r="F10" t="str">
        <f>VLOOKUP(A10,Score!B:B,1,FALSE)</f>
        <v>FC013</v>
      </c>
    </row>
    <row r="11" spans="1:6">
      <c r="A11" t="s">
        <v>2383</v>
      </c>
      <c r="B11" t="s">
        <v>2863</v>
      </c>
      <c r="C11" t="s">
        <v>2861</v>
      </c>
      <c r="D11" t="s">
        <v>3370</v>
      </c>
      <c r="E11" t="s">
        <v>1258</v>
      </c>
      <c r="F11" t="str">
        <f>VLOOKUP(A11,Score!B:B,1,FALSE)</f>
        <v>FC111</v>
      </c>
    </row>
    <row r="12" spans="1:6">
      <c r="A12" t="s">
        <v>320</v>
      </c>
      <c r="B12" t="s">
        <v>321</v>
      </c>
      <c r="C12" t="s">
        <v>2861</v>
      </c>
      <c r="D12" t="s">
        <v>3371</v>
      </c>
      <c r="E12" t="s">
        <v>1259</v>
      </c>
      <c r="F12" t="str">
        <f>VLOOKUP(A12,Score!B:B,1,FALSE)</f>
        <v>FC209</v>
      </c>
    </row>
    <row r="13" spans="1:6">
      <c r="A13" t="s">
        <v>1223</v>
      </c>
      <c r="B13" t="s">
        <v>1260</v>
      </c>
      <c r="C13" t="s">
        <v>2861</v>
      </c>
      <c r="D13" t="s">
        <v>3371</v>
      </c>
      <c r="E13" t="s">
        <v>1259</v>
      </c>
      <c r="F13" t="str">
        <f>VLOOKUP(A13,Score!B:B,1,FALSE)</f>
        <v>FC389</v>
      </c>
    </row>
    <row r="14" spans="1:6">
      <c r="A14" t="s">
        <v>316</v>
      </c>
      <c r="B14" t="s">
        <v>1262</v>
      </c>
      <c r="C14" t="s">
        <v>2861</v>
      </c>
      <c r="D14" t="s">
        <v>3372</v>
      </c>
      <c r="E14" t="s">
        <v>1261</v>
      </c>
      <c r="F14" t="str">
        <f>VLOOKUP(A14,Score!B:B,1,FALSE)</f>
        <v>FC068</v>
      </c>
    </row>
    <row r="15" spans="1:6">
      <c r="A15" t="s">
        <v>328</v>
      </c>
      <c r="B15" t="s">
        <v>1263</v>
      </c>
      <c r="C15" t="s">
        <v>2861</v>
      </c>
      <c r="D15" t="s">
        <v>3372</v>
      </c>
      <c r="E15" t="s">
        <v>1261</v>
      </c>
      <c r="F15" t="str">
        <f>VLOOKUP(A15,Score!B:B,1,FALSE)</f>
        <v>FC117</v>
      </c>
    </row>
    <row r="16" spans="1:6">
      <c r="A16" t="s">
        <v>284</v>
      </c>
      <c r="B16" t="s">
        <v>1264</v>
      </c>
      <c r="C16" t="s">
        <v>2861</v>
      </c>
      <c r="D16" t="s">
        <v>3372</v>
      </c>
      <c r="E16" t="s">
        <v>1261</v>
      </c>
      <c r="F16" t="str">
        <f>VLOOKUP(A16,Score!B:B,1,FALSE)</f>
        <v>FC169</v>
      </c>
    </row>
    <row r="17" spans="1:6">
      <c r="A17" t="s">
        <v>298</v>
      </c>
      <c r="B17" t="s">
        <v>299</v>
      </c>
      <c r="C17" t="s">
        <v>2861</v>
      </c>
      <c r="D17" t="s">
        <v>3372</v>
      </c>
      <c r="E17" t="s">
        <v>1261</v>
      </c>
      <c r="F17" t="str">
        <f>VLOOKUP(A17,Score!B:B,1,FALSE)</f>
        <v>FC273</v>
      </c>
    </row>
    <row r="18" spans="1:6">
      <c r="A18" t="s">
        <v>334</v>
      </c>
      <c r="B18" t="s">
        <v>335</v>
      </c>
      <c r="C18" t="s">
        <v>2861</v>
      </c>
      <c r="D18" t="s">
        <v>3373</v>
      </c>
      <c r="E18" t="s">
        <v>1265</v>
      </c>
      <c r="F18" t="str">
        <f>VLOOKUP(A18,Score!B:B,1,FALSE)</f>
        <v>FC228</v>
      </c>
    </row>
    <row r="19" spans="1:6">
      <c r="A19" t="s">
        <v>1224</v>
      </c>
      <c r="B19" t="s">
        <v>1266</v>
      </c>
      <c r="C19" t="s">
        <v>2861</v>
      </c>
      <c r="D19" t="s">
        <v>3373</v>
      </c>
      <c r="E19" t="s">
        <v>1265</v>
      </c>
      <c r="F19" t="str">
        <f>VLOOKUP(A19,Score!B:B,1,FALSE)</f>
        <v>FC388</v>
      </c>
    </row>
    <row r="20" spans="1:6">
      <c r="A20" t="s">
        <v>288</v>
      </c>
      <c r="B20" t="s">
        <v>1268</v>
      </c>
      <c r="C20" t="s">
        <v>2861</v>
      </c>
      <c r="D20" t="s">
        <v>3374</v>
      </c>
      <c r="E20" t="s">
        <v>1267</v>
      </c>
      <c r="F20" t="str">
        <f>VLOOKUP(A20,Score!B:B,1,FALSE)</f>
        <v>FC256</v>
      </c>
    </row>
    <row r="21" spans="1:6">
      <c r="A21" t="s">
        <v>280</v>
      </c>
      <c r="B21" t="s">
        <v>281</v>
      </c>
      <c r="C21" t="s">
        <v>2861</v>
      </c>
      <c r="D21" t="s">
        <v>3374</v>
      </c>
      <c r="E21" t="s">
        <v>1267</v>
      </c>
      <c r="F21" t="str">
        <f>VLOOKUP(A21,Score!B:B,1,FALSE)</f>
        <v>FC071</v>
      </c>
    </row>
    <row r="22" spans="1:6">
      <c r="A22" t="s">
        <v>314</v>
      </c>
      <c r="B22" t="s">
        <v>315</v>
      </c>
      <c r="C22" t="s">
        <v>2861</v>
      </c>
      <c r="D22" t="s">
        <v>3374</v>
      </c>
      <c r="E22" t="s">
        <v>1267</v>
      </c>
      <c r="F22" t="str">
        <f>VLOOKUP(A22,Score!B:B,1,FALSE)</f>
        <v>FC272</v>
      </c>
    </row>
    <row r="23" spans="1:6">
      <c r="A23" t="s">
        <v>344</v>
      </c>
      <c r="B23" t="s">
        <v>345</v>
      </c>
      <c r="C23" t="s">
        <v>2861</v>
      </c>
      <c r="D23" t="s">
        <v>3374</v>
      </c>
      <c r="E23" t="s">
        <v>1267</v>
      </c>
      <c r="F23" t="str">
        <f>VLOOKUP(A23,Score!B:B,1,FALSE)</f>
        <v>FC300</v>
      </c>
    </row>
    <row r="24" spans="1:6">
      <c r="A24" t="s">
        <v>292</v>
      </c>
      <c r="B24" t="s">
        <v>293</v>
      </c>
      <c r="C24" t="s">
        <v>2861</v>
      </c>
      <c r="D24" t="s">
        <v>3374</v>
      </c>
      <c r="E24" t="s">
        <v>1267</v>
      </c>
      <c r="F24" t="str">
        <f>VLOOKUP(A24,Score!B:B,1,FALSE)</f>
        <v>FC332</v>
      </c>
    </row>
    <row r="25" spans="1:6">
      <c r="A25" t="s">
        <v>2454</v>
      </c>
      <c r="B25" t="s">
        <v>2453</v>
      </c>
      <c r="C25" t="s">
        <v>2861</v>
      </c>
      <c r="D25" t="s">
        <v>3374</v>
      </c>
      <c r="E25" t="s">
        <v>1267</v>
      </c>
      <c r="F25" t="str">
        <f>VLOOKUP(A25,Score!B:B,1,FALSE)</f>
        <v>FC402</v>
      </c>
    </row>
    <row r="26" spans="1:6">
      <c r="A26" t="s">
        <v>2556</v>
      </c>
      <c r="B26" t="s">
        <v>2866</v>
      </c>
      <c r="C26" t="s">
        <v>2861</v>
      </c>
      <c r="D26" t="s">
        <v>3374</v>
      </c>
      <c r="E26" t="s">
        <v>1267</v>
      </c>
      <c r="F26" t="str">
        <f>VLOOKUP(A26,Score!B:B,1,FALSE)</f>
        <v>FC401</v>
      </c>
    </row>
    <row r="27" spans="1:6">
      <c r="A27" t="s">
        <v>2697</v>
      </c>
      <c r="B27" t="s">
        <v>2867</v>
      </c>
      <c r="C27" t="s">
        <v>2861</v>
      </c>
      <c r="D27" t="s">
        <v>3374</v>
      </c>
      <c r="E27" t="s">
        <v>1267</v>
      </c>
      <c r="F27" t="str">
        <f>VLOOKUP(A27,Score!B:B,1,FALSE)</f>
        <v>FC406</v>
      </c>
    </row>
    <row r="28" spans="1:6">
      <c r="A28" t="s">
        <v>3103</v>
      </c>
      <c r="B28" t="s">
        <v>3104</v>
      </c>
      <c r="C28" t="s">
        <v>2861</v>
      </c>
      <c r="D28" t="s">
        <v>3374</v>
      </c>
      <c r="E28" t="s">
        <v>1267</v>
      </c>
      <c r="F28" t="str">
        <f>VLOOKUP(A28,Score!B:B,1,FALSE)</f>
        <v>FC410</v>
      </c>
    </row>
    <row r="29" spans="1:6">
      <c r="A29" t="s">
        <v>308</v>
      </c>
      <c r="B29" t="s">
        <v>1270</v>
      </c>
      <c r="C29" t="s">
        <v>2861</v>
      </c>
      <c r="D29" t="s">
        <v>3375</v>
      </c>
      <c r="E29" t="s">
        <v>1269</v>
      </c>
      <c r="F29" t="str">
        <f>VLOOKUP(A29,Score!B:B,1,FALSE)</f>
        <v>FC088</v>
      </c>
    </row>
    <row r="30" spans="1:6">
      <c r="A30" t="s">
        <v>290</v>
      </c>
      <c r="B30" t="s">
        <v>291</v>
      </c>
      <c r="C30" t="s">
        <v>2861</v>
      </c>
      <c r="D30" t="s">
        <v>3375</v>
      </c>
      <c r="E30" t="s">
        <v>1269</v>
      </c>
      <c r="F30" t="str">
        <f>VLOOKUP(A30,Score!B:B,1,FALSE)</f>
        <v>FC309</v>
      </c>
    </row>
    <row r="31" spans="1:6">
      <c r="A31" t="s">
        <v>312</v>
      </c>
      <c r="B31" t="s">
        <v>313</v>
      </c>
      <c r="C31" t="s">
        <v>2861</v>
      </c>
      <c r="D31" t="s">
        <v>3376</v>
      </c>
      <c r="E31" t="s">
        <v>1271</v>
      </c>
      <c r="F31" t="str">
        <f>VLOOKUP(A31,Score!B:B,1,FALSE)</f>
        <v>FC065</v>
      </c>
    </row>
    <row r="32" spans="1:6">
      <c r="A32" t="s">
        <v>330</v>
      </c>
      <c r="B32" t="s">
        <v>331</v>
      </c>
      <c r="C32" t="s">
        <v>2861</v>
      </c>
      <c r="D32" t="s">
        <v>3377</v>
      </c>
      <c r="E32" t="s">
        <v>1272</v>
      </c>
      <c r="F32" t="str">
        <f>VLOOKUP(A32,Score!B:B,1,FALSE)</f>
        <v>FC056</v>
      </c>
    </row>
    <row r="33" spans="1:6">
      <c r="A33" t="s">
        <v>294</v>
      </c>
      <c r="B33" t="s">
        <v>295</v>
      </c>
      <c r="C33" t="s">
        <v>2861</v>
      </c>
      <c r="D33" t="s">
        <v>3378</v>
      </c>
      <c r="E33" t="s">
        <v>1273</v>
      </c>
      <c r="F33" t="str">
        <f>VLOOKUP(A33,Score!B:B,1,FALSE)</f>
        <v>FC017</v>
      </c>
    </row>
    <row r="34" spans="1:6">
      <c r="A34" t="s">
        <v>304</v>
      </c>
      <c r="B34" t="s">
        <v>305</v>
      </c>
      <c r="C34" t="s">
        <v>2861</v>
      </c>
      <c r="D34" t="s">
        <v>3378</v>
      </c>
      <c r="E34" t="s">
        <v>1273</v>
      </c>
      <c r="F34" t="str">
        <f>VLOOKUP(A34,Score!B:B,1,FALSE)</f>
        <v>FC308</v>
      </c>
    </row>
    <row r="35" spans="1:6">
      <c r="A35" t="s">
        <v>336</v>
      </c>
      <c r="B35" t="s">
        <v>337</v>
      </c>
      <c r="C35" t="s">
        <v>2861</v>
      </c>
      <c r="D35" t="s">
        <v>3379</v>
      </c>
      <c r="E35" t="s">
        <v>1274</v>
      </c>
      <c r="F35" t="str">
        <f>VLOOKUP(A35,Score!B:B,1,FALSE)</f>
        <v>FC105</v>
      </c>
    </row>
    <row r="36" spans="1:6">
      <c r="A36" t="s">
        <v>342</v>
      </c>
      <c r="B36" t="s">
        <v>343</v>
      </c>
      <c r="C36" t="s">
        <v>2861</v>
      </c>
      <c r="D36" t="s">
        <v>3380</v>
      </c>
      <c r="E36" t="s">
        <v>1275</v>
      </c>
      <c r="F36" t="str">
        <f>VLOOKUP(A36,Score!B:B,1,FALSE)</f>
        <v>FC043</v>
      </c>
    </row>
    <row r="37" spans="1:6">
      <c r="A37" t="s">
        <v>728</v>
      </c>
      <c r="B37" t="s">
        <v>1277</v>
      </c>
      <c r="C37" t="s">
        <v>2861</v>
      </c>
      <c r="D37" t="s">
        <v>3381</v>
      </c>
      <c r="E37" t="s">
        <v>1276</v>
      </c>
      <c r="F37" t="str">
        <f>VLOOKUP(A37,Score!B:B,1,FALSE)</f>
        <v>31IH</v>
      </c>
    </row>
    <row r="38" spans="1:6">
      <c r="A38" t="s">
        <v>3105</v>
      </c>
      <c r="B38" t="s">
        <v>3384</v>
      </c>
      <c r="C38" t="s">
        <v>2861</v>
      </c>
      <c r="D38" t="s">
        <v>3382</v>
      </c>
      <c r="E38" t="s">
        <v>3383</v>
      </c>
      <c r="F38" t="str">
        <f>VLOOKUP(A38,Score!B:B,1,FALSE)</f>
        <v>13O4</v>
      </c>
    </row>
    <row r="39" spans="1:6">
      <c r="A39" t="s">
        <v>3107</v>
      </c>
      <c r="B39" t="s">
        <v>3385</v>
      </c>
      <c r="C39" t="s">
        <v>2861</v>
      </c>
      <c r="D39" t="s">
        <v>3382</v>
      </c>
      <c r="E39" t="s">
        <v>3383</v>
      </c>
      <c r="F39" t="str">
        <f>VLOOKUP(A39,Score!B:B,1,FALSE)</f>
        <v>13O7</v>
      </c>
    </row>
    <row r="40" spans="1:6">
      <c r="A40" t="s">
        <v>3386</v>
      </c>
      <c r="B40" t="s">
        <v>3387</v>
      </c>
      <c r="C40" t="s">
        <v>2861</v>
      </c>
      <c r="D40" t="s">
        <v>3382</v>
      </c>
      <c r="E40" t="s">
        <v>3383</v>
      </c>
      <c r="F40" t="str">
        <f>VLOOKUP(A40,Score!B:B,1,FALSE)</f>
        <v>13O9</v>
      </c>
    </row>
    <row r="41" spans="1:6">
      <c r="A41" t="s">
        <v>300</v>
      </c>
      <c r="B41" t="s">
        <v>301</v>
      </c>
      <c r="C41" t="s">
        <v>2861</v>
      </c>
      <c r="D41" t="s">
        <v>3388</v>
      </c>
      <c r="E41" t="s">
        <v>1278</v>
      </c>
      <c r="F41" t="str">
        <f>VLOOKUP(A41,Score!B:B,1,FALSE)</f>
        <v>FC323</v>
      </c>
    </row>
    <row r="42" spans="1:6">
      <c r="A42" t="s">
        <v>3100</v>
      </c>
      <c r="B42" t="s">
        <v>3101</v>
      </c>
      <c r="C42" t="s">
        <v>2861</v>
      </c>
      <c r="D42" t="s">
        <v>3389</v>
      </c>
      <c r="E42" t="s">
        <v>3390</v>
      </c>
      <c r="F42" t="str">
        <f>VLOOKUP(A42,Score!B:B,1,FALSE)</f>
        <v>13O3</v>
      </c>
    </row>
    <row r="43" spans="1:6">
      <c r="A43" t="s">
        <v>3097</v>
      </c>
      <c r="B43" t="s">
        <v>3393</v>
      </c>
      <c r="C43" t="s">
        <v>2861</v>
      </c>
      <c r="D43" t="s">
        <v>3391</v>
      </c>
      <c r="E43" t="s">
        <v>3392</v>
      </c>
      <c r="F43" t="str">
        <f>VLOOKUP(A43,Score!B:B,1,FALSE)</f>
        <v>13O6</v>
      </c>
    </row>
    <row r="44" spans="1:6">
      <c r="A44" t="s">
        <v>3095</v>
      </c>
      <c r="B44" t="s">
        <v>3396</v>
      </c>
      <c r="C44" t="s">
        <v>2861</v>
      </c>
      <c r="D44" t="s">
        <v>3394</v>
      </c>
      <c r="E44" t="s">
        <v>3395</v>
      </c>
      <c r="F44" t="str">
        <f>VLOOKUP(A44,Score!B:B,1,FALSE)</f>
        <v>13O5</v>
      </c>
    </row>
    <row r="45" spans="1:6">
      <c r="A45" t="s">
        <v>2737</v>
      </c>
      <c r="B45" t="s">
        <v>2870</v>
      </c>
      <c r="C45" t="s">
        <v>2861</v>
      </c>
      <c r="D45" t="s">
        <v>3397</v>
      </c>
      <c r="E45" t="s">
        <v>2869</v>
      </c>
      <c r="F45" t="str">
        <f>VLOOKUP(A45,Score!B:B,1,FALSE)</f>
        <v>FC399</v>
      </c>
    </row>
    <row r="46" spans="1:6">
      <c r="A46" t="s">
        <v>322</v>
      </c>
      <c r="B46" t="s">
        <v>323</v>
      </c>
      <c r="C46" t="s">
        <v>2861</v>
      </c>
      <c r="D46" t="s">
        <v>3398</v>
      </c>
      <c r="E46" t="s">
        <v>1280</v>
      </c>
      <c r="F46" t="str">
        <f>VLOOKUP(A46,Score!B:B,1,FALSE)</f>
        <v>FC015</v>
      </c>
    </row>
    <row r="47" spans="1:6">
      <c r="A47" t="s">
        <v>250</v>
      </c>
      <c r="B47" t="s">
        <v>251</v>
      </c>
      <c r="C47" t="s">
        <v>2871</v>
      </c>
      <c r="D47" t="s">
        <v>3398</v>
      </c>
      <c r="E47" t="s">
        <v>1280</v>
      </c>
      <c r="F47" t="str">
        <f>VLOOKUP(A47,Score!B:B,1,FALSE)</f>
        <v>FC197</v>
      </c>
    </row>
    <row r="48" spans="1:6">
      <c r="A48" t="s">
        <v>266</v>
      </c>
      <c r="B48" t="s">
        <v>267</v>
      </c>
      <c r="C48" t="s">
        <v>2871</v>
      </c>
      <c r="D48" t="s">
        <v>3399</v>
      </c>
      <c r="E48" t="s">
        <v>1281</v>
      </c>
      <c r="F48" t="str">
        <f>VLOOKUP(A48,Score!B:B,1,FALSE)</f>
        <v>FC138</v>
      </c>
    </row>
    <row r="49" spans="1:6">
      <c r="A49" t="s">
        <v>246</v>
      </c>
      <c r="B49" t="s">
        <v>247</v>
      </c>
      <c r="C49" t="s">
        <v>2871</v>
      </c>
      <c r="D49" t="s">
        <v>3400</v>
      </c>
      <c r="E49" t="s">
        <v>1282</v>
      </c>
      <c r="F49" t="str">
        <f>VLOOKUP(A49,Score!B:B,1,FALSE)</f>
        <v>FC142</v>
      </c>
    </row>
    <row r="50" spans="1:6">
      <c r="A50" t="s">
        <v>264</v>
      </c>
      <c r="B50" t="s">
        <v>265</v>
      </c>
      <c r="C50" t="s">
        <v>2871</v>
      </c>
      <c r="D50" t="s">
        <v>3400</v>
      </c>
      <c r="E50" t="s">
        <v>1282</v>
      </c>
      <c r="F50" t="str">
        <f>VLOOKUP(A50,Score!B:B,1,FALSE)</f>
        <v>FC249</v>
      </c>
    </row>
    <row r="51" spans="1:6">
      <c r="A51" t="s">
        <v>240</v>
      </c>
      <c r="B51" t="s">
        <v>241</v>
      </c>
      <c r="C51" t="s">
        <v>2871</v>
      </c>
      <c r="D51" t="s">
        <v>3400</v>
      </c>
      <c r="E51" t="s">
        <v>1282</v>
      </c>
      <c r="F51" t="str">
        <f>VLOOKUP(A51,Score!B:B,1,FALSE)</f>
        <v>FC092</v>
      </c>
    </row>
    <row r="52" spans="1:6">
      <c r="A52" t="s">
        <v>248</v>
      </c>
      <c r="B52" t="s">
        <v>249</v>
      </c>
      <c r="C52" t="s">
        <v>2871</v>
      </c>
      <c r="D52" t="s">
        <v>3401</v>
      </c>
      <c r="E52" t="s">
        <v>1283</v>
      </c>
      <c r="F52" t="str">
        <f>VLOOKUP(A52,Score!B:B,1,FALSE)</f>
        <v>FC176</v>
      </c>
    </row>
    <row r="53" spans="1:6">
      <c r="A53" t="s">
        <v>274</v>
      </c>
      <c r="B53" t="s">
        <v>275</v>
      </c>
      <c r="C53" t="s">
        <v>2871</v>
      </c>
      <c r="D53" t="s">
        <v>3401</v>
      </c>
      <c r="E53" t="s">
        <v>1283</v>
      </c>
      <c r="F53" t="str">
        <f>VLOOKUP(A53,Score!B:B,1,FALSE)</f>
        <v>FC201</v>
      </c>
    </row>
    <row r="54" spans="1:6">
      <c r="A54" t="s">
        <v>278</v>
      </c>
      <c r="B54" t="s">
        <v>3191</v>
      </c>
      <c r="C54" t="s">
        <v>2871</v>
      </c>
      <c r="D54" t="s">
        <v>3401</v>
      </c>
      <c r="E54" t="s">
        <v>1283</v>
      </c>
      <c r="F54" t="str">
        <f>VLOOKUP(A54,Score!B:B,1,FALSE)</f>
        <v>FC214</v>
      </c>
    </row>
    <row r="55" spans="1:6">
      <c r="A55" t="s">
        <v>262</v>
      </c>
      <c r="B55" t="s">
        <v>263</v>
      </c>
      <c r="C55" t="s">
        <v>2871</v>
      </c>
      <c r="D55" t="s">
        <v>3401</v>
      </c>
      <c r="E55" t="s">
        <v>1283</v>
      </c>
      <c r="F55" t="str">
        <f>VLOOKUP(A55,Score!B:B,1,FALSE)</f>
        <v>FC248</v>
      </c>
    </row>
    <row r="56" spans="1:6">
      <c r="A56" t="s">
        <v>270</v>
      </c>
      <c r="B56" t="s">
        <v>3190</v>
      </c>
      <c r="C56" t="s">
        <v>2871</v>
      </c>
      <c r="D56" t="s">
        <v>3401</v>
      </c>
      <c r="E56" t="s">
        <v>1283</v>
      </c>
      <c r="F56" t="str">
        <f>VLOOKUP(A56,Score!B:B,1,FALSE)</f>
        <v>FC299</v>
      </c>
    </row>
    <row r="57" spans="1:6">
      <c r="A57" t="s">
        <v>252</v>
      </c>
      <c r="B57" t="s">
        <v>253</v>
      </c>
      <c r="C57" t="s">
        <v>2871</v>
      </c>
      <c r="D57" t="s">
        <v>3402</v>
      </c>
      <c r="E57" t="s">
        <v>1284</v>
      </c>
      <c r="F57" t="str">
        <f>VLOOKUP(A57,Score!B:B,1,FALSE)</f>
        <v>FC070</v>
      </c>
    </row>
    <row r="58" spans="1:6">
      <c r="A58" t="s">
        <v>1225</v>
      </c>
      <c r="B58" t="s">
        <v>2874</v>
      </c>
      <c r="C58" t="s">
        <v>2871</v>
      </c>
      <c r="D58" t="s">
        <v>3402</v>
      </c>
      <c r="E58" t="s">
        <v>1284</v>
      </c>
      <c r="F58" t="str">
        <f>VLOOKUP(A58,Score!B:B,1,FALSE)</f>
        <v>FC369</v>
      </c>
    </row>
    <row r="59" spans="1:6">
      <c r="A59" t="s">
        <v>276</v>
      </c>
      <c r="B59" t="s">
        <v>1285</v>
      </c>
      <c r="C59" t="s">
        <v>2871</v>
      </c>
      <c r="D59" t="s">
        <v>3402</v>
      </c>
      <c r="E59" t="s">
        <v>1284</v>
      </c>
      <c r="F59" t="str">
        <f>VLOOKUP(A59,Score!B:B,1,FALSE)</f>
        <v>FC254</v>
      </c>
    </row>
    <row r="60" spans="1:6">
      <c r="A60" t="s">
        <v>2455</v>
      </c>
      <c r="B60" t="s">
        <v>2875</v>
      </c>
      <c r="C60" t="s">
        <v>2871</v>
      </c>
      <c r="D60" t="s">
        <v>3402</v>
      </c>
      <c r="E60" t="s">
        <v>1284</v>
      </c>
      <c r="F60" t="str">
        <f>VLOOKUP(A60,Score!B:B,1,FALSE)</f>
        <v>FC397</v>
      </c>
    </row>
    <row r="61" spans="1:6">
      <c r="A61" t="s">
        <v>260</v>
      </c>
      <c r="B61" t="s">
        <v>261</v>
      </c>
      <c r="C61" t="s">
        <v>2871</v>
      </c>
      <c r="D61" t="s">
        <v>3403</v>
      </c>
      <c r="E61" t="s">
        <v>1286</v>
      </c>
      <c r="F61" t="str">
        <f>VLOOKUP(A61,Score!B:B,1,FALSE)</f>
        <v>FC069</v>
      </c>
    </row>
    <row r="62" spans="1:6">
      <c r="A62" t="s">
        <v>254</v>
      </c>
      <c r="B62" t="s">
        <v>255</v>
      </c>
      <c r="C62" t="s">
        <v>2871</v>
      </c>
      <c r="D62" t="s">
        <v>3404</v>
      </c>
      <c r="E62" t="s">
        <v>1287</v>
      </c>
      <c r="F62" t="str">
        <f>VLOOKUP(A62,Score!B:B,1,FALSE)</f>
        <v>FC009</v>
      </c>
    </row>
    <row r="63" spans="1:6">
      <c r="A63" t="s">
        <v>256</v>
      </c>
      <c r="B63" t="s">
        <v>257</v>
      </c>
      <c r="C63" t="s">
        <v>2871</v>
      </c>
      <c r="D63" t="s">
        <v>3405</v>
      </c>
      <c r="E63" t="s">
        <v>1288</v>
      </c>
      <c r="F63" t="str">
        <f>VLOOKUP(A63,Score!B:B,1,FALSE)</f>
        <v>FC137</v>
      </c>
    </row>
    <row r="64" spans="1:6">
      <c r="A64" t="s">
        <v>244</v>
      </c>
      <c r="B64" t="s">
        <v>245</v>
      </c>
      <c r="C64" t="s">
        <v>2871</v>
      </c>
      <c r="D64" t="s">
        <v>3406</v>
      </c>
      <c r="E64" t="s">
        <v>1289</v>
      </c>
      <c r="F64" t="str">
        <f>VLOOKUP(A64,Score!B:B,1,FALSE)</f>
        <v>FC158</v>
      </c>
    </row>
    <row r="65" spans="1:6">
      <c r="A65" t="s">
        <v>242</v>
      </c>
      <c r="B65" t="s">
        <v>243</v>
      </c>
      <c r="C65" t="s">
        <v>2871</v>
      </c>
      <c r="D65" t="s">
        <v>3407</v>
      </c>
      <c r="E65" t="s">
        <v>1290</v>
      </c>
      <c r="F65" t="str">
        <f>VLOOKUP(A65,Score!B:B,1,FALSE)</f>
        <v>FC236</v>
      </c>
    </row>
    <row r="66" spans="1:6">
      <c r="A66" t="s">
        <v>258</v>
      </c>
      <c r="B66" t="s">
        <v>259</v>
      </c>
      <c r="C66" t="s">
        <v>2871</v>
      </c>
      <c r="D66" t="s">
        <v>3408</v>
      </c>
      <c r="E66" t="s">
        <v>1291</v>
      </c>
      <c r="F66" t="str">
        <f>VLOOKUP(A66,Score!B:B,1,FALSE)</f>
        <v>FC035</v>
      </c>
    </row>
    <row r="67" spans="1:6">
      <c r="A67" t="s">
        <v>520</v>
      </c>
      <c r="B67" t="s">
        <v>521</v>
      </c>
      <c r="C67" t="s">
        <v>2876</v>
      </c>
      <c r="D67" t="s">
        <v>3409</v>
      </c>
      <c r="E67" t="s">
        <v>1292</v>
      </c>
      <c r="F67" t="str">
        <f>VLOOKUP(A67,Score!B:B,1,FALSE)</f>
        <v>FC146</v>
      </c>
    </row>
    <row r="68" spans="1:6">
      <c r="A68" t="s">
        <v>464</v>
      </c>
      <c r="B68" t="s">
        <v>465</v>
      </c>
      <c r="C68" t="s">
        <v>2876</v>
      </c>
      <c r="D68" t="s">
        <v>3409</v>
      </c>
      <c r="E68" t="s">
        <v>1292</v>
      </c>
      <c r="F68" t="str">
        <f>VLOOKUP(A68,Score!B:B,1,FALSE)</f>
        <v>FC276</v>
      </c>
    </row>
    <row r="69" spans="1:6">
      <c r="A69" t="s">
        <v>468</v>
      </c>
      <c r="B69" t="s">
        <v>469</v>
      </c>
      <c r="C69" t="s">
        <v>2876</v>
      </c>
      <c r="D69" t="s">
        <v>3409</v>
      </c>
      <c r="E69" t="s">
        <v>1292</v>
      </c>
      <c r="F69" t="str">
        <f>VLOOKUP(A69,Score!B:B,1,FALSE)</f>
        <v>FC322</v>
      </c>
    </row>
    <row r="70" spans="1:6">
      <c r="A70" t="s">
        <v>498</v>
      </c>
      <c r="B70" t="s">
        <v>499</v>
      </c>
      <c r="C70" t="s">
        <v>2876</v>
      </c>
      <c r="D70" t="s">
        <v>3410</v>
      </c>
      <c r="E70" t="s">
        <v>1293</v>
      </c>
      <c r="F70" t="str">
        <f>VLOOKUP(A70,Score!B:B,1,FALSE)</f>
        <v>FC216</v>
      </c>
    </row>
    <row r="71" spans="1:6">
      <c r="A71" t="s">
        <v>528</v>
      </c>
      <c r="B71" t="s">
        <v>529</v>
      </c>
      <c r="C71" t="s">
        <v>2876</v>
      </c>
      <c r="D71" t="s">
        <v>3411</v>
      </c>
      <c r="E71" t="s">
        <v>1294</v>
      </c>
      <c r="F71" t="str">
        <f>VLOOKUP(A71,Score!B:B,1,FALSE)</f>
        <v>FC007</v>
      </c>
    </row>
    <row r="72" spans="1:6">
      <c r="A72" t="s">
        <v>476</v>
      </c>
      <c r="B72" t="s">
        <v>477</v>
      </c>
      <c r="C72" t="s">
        <v>2876</v>
      </c>
      <c r="D72" t="s">
        <v>3412</v>
      </c>
      <c r="E72" t="s">
        <v>1295</v>
      </c>
      <c r="F72" t="str">
        <f>VLOOKUP(A72,Score!B:B,1,FALSE)</f>
        <v>FC205</v>
      </c>
    </row>
    <row r="73" spans="1:6">
      <c r="A73" t="s">
        <v>544</v>
      </c>
      <c r="B73" t="s">
        <v>545</v>
      </c>
      <c r="C73" t="s">
        <v>2876</v>
      </c>
      <c r="D73" t="s">
        <v>3413</v>
      </c>
      <c r="E73" t="s">
        <v>1296</v>
      </c>
      <c r="F73" t="str">
        <f>VLOOKUP(A73,Score!B:B,1,FALSE)</f>
        <v>FC297</v>
      </c>
    </row>
    <row r="74" spans="1:6">
      <c r="A74" t="s">
        <v>1250</v>
      </c>
      <c r="B74" t="s">
        <v>1297</v>
      </c>
      <c r="C74" t="s">
        <v>2876</v>
      </c>
      <c r="D74" t="s">
        <v>3413</v>
      </c>
      <c r="E74" t="s">
        <v>1296</v>
      </c>
      <c r="F74" t="str">
        <f>VLOOKUP(A74,Score!B:B,1,FALSE)</f>
        <v>FC393</v>
      </c>
    </row>
    <row r="75" spans="1:6">
      <c r="A75" t="s">
        <v>438</v>
      </c>
      <c r="B75" t="s">
        <v>439</v>
      </c>
      <c r="C75" t="s">
        <v>2876</v>
      </c>
      <c r="D75" t="s">
        <v>3414</v>
      </c>
      <c r="E75" t="s">
        <v>1298</v>
      </c>
      <c r="F75" t="str">
        <f>VLOOKUP(A75,Score!B:B,1,FALSE)</f>
        <v>FC195</v>
      </c>
    </row>
    <row r="76" spans="1:6">
      <c r="A76" t="s">
        <v>460</v>
      </c>
      <c r="B76" t="s">
        <v>461</v>
      </c>
      <c r="C76" t="s">
        <v>2876</v>
      </c>
      <c r="D76" t="s">
        <v>3414</v>
      </c>
      <c r="E76" t="s">
        <v>1298</v>
      </c>
      <c r="F76" t="str">
        <f>VLOOKUP(A76,Score!B:B,1,FALSE)</f>
        <v>FC247</v>
      </c>
    </row>
    <row r="77" spans="1:6">
      <c r="A77" t="s">
        <v>2850</v>
      </c>
      <c r="B77" t="s">
        <v>2879</v>
      </c>
      <c r="C77" t="s">
        <v>2876</v>
      </c>
      <c r="D77" t="s">
        <v>3414</v>
      </c>
      <c r="E77" t="s">
        <v>1298</v>
      </c>
      <c r="F77" t="str">
        <f>VLOOKUP(A77,Score!B:B,1,FALSE)</f>
        <v>FC404</v>
      </c>
    </row>
    <row r="78" spans="1:6">
      <c r="A78" t="s">
        <v>426</v>
      </c>
      <c r="B78" t="s">
        <v>427</v>
      </c>
      <c r="C78" t="s">
        <v>2876</v>
      </c>
      <c r="D78" t="s">
        <v>3414</v>
      </c>
      <c r="E78" t="s">
        <v>1298</v>
      </c>
      <c r="F78" t="str">
        <f>VLOOKUP(A78,Score!B:B,1,FALSE)</f>
        <v>FC194</v>
      </c>
    </row>
    <row r="79" spans="1:6">
      <c r="A79" t="s">
        <v>510</v>
      </c>
      <c r="B79" t="s">
        <v>511</v>
      </c>
      <c r="C79" t="s">
        <v>2876</v>
      </c>
      <c r="D79" t="s">
        <v>3414</v>
      </c>
      <c r="E79" t="s">
        <v>1298</v>
      </c>
      <c r="F79" t="str">
        <f>VLOOKUP(A79,Score!B:B,1,FALSE)</f>
        <v>FC265</v>
      </c>
    </row>
    <row r="80" spans="1:6">
      <c r="A80" t="s">
        <v>522</v>
      </c>
      <c r="B80" t="s">
        <v>523</v>
      </c>
      <c r="C80" t="s">
        <v>2876</v>
      </c>
      <c r="D80" t="s">
        <v>3414</v>
      </c>
      <c r="E80" t="s">
        <v>1298</v>
      </c>
      <c r="F80" t="str">
        <f>VLOOKUP(A80,Score!B:B,1,FALSE)</f>
        <v>FC280</v>
      </c>
    </row>
    <row r="81" spans="1:6">
      <c r="A81" t="s">
        <v>504</v>
      </c>
      <c r="B81" t="s">
        <v>505</v>
      </c>
      <c r="C81" t="s">
        <v>2876</v>
      </c>
      <c r="D81" t="s">
        <v>3415</v>
      </c>
      <c r="E81" t="s">
        <v>1299</v>
      </c>
      <c r="F81" t="str">
        <f>VLOOKUP(A81,Score!B:B,1,FALSE)</f>
        <v>FC174</v>
      </c>
    </row>
    <row r="82" spans="1:6">
      <c r="A82" t="s">
        <v>532</v>
      </c>
      <c r="B82" t="s">
        <v>533</v>
      </c>
      <c r="C82" t="s">
        <v>2876</v>
      </c>
      <c r="D82" t="s">
        <v>3416</v>
      </c>
      <c r="E82" t="s">
        <v>1300</v>
      </c>
      <c r="F82" t="str">
        <f>VLOOKUP(A82,Score!B:B,1,FALSE)</f>
        <v>FC048</v>
      </c>
    </row>
    <row r="83" spans="1:6">
      <c r="A83" t="s">
        <v>428</v>
      </c>
      <c r="B83" t="s">
        <v>429</v>
      </c>
      <c r="C83" t="s">
        <v>2876</v>
      </c>
      <c r="D83" t="s">
        <v>3416</v>
      </c>
      <c r="E83" t="s">
        <v>1300</v>
      </c>
      <c r="F83" t="str">
        <f>VLOOKUP(A83,Score!B:B,1,FALSE)</f>
        <v>FC204</v>
      </c>
    </row>
    <row r="84" spans="1:6">
      <c r="A84" t="s">
        <v>436</v>
      </c>
      <c r="B84" t="s">
        <v>437</v>
      </c>
      <c r="C84" t="s">
        <v>2876</v>
      </c>
      <c r="D84" t="s">
        <v>3416</v>
      </c>
      <c r="E84" t="s">
        <v>1300</v>
      </c>
      <c r="F84" t="str">
        <f>VLOOKUP(A84,Score!B:B,1,FALSE)</f>
        <v>FC049</v>
      </c>
    </row>
    <row r="85" spans="1:6">
      <c r="A85" t="s">
        <v>440</v>
      </c>
      <c r="B85" t="s">
        <v>441</v>
      </c>
      <c r="C85" t="s">
        <v>2876</v>
      </c>
      <c r="D85" t="s">
        <v>3417</v>
      </c>
      <c r="E85" t="s">
        <v>1301</v>
      </c>
      <c r="F85" t="str">
        <f>VLOOKUP(A85,Score!B:B,1,FALSE)</f>
        <v>FC219</v>
      </c>
    </row>
    <row r="86" spans="1:6">
      <c r="A86" t="s">
        <v>502</v>
      </c>
      <c r="B86" t="s">
        <v>503</v>
      </c>
      <c r="C86" t="s">
        <v>2876</v>
      </c>
      <c r="D86" t="s">
        <v>3418</v>
      </c>
      <c r="E86" t="s">
        <v>1302</v>
      </c>
      <c r="F86" t="str">
        <f>VLOOKUP(A86,Score!B:B,1,FALSE)</f>
        <v>FC057</v>
      </c>
    </row>
    <row r="87" spans="1:6">
      <c r="A87" t="s">
        <v>422</v>
      </c>
      <c r="B87" t="s">
        <v>423</v>
      </c>
      <c r="C87" t="s">
        <v>2876</v>
      </c>
      <c r="D87" t="s">
        <v>3419</v>
      </c>
      <c r="E87" t="s">
        <v>1303</v>
      </c>
      <c r="F87" t="str">
        <f>VLOOKUP(A87,Score!B:B,1,FALSE)</f>
        <v>FC172</v>
      </c>
    </row>
    <row r="88" spans="1:6">
      <c r="A88" t="s">
        <v>452</v>
      </c>
      <c r="B88" t="s">
        <v>453</v>
      </c>
      <c r="C88" t="s">
        <v>2876</v>
      </c>
      <c r="D88" t="s">
        <v>3420</v>
      </c>
      <c r="E88" t="s">
        <v>1304</v>
      </c>
      <c r="F88" t="str">
        <f>VLOOKUP(A88,Score!B:B,1,FALSE)</f>
        <v>FC121</v>
      </c>
    </row>
    <row r="89" spans="1:6">
      <c r="A89" t="s">
        <v>456</v>
      </c>
      <c r="B89" t="s">
        <v>457</v>
      </c>
      <c r="C89" t="s">
        <v>2876</v>
      </c>
      <c r="D89" t="s">
        <v>3421</v>
      </c>
      <c r="E89" t="s">
        <v>1305</v>
      </c>
      <c r="F89" t="str">
        <f>VLOOKUP(A89,Score!B:B,1,FALSE)</f>
        <v>FC167</v>
      </c>
    </row>
    <row r="90" spans="1:6">
      <c r="A90" t="s">
        <v>496</v>
      </c>
      <c r="B90" t="s">
        <v>497</v>
      </c>
      <c r="C90" t="s">
        <v>2876</v>
      </c>
      <c r="D90" t="s">
        <v>3422</v>
      </c>
      <c r="E90" t="s">
        <v>2883</v>
      </c>
      <c r="F90" t="str">
        <f>VLOOKUP(A90,Score!B:B,1,FALSE)</f>
        <v>FC208</v>
      </c>
    </row>
    <row r="91" spans="1:6">
      <c r="A91" t="s">
        <v>518</v>
      </c>
      <c r="B91" t="s">
        <v>519</v>
      </c>
      <c r="C91" t="s">
        <v>2876</v>
      </c>
      <c r="D91" t="s">
        <v>3423</v>
      </c>
      <c r="E91" t="s">
        <v>1306</v>
      </c>
      <c r="F91" t="str">
        <f>VLOOKUP(A91,Score!B:B,1,FALSE)</f>
        <v>FC130</v>
      </c>
    </row>
    <row r="92" spans="1:6">
      <c r="A92" t="s">
        <v>454</v>
      </c>
      <c r="B92" t="s">
        <v>455</v>
      </c>
      <c r="C92" t="s">
        <v>2876</v>
      </c>
      <c r="D92" t="s">
        <v>3424</v>
      </c>
      <c r="E92" t="s">
        <v>1307</v>
      </c>
      <c r="F92" t="str">
        <f>VLOOKUP(A92,Score!B:B,1,FALSE)</f>
        <v>FC148</v>
      </c>
    </row>
    <row r="93" spans="1:6">
      <c r="A93" t="s">
        <v>490</v>
      </c>
      <c r="B93" t="s">
        <v>491</v>
      </c>
      <c r="C93" t="s">
        <v>2876</v>
      </c>
      <c r="D93" t="s">
        <v>3425</v>
      </c>
      <c r="E93" t="s">
        <v>1308</v>
      </c>
      <c r="F93" t="str">
        <f>VLOOKUP(A93,Score!B:B,1,FALSE)</f>
        <v>FC094</v>
      </c>
    </row>
    <row r="94" spans="1:6">
      <c r="A94" t="s">
        <v>506</v>
      </c>
      <c r="B94" t="s">
        <v>507</v>
      </c>
      <c r="C94" t="s">
        <v>2876</v>
      </c>
      <c r="D94" t="s">
        <v>3425</v>
      </c>
      <c r="E94" t="s">
        <v>1308</v>
      </c>
      <c r="F94" t="str">
        <f>VLOOKUP(A94,Score!B:B,1,FALSE)</f>
        <v>FC250</v>
      </c>
    </row>
    <row r="95" spans="1:6">
      <c r="A95" t="s">
        <v>430</v>
      </c>
      <c r="B95" t="s">
        <v>431</v>
      </c>
      <c r="C95" t="s">
        <v>2876</v>
      </c>
      <c r="D95" t="s">
        <v>3426</v>
      </c>
      <c r="E95" t="s">
        <v>1309</v>
      </c>
      <c r="F95" t="str">
        <f>VLOOKUP(A95,Score!B:B,1,FALSE)</f>
        <v>FC207</v>
      </c>
    </row>
    <row r="96" spans="1:6">
      <c r="A96" t="s">
        <v>530</v>
      </c>
      <c r="B96" t="s">
        <v>531</v>
      </c>
      <c r="C96" t="s">
        <v>2876</v>
      </c>
      <c r="D96" t="s">
        <v>3427</v>
      </c>
      <c r="E96" t="s">
        <v>1310</v>
      </c>
      <c r="F96" t="str">
        <f>VLOOKUP(A96,Score!B:B,1,FALSE)</f>
        <v>FC045</v>
      </c>
    </row>
    <row r="97" spans="1:6">
      <c r="A97" t="s">
        <v>542</v>
      </c>
      <c r="B97" t="s">
        <v>543</v>
      </c>
      <c r="C97" t="s">
        <v>2876</v>
      </c>
      <c r="D97" t="s">
        <v>3427</v>
      </c>
      <c r="E97" t="s">
        <v>1310</v>
      </c>
      <c r="F97" t="str">
        <f>VLOOKUP(A97,Score!B:B,1,FALSE)</f>
        <v>FC289</v>
      </c>
    </row>
    <row r="98" spans="1:6">
      <c r="A98" t="s">
        <v>534</v>
      </c>
      <c r="B98" t="s">
        <v>535</v>
      </c>
      <c r="C98" t="s">
        <v>2876</v>
      </c>
      <c r="D98" t="s">
        <v>3427</v>
      </c>
      <c r="E98" t="s">
        <v>1310</v>
      </c>
      <c r="F98" t="str">
        <f>VLOOKUP(A98,Score!B:B,1,FALSE)</f>
        <v>FC067</v>
      </c>
    </row>
    <row r="99" spans="1:6">
      <c r="A99" t="s">
        <v>1242</v>
      </c>
      <c r="B99" t="s">
        <v>1311</v>
      </c>
      <c r="C99" t="s">
        <v>2876</v>
      </c>
      <c r="D99" t="s">
        <v>3427</v>
      </c>
      <c r="E99" t="s">
        <v>1310</v>
      </c>
      <c r="F99" t="str">
        <f>VLOOKUP(A99,Score!B:B,1,FALSE)</f>
        <v>FC382</v>
      </c>
    </row>
    <row r="100" spans="1:6">
      <c r="A100" t="s">
        <v>492</v>
      </c>
      <c r="B100" t="s">
        <v>1313</v>
      </c>
      <c r="C100" t="s">
        <v>2876</v>
      </c>
      <c r="D100" t="s">
        <v>3428</v>
      </c>
      <c r="E100" t="s">
        <v>1312</v>
      </c>
      <c r="F100" t="str">
        <f>VLOOKUP(A100,Score!B:B,1,FALSE)</f>
        <v>FC118</v>
      </c>
    </row>
    <row r="101" spans="1:6">
      <c r="A101" t="s">
        <v>494</v>
      </c>
      <c r="B101" t="s">
        <v>495</v>
      </c>
      <c r="C101" t="s">
        <v>2876</v>
      </c>
      <c r="D101" t="s">
        <v>3428</v>
      </c>
      <c r="E101" t="s">
        <v>1312</v>
      </c>
      <c r="F101" t="str">
        <f>VLOOKUP(A101,Score!B:B,1,FALSE)</f>
        <v>FC178</v>
      </c>
    </row>
    <row r="102" spans="1:6">
      <c r="A102" t="s">
        <v>472</v>
      </c>
      <c r="B102" t="s">
        <v>473</v>
      </c>
      <c r="C102" t="s">
        <v>2876</v>
      </c>
      <c r="D102" t="s">
        <v>3429</v>
      </c>
      <c r="E102" t="s">
        <v>1314</v>
      </c>
      <c r="F102" t="str">
        <f>VLOOKUP(A102,Score!B:B,1,FALSE)</f>
        <v>FC025</v>
      </c>
    </row>
    <row r="103" spans="1:6">
      <c r="A103" t="s">
        <v>474</v>
      </c>
      <c r="B103" t="s">
        <v>475</v>
      </c>
      <c r="C103" t="s">
        <v>2876</v>
      </c>
      <c r="D103" t="s">
        <v>3429</v>
      </c>
      <c r="E103" t="s">
        <v>1314</v>
      </c>
      <c r="F103" t="str">
        <f>VLOOKUP(A103,Score!B:B,1,FALSE)</f>
        <v>FC165</v>
      </c>
    </row>
    <row r="104" spans="1:6">
      <c r="A104" t="s">
        <v>462</v>
      </c>
      <c r="B104" t="s">
        <v>463</v>
      </c>
      <c r="C104" t="s">
        <v>2876</v>
      </c>
      <c r="D104" t="s">
        <v>3430</v>
      </c>
      <c r="E104" t="s">
        <v>1315</v>
      </c>
      <c r="F104" t="str">
        <f>VLOOKUP(A104,Score!B:B,1,FALSE)</f>
        <v>FC261</v>
      </c>
    </row>
    <row r="105" spans="1:6">
      <c r="A105" t="s">
        <v>432</v>
      </c>
      <c r="B105" t="s">
        <v>433</v>
      </c>
      <c r="C105" t="s">
        <v>2876</v>
      </c>
      <c r="D105" t="s">
        <v>3430</v>
      </c>
      <c r="E105" t="s">
        <v>1315</v>
      </c>
      <c r="F105" t="str">
        <f>VLOOKUP(A105,Score!B:B,1,FALSE)</f>
        <v>FC293</v>
      </c>
    </row>
    <row r="106" spans="1:6">
      <c r="A106" t="s">
        <v>434</v>
      </c>
      <c r="B106" t="s">
        <v>435</v>
      </c>
      <c r="C106" t="s">
        <v>2876</v>
      </c>
      <c r="D106" t="s">
        <v>3430</v>
      </c>
      <c r="E106" t="s">
        <v>1315</v>
      </c>
      <c r="F106" t="str">
        <f>VLOOKUP(A106,Score!B:B,1,FALSE)</f>
        <v>FC303</v>
      </c>
    </row>
    <row r="107" spans="1:6">
      <c r="A107" t="s">
        <v>484</v>
      </c>
      <c r="B107" t="s">
        <v>485</v>
      </c>
      <c r="C107" t="s">
        <v>2876</v>
      </c>
      <c r="D107" t="s">
        <v>3430</v>
      </c>
      <c r="E107" t="s">
        <v>1315</v>
      </c>
      <c r="F107" t="str">
        <f>VLOOKUP(A107,Score!B:B,1,FALSE)</f>
        <v>FC333</v>
      </c>
    </row>
    <row r="108" spans="1:6">
      <c r="A108" t="s">
        <v>418</v>
      </c>
      <c r="B108" t="s">
        <v>419</v>
      </c>
      <c r="C108" t="s">
        <v>2876</v>
      </c>
      <c r="D108" t="s">
        <v>3431</v>
      </c>
      <c r="E108" t="s">
        <v>1316</v>
      </c>
      <c r="F108" t="str">
        <f>VLOOKUP(A108,Score!B:B,1,FALSE)</f>
        <v>FC153</v>
      </c>
    </row>
    <row r="109" spans="1:6">
      <c r="A109" t="s">
        <v>538</v>
      </c>
      <c r="B109" t="s">
        <v>539</v>
      </c>
      <c r="C109" t="s">
        <v>2876</v>
      </c>
      <c r="D109" t="s">
        <v>3431</v>
      </c>
      <c r="E109" t="s">
        <v>1316</v>
      </c>
      <c r="F109" t="str">
        <f>VLOOKUP(A109,Score!B:B,1,FALSE)</f>
        <v>FC154</v>
      </c>
    </row>
    <row r="110" spans="1:6">
      <c r="A110" t="s">
        <v>536</v>
      </c>
      <c r="B110" t="s">
        <v>537</v>
      </c>
      <c r="C110" t="s">
        <v>2876</v>
      </c>
      <c r="D110" t="s">
        <v>3431</v>
      </c>
      <c r="E110" t="s">
        <v>1316</v>
      </c>
      <c r="F110" t="str">
        <f>VLOOKUP(A110,Score!B:B,1,FALSE)</f>
        <v>FC101</v>
      </c>
    </row>
    <row r="111" spans="1:6">
      <c r="A111" t="s">
        <v>442</v>
      </c>
      <c r="B111" t="s">
        <v>443</v>
      </c>
      <c r="C111" t="s">
        <v>2876</v>
      </c>
      <c r="D111" t="s">
        <v>3431</v>
      </c>
      <c r="E111" t="s">
        <v>1316</v>
      </c>
      <c r="F111" t="str">
        <f>VLOOKUP(A111,Score!B:B,1,FALSE)</f>
        <v>FC246</v>
      </c>
    </row>
    <row r="112" spans="1:6">
      <c r="A112" t="s">
        <v>424</v>
      </c>
      <c r="B112" t="s">
        <v>425</v>
      </c>
      <c r="C112" t="s">
        <v>2876</v>
      </c>
      <c r="D112" t="s">
        <v>3432</v>
      </c>
      <c r="E112" t="s">
        <v>1317</v>
      </c>
      <c r="F112" t="str">
        <f>VLOOKUP(A112,Score!B:B,1,FALSE)</f>
        <v>FC187</v>
      </c>
    </row>
    <row r="113" spans="1:6">
      <c r="A113" t="s">
        <v>450</v>
      </c>
      <c r="B113" t="s">
        <v>451</v>
      </c>
      <c r="C113" t="s">
        <v>2876</v>
      </c>
      <c r="D113" t="s">
        <v>3433</v>
      </c>
      <c r="E113" t="s">
        <v>1318</v>
      </c>
      <c r="F113" t="str">
        <f>VLOOKUP(A113,Score!B:B,1,FALSE)</f>
        <v>FC053</v>
      </c>
    </row>
    <row r="114" spans="1:6">
      <c r="A114" t="s">
        <v>516</v>
      </c>
      <c r="B114" t="s">
        <v>517</v>
      </c>
      <c r="C114" t="s">
        <v>2876</v>
      </c>
      <c r="D114" t="s">
        <v>3433</v>
      </c>
      <c r="E114" t="s">
        <v>1318</v>
      </c>
      <c r="F114" t="str">
        <f>VLOOKUP(A114,Score!B:B,1,FALSE)</f>
        <v>FC036</v>
      </c>
    </row>
    <row r="115" spans="1:6">
      <c r="A115" t="s">
        <v>448</v>
      </c>
      <c r="B115" t="s">
        <v>449</v>
      </c>
      <c r="C115" t="s">
        <v>2876</v>
      </c>
      <c r="D115" t="s">
        <v>3433</v>
      </c>
      <c r="E115" t="s">
        <v>1318</v>
      </c>
      <c r="F115" t="str">
        <f>VLOOKUP(A115,Score!B:B,1,FALSE)</f>
        <v>FC051</v>
      </c>
    </row>
    <row r="116" spans="1:6">
      <c r="A116" t="s">
        <v>482</v>
      </c>
      <c r="B116" t="s">
        <v>483</v>
      </c>
      <c r="C116" t="s">
        <v>2876</v>
      </c>
      <c r="D116" t="s">
        <v>3433</v>
      </c>
      <c r="E116" t="s">
        <v>1318</v>
      </c>
      <c r="F116" t="str">
        <f>VLOOKUP(A116,Score!B:B,1,FALSE)</f>
        <v>FC259</v>
      </c>
    </row>
    <row r="117" spans="1:6">
      <c r="A117" t="s">
        <v>466</v>
      </c>
      <c r="B117" t="s">
        <v>467</v>
      </c>
      <c r="C117" t="s">
        <v>2876</v>
      </c>
      <c r="D117" t="s">
        <v>3433</v>
      </c>
      <c r="E117" t="s">
        <v>1318</v>
      </c>
      <c r="F117" t="str">
        <f>VLOOKUP(A117,Score!B:B,1,FALSE)</f>
        <v>FC278</v>
      </c>
    </row>
    <row r="118" spans="1:6">
      <c r="A118" t="s">
        <v>458</v>
      </c>
      <c r="B118" t="s">
        <v>459</v>
      </c>
      <c r="C118" t="s">
        <v>2876</v>
      </c>
      <c r="D118" t="s">
        <v>3434</v>
      </c>
      <c r="E118" t="s">
        <v>1319</v>
      </c>
      <c r="F118" t="str">
        <f>VLOOKUP(A118,Score!B:B,1,FALSE)</f>
        <v>FC240</v>
      </c>
    </row>
    <row r="119" spans="1:6">
      <c r="A119" t="s">
        <v>524</v>
      </c>
      <c r="B119" t="s">
        <v>2887</v>
      </c>
      <c r="C119" t="s">
        <v>2876</v>
      </c>
      <c r="D119" t="s">
        <v>3435</v>
      </c>
      <c r="E119" t="s">
        <v>2886</v>
      </c>
      <c r="F119" t="str">
        <f>VLOOKUP(A119,Score!B:B,1,FALSE)</f>
        <v>FC347</v>
      </c>
    </row>
    <row r="120" spans="1:6">
      <c r="A120" t="s">
        <v>512</v>
      </c>
      <c r="B120" t="s">
        <v>513</v>
      </c>
      <c r="C120" t="s">
        <v>2876</v>
      </c>
      <c r="D120" t="s">
        <v>3436</v>
      </c>
      <c r="E120" t="s">
        <v>1320</v>
      </c>
      <c r="F120" t="str">
        <f>VLOOKUP(A120,Score!B:B,1,FALSE)</f>
        <v>FC348</v>
      </c>
    </row>
    <row r="121" spans="1:6">
      <c r="A121" t="s">
        <v>470</v>
      </c>
      <c r="B121" t="s">
        <v>471</v>
      </c>
      <c r="C121" t="s">
        <v>2876</v>
      </c>
      <c r="D121" t="s">
        <v>3437</v>
      </c>
      <c r="E121" t="s">
        <v>1321</v>
      </c>
      <c r="F121" t="str">
        <f>VLOOKUP(A121,Score!B:B,1,FALSE)</f>
        <v>FC360</v>
      </c>
    </row>
    <row r="122" spans="1:6">
      <c r="A122" t="s">
        <v>486</v>
      </c>
      <c r="B122" t="s">
        <v>2888</v>
      </c>
      <c r="C122" t="s">
        <v>2876</v>
      </c>
      <c r="D122" t="s">
        <v>3438</v>
      </c>
      <c r="E122" t="s">
        <v>1322</v>
      </c>
      <c r="F122" t="str">
        <f>VLOOKUP(A122,Score!B:B,1,FALSE)</f>
        <v>FC357</v>
      </c>
    </row>
    <row r="123" spans="1:6">
      <c r="A123" t="s">
        <v>526</v>
      </c>
      <c r="B123" t="s">
        <v>2889</v>
      </c>
      <c r="C123" t="s">
        <v>2876</v>
      </c>
      <c r="D123" t="s">
        <v>3439</v>
      </c>
      <c r="E123" t="s">
        <v>1323</v>
      </c>
      <c r="F123" t="str">
        <f>VLOOKUP(A123,Score!B:B,1,FALSE)</f>
        <v>FC362</v>
      </c>
    </row>
    <row r="124" spans="1:6">
      <c r="A124" t="s">
        <v>446</v>
      </c>
      <c r="B124" t="s">
        <v>2890</v>
      </c>
      <c r="C124" t="s">
        <v>2876</v>
      </c>
      <c r="D124" t="s">
        <v>3440</v>
      </c>
      <c r="E124" t="s">
        <v>1324</v>
      </c>
      <c r="F124" t="str">
        <f>VLOOKUP(A124,Score!B:B,1,FALSE)</f>
        <v>FC368</v>
      </c>
    </row>
    <row r="125" spans="1:6">
      <c r="A125" t="s">
        <v>2700</v>
      </c>
      <c r="B125" t="s">
        <v>2891</v>
      </c>
      <c r="C125" t="s">
        <v>2876</v>
      </c>
      <c r="D125" t="s">
        <v>3440</v>
      </c>
      <c r="E125" t="s">
        <v>1324</v>
      </c>
      <c r="F125" t="str">
        <f>VLOOKUP(A125,Score!B:B,1,FALSE)</f>
        <v>FC408</v>
      </c>
    </row>
    <row r="126" spans="1:6">
      <c r="A126" t="s">
        <v>546</v>
      </c>
      <c r="B126" t="s">
        <v>2892</v>
      </c>
      <c r="C126" t="s">
        <v>2876</v>
      </c>
      <c r="D126" t="s">
        <v>3441</v>
      </c>
      <c r="E126" t="s">
        <v>1325</v>
      </c>
      <c r="F126" t="str">
        <f>VLOOKUP(A126,Score!B:B,1,FALSE)</f>
        <v>FC371</v>
      </c>
    </row>
    <row r="127" spans="1:6">
      <c r="A127" t="s">
        <v>500</v>
      </c>
      <c r="B127" t="s">
        <v>2893</v>
      </c>
      <c r="C127" t="s">
        <v>2876</v>
      </c>
      <c r="D127" t="s">
        <v>3442</v>
      </c>
      <c r="E127" t="s">
        <v>1326</v>
      </c>
      <c r="F127" t="str">
        <f>VLOOKUP(A127,Score!B:B,1,FALSE)</f>
        <v>FC373</v>
      </c>
    </row>
    <row r="128" spans="1:6">
      <c r="A128" t="s">
        <v>1239</v>
      </c>
      <c r="B128" t="s">
        <v>2894</v>
      </c>
      <c r="C128" t="s">
        <v>2876</v>
      </c>
      <c r="D128" t="s">
        <v>3443</v>
      </c>
      <c r="E128" t="s">
        <v>1327</v>
      </c>
      <c r="F128" t="str">
        <f>VLOOKUP(A128,Score!B:B,1,FALSE)</f>
        <v>FC364</v>
      </c>
    </row>
    <row r="129" spans="1:6">
      <c r="A129" t="s">
        <v>744</v>
      </c>
      <c r="B129" t="s">
        <v>2895</v>
      </c>
      <c r="C129" t="s">
        <v>2876</v>
      </c>
      <c r="D129" t="s">
        <v>3444</v>
      </c>
      <c r="E129" t="s">
        <v>1328</v>
      </c>
      <c r="F129" t="str">
        <f>VLOOKUP(A129,Score!B:B,1,FALSE)</f>
        <v>19AP</v>
      </c>
    </row>
    <row r="130" spans="1:6">
      <c r="A130" t="s">
        <v>2385</v>
      </c>
      <c r="B130" t="s">
        <v>2897</v>
      </c>
      <c r="C130" t="s">
        <v>2876</v>
      </c>
      <c r="D130" t="s">
        <v>3444</v>
      </c>
      <c r="E130" t="s">
        <v>1328</v>
      </c>
      <c r="F130" t="str">
        <f>VLOOKUP(A130,Score!B:B,1,FALSE)</f>
        <v>FC403</v>
      </c>
    </row>
    <row r="131" spans="1:6">
      <c r="A131" t="s">
        <v>1240</v>
      </c>
      <c r="B131" t="s">
        <v>2898</v>
      </c>
      <c r="C131" t="s">
        <v>2876</v>
      </c>
      <c r="D131" t="s">
        <v>3445</v>
      </c>
      <c r="E131" t="s">
        <v>1330</v>
      </c>
      <c r="F131" t="str">
        <f>VLOOKUP(A131,Score!B:B,1,FALSE)</f>
        <v>FC372</v>
      </c>
    </row>
    <row r="132" spans="1:6">
      <c r="A132" t="s">
        <v>1245</v>
      </c>
      <c r="B132" t="s">
        <v>2900</v>
      </c>
      <c r="C132" t="s">
        <v>2876</v>
      </c>
      <c r="D132" t="s">
        <v>3446</v>
      </c>
      <c r="E132" t="s">
        <v>2899</v>
      </c>
      <c r="F132" t="str">
        <f>VLOOKUP(A132,Score!B:B,1,FALSE)</f>
        <v>19FD</v>
      </c>
    </row>
    <row r="133" spans="1:6">
      <c r="A133" t="s">
        <v>1246</v>
      </c>
      <c r="B133" t="s">
        <v>3447</v>
      </c>
      <c r="C133" t="s">
        <v>2876</v>
      </c>
      <c r="D133" t="s">
        <v>3446</v>
      </c>
      <c r="E133" t="s">
        <v>2899</v>
      </c>
      <c r="F133" t="str">
        <f>VLOOKUP(A133,Score!B:B,1,FALSE)</f>
        <v>19FE</v>
      </c>
    </row>
    <row r="134" spans="1:6">
      <c r="A134" t="s">
        <v>1241</v>
      </c>
      <c r="B134" t="s">
        <v>1329</v>
      </c>
      <c r="C134" t="s">
        <v>2876</v>
      </c>
      <c r="D134" t="s">
        <v>3446</v>
      </c>
      <c r="E134" t="s">
        <v>2899</v>
      </c>
      <c r="F134" t="str">
        <f>VLOOKUP(A134,Score!B:B,1,FALSE)</f>
        <v>FC374</v>
      </c>
    </row>
    <row r="135" spans="1:6">
      <c r="A135" t="s">
        <v>444</v>
      </c>
      <c r="B135" t="s">
        <v>445</v>
      </c>
      <c r="C135" t="s">
        <v>2876</v>
      </c>
      <c r="D135" t="s">
        <v>3448</v>
      </c>
      <c r="E135" t="s">
        <v>1331</v>
      </c>
      <c r="F135" t="str">
        <f>VLOOKUP(A135,Score!B:B,1,FALSE)</f>
        <v>FC306</v>
      </c>
    </row>
    <row r="136" spans="1:6">
      <c r="A136" t="s">
        <v>1244</v>
      </c>
      <c r="B136" t="s">
        <v>2902</v>
      </c>
      <c r="C136" t="s">
        <v>2876</v>
      </c>
      <c r="D136" t="s">
        <v>3449</v>
      </c>
      <c r="E136" t="s">
        <v>1332</v>
      </c>
      <c r="F136" t="str">
        <f>VLOOKUP(A136,Score!B:B,1,FALSE)</f>
        <v>19FJ</v>
      </c>
    </row>
    <row r="137" spans="1:6">
      <c r="A137" t="s">
        <v>3082</v>
      </c>
      <c r="B137" t="s">
        <v>3452</v>
      </c>
      <c r="C137" t="s">
        <v>2876</v>
      </c>
      <c r="D137" t="s">
        <v>3450</v>
      </c>
      <c r="E137" t="s">
        <v>3451</v>
      </c>
      <c r="F137" t="str">
        <f>VLOOKUP(A137,Score!B:B,1,FALSE)</f>
        <v>FC392</v>
      </c>
    </row>
    <row r="138" spans="1:6">
      <c r="A138" t="s">
        <v>594</v>
      </c>
      <c r="B138" t="s">
        <v>595</v>
      </c>
      <c r="C138" t="s">
        <v>2903</v>
      </c>
      <c r="D138" t="s">
        <v>3453</v>
      </c>
      <c r="E138" t="s">
        <v>1333</v>
      </c>
      <c r="F138" t="str">
        <f>VLOOKUP(A138,Score!B:B,1,FALSE)</f>
        <v>FC063</v>
      </c>
    </row>
    <row r="139" spans="1:6">
      <c r="A139" t="s">
        <v>668</v>
      </c>
      <c r="B139" t="s">
        <v>669</v>
      </c>
      <c r="C139" t="s">
        <v>2903</v>
      </c>
      <c r="D139" t="s">
        <v>3453</v>
      </c>
      <c r="E139" t="s">
        <v>1333</v>
      </c>
      <c r="F139" t="str">
        <f>VLOOKUP(A139,Score!B:B,1,FALSE)</f>
        <v>FC160</v>
      </c>
    </row>
    <row r="140" spans="1:6">
      <c r="A140" t="s">
        <v>694</v>
      </c>
      <c r="B140" t="s">
        <v>695</v>
      </c>
      <c r="C140" t="s">
        <v>2903</v>
      </c>
      <c r="D140" t="s">
        <v>3454</v>
      </c>
      <c r="E140" t="s">
        <v>1334</v>
      </c>
      <c r="F140" t="str">
        <f>VLOOKUP(A140,Score!B:B,1,FALSE)</f>
        <v>FC031</v>
      </c>
    </row>
    <row r="141" spans="1:6">
      <c r="A141" t="s">
        <v>708</v>
      </c>
      <c r="B141" t="s">
        <v>709</v>
      </c>
      <c r="C141" t="s">
        <v>2903</v>
      </c>
      <c r="D141" t="s">
        <v>3455</v>
      </c>
      <c r="E141" t="s">
        <v>1335</v>
      </c>
      <c r="F141" t="str">
        <f>VLOOKUP(A141,Score!B:B,1,FALSE)</f>
        <v>FC050</v>
      </c>
    </row>
    <row r="142" spans="1:6">
      <c r="A142" t="s">
        <v>596</v>
      </c>
      <c r="B142" t="s">
        <v>597</v>
      </c>
      <c r="C142" t="s">
        <v>2903</v>
      </c>
      <c r="D142" t="s">
        <v>3455</v>
      </c>
      <c r="E142" t="s">
        <v>1335</v>
      </c>
      <c r="F142" t="str">
        <f>VLOOKUP(A142,Score!B:B,1,FALSE)</f>
        <v>FC144</v>
      </c>
    </row>
    <row r="143" spans="1:6">
      <c r="A143" t="s">
        <v>556</v>
      </c>
      <c r="B143" t="s">
        <v>557</v>
      </c>
      <c r="C143" t="s">
        <v>2903</v>
      </c>
      <c r="D143" t="s">
        <v>3455</v>
      </c>
      <c r="E143" t="s">
        <v>1335</v>
      </c>
      <c r="F143" t="str">
        <f>VLOOKUP(A143,Score!B:B,1,FALSE)</f>
        <v>FC157</v>
      </c>
    </row>
    <row r="144" spans="1:6">
      <c r="A144" t="s">
        <v>666</v>
      </c>
      <c r="B144" t="s">
        <v>667</v>
      </c>
      <c r="C144" t="s">
        <v>2903</v>
      </c>
      <c r="D144" t="s">
        <v>3455</v>
      </c>
      <c r="E144" t="s">
        <v>1335</v>
      </c>
      <c r="F144" t="str">
        <f>VLOOKUP(A144,Score!B:B,1,FALSE)</f>
        <v>FC114</v>
      </c>
    </row>
    <row r="145" spans="1:6">
      <c r="A145" t="s">
        <v>674</v>
      </c>
      <c r="B145" t="s">
        <v>675</v>
      </c>
      <c r="C145" t="s">
        <v>2903</v>
      </c>
      <c r="D145" t="s">
        <v>3455</v>
      </c>
      <c r="E145" t="s">
        <v>1335</v>
      </c>
      <c r="F145" t="str">
        <f>VLOOKUP(A145,Score!B:B,1,FALSE)</f>
        <v>FC266</v>
      </c>
    </row>
    <row r="146" spans="1:6">
      <c r="A146" t="s">
        <v>590</v>
      </c>
      <c r="B146" t="s">
        <v>591</v>
      </c>
      <c r="C146" t="s">
        <v>2903</v>
      </c>
      <c r="D146" t="s">
        <v>3455</v>
      </c>
      <c r="E146" t="s">
        <v>1335</v>
      </c>
      <c r="F146" t="str">
        <f>VLOOKUP(A146,Score!B:B,1,FALSE)</f>
        <v>FC320</v>
      </c>
    </row>
    <row r="147" spans="1:6">
      <c r="A147" t="s">
        <v>620</v>
      </c>
      <c r="B147" t="s">
        <v>621</v>
      </c>
      <c r="C147" t="s">
        <v>2903</v>
      </c>
      <c r="D147" t="s">
        <v>3455</v>
      </c>
      <c r="E147" t="s">
        <v>1335</v>
      </c>
      <c r="F147" t="str">
        <f>VLOOKUP(A147,Score!B:B,1,FALSE)</f>
        <v>FC339</v>
      </c>
    </row>
    <row r="148" spans="1:6">
      <c r="A148" t="s">
        <v>2384</v>
      </c>
      <c r="B148" t="s">
        <v>2905</v>
      </c>
      <c r="C148" t="s">
        <v>2903</v>
      </c>
      <c r="D148" t="s">
        <v>3455</v>
      </c>
      <c r="E148" t="s">
        <v>1335</v>
      </c>
      <c r="F148" t="str">
        <f>VLOOKUP(A148,Score!B:B,1,FALSE)</f>
        <v>FC394</v>
      </c>
    </row>
    <row r="149" spans="1:6">
      <c r="A149" t="s">
        <v>2698</v>
      </c>
      <c r="B149" t="s">
        <v>2906</v>
      </c>
      <c r="C149" t="s">
        <v>2903</v>
      </c>
      <c r="D149" t="s">
        <v>3455</v>
      </c>
      <c r="E149" t="s">
        <v>1335</v>
      </c>
      <c r="F149" t="str">
        <f>VLOOKUP(A149,Score!B:B,1,FALSE)</f>
        <v>FC409</v>
      </c>
    </row>
    <row r="150" spans="1:6">
      <c r="A150" t="s">
        <v>640</v>
      </c>
      <c r="B150" t="s">
        <v>641</v>
      </c>
      <c r="C150" t="s">
        <v>2903</v>
      </c>
      <c r="D150" t="s">
        <v>3456</v>
      </c>
      <c r="E150" t="s">
        <v>1336</v>
      </c>
      <c r="F150" t="str">
        <f>VLOOKUP(A150,Score!B:B,1,FALSE)</f>
        <v>FC001</v>
      </c>
    </row>
    <row r="151" spans="1:6">
      <c r="A151" t="s">
        <v>558</v>
      </c>
      <c r="B151" t="s">
        <v>559</v>
      </c>
      <c r="C151" t="s">
        <v>2903</v>
      </c>
      <c r="D151" t="s">
        <v>3456</v>
      </c>
      <c r="E151" t="s">
        <v>1336</v>
      </c>
      <c r="F151" t="str">
        <f>VLOOKUP(A151,Score!B:B,1,FALSE)</f>
        <v>FC243</v>
      </c>
    </row>
    <row r="152" spans="1:6">
      <c r="A152" t="s">
        <v>770</v>
      </c>
      <c r="B152" t="s">
        <v>2908</v>
      </c>
      <c r="C152" t="s">
        <v>2903</v>
      </c>
      <c r="D152" t="s">
        <v>3457</v>
      </c>
      <c r="E152" t="s">
        <v>1337</v>
      </c>
      <c r="F152" t="str">
        <f>VLOOKUP(A152,Score!B:B,1,FALSE)</f>
        <v>ZZS1</v>
      </c>
    </row>
    <row r="153" spans="1:6">
      <c r="A153" t="s">
        <v>712</v>
      </c>
      <c r="B153" t="s">
        <v>713</v>
      </c>
      <c r="C153" t="s">
        <v>2903</v>
      </c>
      <c r="D153" t="s">
        <v>3458</v>
      </c>
      <c r="E153" t="s">
        <v>1338</v>
      </c>
      <c r="F153" t="str">
        <f>VLOOKUP(A153,Score!B:B,1,FALSE)</f>
        <v>FC156</v>
      </c>
    </row>
    <row r="154" spans="1:6">
      <c r="A154" t="s">
        <v>692</v>
      </c>
      <c r="B154" t="s">
        <v>693</v>
      </c>
      <c r="C154" t="s">
        <v>2903</v>
      </c>
      <c r="D154" t="s">
        <v>3458</v>
      </c>
      <c r="E154" t="s">
        <v>1338</v>
      </c>
      <c r="F154" t="str">
        <f>VLOOKUP(A154,Score!B:B,1,FALSE)</f>
        <v>FC014</v>
      </c>
    </row>
    <row r="155" spans="1:6">
      <c r="A155" t="s">
        <v>598</v>
      </c>
      <c r="B155" t="s">
        <v>599</v>
      </c>
      <c r="C155" t="s">
        <v>2903</v>
      </c>
      <c r="D155" t="s">
        <v>3459</v>
      </c>
      <c r="E155" t="s">
        <v>1339</v>
      </c>
      <c r="F155" t="str">
        <f>VLOOKUP(A155,Score!B:B,1,FALSE)</f>
        <v>FC179</v>
      </c>
    </row>
    <row r="156" spans="1:6">
      <c r="A156" t="s">
        <v>678</v>
      </c>
      <c r="B156" t="s">
        <v>679</v>
      </c>
      <c r="C156" t="s">
        <v>2903</v>
      </c>
      <c r="D156" t="s">
        <v>3460</v>
      </c>
      <c r="E156" t="s">
        <v>1341</v>
      </c>
      <c r="F156" t="str">
        <f>VLOOKUP(A156,Score!B:B,1,FALSE)</f>
        <v>FC283</v>
      </c>
    </row>
    <row r="157" spans="1:6">
      <c r="A157" t="s">
        <v>768</v>
      </c>
      <c r="B157" t="s">
        <v>3461</v>
      </c>
      <c r="C157" t="s">
        <v>2903</v>
      </c>
      <c r="D157" t="s">
        <v>3460</v>
      </c>
      <c r="E157" t="s">
        <v>1341</v>
      </c>
      <c r="F157" t="str">
        <f>VLOOKUP(A157,Score!B:B,1,FALSE)</f>
        <v>14IU</v>
      </c>
    </row>
    <row r="158" spans="1:6">
      <c r="A158" t="s">
        <v>612</v>
      </c>
      <c r="B158" t="s">
        <v>613</v>
      </c>
      <c r="C158" t="s">
        <v>2903</v>
      </c>
      <c r="D158" t="s">
        <v>3460</v>
      </c>
      <c r="E158" t="s">
        <v>1341</v>
      </c>
      <c r="F158" t="str">
        <f>VLOOKUP(A158,Score!B:B,1,FALSE)</f>
        <v>FC313</v>
      </c>
    </row>
    <row r="159" spans="1:6">
      <c r="A159" t="s">
        <v>574</v>
      </c>
      <c r="B159" t="s">
        <v>575</v>
      </c>
      <c r="C159" t="s">
        <v>2903</v>
      </c>
      <c r="D159" t="s">
        <v>3462</v>
      </c>
      <c r="E159" t="s">
        <v>1342</v>
      </c>
      <c r="F159" t="str">
        <f>VLOOKUP(A159,Score!B:B,1,FALSE)</f>
        <v>FC081</v>
      </c>
    </row>
    <row r="160" spans="1:6">
      <c r="A160" t="s">
        <v>576</v>
      </c>
      <c r="B160" t="s">
        <v>577</v>
      </c>
      <c r="C160" t="s">
        <v>2903</v>
      </c>
      <c r="D160" t="s">
        <v>3463</v>
      </c>
      <c r="E160" t="s">
        <v>1343</v>
      </c>
      <c r="F160" t="str">
        <f>VLOOKUP(A160,Score!B:B,1,FALSE)</f>
        <v>FC147</v>
      </c>
    </row>
    <row r="161" spans="1:6">
      <c r="A161" t="s">
        <v>624</v>
      </c>
      <c r="B161" t="s">
        <v>1344</v>
      </c>
      <c r="C161" t="s">
        <v>2903</v>
      </c>
      <c r="D161" t="s">
        <v>3463</v>
      </c>
      <c r="E161" t="s">
        <v>1343</v>
      </c>
      <c r="F161" t="str">
        <f>VLOOKUP(A161,Score!B:B,1,FALSE)</f>
        <v>FC090</v>
      </c>
    </row>
    <row r="162" spans="1:6">
      <c r="A162" t="s">
        <v>716</v>
      </c>
      <c r="B162" t="s">
        <v>717</v>
      </c>
      <c r="C162" t="s">
        <v>2903</v>
      </c>
      <c r="D162" t="s">
        <v>3463</v>
      </c>
      <c r="E162" t="s">
        <v>1343</v>
      </c>
      <c r="F162" t="str">
        <f>VLOOKUP(A162,Score!B:B,1,FALSE)</f>
        <v>FC245</v>
      </c>
    </row>
    <row r="163" spans="1:6">
      <c r="A163" t="s">
        <v>626</v>
      </c>
      <c r="B163" t="s">
        <v>627</v>
      </c>
      <c r="C163" t="s">
        <v>2903</v>
      </c>
      <c r="D163" t="s">
        <v>3463</v>
      </c>
      <c r="E163" t="s">
        <v>1343</v>
      </c>
      <c r="F163" t="str">
        <f>VLOOKUP(A163,Score!B:B,1,FALSE)</f>
        <v>FC113</v>
      </c>
    </row>
    <row r="164" spans="1:6">
      <c r="A164" t="s">
        <v>1228</v>
      </c>
      <c r="B164" t="s">
        <v>2914</v>
      </c>
      <c r="C164" t="s">
        <v>2903</v>
      </c>
      <c r="D164" t="s">
        <v>3463</v>
      </c>
      <c r="E164" t="s">
        <v>1343</v>
      </c>
      <c r="F164" t="str">
        <f>VLOOKUP(A164,Score!B:B,1,FALSE)</f>
        <v>FC383</v>
      </c>
    </row>
    <row r="165" spans="1:6">
      <c r="A165" t="s">
        <v>3120</v>
      </c>
      <c r="B165" t="s">
        <v>3464</v>
      </c>
      <c r="C165" t="s">
        <v>2903</v>
      </c>
      <c r="D165" t="s">
        <v>3463</v>
      </c>
      <c r="E165" t="s">
        <v>1343</v>
      </c>
      <c r="F165" t="str">
        <f>VLOOKUP(A165,Score!B:B,1,FALSE)</f>
        <v>14H5</v>
      </c>
    </row>
    <row r="166" spans="1:6">
      <c r="A166" t="s">
        <v>756</v>
      </c>
      <c r="B166" t="s">
        <v>2916</v>
      </c>
      <c r="C166" t="s">
        <v>2903</v>
      </c>
      <c r="D166" t="s">
        <v>3465</v>
      </c>
      <c r="E166" t="s">
        <v>1345</v>
      </c>
      <c r="F166" t="str">
        <f>VLOOKUP(A166,Score!B:B,1,FALSE)</f>
        <v>31P2</v>
      </c>
    </row>
    <row r="167" spans="1:6">
      <c r="A167" t="s">
        <v>706</v>
      </c>
      <c r="B167" t="s">
        <v>707</v>
      </c>
      <c r="C167" t="s">
        <v>2903</v>
      </c>
      <c r="D167" t="s">
        <v>3466</v>
      </c>
      <c r="E167" t="s">
        <v>1346</v>
      </c>
      <c r="F167" t="str">
        <f>VLOOKUP(A167,Score!B:B,1,FALSE)</f>
        <v>FC002</v>
      </c>
    </row>
    <row r="168" spans="1:6">
      <c r="A168" t="s">
        <v>552</v>
      </c>
      <c r="B168" t="s">
        <v>553</v>
      </c>
      <c r="C168" t="s">
        <v>2903</v>
      </c>
      <c r="D168" t="s">
        <v>3466</v>
      </c>
      <c r="E168" t="s">
        <v>1346</v>
      </c>
      <c r="F168" t="str">
        <f>VLOOKUP(A168,Score!B:B,1,FALSE)</f>
        <v>FC041</v>
      </c>
    </row>
    <row r="169" spans="1:6">
      <c r="A169" t="s">
        <v>604</v>
      </c>
      <c r="B169" t="s">
        <v>605</v>
      </c>
      <c r="C169" t="s">
        <v>2903</v>
      </c>
      <c r="D169" t="s">
        <v>3466</v>
      </c>
      <c r="E169" t="s">
        <v>1346</v>
      </c>
      <c r="F169" t="str">
        <f>VLOOKUP(A169,Score!B:B,1,FALSE)</f>
        <v>FC231</v>
      </c>
    </row>
    <row r="170" spans="1:6">
      <c r="A170" t="s">
        <v>584</v>
      </c>
      <c r="B170" t="s">
        <v>585</v>
      </c>
      <c r="C170" t="s">
        <v>2903</v>
      </c>
      <c r="D170" t="s">
        <v>3466</v>
      </c>
      <c r="E170" t="s">
        <v>1346</v>
      </c>
      <c r="F170" t="str">
        <f>VLOOKUP(A170,Score!B:B,1,FALSE)</f>
        <v>FC290</v>
      </c>
    </row>
    <row r="171" spans="1:6">
      <c r="A171" t="s">
        <v>654</v>
      </c>
      <c r="B171" t="s">
        <v>655</v>
      </c>
      <c r="C171" t="s">
        <v>2903</v>
      </c>
      <c r="D171" t="s">
        <v>3466</v>
      </c>
      <c r="E171" t="s">
        <v>1346</v>
      </c>
      <c r="F171" t="str">
        <f>VLOOKUP(A171,Score!B:B,1,FALSE)</f>
        <v>FC268</v>
      </c>
    </row>
    <row r="172" spans="1:6">
      <c r="A172" t="s">
        <v>3135</v>
      </c>
      <c r="B172" t="s">
        <v>3136</v>
      </c>
      <c r="C172" t="s">
        <v>2903</v>
      </c>
      <c r="D172" t="s">
        <v>3466</v>
      </c>
      <c r="E172" t="s">
        <v>1346</v>
      </c>
      <c r="F172" t="str">
        <f>VLOOKUP(A172,Score!B:B,1,FALSE)</f>
        <v>FC415</v>
      </c>
    </row>
    <row r="173" spans="1:6">
      <c r="A173" t="s">
        <v>772</v>
      </c>
      <c r="B173" t="s">
        <v>1347</v>
      </c>
      <c r="C173" t="s">
        <v>2903</v>
      </c>
      <c r="D173" t="s">
        <v>3467</v>
      </c>
      <c r="E173" t="s">
        <v>1279</v>
      </c>
      <c r="F173" t="str">
        <f>VLOOKUP(A173,Score!B:B,1,FALSE)</f>
        <v>ZZP2</v>
      </c>
    </row>
    <row r="174" spans="1:6">
      <c r="A174" t="s">
        <v>760</v>
      </c>
      <c r="B174" t="s">
        <v>1348</v>
      </c>
      <c r="C174" t="s">
        <v>2903</v>
      </c>
      <c r="D174" t="s">
        <v>3467</v>
      </c>
      <c r="E174" t="s">
        <v>1279</v>
      </c>
      <c r="F174" t="str">
        <f>VLOOKUP(A174,Score!B:B,1,FALSE)</f>
        <v>ZZP3</v>
      </c>
    </row>
    <row r="175" spans="1:6">
      <c r="A175" t="s">
        <v>758</v>
      </c>
      <c r="B175" t="s">
        <v>1349</v>
      </c>
      <c r="C175" t="s">
        <v>2903</v>
      </c>
      <c r="D175" t="s">
        <v>3467</v>
      </c>
      <c r="E175" t="s">
        <v>1279</v>
      </c>
      <c r="F175" t="str">
        <f>VLOOKUP(A175,Score!B:B,1,FALSE)</f>
        <v>ZZP4</v>
      </c>
    </row>
    <row r="176" spans="1:6">
      <c r="A176" t="s">
        <v>782</v>
      </c>
      <c r="B176" t="s">
        <v>1350</v>
      </c>
      <c r="C176" t="s">
        <v>2903</v>
      </c>
      <c r="D176" t="s">
        <v>3467</v>
      </c>
      <c r="E176" t="s">
        <v>1279</v>
      </c>
      <c r="F176" t="str">
        <f>VLOOKUP(A176,Score!B:B,1,FALSE)</f>
        <v>ZZP5</v>
      </c>
    </row>
    <row r="177" spans="1:6">
      <c r="A177" t="s">
        <v>1243</v>
      </c>
      <c r="B177" t="s">
        <v>571</v>
      </c>
      <c r="C177" t="s">
        <v>2903</v>
      </c>
      <c r="D177" t="s">
        <v>3467</v>
      </c>
      <c r="E177" t="s">
        <v>1279</v>
      </c>
      <c r="F177" t="str">
        <f>VLOOKUP(A177,Score!B:B,1,FALSE)</f>
        <v>ZZTA</v>
      </c>
    </row>
    <row r="178" spans="1:6">
      <c r="A178" t="s">
        <v>764</v>
      </c>
      <c r="B178" t="s">
        <v>2918</v>
      </c>
      <c r="C178" t="s">
        <v>2903</v>
      </c>
      <c r="D178" t="s">
        <v>3467</v>
      </c>
      <c r="E178" t="s">
        <v>1279</v>
      </c>
      <c r="F178" t="str">
        <f>VLOOKUP(A178,Score!B:B,1,FALSE)</f>
        <v>ZZP8</v>
      </c>
    </row>
    <row r="179" spans="1:6">
      <c r="A179" t="s">
        <v>752</v>
      </c>
      <c r="B179" t="s">
        <v>3468</v>
      </c>
      <c r="C179" t="s">
        <v>2903</v>
      </c>
      <c r="D179" t="s">
        <v>3467</v>
      </c>
      <c r="E179" t="s">
        <v>1279</v>
      </c>
      <c r="F179" t="str">
        <f>VLOOKUP(A179,Score!B:B,1,FALSE)</f>
        <v>ZZP1</v>
      </c>
    </row>
    <row r="180" spans="1:6">
      <c r="A180" t="s">
        <v>718</v>
      </c>
      <c r="B180" t="s">
        <v>1352</v>
      </c>
      <c r="C180" t="s">
        <v>2903</v>
      </c>
      <c r="D180" t="s">
        <v>3469</v>
      </c>
      <c r="E180" t="s">
        <v>1351</v>
      </c>
      <c r="F180" t="str">
        <f>VLOOKUP(A180,Score!B:B,1,FALSE)</f>
        <v>FC291</v>
      </c>
    </row>
    <row r="181" spans="1:6">
      <c r="A181" t="s">
        <v>662</v>
      </c>
      <c r="B181" t="s">
        <v>2919</v>
      </c>
      <c r="C181" t="s">
        <v>2903</v>
      </c>
      <c r="D181" t="s">
        <v>3469</v>
      </c>
      <c r="E181" t="s">
        <v>1351</v>
      </c>
      <c r="F181" t="str">
        <f>VLOOKUP(A181,Score!B:B,1,FALSE)</f>
        <v>FC344</v>
      </c>
    </row>
    <row r="182" spans="1:6">
      <c r="A182" t="s">
        <v>600</v>
      </c>
      <c r="B182" t="s">
        <v>601</v>
      </c>
      <c r="C182" t="s">
        <v>2903</v>
      </c>
      <c r="D182" t="s">
        <v>3470</v>
      </c>
      <c r="E182" t="s">
        <v>1353</v>
      </c>
      <c r="F182" t="str">
        <f>VLOOKUP(A182,Score!B:B,1,FALSE)</f>
        <v>FC189</v>
      </c>
    </row>
    <row r="183" spans="1:6">
      <c r="A183" t="s">
        <v>578</v>
      </c>
      <c r="B183" t="s">
        <v>579</v>
      </c>
      <c r="C183" t="s">
        <v>2903</v>
      </c>
      <c r="D183" t="s">
        <v>3470</v>
      </c>
      <c r="E183" t="s">
        <v>1353</v>
      </c>
      <c r="F183" t="str">
        <f>VLOOKUP(A183,Score!B:B,1,FALSE)</f>
        <v>FC222</v>
      </c>
    </row>
    <row r="184" spans="1:6">
      <c r="A184" t="s">
        <v>642</v>
      </c>
      <c r="B184" t="s">
        <v>1355</v>
      </c>
      <c r="C184" t="s">
        <v>2903</v>
      </c>
      <c r="D184" t="s">
        <v>3471</v>
      </c>
      <c r="E184" t="s">
        <v>1354</v>
      </c>
      <c r="F184" t="str">
        <f>VLOOKUP(A184,Score!B:B,1,FALSE)</f>
        <v>FC136</v>
      </c>
    </row>
    <row r="185" spans="1:6">
      <c r="A185" t="s">
        <v>670</v>
      </c>
      <c r="B185" t="s">
        <v>671</v>
      </c>
      <c r="C185" t="s">
        <v>2903</v>
      </c>
      <c r="D185" t="s">
        <v>3471</v>
      </c>
      <c r="E185" t="s">
        <v>1354</v>
      </c>
      <c r="F185" t="str">
        <f>VLOOKUP(A185,Score!B:B,1,FALSE)</f>
        <v>FC181</v>
      </c>
    </row>
    <row r="186" spans="1:6">
      <c r="A186" t="s">
        <v>608</v>
      </c>
      <c r="B186" t="s">
        <v>609</v>
      </c>
      <c r="C186" t="s">
        <v>2903</v>
      </c>
      <c r="D186" t="s">
        <v>3471</v>
      </c>
      <c r="E186" t="s">
        <v>1354</v>
      </c>
      <c r="F186" t="str">
        <f>VLOOKUP(A186,Score!B:B,1,FALSE)</f>
        <v>FC285</v>
      </c>
    </row>
    <row r="187" spans="1:6">
      <c r="A187" t="s">
        <v>1231</v>
      </c>
      <c r="B187" t="s">
        <v>3472</v>
      </c>
      <c r="C187" t="s">
        <v>2903</v>
      </c>
      <c r="D187" t="s">
        <v>3471</v>
      </c>
      <c r="E187" t="s">
        <v>1354</v>
      </c>
      <c r="F187" t="str">
        <f>VLOOKUP(A187,Score!B:B,1,FALSE)</f>
        <v>FC370</v>
      </c>
    </row>
    <row r="188" spans="1:6">
      <c r="A188" t="s">
        <v>1230</v>
      </c>
      <c r="B188" t="s">
        <v>3132</v>
      </c>
      <c r="C188" t="s">
        <v>2903</v>
      </c>
      <c r="D188" t="s">
        <v>3471</v>
      </c>
      <c r="E188" t="s">
        <v>1354</v>
      </c>
      <c r="F188" t="str">
        <f>VLOOKUP(A188,Score!B:B,1,FALSE)</f>
        <v>FC378</v>
      </c>
    </row>
    <row r="189" spans="1:6">
      <c r="A189" t="s">
        <v>2555</v>
      </c>
      <c r="B189" t="s">
        <v>2921</v>
      </c>
      <c r="C189" t="s">
        <v>2903</v>
      </c>
      <c r="D189" t="s">
        <v>3471</v>
      </c>
      <c r="E189" t="s">
        <v>1354</v>
      </c>
      <c r="F189" t="str">
        <f>VLOOKUP(A189,Score!B:B,1,FALSE)</f>
        <v>FC400</v>
      </c>
    </row>
    <row r="190" spans="1:6">
      <c r="A190" t="s">
        <v>710</v>
      </c>
      <c r="B190" t="s">
        <v>711</v>
      </c>
      <c r="C190" t="s">
        <v>2903</v>
      </c>
      <c r="D190" t="s">
        <v>3473</v>
      </c>
      <c r="E190" t="s">
        <v>2922</v>
      </c>
      <c r="F190" t="str">
        <f>VLOOKUP(A190,Score!B:B,1,FALSE)</f>
        <v>FC143</v>
      </c>
    </row>
    <row r="191" spans="1:6">
      <c r="A191" t="s">
        <v>602</v>
      </c>
      <c r="B191" t="s">
        <v>603</v>
      </c>
      <c r="C191" t="s">
        <v>2903</v>
      </c>
      <c r="D191" t="s">
        <v>3474</v>
      </c>
      <c r="E191" t="s">
        <v>1357</v>
      </c>
      <c r="F191" t="str">
        <f>VLOOKUP(A191,Score!B:B,1,FALSE)</f>
        <v>FC225</v>
      </c>
    </row>
    <row r="192" spans="1:6">
      <c r="A192" t="s">
        <v>606</v>
      </c>
      <c r="B192" t="s">
        <v>607</v>
      </c>
      <c r="C192" t="s">
        <v>2903</v>
      </c>
      <c r="D192" t="s">
        <v>3474</v>
      </c>
      <c r="E192" t="s">
        <v>1357</v>
      </c>
      <c r="F192" t="str">
        <f>VLOOKUP(A192,Score!B:B,1,FALSE)</f>
        <v>FC267</v>
      </c>
    </row>
    <row r="193" spans="1:6">
      <c r="A193" t="s">
        <v>550</v>
      </c>
      <c r="B193" t="s">
        <v>551</v>
      </c>
      <c r="C193" t="s">
        <v>2903</v>
      </c>
      <c r="D193" t="s">
        <v>3474</v>
      </c>
      <c r="E193" t="s">
        <v>1357</v>
      </c>
      <c r="F193" t="str">
        <f>VLOOKUP(A193,Score!B:B,1,FALSE)</f>
        <v>FC338</v>
      </c>
    </row>
    <row r="194" spans="1:6">
      <c r="A194" t="s">
        <v>1249</v>
      </c>
      <c r="B194" t="s">
        <v>2924</v>
      </c>
      <c r="C194" t="s">
        <v>2903</v>
      </c>
      <c r="D194" t="s">
        <v>3474</v>
      </c>
      <c r="E194" t="s">
        <v>1357</v>
      </c>
      <c r="F194" t="str">
        <f>VLOOKUP(A194,Score!B:B,1,FALSE)</f>
        <v>FC391</v>
      </c>
    </row>
    <row r="195" spans="1:6">
      <c r="A195" t="s">
        <v>714</v>
      </c>
      <c r="B195" t="s">
        <v>715</v>
      </c>
      <c r="C195" t="s">
        <v>2903</v>
      </c>
      <c r="D195" t="s">
        <v>3475</v>
      </c>
      <c r="E195" t="s">
        <v>1358</v>
      </c>
      <c r="F195" t="str">
        <f>VLOOKUP(A195,Score!B:B,1,FALSE)</f>
        <v>FC192</v>
      </c>
    </row>
    <row r="196" spans="1:6">
      <c r="A196" t="s">
        <v>588</v>
      </c>
      <c r="B196" t="s">
        <v>589</v>
      </c>
      <c r="C196" t="s">
        <v>2903</v>
      </c>
      <c r="D196" t="s">
        <v>3475</v>
      </c>
      <c r="E196" t="s">
        <v>1358</v>
      </c>
      <c r="F196" t="str">
        <f>VLOOKUP(A196,Score!B:B,1,FALSE)</f>
        <v>FC318</v>
      </c>
    </row>
    <row r="197" spans="1:6">
      <c r="A197" t="s">
        <v>650</v>
      </c>
      <c r="B197" t="s">
        <v>651</v>
      </c>
      <c r="C197" t="s">
        <v>2903</v>
      </c>
      <c r="D197" t="s">
        <v>3476</v>
      </c>
      <c r="E197" t="s">
        <v>1359</v>
      </c>
      <c r="F197" t="str">
        <f>VLOOKUP(A197,Score!B:B,1,FALSE)</f>
        <v>FC258</v>
      </c>
    </row>
    <row r="198" spans="1:6">
      <c r="A198" t="s">
        <v>616</v>
      </c>
      <c r="B198" t="s">
        <v>617</v>
      </c>
      <c r="C198" t="s">
        <v>2903</v>
      </c>
      <c r="D198" t="s">
        <v>3476</v>
      </c>
      <c r="E198" t="s">
        <v>1359</v>
      </c>
      <c r="F198" t="str">
        <f>VLOOKUP(A198,Score!B:B,1,FALSE)</f>
        <v>FC330</v>
      </c>
    </row>
    <row r="199" spans="1:6">
      <c r="A199" t="s">
        <v>1236</v>
      </c>
      <c r="B199" t="s">
        <v>2925</v>
      </c>
      <c r="C199" t="s">
        <v>2903</v>
      </c>
      <c r="D199" t="s">
        <v>3476</v>
      </c>
      <c r="E199" t="s">
        <v>1359</v>
      </c>
      <c r="F199" t="str">
        <f>VLOOKUP(A199,Score!B:B,1,FALSE)</f>
        <v>FC386</v>
      </c>
    </row>
    <row r="200" spans="1:6">
      <c r="A200" t="s">
        <v>554</v>
      </c>
      <c r="B200" t="s">
        <v>555</v>
      </c>
      <c r="C200" t="s">
        <v>2903</v>
      </c>
      <c r="D200" t="s">
        <v>3477</v>
      </c>
      <c r="E200" t="s">
        <v>2926</v>
      </c>
      <c r="F200" t="str">
        <f>VLOOKUP(A200,Score!B:B,1,FALSE)</f>
        <v>FC089</v>
      </c>
    </row>
    <row r="201" spans="1:6">
      <c r="A201" t="s">
        <v>560</v>
      </c>
      <c r="B201" t="s">
        <v>561</v>
      </c>
      <c r="C201" t="s">
        <v>2903</v>
      </c>
      <c r="D201" t="s">
        <v>3478</v>
      </c>
      <c r="E201" t="s">
        <v>1360</v>
      </c>
      <c r="F201" t="str">
        <f>VLOOKUP(A201,Score!B:B,1,FALSE)</f>
        <v>FC260</v>
      </c>
    </row>
    <row r="202" spans="1:6">
      <c r="A202" t="s">
        <v>682</v>
      </c>
      <c r="B202" t="s">
        <v>683</v>
      </c>
      <c r="C202" t="s">
        <v>2903</v>
      </c>
      <c r="D202" t="s">
        <v>3478</v>
      </c>
      <c r="E202" t="s">
        <v>1360</v>
      </c>
      <c r="F202" t="str">
        <f>VLOOKUP(A202,Score!B:B,1,FALSE)</f>
        <v>FC305</v>
      </c>
    </row>
    <row r="203" spans="1:6">
      <c r="A203" t="s">
        <v>548</v>
      </c>
      <c r="B203" t="s">
        <v>1361</v>
      </c>
      <c r="C203" t="s">
        <v>2903</v>
      </c>
      <c r="D203" t="s">
        <v>3478</v>
      </c>
      <c r="E203" t="s">
        <v>1360</v>
      </c>
      <c r="F203" t="str">
        <f>VLOOKUP(A203,Score!B:B,1,FALSE)</f>
        <v>FC331</v>
      </c>
    </row>
    <row r="204" spans="1:6">
      <c r="A204" t="s">
        <v>1227</v>
      </c>
      <c r="B204" t="s">
        <v>2928</v>
      </c>
      <c r="C204" t="s">
        <v>2903</v>
      </c>
      <c r="D204" t="s">
        <v>3478</v>
      </c>
      <c r="E204" t="s">
        <v>1360</v>
      </c>
      <c r="F204" t="str">
        <f>VLOOKUP(A204,Score!B:B,1,FALSE)</f>
        <v>FC375</v>
      </c>
    </row>
    <row r="205" spans="1:6">
      <c r="A205" t="s">
        <v>580</v>
      </c>
      <c r="B205" t="s">
        <v>1363</v>
      </c>
      <c r="C205" t="s">
        <v>2903</v>
      </c>
      <c r="D205" t="s">
        <v>3479</v>
      </c>
      <c r="E205" t="s">
        <v>1362</v>
      </c>
      <c r="F205" t="str">
        <f>VLOOKUP(A205,Score!B:B,1,FALSE)</f>
        <v>FC242</v>
      </c>
    </row>
    <row r="206" spans="1:6">
      <c r="A206" t="s">
        <v>750</v>
      </c>
      <c r="B206" t="s">
        <v>2929</v>
      </c>
      <c r="C206" t="s">
        <v>2903</v>
      </c>
      <c r="D206" t="s">
        <v>3479</v>
      </c>
      <c r="E206" t="s">
        <v>1362</v>
      </c>
      <c r="F206" t="str">
        <f>VLOOKUP(A206,Score!B:B,1,FALSE)</f>
        <v>ZZP6</v>
      </c>
    </row>
    <row r="207" spans="1:6">
      <c r="A207" t="s">
        <v>684</v>
      </c>
      <c r="B207" t="s">
        <v>2930</v>
      </c>
      <c r="C207" t="s">
        <v>2903</v>
      </c>
      <c r="D207" t="s">
        <v>3479</v>
      </c>
      <c r="E207" t="s">
        <v>1362</v>
      </c>
      <c r="F207" t="str">
        <f>VLOOKUP(A207,Score!B:B,1,FALSE)</f>
        <v>FC337</v>
      </c>
    </row>
    <row r="208" spans="1:6">
      <c r="A208" t="s">
        <v>648</v>
      </c>
      <c r="B208" t="s">
        <v>649</v>
      </c>
      <c r="C208" t="s">
        <v>2903</v>
      </c>
      <c r="D208" t="s">
        <v>3480</v>
      </c>
      <c r="E208" t="s">
        <v>1364</v>
      </c>
      <c r="F208" t="str">
        <f>VLOOKUP(A208,Score!B:B,1,FALSE)</f>
        <v>FC232</v>
      </c>
    </row>
    <row r="209" spans="1:6">
      <c r="A209" t="s">
        <v>562</v>
      </c>
      <c r="B209" t="s">
        <v>563</v>
      </c>
      <c r="C209" t="s">
        <v>2903</v>
      </c>
      <c r="D209" t="s">
        <v>3481</v>
      </c>
      <c r="E209" t="s">
        <v>1365</v>
      </c>
      <c r="F209" t="str">
        <f>VLOOKUP(A209,Score!B:B,1,FALSE)</f>
        <v>FC286</v>
      </c>
    </row>
    <row r="210" spans="1:6">
      <c r="A210" t="s">
        <v>614</v>
      </c>
      <c r="B210" t="s">
        <v>615</v>
      </c>
      <c r="C210" t="s">
        <v>2903</v>
      </c>
      <c r="D210" t="s">
        <v>3481</v>
      </c>
      <c r="E210" t="s">
        <v>1365</v>
      </c>
      <c r="F210" t="str">
        <f>VLOOKUP(A210,Score!B:B,1,FALSE)</f>
        <v>FC326</v>
      </c>
    </row>
    <row r="211" spans="1:6">
      <c r="A211" t="s">
        <v>1234</v>
      </c>
      <c r="B211" t="s">
        <v>1366</v>
      </c>
      <c r="C211" t="s">
        <v>2903</v>
      </c>
      <c r="D211" t="s">
        <v>3481</v>
      </c>
      <c r="E211" t="s">
        <v>1365</v>
      </c>
      <c r="F211" t="str">
        <f>VLOOKUP(A211,Score!B:B,1,FALSE)</f>
        <v>FC379</v>
      </c>
    </row>
    <row r="212" spans="1:6">
      <c r="A212" t="s">
        <v>1235</v>
      </c>
      <c r="B212" t="s">
        <v>2931</v>
      </c>
      <c r="C212" t="s">
        <v>2903</v>
      </c>
      <c r="D212" t="s">
        <v>3481</v>
      </c>
      <c r="E212" t="s">
        <v>1365</v>
      </c>
      <c r="F212" t="str">
        <f>VLOOKUP(A212,Score!B:B,1,FALSE)</f>
        <v>14H3</v>
      </c>
    </row>
    <row r="213" spans="1:6">
      <c r="A213" t="s">
        <v>656</v>
      </c>
      <c r="B213" t="s">
        <v>657</v>
      </c>
      <c r="C213" t="s">
        <v>2903</v>
      </c>
      <c r="D213" t="s">
        <v>3482</v>
      </c>
      <c r="E213" t="s">
        <v>1367</v>
      </c>
      <c r="F213" t="str">
        <f>VLOOKUP(A213,Score!B:B,1,FALSE)</f>
        <v>FC296</v>
      </c>
    </row>
    <row r="214" spans="1:6">
      <c r="A214" t="s">
        <v>644</v>
      </c>
      <c r="B214" t="s">
        <v>645</v>
      </c>
      <c r="C214" t="s">
        <v>2903</v>
      </c>
      <c r="D214" t="s">
        <v>3483</v>
      </c>
      <c r="E214" t="s">
        <v>1368</v>
      </c>
      <c r="F214" t="str">
        <f>VLOOKUP(A214,Score!B:B,1,FALSE)</f>
        <v>FC188</v>
      </c>
    </row>
    <row r="215" spans="1:6">
      <c r="A215" t="s">
        <v>680</v>
      </c>
      <c r="B215" t="s">
        <v>681</v>
      </c>
      <c r="C215" t="s">
        <v>2903</v>
      </c>
      <c r="D215" t="s">
        <v>3484</v>
      </c>
      <c r="E215" t="s">
        <v>2932</v>
      </c>
      <c r="F215" t="str">
        <f>VLOOKUP(A215,Score!B:B,1,FALSE)</f>
        <v>FC292</v>
      </c>
    </row>
    <row r="216" spans="1:6">
      <c r="A216" t="s">
        <v>3141</v>
      </c>
      <c r="B216" t="s">
        <v>3486</v>
      </c>
      <c r="C216" t="s">
        <v>2903</v>
      </c>
      <c r="D216" t="s">
        <v>3484</v>
      </c>
      <c r="E216" t="s">
        <v>3485</v>
      </c>
      <c r="F216" t="str">
        <f>VLOOKUP(A216,Score!B:B,1,FALSE)</f>
        <v>14H8</v>
      </c>
    </row>
    <row r="217" spans="1:6">
      <c r="A217" t="s">
        <v>566</v>
      </c>
      <c r="B217" t="s">
        <v>567</v>
      </c>
      <c r="C217" t="s">
        <v>2903</v>
      </c>
      <c r="D217" t="s">
        <v>3487</v>
      </c>
      <c r="E217" t="s">
        <v>1369</v>
      </c>
      <c r="F217" t="str">
        <f>VLOOKUP(A217,Score!B:B,1,FALSE)</f>
        <v>FC314</v>
      </c>
    </row>
    <row r="218" spans="1:6">
      <c r="A218" t="s">
        <v>686</v>
      </c>
      <c r="B218" t="s">
        <v>687</v>
      </c>
      <c r="C218" t="s">
        <v>2903</v>
      </c>
      <c r="D218" t="s">
        <v>3487</v>
      </c>
      <c r="E218" t="s">
        <v>1369</v>
      </c>
      <c r="F218" t="str">
        <f>VLOOKUP(A218,Score!B:B,1,FALSE)</f>
        <v>FC361</v>
      </c>
    </row>
    <row r="219" spans="1:6">
      <c r="A219" t="s">
        <v>698</v>
      </c>
      <c r="B219" t="s">
        <v>699</v>
      </c>
      <c r="C219" t="s">
        <v>2903</v>
      </c>
      <c r="D219" t="s">
        <v>3488</v>
      </c>
      <c r="E219" t="s">
        <v>2933</v>
      </c>
      <c r="F219" t="str">
        <f>VLOOKUP(A219,Score!B:B,1,FALSE)</f>
        <v>FC325</v>
      </c>
    </row>
    <row r="220" spans="1:6">
      <c r="A220" t="s">
        <v>658</v>
      </c>
      <c r="B220" t="s">
        <v>659</v>
      </c>
      <c r="C220" t="s">
        <v>2903</v>
      </c>
      <c r="D220" t="s">
        <v>3489</v>
      </c>
      <c r="E220" t="s">
        <v>1370</v>
      </c>
      <c r="F220" t="str">
        <f>VLOOKUP(A220,Score!B:B,1,FALSE)</f>
        <v>FC321</v>
      </c>
    </row>
    <row r="221" spans="1:6">
      <c r="A221" t="s">
        <v>672</v>
      </c>
      <c r="B221" t="s">
        <v>673</v>
      </c>
      <c r="C221" t="s">
        <v>2903</v>
      </c>
      <c r="D221" t="s">
        <v>3490</v>
      </c>
      <c r="E221" t="s">
        <v>1340</v>
      </c>
      <c r="F221" t="str">
        <f>VLOOKUP(A221,Score!B:B,1,FALSE)</f>
        <v>FC226</v>
      </c>
    </row>
    <row r="222" spans="1:6">
      <c r="A222" t="s">
        <v>634</v>
      </c>
      <c r="B222" t="s">
        <v>635</v>
      </c>
      <c r="C222" t="s">
        <v>2903</v>
      </c>
      <c r="D222" t="s">
        <v>3491</v>
      </c>
      <c r="E222" t="s">
        <v>1371</v>
      </c>
      <c r="F222" t="str">
        <f>VLOOKUP(A222,Score!B:B,1,FALSE)</f>
        <v>FC324</v>
      </c>
    </row>
    <row r="223" spans="1:6">
      <c r="A223" t="s">
        <v>778</v>
      </c>
      <c r="B223" t="s">
        <v>1373</v>
      </c>
      <c r="C223" t="s">
        <v>2903</v>
      </c>
      <c r="D223" t="s">
        <v>3492</v>
      </c>
      <c r="E223" t="s">
        <v>1372</v>
      </c>
      <c r="F223" t="str">
        <f>VLOOKUP(A223,Score!B:B,1,FALSE)</f>
        <v>ZZP9</v>
      </c>
    </row>
    <row r="224" spans="1:6">
      <c r="A224" t="s">
        <v>720</v>
      </c>
      <c r="B224" t="s">
        <v>721</v>
      </c>
      <c r="C224" t="s">
        <v>2903</v>
      </c>
      <c r="D224" t="s">
        <v>3493</v>
      </c>
      <c r="E224" t="s">
        <v>2935</v>
      </c>
      <c r="F224" t="str">
        <f>VLOOKUP(A224,Score!B:B,1,FALSE)</f>
        <v>FC329</v>
      </c>
    </row>
    <row r="225" spans="1:6">
      <c r="A225" t="s">
        <v>618</v>
      </c>
      <c r="B225" t="s">
        <v>619</v>
      </c>
      <c r="C225" t="s">
        <v>2903</v>
      </c>
      <c r="D225" t="s">
        <v>3494</v>
      </c>
      <c r="E225" t="s">
        <v>3188</v>
      </c>
      <c r="F225" t="str">
        <f>VLOOKUP(A225,Score!B:B,1,FALSE)</f>
        <v>FC334</v>
      </c>
    </row>
    <row r="226" spans="1:6">
      <c r="A226" t="s">
        <v>660</v>
      </c>
      <c r="B226" t="s">
        <v>661</v>
      </c>
      <c r="C226" t="s">
        <v>2903</v>
      </c>
      <c r="D226" t="s">
        <v>3495</v>
      </c>
      <c r="E226" t="s">
        <v>1374</v>
      </c>
      <c r="F226" t="str">
        <f>VLOOKUP(A226,Score!B:B,1,FALSE)</f>
        <v>FC336</v>
      </c>
    </row>
    <row r="227" spans="1:6">
      <c r="A227" t="s">
        <v>762</v>
      </c>
      <c r="B227" t="s">
        <v>3498</v>
      </c>
      <c r="C227" t="s">
        <v>2903</v>
      </c>
      <c r="D227" t="s">
        <v>3496</v>
      </c>
      <c r="E227" t="s">
        <v>3497</v>
      </c>
      <c r="F227" t="str">
        <f>VLOOKUP(A227,Score!B:B,1,FALSE)</f>
        <v>ZZS2</v>
      </c>
    </row>
    <row r="228" spans="1:6">
      <c r="A228" t="s">
        <v>636</v>
      </c>
      <c r="B228" t="s">
        <v>637</v>
      </c>
      <c r="C228" t="s">
        <v>2903</v>
      </c>
      <c r="D228" t="s">
        <v>3499</v>
      </c>
      <c r="E228" t="s">
        <v>1375</v>
      </c>
      <c r="F228" t="str">
        <f>VLOOKUP(A228,Score!B:B,1,FALSE)</f>
        <v>FC335</v>
      </c>
    </row>
    <row r="229" spans="1:6">
      <c r="A229" t="s">
        <v>622</v>
      </c>
      <c r="B229" t="s">
        <v>623</v>
      </c>
      <c r="C229" t="s">
        <v>2903</v>
      </c>
      <c r="D229" t="s">
        <v>3500</v>
      </c>
      <c r="E229" t="s">
        <v>1376</v>
      </c>
      <c r="F229" t="str">
        <f>VLOOKUP(A229,Score!B:B,1,FALSE)</f>
        <v>FC359</v>
      </c>
    </row>
    <row r="230" spans="1:6">
      <c r="A230" t="s">
        <v>592</v>
      </c>
      <c r="B230" t="s">
        <v>593</v>
      </c>
      <c r="C230" t="s">
        <v>2903</v>
      </c>
      <c r="D230" t="s">
        <v>3501</v>
      </c>
      <c r="E230" t="s">
        <v>1377</v>
      </c>
      <c r="F230" t="e">
        <f>VLOOKUP(A230,Score!B:B,1,FALSE)</f>
        <v>#N/A</v>
      </c>
    </row>
    <row r="231" spans="1:6">
      <c r="A231" t="s">
        <v>664</v>
      </c>
      <c r="B231" t="s">
        <v>665</v>
      </c>
      <c r="C231" t="s">
        <v>2903</v>
      </c>
      <c r="D231" t="s">
        <v>3502</v>
      </c>
      <c r="E231" t="s">
        <v>1378</v>
      </c>
      <c r="F231" t="str">
        <f>VLOOKUP(A231,Score!B:B,1,FALSE)</f>
        <v>FC354</v>
      </c>
    </row>
    <row r="232" spans="1:6">
      <c r="A232" t="s">
        <v>1226</v>
      </c>
      <c r="B232" t="s">
        <v>1379</v>
      </c>
      <c r="C232" t="s">
        <v>2903</v>
      </c>
      <c r="D232" t="s">
        <v>3502</v>
      </c>
      <c r="E232" t="s">
        <v>1378</v>
      </c>
      <c r="F232" t="str">
        <f>VLOOKUP(A232,Score!B:B,1,FALSE)</f>
        <v>FC376</v>
      </c>
    </row>
    <row r="233" spans="1:6">
      <c r="A233" t="s">
        <v>3503</v>
      </c>
      <c r="B233" t="s">
        <v>3504</v>
      </c>
      <c r="C233" t="s">
        <v>2903</v>
      </c>
      <c r="D233" t="s">
        <v>3502</v>
      </c>
      <c r="E233" t="s">
        <v>1378</v>
      </c>
      <c r="F233" t="e">
        <f>VLOOKUP(A233,Score!B:B,1,FALSE)</f>
        <v>#N/A</v>
      </c>
    </row>
    <row r="234" spans="1:6">
      <c r="A234" t="s">
        <v>2699</v>
      </c>
      <c r="B234" t="s">
        <v>2936</v>
      </c>
      <c r="C234" t="s">
        <v>2903</v>
      </c>
      <c r="D234" t="s">
        <v>3502</v>
      </c>
      <c r="E234" t="s">
        <v>1378</v>
      </c>
      <c r="F234" t="str">
        <f>VLOOKUP(A234,Score!B:B,1,FALSE)</f>
        <v>FC411</v>
      </c>
    </row>
    <row r="235" spans="1:6">
      <c r="A235" t="s">
        <v>688</v>
      </c>
      <c r="B235" t="s">
        <v>689</v>
      </c>
      <c r="C235" t="s">
        <v>2903</v>
      </c>
      <c r="D235" t="s">
        <v>3505</v>
      </c>
      <c r="E235" t="s">
        <v>1380</v>
      </c>
      <c r="F235" t="str">
        <f>VLOOKUP(A235,Score!B:B,1,FALSE)</f>
        <v>FC363</v>
      </c>
    </row>
    <row r="236" spans="1:6">
      <c r="A236" t="s">
        <v>1232</v>
      </c>
      <c r="B236" t="s">
        <v>2937</v>
      </c>
      <c r="C236" t="s">
        <v>2903</v>
      </c>
      <c r="D236" t="s">
        <v>3506</v>
      </c>
      <c r="E236" t="s">
        <v>1381</v>
      </c>
      <c r="F236" t="str">
        <f>VLOOKUP(A236,Score!B:B,1,FALSE)</f>
        <v>FC377</v>
      </c>
    </row>
    <row r="237" spans="1:6">
      <c r="A237" t="s">
        <v>1237</v>
      </c>
      <c r="B237" t="s">
        <v>1382</v>
      </c>
      <c r="C237" t="s">
        <v>2903</v>
      </c>
      <c r="D237" t="s">
        <v>3507</v>
      </c>
      <c r="E237" t="s">
        <v>2938</v>
      </c>
      <c r="F237" t="str">
        <f>VLOOKUP(A237,Score!B:B,1,FALSE)</f>
        <v>FC022</v>
      </c>
    </row>
    <row r="238" spans="1:6">
      <c r="A238" t="s">
        <v>1233</v>
      </c>
      <c r="B238" t="s">
        <v>2939</v>
      </c>
      <c r="C238" t="s">
        <v>2903</v>
      </c>
      <c r="D238" t="s">
        <v>3508</v>
      </c>
      <c r="E238" t="s">
        <v>1383</v>
      </c>
      <c r="F238" t="str">
        <f>VLOOKUP(A238,Score!B:B,1,FALSE)</f>
        <v>FC380</v>
      </c>
    </row>
    <row r="239" spans="1:6">
      <c r="A239" t="s">
        <v>2696</v>
      </c>
      <c r="B239" t="s">
        <v>2941</v>
      </c>
      <c r="C239" t="s">
        <v>2903</v>
      </c>
      <c r="D239" t="s">
        <v>3509</v>
      </c>
      <c r="E239" t="s">
        <v>2940</v>
      </c>
      <c r="F239" t="str">
        <f>VLOOKUP(A239,Score!B:B,1,FALSE)</f>
        <v>FC407</v>
      </c>
    </row>
    <row r="240" spans="1:6">
      <c r="A240" t="s">
        <v>638</v>
      </c>
      <c r="B240" t="s">
        <v>639</v>
      </c>
      <c r="C240" t="s">
        <v>2903</v>
      </c>
      <c r="D240" t="s">
        <v>3510</v>
      </c>
      <c r="E240" t="s">
        <v>1384</v>
      </c>
      <c r="F240" t="str">
        <f>VLOOKUP(A240,Score!B:B,1,FALSE)</f>
        <v>FC350</v>
      </c>
    </row>
    <row r="241" spans="1:6">
      <c r="A241" t="s">
        <v>700</v>
      </c>
      <c r="B241" t="s">
        <v>701</v>
      </c>
      <c r="C241" t="s">
        <v>2903</v>
      </c>
      <c r="D241" t="s">
        <v>3510</v>
      </c>
      <c r="E241" t="s">
        <v>1384</v>
      </c>
      <c r="F241" t="str">
        <f>VLOOKUP(A241,Score!B:B,1,FALSE)</f>
        <v>FC351</v>
      </c>
    </row>
    <row r="242" spans="1:6">
      <c r="A242" t="s">
        <v>1229</v>
      </c>
      <c r="B242" t="s">
        <v>2944</v>
      </c>
      <c r="C242" t="s">
        <v>2903</v>
      </c>
      <c r="D242" t="s">
        <v>3510</v>
      </c>
      <c r="E242" t="s">
        <v>1384</v>
      </c>
      <c r="F242" t="str">
        <f>VLOOKUP(A242,Score!B:B,1,FALSE)</f>
        <v>FC387</v>
      </c>
    </row>
    <row r="243" spans="1:6">
      <c r="A243" t="s">
        <v>776</v>
      </c>
      <c r="B243" t="s">
        <v>3512</v>
      </c>
      <c r="C243" t="s">
        <v>2903</v>
      </c>
      <c r="D243" t="s">
        <v>3511</v>
      </c>
      <c r="E243" t="s">
        <v>1385</v>
      </c>
      <c r="F243" t="str">
        <f>VLOOKUP(A243,Score!B:B,1,FALSE)</f>
        <v>ZZS4</v>
      </c>
    </row>
    <row r="244" spans="1:6">
      <c r="A244" t="s">
        <v>774</v>
      </c>
      <c r="B244" t="s">
        <v>3513</v>
      </c>
      <c r="C244" t="s">
        <v>2903</v>
      </c>
      <c r="D244" t="s">
        <v>3511</v>
      </c>
      <c r="E244" t="s">
        <v>1385</v>
      </c>
      <c r="F244" t="str">
        <f>VLOOKUP(A244,Score!B:B,1,FALSE)</f>
        <v>ZZS5</v>
      </c>
    </row>
    <row r="245" spans="1:6">
      <c r="A245" t="s">
        <v>1248</v>
      </c>
      <c r="B245" t="s">
        <v>2945</v>
      </c>
      <c r="C245" t="s">
        <v>2903</v>
      </c>
      <c r="D245" t="s">
        <v>3511</v>
      </c>
      <c r="E245" t="s">
        <v>1385</v>
      </c>
      <c r="F245" t="str">
        <f>VLOOKUP(A245,Score!B:B,1,FALSE)</f>
        <v>FC395</v>
      </c>
    </row>
    <row r="246" spans="1:6">
      <c r="A246" t="s">
        <v>2851</v>
      </c>
      <c r="B246" t="s">
        <v>2961</v>
      </c>
      <c r="C246" t="s">
        <v>2903</v>
      </c>
      <c r="D246" t="s">
        <v>3511</v>
      </c>
      <c r="E246" t="s">
        <v>1385</v>
      </c>
      <c r="F246" t="str">
        <f>VLOOKUP(A246,Score!B:B,1,FALSE)</f>
        <v>FC412</v>
      </c>
    </row>
    <row r="247" spans="1:6">
      <c r="A247" t="s">
        <v>3125</v>
      </c>
      <c r="B247" t="s">
        <v>3514</v>
      </c>
      <c r="C247" t="s">
        <v>2903</v>
      </c>
      <c r="D247" t="s">
        <v>3511</v>
      </c>
      <c r="E247" t="s">
        <v>1385</v>
      </c>
      <c r="F247" t="str">
        <f>VLOOKUP(A247,Score!B:B,1,FALSE)</f>
        <v>14H4</v>
      </c>
    </row>
    <row r="248" spans="1:6">
      <c r="A248" t="s">
        <v>628</v>
      </c>
      <c r="B248" t="s">
        <v>629</v>
      </c>
      <c r="C248" t="s">
        <v>2903</v>
      </c>
      <c r="D248" t="s">
        <v>3515</v>
      </c>
      <c r="E248" t="s">
        <v>1386</v>
      </c>
      <c r="F248" t="str">
        <f>VLOOKUP(A248,Score!B:B,1,FALSE)</f>
        <v>FC141</v>
      </c>
    </row>
    <row r="249" spans="1:6">
      <c r="A249" t="s">
        <v>646</v>
      </c>
      <c r="B249" t="s">
        <v>647</v>
      </c>
      <c r="C249" t="s">
        <v>2903</v>
      </c>
      <c r="D249" t="s">
        <v>3515</v>
      </c>
      <c r="E249" t="s">
        <v>1386</v>
      </c>
      <c r="F249" t="str">
        <f>VLOOKUP(A249,Score!B:B,1,FALSE)</f>
        <v>FC193</v>
      </c>
    </row>
    <row r="250" spans="1:6">
      <c r="A250" t="s">
        <v>564</v>
      </c>
      <c r="B250" t="s">
        <v>565</v>
      </c>
      <c r="C250" t="s">
        <v>2903</v>
      </c>
      <c r="D250" t="s">
        <v>3515</v>
      </c>
      <c r="E250" t="s">
        <v>1386</v>
      </c>
      <c r="F250" t="str">
        <f>VLOOKUP(A250,Score!B:B,1,FALSE)</f>
        <v>FC288</v>
      </c>
    </row>
    <row r="251" spans="1:6">
      <c r="A251" t="s">
        <v>572</v>
      </c>
      <c r="B251" t="s">
        <v>573</v>
      </c>
      <c r="C251" t="s">
        <v>2903</v>
      </c>
      <c r="D251" t="s">
        <v>3516</v>
      </c>
      <c r="E251" t="s">
        <v>3169</v>
      </c>
      <c r="F251" t="str">
        <f>VLOOKUP(A251,Score!B:B,1,FALSE)</f>
        <v>FC018</v>
      </c>
    </row>
    <row r="252" spans="1:6">
      <c r="A252" t="s">
        <v>358</v>
      </c>
      <c r="B252" t="s">
        <v>359</v>
      </c>
      <c r="C252" t="s">
        <v>2946</v>
      </c>
      <c r="D252" t="s">
        <v>3517</v>
      </c>
      <c r="E252" t="s">
        <v>1387</v>
      </c>
      <c r="F252" t="str">
        <f>VLOOKUP(A252,Score!B:B,1,FALSE)</f>
        <v>FC040</v>
      </c>
    </row>
    <row r="253" spans="1:6">
      <c r="A253" t="s">
        <v>406</v>
      </c>
      <c r="B253" t="s">
        <v>407</v>
      </c>
      <c r="C253" t="s">
        <v>2946</v>
      </c>
      <c r="D253" t="s">
        <v>3517</v>
      </c>
      <c r="E253" t="s">
        <v>1387</v>
      </c>
      <c r="F253" t="str">
        <f>VLOOKUP(A253,Score!B:B,1,FALSE)</f>
        <v>FC029</v>
      </c>
    </row>
    <row r="254" spans="1:6">
      <c r="A254">
        <v>3164</v>
      </c>
      <c r="B254" t="s">
        <v>2948</v>
      </c>
      <c r="C254" t="s">
        <v>2946</v>
      </c>
      <c r="D254" t="s">
        <v>3518</v>
      </c>
      <c r="E254" t="s">
        <v>1388</v>
      </c>
      <c r="F254">
        <f>VLOOKUP(A254,Score!B:B,1,FALSE)</f>
        <v>3164</v>
      </c>
    </row>
    <row r="255" spans="1:6">
      <c r="A255" t="s">
        <v>350</v>
      </c>
      <c r="B255" t="s">
        <v>351</v>
      </c>
      <c r="C255" t="s">
        <v>2946</v>
      </c>
      <c r="D255" t="s">
        <v>3518</v>
      </c>
      <c r="E255" t="s">
        <v>1388</v>
      </c>
      <c r="F255" t="str">
        <f>VLOOKUP(A255,Score!B:B,1,FALSE)</f>
        <v>FC287</v>
      </c>
    </row>
    <row r="256" spans="1:6">
      <c r="A256" t="s">
        <v>404</v>
      </c>
      <c r="B256" t="s">
        <v>405</v>
      </c>
      <c r="C256" t="s">
        <v>2946</v>
      </c>
      <c r="D256" t="s">
        <v>3519</v>
      </c>
      <c r="E256" t="s">
        <v>1389</v>
      </c>
      <c r="F256" t="str">
        <f>VLOOKUP(A256,Score!B:B,1,FALSE)</f>
        <v>FC282</v>
      </c>
    </row>
    <row r="257" spans="1:6">
      <c r="A257" t="s">
        <v>736</v>
      </c>
      <c r="B257" t="s">
        <v>2950</v>
      </c>
      <c r="C257" t="s">
        <v>2946</v>
      </c>
      <c r="D257" t="s">
        <v>3520</v>
      </c>
      <c r="E257" t="s">
        <v>1390</v>
      </c>
      <c r="F257" t="str">
        <f>VLOOKUP(A257,Score!B:B,1,FALSE)</f>
        <v>3165</v>
      </c>
    </row>
    <row r="258" spans="1:6">
      <c r="A258" t="s">
        <v>730</v>
      </c>
      <c r="B258" t="s">
        <v>2951</v>
      </c>
      <c r="C258" t="s">
        <v>2946</v>
      </c>
      <c r="D258" t="s">
        <v>3520</v>
      </c>
      <c r="E258" t="s">
        <v>1390</v>
      </c>
      <c r="F258" t="str">
        <f>VLOOKUP(A258,Score!B:B,1,FALSE)</f>
        <v>3166</v>
      </c>
    </row>
    <row r="259" spans="1:6">
      <c r="A259" t="s">
        <v>414</v>
      </c>
      <c r="B259" t="s">
        <v>1392</v>
      </c>
      <c r="C259" t="s">
        <v>2946</v>
      </c>
      <c r="D259" t="s">
        <v>3521</v>
      </c>
      <c r="E259" t="s">
        <v>1391</v>
      </c>
      <c r="F259" t="str">
        <f>VLOOKUP(A259,Score!B:B,1,FALSE)</f>
        <v>FC115</v>
      </c>
    </row>
    <row r="260" spans="1:6">
      <c r="A260" t="s">
        <v>742</v>
      </c>
      <c r="B260" t="s">
        <v>2952</v>
      </c>
      <c r="C260" t="s">
        <v>2946</v>
      </c>
      <c r="D260" t="s">
        <v>3522</v>
      </c>
      <c r="E260" t="s">
        <v>1393</v>
      </c>
      <c r="F260" t="str">
        <f>VLOOKUP(A260,Score!B:B,1,FALSE)</f>
        <v>3168</v>
      </c>
    </row>
    <row r="261" spans="1:6">
      <c r="A261" t="s">
        <v>410</v>
      </c>
      <c r="B261" t="s">
        <v>411</v>
      </c>
      <c r="C261" t="s">
        <v>2946</v>
      </c>
      <c r="D261" t="s">
        <v>3523</v>
      </c>
      <c r="E261" t="s">
        <v>1394</v>
      </c>
      <c r="F261" t="str">
        <f>VLOOKUP(A261,Score!B:B,1,FALSE)</f>
        <v>FC253</v>
      </c>
    </row>
    <row r="262" spans="1:6">
      <c r="A262" t="s">
        <v>408</v>
      </c>
      <c r="B262" t="s">
        <v>409</v>
      </c>
      <c r="C262" t="s">
        <v>2946</v>
      </c>
      <c r="D262" t="s">
        <v>3523</v>
      </c>
      <c r="E262" t="s">
        <v>1394</v>
      </c>
      <c r="F262" t="str">
        <f>VLOOKUP(A262,Score!B:B,1,FALSE)</f>
        <v>FC129</v>
      </c>
    </row>
    <row r="263" spans="1:6">
      <c r="A263" t="s">
        <v>374</v>
      </c>
      <c r="B263" t="s">
        <v>375</v>
      </c>
      <c r="C263" t="s">
        <v>2946</v>
      </c>
      <c r="D263" t="s">
        <v>3523</v>
      </c>
      <c r="E263" t="s">
        <v>1394</v>
      </c>
      <c r="F263" t="str">
        <f>VLOOKUP(A263,Score!B:B,1,FALSE)</f>
        <v>FC295</v>
      </c>
    </row>
    <row r="264" spans="1:6">
      <c r="A264" t="s">
        <v>368</v>
      </c>
      <c r="B264" t="s">
        <v>369</v>
      </c>
      <c r="C264" t="s">
        <v>2946</v>
      </c>
      <c r="D264" t="s">
        <v>3523</v>
      </c>
      <c r="E264" t="s">
        <v>1394</v>
      </c>
      <c r="F264" t="str">
        <f>VLOOKUP(A264,Score!B:B,1,FALSE)</f>
        <v>FC356</v>
      </c>
    </row>
    <row r="265" spans="1:6">
      <c r="A265" t="s">
        <v>2539</v>
      </c>
      <c r="B265" t="s">
        <v>2954</v>
      </c>
      <c r="C265" t="s">
        <v>2946</v>
      </c>
      <c r="D265" t="s">
        <v>3523</v>
      </c>
      <c r="E265" t="s">
        <v>1394</v>
      </c>
      <c r="F265" t="str">
        <f>VLOOKUP(A265,Score!B:B,1,FALSE)</f>
        <v>FC396</v>
      </c>
    </row>
    <row r="266" spans="1:6">
      <c r="A266" t="s">
        <v>356</v>
      </c>
      <c r="B266" t="s">
        <v>357</v>
      </c>
      <c r="C266" t="s">
        <v>2946</v>
      </c>
      <c r="D266" t="s">
        <v>3524</v>
      </c>
      <c r="E266" t="s">
        <v>1395</v>
      </c>
      <c r="F266" t="str">
        <f>VLOOKUP(A266,Score!B:B,1,FALSE)</f>
        <v>FC006</v>
      </c>
    </row>
    <row r="267" spans="1:6">
      <c r="A267" t="s">
        <v>382</v>
      </c>
      <c r="B267" t="s">
        <v>383</v>
      </c>
      <c r="C267" t="s">
        <v>2946</v>
      </c>
      <c r="D267" t="s">
        <v>3524</v>
      </c>
      <c r="E267" t="s">
        <v>1395</v>
      </c>
      <c r="F267" t="str">
        <f>VLOOKUP(A267,Score!B:B,1,FALSE)</f>
        <v>FC213</v>
      </c>
    </row>
    <row r="268" spans="1:6">
      <c r="A268" t="s">
        <v>412</v>
      </c>
      <c r="B268" t="s">
        <v>413</v>
      </c>
      <c r="C268" t="s">
        <v>2946</v>
      </c>
      <c r="D268" t="s">
        <v>3525</v>
      </c>
      <c r="E268" t="s">
        <v>1396</v>
      </c>
      <c r="F268" t="str">
        <f>VLOOKUP(A268,Score!B:B,1,FALSE)</f>
        <v>FC027</v>
      </c>
    </row>
    <row r="269" spans="1:6">
      <c r="A269" t="s">
        <v>378</v>
      </c>
      <c r="B269" t="s">
        <v>3084</v>
      </c>
      <c r="C269" t="s">
        <v>2946</v>
      </c>
      <c r="D269" t="s">
        <v>3525</v>
      </c>
      <c r="E269" t="s">
        <v>1396</v>
      </c>
      <c r="F269" t="str">
        <f>VLOOKUP(A269,Score!B:B,1,FALSE)</f>
        <v>FC058</v>
      </c>
    </row>
    <row r="270" spans="1:6">
      <c r="A270" t="s">
        <v>394</v>
      </c>
      <c r="B270" t="s">
        <v>395</v>
      </c>
      <c r="C270" t="s">
        <v>2946</v>
      </c>
      <c r="D270" t="s">
        <v>3525</v>
      </c>
      <c r="E270" t="s">
        <v>1396</v>
      </c>
      <c r="F270" t="str">
        <f>VLOOKUP(A270,Score!B:B,1,FALSE)</f>
        <v>FC212</v>
      </c>
    </row>
    <row r="271" spans="1:6">
      <c r="A271" t="s">
        <v>384</v>
      </c>
      <c r="B271" t="s">
        <v>385</v>
      </c>
      <c r="C271" t="s">
        <v>2946</v>
      </c>
      <c r="D271" t="s">
        <v>3525</v>
      </c>
      <c r="E271" t="s">
        <v>1396</v>
      </c>
      <c r="F271" t="str">
        <f>VLOOKUP(A271,Score!B:B,1,FALSE)</f>
        <v>FC218</v>
      </c>
    </row>
    <row r="272" spans="1:6">
      <c r="A272" t="s">
        <v>396</v>
      </c>
      <c r="B272" t="s">
        <v>1397</v>
      </c>
      <c r="C272" t="s">
        <v>2946</v>
      </c>
      <c r="D272" t="s">
        <v>3525</v>
      </c>
      <c r="E272" t="s">
        <v>1396</v>
      </c>
      <c r="F272" t="str">
        <f>VLOOKUP(A272,Score!B:B,1,FALSE)</f>
        <v>FC238</v>
      </c>
    </row>
    <row r="273" spans="1:6">
      <c r="A273" t="s">
        <v>376</v>
      </c>
      <c r="B273" t="s">
        <v>377</v>
      </c>
      <c r="C273" t="s">
        <v>2946</v>
      </c>
      <c r="D273" t="s">
        <v>3525</v>
      </c>
      <c r="E273" t="s">
        <v>1396</v>
      </c>
      <c r="F273" t="str">
        <f>VLOOKUP(A273,Score!B:B,1,FALSE)</f>
        <v>FC310</v>
      </c>
    </row>
    <row r="274" spans="1:6">
      <c r="A274" t="s">
        <v>354</v>
      </c>
      <c r="B274" t="s">
        <v>355</v>
      </c>
      <c r="C274" t="s">
        <v>2946</v>
      </c>
      <c r="D274" t="s">
        <v>3525</v>
      </c>
      <c r="E274" t="s">
        <v>1396</v>
      </c>
      <c r="F274" t="str">
        <f>VLOOKUP(A274,Score!B:B,1,FALSE)</f>
        <v>FC366</v>
      </c>
    </row>
    <row r="275" spans="1:6">
      <c r="A275" t="s">
        <v>400</v>
      </c>
      <c r="B275" t="s">
        <v>401</v>
      </c>
      <c r="C275" t="s">
        <v>2946</v>
      </c>
      <c r="D275" t="s">
        <v>3526</v>
      </c>
      <c r="E275" t="s">
        <v>1398</v>
      </c>
      <c r="F275" t="str">
        <f>VLOOKUP(A275,Score!B:B,1,FALSE)</f>
        <v>FC028</v>
      </c>
    </row>
    <row r="276" spans="1:6">
      <c r="A276" t="s">
        <v>360</v>
      </c>
      <c r="B276" t="s">
        <v>361</v>
      </c>
      <c r="C276" t="s">
        <v>2946</v>
      </c>
      <c r="D276" t="s">
        <v>3527</v>
      </c>
      <c r="E276" t="s">
        <v>1399</v>
      </c>
      <c r="F276" t="str">
        <f>VLOOKUP(A276,Score!B:B,1,FALSE)</f>
        <v>FC098</v>
      </c>
    </row>
    <row r="277" spans="1:6">
      <c r="A277" t="s">
        <v>3027</v>
      </c>
      <c r="B277" t="s">
        <v>3029</v>
      </c>
      <c r="C277" t="s">
        <v>2946</v>
      </c>
      <c r="D277" t="s">
        <v>3527</v>
      </c>
      <c r="E277" t="s">
        <v>1399</v>
      </c>
      <c r="F277" t="str">
        <f>VLOOKUP(A277,Score!B:B,1,FALSE)</f>
        <v>FC414</v>
      </c>
    </row>
    <row r="278" spans="1:6">
      <c r="A278" t="s">
        <v>348</v>
      </c>
      <c r="B278" t="s">
        <v>349</v>
      </c>
      <c r="C278" t="s">
        <v>2946</v>
      </c>
      <c r="D278" t="s">
        <v>3527</v>
      </c>
      <c r="E278" t="s">
        <v>1399</v>
      </c>
      <c r="F278" t="str">
        <f>VLOOKUP(A278,Score!B:B,1,FALSE)</f>
        <v>FC221</v>
      </c>
    </row>
    <row r="279" spans="1:6">
      <c r="A279" t="s">
        <v>398</v>
      </c>
      <c r="B279" t="s">
        <v>399</v>
      </c>
      <c r="C279" t="s">
        <v>2946</v>
      </c>
      <c r="D279" t="s">
        <v>3527</v>
      </c>
      <c r="E279" t="s">
        <v>1399</v>
      </c>
      <c r="F279" t="str">
        <f>VLOOKUP(A279,Score!B:B,1,FALSE)</f>
        <v>FC270</v>
      </c>
    </row>
    <row r="280" spans="1:6">
      <c r="A280" t="s">
        <v>388</v>
      </c>
      <c r="B280" t="s">
        <v>389</v>
      </c>
      <c r="C280" t="s">
        <v>2946</v>
      </c>
      <c r="D280" t="s">
        <v>3528</v>
      </c>
      <c r="E280" t="s">
        <v>1400</v>
      </c>
      <c r="F280" t="str">
        <f>VLOOKUP(A280,Score!B:B,1,FALSE)</f>
        <v>FC082</v>
      </c>
    </row>
    <row r="281" spans="1:6">
      <c r="A281" t="s">
        <v>402</v>
      </c>
      <c r="B281" t="s">
        <v>403</v>
      </c>
      <c r="C281" t="s">
        <v>2946</v>
      </c>
      <c r="D281" t="s">
        <v>3528</v>
      </c>
      <c r="E281" t="s">
        <v>1400</v>
      </c>
      <c r="F281" t="str">
        <f>VLOOKUP(A281,Score!B:B,1,FALSE)</f>
        <v>FC210</v>
      </c>
    </row>
    <row r="282" spans="1:6">
      <c r="A282" t="s">
        <v>370</v>
      </c>
      <c r="B282" t="s">
        <v>371</v>
      </c>
      <c r="C282" t="s">
        <v>2946</v>
      </c>
      <c r="D282" t="s">
        <v>3529</v>
      </c>
      <c r="E282" t="s">
        <v>1401</v>
      </c>
      <c r="F282" t="str">
        <f>VLOOKUP(A282,Score!B:B,1,FALSE)</f>
        <v>FC072</v>
      </c>
    </row>
    <row r="283" spans="1:6">
      <c r="A283" t="s">
        <v>386</v>
      </c>
      <c r="B283" t="s">
        <v>387</v>
      </c>
      <c r="C283" t="s">
        <v>2946</v>
      </c>
      <c r="D283" t="s">
        <v>3529</v>
      </c>
      <c r="E283" t="s">
        <v>1401</v>
      </c>
      <c r="F283" t="str">
        <f>VLOOKUP(A283,Score!B:B,1,FALSE)</f>
        <v>FC227</v>
      </c>
    </row>
    <row r="284" spans="1:6">
      <c r="A284" t="s">
        <v>1238</v>
      </c>
      <c r="B284" t="s">
        <v>1403</v>
      </c>
      <c r="C284" t="s">
        <v>2946</v>
      </c>
      <c r="D284" t="s">
        <v>3530</v>
      </c>
      <c r="E284" t="s">
        <v>1402</v>
      </c>
      <c r="F284" t="str">
        <f>VLOOKUP(A284,Score!B:B,1,FALSE)</f>
        <v>FC381</v>
      </c>
    </row>
    <row r="285" spans="1:6">
      <c r="A285" t="s">
        <v>3089</v>
      </c>
      <c r="B285" t="s">
        <v>3533</v>
      </c>
      <c r="C285" t="s">
        <v>2946</v>
      </c>
      <c r="D285" t="s">
        <v>3531</v>
      </c>
      <c r="E285" t="s">
        <v>3532</v>
      </c>
      <c r="F285" t="str">
        <f>VLOOKUP(A285,Score!B:B,1,FALSE)</f>
        <v>15AQ</v>
      </c>
    </row>
    <row r="286" spans="1:6">
      <c r="A286" t="s">
        <v>392</v>
      </c>
      <c r="B286" t="s">
        <v>393</v>
      </c>
      <c r="C286" t="s">
        <v>2946</v>
      </c>
      <c r="D286" t="s">
        <v>3534</v>
      </c>
      <c r="E286" t="s">
        <v>1404</v>
      </c>
      <c r="F286" t="str">
        <f>VLOOKUP(A286,Score!B:B,1,FALSE)</f>
        <v>FC199</v>
      </c>
    </row>
    <row r="287" spans="1:6">
      <c r="A287" t="s">
        <v>362</v>
      </c>
      <c r="B287" t="s">
        <v>363</v>
      </c>
      <c r="C287" t="s">
        <v>2946</v>
      </c>
      <c r="D287" t="s">
        <v>3535</v>
      </c>
      <c r="E287" t="s">
        <v>1405</v>
      </c>
      <c r="F287" t="str">
        <f>VLOOKUP(A287,Score!B:B,1,FALSE)</f>
        <v>FC127</v>
      </c>
    </row>
    <row r="288" spans="1:6">
      <c r="A288" t="s">
        <v>416</v>
      </c>
      <c r="B288" t="s">
        <v>417</v>
      </c>
      <c r="C288" t="s">
        <v>2946</v>
      </c>
      <c r="D288" t="s">
        <v>3535</v>
      </c>
      <c r="E288" t="s">
        <v>1405</v>
      </c>
      <c r="F288" t="str">
        <f>VLOOKUP(A288,Score!B:B,1,FALSE)</f>
        <v>FC166</v>
      </c>
    </row>
    <row r="289" spans="1:6">
      <c r="A289" t="s">
        <v>390</v>
      </c>
      <c r="B289" t="s">
        <v>391</v>
      </c>
      <c r="C289" t="s">
        <v>2946</v>
      </c>
      <c r="D289" t="s">
        <v>3536</v>
      </c>
      <c r="E289" t="s">
        <v>1406</v>
      </c>
      <c r="F289" t="str">
        <f>VLOOKUP(A289,Score!B:B,1,FALSE)</f>
        <v>FC162</v>
      </c>
    </row>
    <row r="290" spans="1:6">
      <c r="A290" t="s">
        <v>2554</v>
      </c>
      <c r="B290" t="s">
        <v>2958</v>
      </c>
      <c r="C290" t="s">
        <v>2946</v>
      </c>
      <c r="D290" t="s">
        <v>3537</v>
      </c>
      <c r="E290" t="s">
        <v>1407</v>
      </c>
      <c r="F290" t="str">
        <f>VLOOKUP(A290,Score!B:B,1,FALSE)</f>
        <v>FC398</v>
      </c>
    </row>
    <row r="291" spans="1:6">
      <c r="A291" t="s">
        <v>2959</v>
      </c>
      <c r="B291" t="s">
        <v>2960</v>
      </c>
      <c r="C291" t="s">
        <v>2946</v>
      </c>
      <c r="D291" t="s">
        <v>3537</v>
      </c>
      <c r="E291" t="s">
        <v>1407</v>
      </c>
      <c r="F291" t="str">
        <f>VLOOKUP(A291,Score!B:B,1,FALSE)</f>
        <v>FC413</v>
      </c>
    </row>
  </sheetData>
  <autoFilter ref="A1:F291" xr:uid="{C922784E-CB37-4DB1-99FE-297D726AEA5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6"/>
  <sheetViews>
    <sheetView topLeftCell="A257" workbookViewId="0">
      <selection activeCell="A268" sqref="A268"/>
    </sheetView>
  </sheetViews>
  <sheetFormatPr defaultRowHeight="14.5"/>
  <cols>
    <col min="1" max="1" width="42.1796875" bestFit="1" customWidth="1"/>
    <col min="2" max="2" width="8" bestFit="1" customWidth="1"/>
    <col min="3" max="3" width="29.54296875" customWidth="1"/>
    <col min="4" max="4" width="11.81640625" bestFit="1" customWidth="1"/>
  </cols>
  <sheetData>
    <row r="1" spans="1:4">
      <c r="B1" t="s">
        <v>236</v>
      </c>
      <c r="C1" t="s">
        <v>237</v>
      </c>
      <c r="D1" t="s">
        <v>235</v>
      </c>
    </row>
    <row r="2" spans="1:4">
      <c r="A2" t="str">
        <f>B2&amp;" "&amp;":"&amp;" "&amp;C2</f>
        <v>FC139 : คลอง 11</v>
      </c>
      <c r="B2" t="s">
        <v>238</v>
      </c>
      <c r="C2" t="s">
        <v>239</v>
      </c>
      <c r="D2" t="s">
        <v>784</v>
      </c>
    </row>
    <row r="3" spans="1:4">
      <c r="A3" t="str">
        <f t="shared" ref="A3:A66" si="0">B3&amp;" "&amp;":"&amp;" "&amp;C3</f>
        <v>FC092 : อู่ทอง</v>
      </c>
      <c r="B3" t="s">
        <v>240</v>
      </c>
      <c r="C3" t="s">
        <v>241</v>
      </c>
      <c r="D3" t="s">
        <v>785</v>
      </c>
    </row>
    <row r="4" spans="1:4">
      <c r="A4" t="str">
        <f t="shared" si="0"/>
        <v>FC236 : ทับสะแก</v>
      </c>
      <c r="B4" t="s">
        <v>242</v>
      </c>
      <c r="C4" t="s">
        <v>243</v>
      </c>
      <c r="D4" t="s">
        <v>785</v>
      </c>
    </row>
    <row r="5" spans="1:4">
      <c r="A5" t="str">
        <f t="shared" si="0"/>
        <v>FC158 : แก่งกระจาน</v>
      </c>
      <c r="B5" t="s">
        <v>244</v>
      </c>
      <c r="C5" t="s">
        <v>245</v>
      </c>
      <c r="D5" t="s">
        <v>785</v>
      </c>
    </row>
    <row r="6" spans="1:4">
      <c r="A6" t="str">
        <f t="shared" si="0"/>
        <v>FC142 : บางปลาม้า</v>
      </c>
      <c r="B6" t="s">
        <v>246</v>
      </c>
      <c r="C6" t="s">
        <v>247</v>
      </c>
      <c r="D6" t="s">
        <v>785</v>
      </c>
    </row>
    <row r="7" spans="1:4">
      <c r="A7" t="str">
        <f t="shared" si="0"/>
        <v>FC176 : บางตะเคียน</v>
      </c>
      <c r="B7" t="s">
        <v>248</v>
      </c>
      <c r="C7" t="s">
        <v>249</v>
      </c>
      <c r="D7" t="s">
        <v>785</v>
      </c>
    </row>
    <row r="8" spans="1:4">
      <c r="A8" t="str">
        <f t="shared" si="0"/>
        <v>FC197 : สรรคบุรี</v>
      </c>
      <c r="B8" t="s">
        <v>250</v>
      </c>
      <c r="C8" t="s">
        <v>251</v>
      </c>
      <c r="D8" t="s">
        <v>785</v>
      </c>
    </row>
    <row r="9" spans="1:4">
      <c r="A9" t="str">
        <f t="shared" si="0"/>
        <v>FC070 : ท่ามะกา</v>
      </c>
      <c r="B9" t="s">
        <v>252</v>
      </c>
      <c r="C9" t="s">
        <v>253</v>
      </c>
      <c r="D9" t="s">
        <v>785</v>
      </c>
    </row>
    <row r="10" spans="1:4">
      <c r="A10" t="str">
        <f t="shared" si="0"/>
        <v>FC009 : ประจวบคีรีขันธ์</v>
      </c>
      <c r="B10" t="s">
        <v>254</v>
      </c>
      <c r="C10" t="s">
        <v>255</v>
      </c>
      <c r="D10" t="s">
        <v>785</v>
      </c>
    </row>
    <row r="11" spans="1:4">
      <c r="A11" t="str">
        <f t="shared" si="0"/>
        <v>FC137 : ห้วยมงคล</v>
      </c>
      <c r="B11" t="s">
        <v>256</v>
      </c>
      <c r="C11" t="s">
        <v>257</v>
      </c>
      <c r="D11" t="s">
        <v>785</v>
      </c>
    </row>
    <row r="12" spans="1:4">
      <c r="A12" t="str">
        <f t="shared" si="0"/>
        <v>FC035 : บางสะพาน</v>
      </c>
      <c r="B12" t="s">
        <v>258</v>
      </c>
      <c r="C12" t="s">
        <v>259</v>
      </c>
      <c r="D12" t="s">
        <v>785</v>
      </c>
    </row>
    <row r="13" spans="1:4">
      <c r="A13" t="str">
        <f t="shared" si="0"/>
        <v>FC069 : จอมบึง</v>
      </c>
      <c r="B13" t="s">
        <v>260</v>
      </c>
      <c r="C13" t="s">
        <v>261</v>
      </c>
      <c r="D13" t="s">
        <v>785</v>
      </c>
    </row>
    <row r="14" spans="1:4">
      <c r="A14" t="str">
        <f t="shared" si="0"/>
        <v>FC248 : สองพี่น้อง</v>
      </c>
      <c r="B14" t="s">
        <v>262</v>
      </c>
      <c r="C14" t="s">
        <v>263</v>
      </c>
      <c r="D14" t="s">
        <v>785</v>
      </c>
    </row>
    <row r="15" spans="1:4">
      <c r="A15" t="str">
        <f t="shared" si="0"/>
        <v>FC249 : ด่านช้าง 2</v>
      </c>
      <c r="B15" t="s">
        <v>264</v>
      </c>
      <c r="C15" t="s">
        <v>265</v>
      </c>
      <c r="D15" t="s">
        <v>785</v>
      </c>
    </row>
    <row r="16" spans="1:4">
      <c r="A16" t="str">
        <f t="shared" si="0"/>
        <v>FC138 : หันตรา</v>
      </c>
      <c r="B16" t="s">
        <v>266</v>
      </c>
      <c r="C16" t="s">
        <v>267</v>
      </c>
      <c r="D16" t="s">
        <v>785</v>
      </c>
    </row>
    <row r="17" spans="1:4">
      <c r="A17" t="str">
        <f t="shared" si="0"/>
        <v>FC093 : สามชุก</v>
      </c>
      <c r="B17" t="s">
        <v>268</v>
      </c>
      <c r="C17" t="s">
        <v>269</v>
      </c>
      <c r="D17" t="s">
        <v>785</v>
      </c>
    </row>
    <row r="18" spans="1:4">
      <c r="A18" t="str">
        <f t="shared" si="0"/>
        <v xml:space="preserve">FC299 : เนินพระปรางค์ </v>
      </c>
      <c r="B18" t="s">
        <v>270</v>
      </c>
      <c r="C18" t="s">
        <v>271</v>
      </c>
      <c r="D18" t="s">
        <v>785</v>
      </c>
    </row>
    <row r="19" spans="1:4">
      <c r="A19" t="str">
        <f t="shared" si="0"/>
        <v>FC047 : กาญจนบุรี</v>
      </c>
      <c r="B19" t="s">
        <v>272</v>
      </c>
      <c r="C19" t="s">
        <v>273</v>
      </c>
      <c r="D19" t="s">
        <v>785</v>
      </c>
    </row>
    <row r="20" spans="1:4">
      <c r="A20" t="str">
        <f t="shared" si="0"/>
        <v>FC201 : ศรีประจันต์</v>
      </c>
      <c r="B20" t="s">
        <v>274</v>
      </c>
      <c r="C20" t="s">
        <v>275</v>
      </c>
      <c r="D20" t="s">
        <v>785</v>
      </c>
    </row>
    <row r="21" spans="1:4">
      <c r="A21" t="str">
        <f t="shared" si="0"/>
        <v xml:space="preserve">FC254 : พนมทวน </v>
      </c>
      <c r="B21" t="s">
        <v>276</v>
      </c>
      <c r="C21" t="s">
        <v>277</v>
      </c>
      <c r="D21" t="s">
        <v>785</v>
      </c>
    </row>
    <row r="22" spans="1:4">
      <c r="A22" t="str">
        <f t="shared" si="0"/>
        <v>FC214 : สระกระโจม</v>
      </c>
      <c r="B22" t="s">
        <v>278</v>
      </c>
      <c r="C22" t="s">
        <v>279</v>
      </c>
      <c r="D22" t="s">
        <v>785</v>
      </c>
    </row>
    <row r="23" spans="1:4">
      <c r="A23" t="str">
        <f t="shared" si="0"/>
        <v>FC071 : ปลวกแดง</v>
      </c>
      <c r="B23" t="s">
        <v>280</v>
      </c>
      <c r="C23" t="s">
        <v>281</v>
      </c>
      <c r="D23" t="s">
        <v>786</v>
      </c>
    </row>
    <row r="24" spans="1:4">
      <c r="A24" t="str">
        <f t="shared" si="0"/>
        <v>FC087 : บ้านค่าย</v>
      </c>
      <c r="B24" t="s">
        <v>282</v>
      </c>
      <c r="C24" t="s">
        <v>283</v>
      </c>
      <c r="D24" t="s">
        <v>786</v>
      </c>
    </row>
    <row r="25" spans="1:4">
      <c r="A25" t="str">
        <f t="shared" si="0"/>
        <v>FC169 : มาบประชัน</v>
      </c>
      <c r="B25" t="s">
        <v>284</v>
      </c>
      <c r="C25" t="s">
        <v>285</v>
      </c>
      <c r="D25" t="s">
        <v>786</v>
      </c>
    </row>
    <row r="26" spans="1:4">
      <c r="A26" t="str">
        <f t="shared" si="0"/>
        <v>FC175 : พัฒนานิคม</v>
      </c>
      <c r="B26" t="s">
        <v>286</v>
      </c>
      <c r="C26" t="s">
        <v>287</v>
      </c>
      <c r="D26" t="s">
        <v>786</v>
      </c>
    </row>
    <row r="27" spans="1:4">
      <c r="A27" t="str">
        <f t="shared" si="0"/>
        <v>FC256 : บ้านบึง2</v>
      </c>
      <c r="B27" t="s">
        <v>288</v>
      </c>
      <c r="C27" t="s">
        <v>289</v>
      </c>
      <c r="D27" t="s">
        <v>786</v>
      </c>
    </row>
    <row r="28" spans="1:4">
      <c r="A28" t="str">
        <f t="shared" si="0"/>
        <v>FC309 : บางน้ำเปรี้ยว 2</v>
      </c>
      <c r="B28" t="s">
        <v>290</v>
      </c>
      <c r="C28" t="s">
        <v>291</v>
      </c>
      <c r="D28" t="s">
        <v>786</v>
      </c>
    </row>
    <row r="29" spans="1:4">
      <c r="A29" t="str">
        <f t="shared" si="0"/>
        <v>FC332 : วังจันทร์</v>
      </c>
      <c r="B29" t="s">
        <v>292</v>
      </c>
      <c r="C29" t="s">
        <v>293</v>
      </c>
      <c r="D29" t="s">
        <v>786</v>
      </c>
    </row>
    <row r="30" spans="1:4">
      <c r="A30" t="str">
        <f t="shared" si="0"/>
        <v>FC017 : สอยดาว</v>
      </c>
      <c r="B30" t="s">
        <v>294</v>
      </c>
      <c r="C30" t="s">
        <v>295</v>
      </c>
      <c r="D30" t="s">
        <v>786</v>
      </c>
    </row>
    <row r="31" spans="1:4">
      <c r="A31" t="str">
        <f t="shared" si="0"/>
        <v xml:space="preserve">FC215 : ดาวเรือง 2 </v>
      </c>
      <c r="B31" t="s">
        <v>296</v>
      </c>
      <c r="C31" t="s">
        <v>297</v>
      </c>
      <c r="D31" t="s">
        <v>786</v>
      </c>
    </row>
    <row r="32" spans="1:4">
      <c r="A32" t="str">
        <f t="shared" si="0"/>
        <v>FC273 : สัตหีบ 2</v>
      </c>
      <c r="B32" t="s">
        <v>298</v>
      </c>
      <c r="C32" t="s">
        <v>299</v>
      </c>
      <c r="D32" t="s">
        <v>786</v>
      </c>
    </row>
    <row r="33" spans="1:4">
      <c r="A33" t="str">
        <f t="shared" si="0"/>
        <v>FC323 : ตาพระยา</v>
      </c>
      <c r="B33" t="s">
        <v>300</v>
      </c>
      <c r="C33" t="s">
        <v>301</v>
      </c>
      <c r="D33" t="s">
        <v>786</v>
      </c>
    </row>
    <row r="34" spans="1:4">
      <c r="A34" t="str">
        <f t="shared" si="0"/>
        <v>FC013 : ลำนารายณ์</v>
      </c>
      <c r="B34" t="s">
        <v>302</v>
      </c>
      <c r="C34" t="s">
        <v>303</v>
      </c>
      <c r="D34" t="s">
        <v>786</v>
      </c>
    </row>
    <row r="35" spans="1:4">
      <c r="A35" t="str">
        <f t="shared" si="0"/>
        <v>FC308 : วังสมบูรณ์</v>
      </c>
      <c r="B35" t="s">
        <v>304</v>
      </c>
      <c r="C35" t="s">
        <v>305</v>
      </c>
      <c r="D35" t="s">
        <v>786</v>
      </c>
    </row>
    <row r="36" spans="1:4">
      <c r="A36" t="str">
        <f t="shared" si="0"/>
        <v>FC229 : ศาลาลำดวน</v>
      </c>
      <c r="B36" t="s">
        <v>306</v>
      </c>
      <c r="C36" t="s">
        <v>307</v>
      </c>
      <c r="D36" t="s">
        <v>786</v>
      </c>
    </row>
    <row r="37" spans="1:4">
      <c r="A37" t="str">
        <f t="shared" si="0"/>
        <v>FC088 : บางน้ำเปรี้ยว</v>
      </c>
      <c r="B37" t="s">
        <v>308</v>
      </c>
      <c r="C37" t="s">
        <v>309</v>
      </c>
      <c r="D37" t="s">
        <v>786</v>
      </c>
    </row>
    <row r="38" spans="1:4">
      <c r="A38" t="str">
        <f t="shared" si="0"/>
        <v>FC086 : บ้านฉาง</v>
      </c>
      <c r="B38" t="s">
        <v>310</v>
      </c>
      <c r="C38" t="s">
        <v>311</v>
      </c>
      <c r="D38" t="s">
        <v>786</v>
      </c>
    </row>
    <row r="39" spans="1:4">
      <c r="A39" t="str">
        <f t="shared" si="0"/>
        <v>FC065 : บ้านนา</v>
      </c>
      <c r="B39" t="s">
        <v>312</v>
      </c>
      <c r="C39" t="s">
        <v>313</v>
      </c>
      <c r="D39" t="s">
        <v>786</v>
      </c>
    </row>
    <row r="40" spans="1:4">
      <c r="A40" t="str">
        <f t="shared" si="0"/>
        <v>FC272 : หนองใหญ่ 2</v>
      </c>
      <c r="B40" t="s">
        <v>314</v>
      </c>
      <c r="C40" t="s">
        <v>315</v>
      </c>
      <c r="D40" t="s">
        <v>786</v>
      </c>
    </row>
    <row r="41" spans="1:4">
      <c r="A41" t="str">
        <f t="shared" si="0"/>
        <v>FC068 : บ้านอำเภอ</v>
      </c>
      <c r="B41" t="s">
        <v>316</v>
      </c>
      <c r="C41" t="s">
        <v>317</v>
      </c>
      <c r="D41" t="s">
        <v>786</v>
      </c>
    </row>
    <row r="42" spans="1:4">
      <c r="A42" t="str">
        <f t="shared" si="0"/>
        <v>FC341 : นิคมอุตสาหกรรม CPGC</v>
      </c>
      <c r="B42" t="s">
        <v>318</v>
      </c>
      <c r="C42" t="s">
        <v>319</v>
      </c>
      <c r="D42" t="s">
        <v>786</v>
      </c>
    </row>
    <row r="43" spans="1:4">
      <c r="A43" t="str">
        <f t="shared" si="0"/>
        <v>FC209 : บ้านหมอ</v>
      </c>
      <c r="B43" t="s">
        <v>320</v>
      </c>
      <c r="C43" t="s">
        <v>321</v>
      </c>
      <c r="D43" t="s">
        <v>786</v>
      </c>
    </row>
    <row r="44" spans="1:4">
      <c r="A44" t="str">
        <f t="shared" si="0"/>
        <v>FC015 : บ้านหมี่</v>
      </c>
      <c r="B44" t="s">
        <v>322</v>
      </c>
      <c r="C44" t="s">
        <v>323</v>
      </c>
      <c r="D44" t="s">
        <v>786</v>
      </c>
    </row>
    <row r="45" spans="1:4">
      <c r="A45" t="str">
        <f t="shared" si="0"/>
        <v>FC342 : พนัสนิคม-เกาะโพธิ์ (Atsite)</v>
      </c>
      <c r="B45" t="s">
        <v>324</v>
      </c>
      <c r="C45" t="s">
        <v>325</v>
      </c>
      <c r="D45" t="s">
        <v>786</v>
      </c>
    </row>
    <row r="46" spans="1:4">
      <c r="A46" t="str">
        <f t="shared" si="0"/>
        <v>FC150 : แหลมแม่พิมพ์</v>
      </c>
      <c r="B46" t="s">
        <v>326</v>
      </c>
      <c r="C46" t="s">
        <v>327</v>
      </c>
      <c r="D46" t="s">
        <v>786</v>
      </c>
    </row>
    <row r="47" spans="1:4">
      <c r="A47" t="str">
        <f t="shared" si="0"/>
        <v>FC117 : บ้านอำเภอ2</v>
      </c>
      <c r="B47" t="s">
        <v>328</v>
      </c>
      <c r="C47" t="s">
        <v>329</v>
      </c>
      <c r="D47" t="s">
        <v>786</v>
      </c>
    </row>
    <row r="48" spans="1:4">
      <c r="A48" t="str">
        <f t="shared" si="0"/>
        <v>FC056 : พนมสารคาม</v>
      </c>
      <c r="B48" t="s">
        <v>330</v>
      </c>
      <c r="C48" t="s">
        <v>331</v>
      </c>
      <c r="D48" t="s">
        <v>786</v>
      </c>
    </row>
    <row r="49" spans="1:4">
      <c r="A49" t="str">
        <f t="shared" si="0"/>
        <v>FC034 : แกลง</v>
      </c>
      <c r="B49" t="s">
        <v>332</v>
      </c>
      <c r="C49" t="s">
        <v>333</v>
      </c>
      <c r="D49" t="s">
        <v>786</v>
      </c>
    </row>
    <row r="50" spans="1:4">
      <c r="A50" t="str">
        <f t="shared" si="0"/>
        <v>FC228 : พนัสนิคม</v>
      </c>
      <c r="B50" t="s">
        <v>334</v>
      </c>
      <c r="C50" t="s">
        <v>335</v>
      </c>
      <c r="D50" t="s">
        <v>786</v>
      </c>
    </row>
    <row r="51" spans="1:4">
      <c r="A51" t="str">
        <f t="shared" si="0"/>
        <v>FC105 : นิคมพัฒนา</v>
      </c>
      <c r="B51" t="s">
        <v>336</v>
      </c>
      <c r="C51" t="s">
        <v>337</v>
      </c>
      <c r="D51" t="s">
        <v>786</v>
      </c>
    </row>
    <row r="52" spans="1:4">
      <c r="A52" t="str">
        <f t="shared" si="0"/>
        <v>FC095 : มวกเหล็ก</v>
      </c>
      <c r="B52" t="s">
        <v>338</v>
      </c>
      <c r="C52" t="s">
        <v>339</v>
      </c>
      <c r="D52" t="s">
        <v>786</v>
      </c>
    </row>
    <row r="53" spans="1:4">
      <c r="A53" t="str">
        <f t="shared" si="0"/>
        <v>FC046 : วังม่วง</v>
      </c>
      <c r="B53" t="s">
        <v>340</v>
      </c>
      <c r="C53" t="s">
        <v>341</v>
      </c>
      <c r="D53" t="s">
        <v>786</v>
      </c>
    </row>
    <row r="54" spans="1:4">
      <c r="A54" t="str">
        <f t="shared" si="0"/>
        <v>FC043 : เกาะช้าง</v>
      </c>
      <c r="B54" t="s">
        <v>342</v>
      </c>
      <c r="C54" t="s">
        <v>343</v>
      </c>
      <c r="D54" t="s">
        <v>786</v>
      </c>
    </row>
    <row r="55" spans="1:4">
      <c r="A55" t="str">
        <f t="shared" si="0"/>
        <v>FC300 : หนองไผ่แก้ว</v>
      </c>
      <c r="B55" t="s">
        <v>344</v>
      </c>
      <c r="C55" t="s">
        <v>345</v>
      </c>
      <c r="D55" t="s">
        <v>786</v>
      </c>
    </row>
    <row r="56" spans="1:4">
      <c r="A56" t="str">
        <f t="shared" si="0"/>
        <v>FC190 : นราธิวาส</v>
      </c>
      <c r="B56" t="s">
        <v>346</v>
      </c>
      <c r="C56" t="s">
        <v>347</v>
      </c>
      <c r="D56" t="s">
        <v>787</v>
      </c>
    </row>
    <row r="57" spans="1:4">
      <c r="A57" t="str">
        <f t="shared" si="0"/>
        <v>FC221 : พังงา</v>
      </c>
      <c r="B57" t="s">
        <v>348</v>
      </c>
      <c r="C57" t="s">
        <v>349</v>
      </c>
      <c r="D57" t="s">
        <v>787</v>
      </c>
    </row>
    <row r="58" spans="1:4">
      <c r="A58" t="str">
        <f t="shared" si="0"/>
        <v>FC287 : มาบอำมฤต</v>
      </c>
      <c r="B58" t="s">
        <v>350</v>
      </c>
      <c r="C58" t="s">
        <v>351</v>
      </c>
      <c r="D58" t="s">
        <v>787</v>
      </c>
    </row>
    <row r="59" spans="1:4">
      <c r="A59" t="str">
        <f t="shared" si="0"/>
        <v>FC343 : เจ้าฟ้า แมริออท</v>
      </c>
      <c r="B59" t="s">
        <v>352</v>
      </c>
      <c r="C59" t="s">
        <v>353</v>
      </c>
      <c r="D59" t="s">
        <v>787</v>
      </c>
    </row>
    <row r="60" spans="1:4">
      <c r="A60" t="str">
        <f t="shared" si="0"/>
        <v>FC366 : จุฬาภรณ์</v>
      </c>
      <c r="B60" t="s">
        <v>354</v>
      </c>
      <c r="C60" t="s">
        <v>355</v>
      </c>
      <c r="D60" t="s">
        <v>787</v>
      </c>
    </row>
    <row r="61" spans="1:4">
      <c r="A61" t="str">
        <f t="shared" si="0"/>
        <v>FC006 : ขนอม</v>
      </c>
      <c r="B61" t="s">
        <v>356</v>
      </c>
      <c r="C61" t="s">
        <v>357</v>
      </c>
      <c r="D61" t="s">
        <v>787</v>
      </c>
    </row>
    <row r="62" spans="1:4">
      <c r="A62" t="str">
        <f t="shared" si="0"/>
        <v>FC040 : เชี่ยวหลาน</v>
      </c>
      <c r="B62" t="s">
        <v>358</v>
      </c>
      <c r="C62" t="s">
        <v>359</v>
      </c>
      <c r="D62" t="s">
        <v>787</v>
      </c>
    </row>
    <row r="63" spans="1:4">
      <c r="A63" t="str">
        <f t="shared" si="0"/>
        <v>FC098 : ทับปุด</v>
      </c>
      <c r="B63" t="s">
        <v>360</v>
      </c>
      <c r="C63" t="s">
        <v>361</v>
      </c>
      <c r="D63" t="s">
        <v>787</v>
      </c>
    </row>
    <row r="64" spans="1:4">
      <c r="A64" t="str">
        <f t="shared" si="0"/>
        <v>FC127 : ปัตตานี</v>
      </c>
      <c r="B64" t="s">
        <v>362</v>
      </c>
      <c r="C64" t="s">
        <v>363</v>
      </c>
      <c r="D64" t="s">
        <v>787</v>
      </c>
    </row>
    <row r="65" spans="1:4">
      <c r="A65" t="str">
        <f t="shared" si="0"/>
        <v>FC257 : เคียนซา</v>
      </c>
      <c r="B65" t="s">
        <v>364</v>
      </c>
      <c r="C65" t="s">
        <v>365</v>
      </c>
      <c r="D65" t="s">
        <v>787</v>
      </c>
    </row>
    <row r="66" spans="1:4">
      <c r="A66" t="str">
        <f t="shared" si="0"/>
        <v>FC340 : M เกาะยาวใหญ่</v>
      </c>
      <c r="B66" t="s">
        <v>366</v>
      </c>
      <c r="C66" t="s">
        <v>367</v>
      </c>
      <c r="D66" t="s">
        <v>787</v>
      </c>
    </row>
    <row r="67" spans="1:4">
      <c r="A67" t="str">
        <f t="shared" ref="A67:A130" si="1">B67&amp;" "&amp;":"&amp;" "&amp;C67</f>
        <v>FC356 : นาสาร 2</v>
      </c>
      <c r="B67" t="s">
        <v>368</v>
      </c>
      <c r="C67" t="s">
        <v>369</v>
      </c>
      <c r="D67" t="s">
        <v>787</v>
      </c>
    </row>
    <row r="68" spans="1:4">
      <c r="A68" t="str">
        <f t="shared" si="1"/>
        <v>FC072 : สิงหนคร</v>
      </c>
      <c r="B68" t="s">
        <v>370</v>
      </c>
      <c r="C68" t="s">
        <v>371</v>
      </c>
      <c r="D68" t="s">
        <v>787</v>
      </c>
    </row>
    <row r="69" spans="1:4">
      <c r="A69" t="str">
        <f t="shared" si="1"/>
        <v>FC262 : คีรีรัฐ</v>
      </c>
      <c r="B69" t="s">
        <v>372</v>
      </c>
      <c r="C69" t="s">
        <v>373</v>
      </c>
      <c r="D69" t="s">
        <v>787</v>
      </c>
    </row>
    <row r="70" spans="1:4">
      <c r="A70" t="str">
        <f t="shared" si="1"/>
        <v>FC295 : บางสวรรค์ 3</v>
      </c>
      <c r="B70" t="s">
        <v>374</v>
      </c>
      <c r="C70" t="s">
        <v>375</v>
      </c>
      <c r="D70" t="s">
        <v>787</v>
      </c>
    </row>
    <row r="71" spans="1:4">
      <c r="A71" t="str">
        <f t="shared" si="1"/>
        <v>FC310 : ชะอวด 2</v>
      </c>
      <c r="B71" t="s">
        <v>376</v>
      </c>
      <c r="C71" t="s">
        <v>377</v>
      </c>
      <c r="D71" t="s">
        <v>787</v>
      </c>
    </row>
    <row r="72" spans="1:4">
      <c r="A72" t="str">
        <f t="shared" si="1"/>
        <v>FC058 : หัวไทร</v>
      </c>
      <c r="B72" t="s">
        <v>378</v>
      </c>
      <c r="C72" t="s">
        <v>379</v>
      </c>
      <c r="D72" t="s">
        <v>787</v>
      </c>
    </row>
    <row r="73" spans="1:4">
      <c r="A73" t="str">
        <f t="shared" si="1"/>
        <v>FC076 : ท่าแซะ</v>
      </c>
      <c r="B73" t="s">
        <v>380</v>
      </c>
      <c r="C73" t="s">
        <v>381</v>
      </c>
      <c r="D73" t="s">
        <v>787</v>
      </c>
    </row>
    <row r="74" spans="1:4">
      <c r="A74" t="str">
        <f t="shared" si="1"/>
        <v>FC213 : สิชล</v>
      </c>
      <c r="B74" t="s">
        <v>382</v>
      </c>
      <c r="C74" t="s">
        <v>383</v>
      </c>
      <c r="D74" t="s">
        <v>787</v>
      </c>
    </row>
    <row r="75" spans="1:4">
      <c r="A75" t="str">
        <f t="shared" si="1"/>
        <v>FC218 : บ่อล้อ</v>
      </c>
      <c r="B75" t="s">
        <v>384</v>
      </c>
      <c r="C75" t="s">
        <v>385</v>
      </c>
      <c r="D75" t="s">
        <v>787</v>
      </c>
    </row>
    <row r="76" spans="1:4">
      <c r="A76" t="str">
        <f t="shared" si="1"/>
        <v>FC227 : สะเดา</v>
      </c>
      <c r="B76" t="s">
        <v>386</v>
      </c>
      <c r="C76" t="s">
        <v>387</v>
      </c>
      <c r="D76" t="s">
        <v>787</v>
      </c>
    </row>
    <row r="77" spans="1:4">
      <c r="A77" t="str">
        <f t="shared" si="1"/>
        <v>FC082 : สตูล</v>
      </c>
      <c r="B77" t="s">
        <v>388</v>
      </c>
      <c r="C77" t="s">
        <v>389</v>
      </c>
      <c r="D77" t="s">
        <v>787</v>
      </c>
    </row>
    <row r="78" spans="1:4">
      <c r="A78" t="str">
        <f t="shared" si="1"/>
        <v>FC162 : สุไหงโกลก</v>
      </c>
      <c r="B78" t="s">
        <v>390</v>
      </c>
      <c r="C78" t="s">
        <v>391</v>
      </c>
      <c r="D78" t="s">
        <v>787</v>
      </c>
    </row>
    <row r="79" spans="1:4">
      <c r="A79" t="str">
        <f t="shared" si="1"/>
        <v>FC199 : นราธิวาส 2</v>
      </c>
      <c r="B79" t="s">
        <v>392</v>
      </c>
      <c r="C79" t="s">
        <v>393</v>
      </c>
      <c r="D79" t="s">
        <v>787</v>
      </c>
    </row>
    <row r="80" spans="1:4">
      <c r="A80" t="str">
        <f t="shared" si="1"/>
        <v>FC212 : หัวไทร 2</v>
      </c>
      <c r="B80" t="s">
        <v>394</v>
      </c>
      <c r="C80" t="s">
        <v>395</v>
      </c>
      <c r="D80" t="s">
        <v>787</v>
      </c>
    </row>
    <row r="81" spans="1:4">
      <c r="A81" t="str">
        <f t="shared" si="1"/>
        <v>FC238 : ชะอวด</v>
      </c>
      <c r="B81" t="s">
        <v>396</v>
      </c>
      <c r="C81" t="s">
        <v>397</v>
      </c>
      <c r="D81" t="s">
        <v>787</v>
      </c>
    </row>
    <row r="82" spans="1:4">
      <c r="A82" t="str">
        <f t="shared" si="1"/>
        <v>FC270 : ทุ่งมะพร้าว</v>
      </c>
      <c r="B82" t="s">
        <v>398</v>
      </c>
      <c r="C82" t="s">
        <v>399</v>
      </c>
      <c r="D82" t="s">
        <v>787</v>
      </c>
    </row>
    <row r="83" spans="1:4">
      <c r="A83" t="str">
        <f t="shared" si="1"/>
        <v>FC028 : เกาะลันตาใหญ่</v>
      </c>
      <c r="B83" t="s">
        <v>400</v>
      </c>
      <c r="C83" t="s">
        <v>401</v>
      </c>
      <c r="D83" t="s">
        <v>787</v>
      </c>
    </row>
    <row r="84" spans="1:4">
      <c r="A84" t="str">
        <f t="shared" si="1"/>
        <v>FC210 : ละงู</v>
      </c>
      <c r="B84" t="s">
        <v>402</v>
      </c>
      <c r="C84" t="s">
        <v>403</v>
      </c>
      <c r="D84" t="s">
        <v>787</v>
      </c>
    </row>
    <row r="85" spans="1:4">
      <c r="A85" t="str">
        <f t="shared" si="1"/>
        <v>FC282 : ระนอง</v>
      </c>
      <c r="B85" t="s">
        <v>404</v>
      </c>
      <c r="C85" t="s">
        <v>405</v>
      </c>
      <c r="D85" t="s">
        <v>787</v>
      </c>
    </row>
    <row r="86" spans="1:4">
      <c r="A86" t="str">
        <f t="shared" si="1"/>
        <v>FC029 : ไชยา</v>
      </c>
      <c r="B86" t="s">
        <v>406</v>
      </c>
      <c r="C86" t="s">
        <v>407</v>
      </c>
      <c r="D86" t="s">
        <v>787</v>
      </c>
    </row>
    <row r="87" spans="1:4">
      <c r="A87" t="str">
        <f t="shared" si="1"/>
        <v>FC129 : ทุ่งใหญ่</v>
      </c>
      <c r="B87" t="s">
        <v>408</v>
      </c>
      <c r="C87" t="s">
        <v>409</v>
      </c>
      <c r="D87" t="s">
        <v>787</v>
      </c>
    </row>
    <row r="88" spans="1:4">
      <c r="A88" t="str">
        <f t="shared" si="1"/>
        <v>FC253 : นาสาร</v>
      </c>
      <c r="B88" t="s">
        <v>410</v>
      </c>
      <c r="C88" t="s">
        <v>411</v>
      </c>
      <c r="D88" t="s">
        <v>787</v>
      </c>
    </row>
    <row r="89" spans="1:4">
      <c r="A89" t="str">
        <f t="shared" si="1"/>
        <v>FC027 : ระโนด</v>
      </c>
      <c r="B89" t="s">
        <v>412</v>
      </c>
      <c r="C89" t="s">
        <v>413</v>
      </c>
      <c r="D89" t="s">
        <v>787</v>
      </c>
    </row>
    <row r="90" spans="1:4">
      <c r="A90" t="str">
        <f t="shared" si="1"/>
        <v>FC115 : เกาะพงัน</v>
      </c>
      <c r="B90" t="s">
        <v>414</v>
      </c>
      <c r="C90" t="s">
        <v>415</v>
      </c>
      <c r="D90" t="s">
        <v>787</v>
      </c>
    </row>
    <row r="91" spans="1:4">
      <c r="A91" t="str">
        <f t="shared" si="1"/>
        <v>FC166 : บ่อทอง (จ.ปัตตานี)</v>
      </c>
      <c r="B91" t="s">
        <v>416</v>
      </c>
      <c r="C91" t="s">
        <v>417</v>
      </c>
      <c r="D91" t="s">
        <v>787</v>
      </c>
    </row>
    <row r="92" spans="1:4">
      <c r="A92" t="str">
        <f t="shared" si="1"/>
        <v>FC153 : ทับคล้อ</v>
      </c>
      <c r="B92" t="s">
        <v>418</v>
      </c>
      <c r="C92" t="s">
        <v>419</v>
      </c>
      <c r="D92" t="s">
        <v>788</v>
      </c>
    </row>
    <row r="93" spans="1:4">
      <c r="A93" t="str">
        <f t="shared" si="1"/>
        <v>FC164 : จอมทอง</v>
      </c>
      <c r="B93" t="s">
        <v>420</v>
      </c>
      <c r="C93" t="s">
        <v>421</v>
      </c>
      <c r="D93" t="s">
        <v>788</v>
      </c>
    </row>
    <row r="94" spans="1:4">
      <c r="A94" t="str">
        <f t="shared" si="1"/>
        <v>FC172 : งาว</v>
      </c>
      <c r="B94" t="s">
        <v>422</v>
      </c>
      <c r="C94" t="s">
        <v>423</v>
      </c>
      <c r="D94" t="s">
        <v>788</v>
      </c>
    </row>
    <row r="95" spans="1:4">
      <c r="A95" t="str">
        <f t="shared" si="1"/>
        <v>FC187 : นครไทย</v>
      </c>
      <c r="B95" t="s">
        <v>424</v>
      </c>
      <c r="C95" t="s">
        <v>425</v>
      </c>
      <c r="D95" t="s">
        <v>788</v>
      </c>
    </row>
    <row r="96" spans="1:4">
      <c r="A96" t="str">
        <f t="shared" si="1"/>
        <v>FC194 : พาน</v>
      </c>
      <c r="B96" t="s">
        <v>426</v>
      </c>
      <c r="C96" t="s">
        <v>427</v>
      </c>
      <c r="D96" t="s">
        <v>788</v>
      </c>
    </row>
    <row r="97" spans="1:4">
      <c r="A97" t="str">
        <f t="shared" si="1"/>
        <v>FC204 : เชียงแสน</v>
      </c>
      <c r="B97" t="s">
        <v>428</v>
      </c>
      <c r="C97" t="s">
        <v>429</v>
      </c>
      <c r="D97" t="s">
        <v>788</v>
      </c>
    </row>
    <row r="98" spans="1:4">
      <c r="A98" t="str">
        <f t="shared" si="1"/>
        <v>FC207 : กงไกรลาศ</v>
      </c>
      <c r="B98" t="s">
        <v>430</v>
      </c>
      <c r="C98" t="s">
        <v>431</v>
      </c>
      <c r="D98" t="s">
        <v>788</v>
      </c>
    </row>
    <row r="99" spans="1:4">
      <c r="A99" t="str">
        <f t="shared" si="1"/>
        <v>FC293 : บรรพตพิสัย</v>
      </c>
      <c r="B99" t="s">
        <v>432</v>
      </c>
      <c r="C99" t="s">
        <v>433</v>
      </c>
      <c r="D99" t="s">
        <v>788</v>
      </c>
    </row>
    <row r="100" spans="1:4">
      <c r="A100" t="str">
        <f t="shared" si="1"/>
        <v>FC303 : ตาคลี</v>
      </c>
      <c r="B100" t="s">
        <v>434</v>
      </c>
      <c r="C100" t="s">
        <v>435</v>
      </c>
      <c r="D100" t="s">
        <v>788</v>
      </c>
    </row>
    <row r="101" spans="1:4">
      <c r="A101" t="str">
        <f t="shared" si="1"/>
        <v>FC049 : แม่จัน</v>
      </c>
      <c r="B101" t="s">
        <v>436</v>
      </c>
      <c r="C101" t="s">
        <v>437</v>
      </c>
      <c r="D101" t="s">
        <v>788</v>
      </c>
    </row>
    <row r="102" spans="1:4">
      <c r="A102" t="str">
        <f t="shared" si="1"/>
        <v>FC195 : เวียงป่าเป้า</v>
      </c>
      <c r="B102" t="s">
        <v>438</v>
      </c>
      <c r="C102" t="s">
        <v>439</v>
      </c>
      <c r="D102" t="s">
        <v>788</v>
      </c>
    </row>
    <row r="103" spans="1:4">
      <c r="A103" t="str">
        <f t="shared" si="1"/>
        <v>FC219 : เชียงคำ</v>
      </c>
      <c r="B103" t="s">
        <v>440</v>
      </c>
      <c r="C103" t="s">
        <v>441</v>
      </c>
      <c r="D103" t="s">
        <v>788</v>
      </c>
    </row>
    <row r="104" spans="1:4">
      <c r="A104" t="str">
        <f t="shared" si="1"/>
        <v>FC246 : ชนแดน</v>
      </c>
      <c r="B104" t="s">
        <v>442</v>
      </c>
      <c r="C104" t="s">
        <v>443</v>
      </c>
      <c r="D104" t="s">
        <v>788</v>
      </c>
    </row>
    <row r="105" spans="1:4">
      <c r="A105" t="str">
        <f t="shared" si="1"/>
        <v>FC306 : แจ้ห่ม</v>
      </c>
      <c r="B105" t="s">
        <v>444</v>
      </c>
      <c r="C105" t="s">
        <v>445</v>
      </c>
      <c r="D105" t="s">
        <v>788</v>
      </c>
    </row>
    <row r="106" spans="1:4">
      <c r="A106" t="str">
        <f t="shared" si="1"/>
        <v>FC368 : แม่ฮ่องสอน (Type M)</v>
      </c>
      <c r="B106" t="s">
        <v>446</v>
      </c>
      <c r="C106" t="s">
        <v>447</v>
      </c>
      <c r="D106" t="s">
        <v>788</v>
      </c>
    </row>
    <row r="107" spans="1:4">
      <c r="A107" t="str">
        <f t="shared" si="1"/>
        <v>FC051 : หล่มสัก</v>
      </c>
      <c r="B107" t="s">
        <v>448</v>
      </c>
      <c r="C107" t="s">
        <v>449</v>
      </c>
      <c r="D107" t="s">
        <v>788</v>
      </c>
    </row>
    <row r="108" spans="1:4">
      <c r="A108" t="str">
        <f t="shared" si="1"/>
        <v>FC053 : หนองไผ่</v>
      </c>
      <c r="B108" t="s">
        <v>450</v>
      </c>
      <c r="C108" t="s">
        <v>451</v>
      </c>
      <c r="D108" t="s">
        <v>788</v>
      </c>
    </row>
    <row r="109" spans="1:4">
      <c r="A109" t="str">
        <f t="shared" si="1"/>
        <v>FC121 : คลองลาน</v>
      </c>
      <c r="B109" t="s">
        <v>452</v>
      </c>
      <c r="C109" t="s">
        <v>453</v>
      </c>
      <c r="D109" t="s">
        <v>788</v>
      </c>
    </row>
    <row r="110" spans="1:4">
      <c r="A110" t="str">
        <f t="shared" si="1"/>
        <v>FC148 : พรานกระต่าย</v>
      </c>
      <c r="B110" t="s">
        <v>454</v>
      </c>
      <c r="C110" t="s">
        <v>455</v>
      </c>
      <c r="D110" t="s">
        <v>788</v>
      </c>
    </row>
    <row r="111" spans="1:4">
      <c r="A111" t="str">
        <f t="shared" si="1"/>
        <v>FC167 : พิชัย</v>
      </c>
      <c r="B111" t="s">
        <v>456</v>
      </c>
      <c r="C111" t="s">
        <v>457</v>
      </c>
      <c r="D111" t="s">
        <v>788</v>
      </c>
    </row>
    <row r="112" spans="1:4">
      <c r="A112" t="str">
        <f t="shared" si="1"/>
        <v>FC240 : ทรัพย์ไพรวัลย์</v>
      </c>
      <c r="B112" t="s">
        <v>458</v>
      </c>
      <c r="C112" t="s">
        <v>459</v>
      </c>
      <c r="D112" t="s">
        <v>788</v>
      </c>
    </row>
    <row r="113" spans="1:4">
      <c r="A113" t="str">
        <f t="shared" si="1"/>
        <v>FC247 : แม่สรวย</v>
      </c>
      <c r="B113" t="s">
        <v>460</v>
      </c>
      <c r="C113" t="s">
        <v>461</v>
      </c>
      <c r="D113" t="s">
        <v>788</v>
      </c>
    </row>
    <row r="114" spans="1:4">
      <c r="A114" t="str">
        <f t="shared" si="1"/>
        <v>FC261 : ลาดยาว</v>
      </c>
      <c r="B114" t="s">
        <v>462</v>
      </c>
      <c r="C114" t="s">
        <v>463</v>
      </c>
      <c r="D114" t="s">
        <v>788</v>
      </c>
    </row>
    <row r="115" spans="1:4">
      <c r="A115" t="str">
        <f t="shared" si="1"/>
        <v>FC276 : ไชยปราการ</v>
      </c>
      <c r="B115" t="s">
        <v>464</v>
      </c>
      <c r="C115" t="s">
        <v>465</v>
      </c>
      <c r="D115" t="s">
        <v>788</v>
      </c>
    </row>
    <row r="116" spans="1:4">
      <c r="A116" t="str">
        <f t="shared" si="1"/>
        <v>FC278 : เขาค้อ</v>
      </c>
      <c r="B116" t="s">
        <v>466</v>
      </c>
      <c r="C116" t="s">
        <v>467</v>
      </c>
      <c r="D116" t="s">
        <v>788</v>
      </c>
    </row>
    <row r="117" spans="1:4">
      <c r="A117" t="str">
        <f t="shared" si="1"/>
        <v>FC322 : ฝาง-สันทราย</v>
      </c>
      <c r="B117" t="s">
        <v>468</v>
      </c>
      <c r="C117" t="s">
        <v>469</v>
      </c>
      <c r="D117" t="s">
        <v>788</v>
      </c>
    </row>
    <row r="118" spans="1:4">
      <c r="A118" t="str">
        <f t="shared" si="1"/>
        <v>FC360 : วังเหนือ</v>
      </c>
      <c r="B118" t="s">
        <v>470</v>
      </c>
      <c r="C118" t="s">
        <v>471</v>
      </c>
      <c r="D118" t="s">
        <v>788</v>
      </c>
    </row>
    <row r="119" spans="1:4">
      <c r="A119" t="str">
        <f t="shared" si="1"/>
        <v>FC025 : ศรีเทพ</v>
      </c>
      <c r="B119" t="s">
        <v>472</v>
      </c>
      <c r="C119" t="s">
        <v>473</v>
      </c>
      <c r="D119" t="s">
        <v>788</v>
      </c>
    </row>
    <row r="120" spans="1:4">
      <c r="A120" t="str">
        <f t="shared" si="1"/>
        <v>FC165 : วิเชียรบุรี</v>
      </c>
      <c r="B120" t="s">
        <v>474</v>
      </c>
      <c r="C120" t="s">
        <v>475</v>
      </c>
      <c r="D120" t="s">
        <v>788</v>
      </c>
    </row>
    <row r="121" spans="1:4">
      <c r="A121" t="str">
        <f t="shared" si="1"/>
        <v>FC205 : แม่สะเรียง</v>
      </c>
      <c r="B121" t="s">
        <v>476</v>
      </c>
      <c r="C121" t="s">
        <v>477</v>
      </c>
      <c r="D121" t="s">
        <v>788</v>
      </c>
    </row>
    <row r="122" spans="1:4">
      <c r="A122" t="str">
        <f t="shared" si="1"/>
        <v>FC230 : ทุ่งเสลี่ยม</v>
      </c>
      <c r="B122" t="s">
        <v>478</v>
      </c>
      <c r="C122" t="s">
        <v>479</v>
      </c>
      <c r="D122" t="s">
        <v>788</v>
      </c>
    </row>
    <row r="123" spans="1:4">
      <c r="A123" t="str">
        <f t="shared" si="1"/>
        <v>FC234 : บึงสามัคคี</v>
      </c>
      <c r="B123" t="s">
        <v>480</v>
      </c>
      <c r="C123" t="s">
        <v>481</v>
      </c>
      <c r="D123" t="s">
        <v>788</v>
      </c>
    </row>
    <row r="124" spans="1:4">
      <c r="A124" t="str">
        <f t="shared" si="1"/>
        <v>FC259 : วังชมภู</v>
      </c>
      <c r="B124" t="s">
        <v>482</v>
      </c>
      <c r="C124" t="s">
        <v>483</v>
      </c>
      <c r="D124" t="s">
        <v>788</v>
      </c>
    </row>
    <row r="125" spans="1:4">
      <c r="A125" t="str">
        <f t="shared" si="1"/>
        <v>FC333 : นครสวรรค์ ไบโอคอมเพล็ก</v>
      </c>
      <c r="B125" t="s">
        <v>484</v>
      </c>
      <c r="C125" t="s">
        <v>485</v>
      </c>
      <c r="D125" t="s">
        <v>788</v>
      </c>
    </row>
    <row r="126" spans="1:4">
      <c r="A126" t="str">
        <f t="shared" si="1"/>
        <v>FC357 : ปง (FC Type M)</v>
      </c>
      <c r="B126" t="s">
        <v>486</v>
      </c>
      <c r="C126" t="s">
        <v>487</v>
      </c>
      <c r="D126" t="s">
        <v>788</v>
      </c>
    </row>
    <row r="127" spans="1:4">
      <c r="A127" t="str">
        <f t="shared" si="1"/>
        <v>FC037 : เถิน</v>
      </c>
      <c r="B127" t="s">
        <v>488</v>
      </c>
      <c r="C127" t="s">
        <v>489</v>
      </c>
      <c r="D127" t="s">
        <v>788</v>
      </c>
    </row>
    <row r="128" spans="1:4">
      <c r="A128" t="str">
        <f t="shared" si="1"/>
        <v>FC094 : บางระกำ</v>
      </c>
      <c r="B128" t="s">
        <v>490</v>
      </c>
      <c r="C128" t="s">
        <v>491</v>
      </c>
      <c r="D128" t="s">
        <v>788</v>
      </c>
    </row>
    <row r="129" spans="1:4">
      <c r="A129" t="str">
        <f t="shared" si="1"/>
        <v>FC118 : บ้านไร่</v>
      </c>
      <c r="B129" t="s">
        <v>492</v>
      </c>
      <c r="C129" t="s">
        <v>493</v>
      </c>
      <c r="D129" t="s">
        <v>788</v>
      </c>
    </row>
    <row r="130" spans="1:4">
      <c r="A130" t="str">
        <f t="shared" si="1"/>
        <v>FC178 : บ้านไร่ 2</v>
      </c>
      <c r="B130" t="s">
        <v>494</v>
      </c>
      <c r="C130" t="s">
        <v>495</v>
      </c>
      <c r="D130" t="s">
        <v>788</v>
      </c>
    </row>
    <row r="131" spans="1:4">
      <c r="A131" t="str">
        <f t="shared" ref="A131:A194" si="2">B131&amp;" "&amp;":"&amp;" "&amp;C131</f>
        <v>FC208 : พรหมพิราม</v>
      </c>
      <c r="B131" t="s">
        <v>496</v>
      </c>
      <c r="C131" t="s">
        <v>497</v>
      </c>
      <c r="D131" t="s">
        <v>788</v>
      </c>
    </row>
    <row r="132" spans="1:4">
      <c r="A132" t="str">
        <f t="shared" si="2"/>
        <v>FC216 : พร้าว</v>
      </c>
      <c r="B132" t="s">
        <v>498</v>
      </c>
      <c r="C132" t="s">
        <v>499</v>
      </c>
      <c r="D132" t="s">
        <v>788</v>
      </c>
    </row>
    <row r="133" spans="1:4">
      <c r="A133" t="str">
        <f t="shared" si="2"/>
        <v>FC373 : เนินมะปราง (Type M)</v>
      </c>
      <c r="B133" t="s">
        <v>500</v>
      </c>
      <c r="C133" t="s">
        <v>501</v>
      </c>
      <c r="D133" t="s">
        <v>788</v>
      </c>
    </row>
    <row r="134" spans="1:4">
      <c r="A134" t="str">
        <f t="shared" si="2"/>
        <v>FC057 : ปัว</v>
      </c>
      <c r="B134" t="s">
        <v>502</v>
      </c>
      <c r="C134" t="s">
        <v>503</v>
      </c>
      <c r="D134" t="s">
        <v>788</v>
      </c>
    </row>
    <row r="135" spans="1:4">
      <c r="A135" t="str">
        <f t="shared" si="2"/>
        <v>FC174 : เชียงของ</v>
      </c>
      <c r="B135" t="s">
        <v>504</v>
      </c>
      <c r="C135" t="s">
        <v>505</v>
      </c>
      <c r="D135" t="s">
        <v>788</v>
      </c>
    </row>
    <row r="136" spans="1:4">
      <c r="A136" t="str">
        <f t="shared" si="2"/>
        <v>FC250 : ลานกระบือ</v>
      </c>
      <c r="B136" t="s">
        <v>506</v>
      </c>
      <c r="C136" t="s">
        <v>507</v>
      </c>
      <c r="D136" t="s">
        <v>788</v>
      </c>
    </row>
    <row r="137" spans="1:4">
      <c r="A137" t="str">
        <f t="shared" si="2"/>
        <v>FC255 : หนองบัว</v>
      </c>
      <c r="B137" t="s">
        <v>508</v>
      </c>
      <c r="C137" t="s">
        <v>509</v>
      </c>
      <c r="D137" t="s">
        <v>788</v>
      </c>
    </row>
    <row r="138" spans="1:4">
      <c r="A138" t="str">
        <f t="shared" si="2"/>
        <v>FC265 : เทิง</v>
      </c>
      <c r="B138" t="s">
        <v>510</v>
      </c>
      <c r="C138" t="s">
        <v>511</v>
      </c>
      <c r="D138" t="s">
        <v>788</v>
      </c>
    </row>
    <row r="139" spans="1:4">
      <c r="A139" t="str">
        <f t="shared" si="2"/>
        <v>FC348 : เชียงดาว</v>
      </c>
      <c r="B139" t="s">
        <v>512</v>
      </c>
      <c r="C139" t="s">
        <v>513</v>
      </c>
      <c r="D139" t="s">
        <v>788</v>
      </c>
    </row>
    <row r="140" spans="1:4">
      <c r="A140" t="str">
        <f t="shared" si="2"/>
        <v>FC349 : ชุมแสง</v>
      </c>
      <c r="B140" t="s">
        <v>514</v>
      </c>
      <c r="C140" t="s">
        <v>515</v>
      </c>
      <c r="D140" t="s">
        <v>788</v>
      </c>
    </row>
    <row r="141" spans="1:4">
      <c r="A141" t="str">
        <f t="shared" si="2"/>
        <v>FC036 : เพชรบูรณ์</v>
      </c>
      <c r="B141" t="s">
        <v>516</v>
      </c>
      <c r="C141" t="s">
        <v>517</v>
      </c>
      <c r="D141" t="s">
        <v>788</v>
      </c>
    </row>
    <row r="142" spans="1:4">
      <c r="A142" t="str">
        <f t="shared" si="2"/>
        <v>FC130 : วชิรบารมี</v>
      </c>
      <c r="B142" t="s">
        <v>518</v>
      </c>
      <c r="C142" t="s">
        <v>519</v>
      </c>
      <c r="D142" t="s">
        <v>788</v>
      </c>
    </row>
    <row r="143" spans="1:4">
      <c r="A143" t="str">
        <f t="shared" si="2"/>
        <v>FC146 : ฝาง 2</v>
      </c>
      <c r="B143" t="s">
        <v>520</v>
      </c>
      <c r="C143" t="s">
        <v>521</v>
      </c>
      <c r="D143" t="s">
        <v>788</v>
      </c>
    </row>
    <row r="144" spans="1:4">
      <c r="A144" t="str">
        <f t="shared" si="2"/>
        <v>FC280 : ป่าแดด</v>
      </c>
      <c r="B144" t="s">
        <v>522</v>
      </c>
      <c r="C144" t="s">
        <v>523</v>
      </c>
      <c r="D144" t="s">
        <v>788</v>
      </c>
    </row>
    <row r="145" spans="1:4">
      <c r="A145" t="str">
        <f t="shared" si="2"/>
        <v>FC347 : ชาติตระการ(FC Type M)</v>
      </c>
      <c r="B145" t="s">
        <v>524</v>
      </c>
      <c r="C145" t="s">
        <v>525</v>
      </c>
      <c r="D145" t="s">
        <v>788</v>
      </c>
    </row>
    <row r="146" spans="1:4">
      <c r="A146" t="str">
        <f t="shared" si="2"/>
        <v>FC362 : เชียงม่วน (FC Type M)</v>
      </c>
      <c r="B146" t="s">
        <v>526</v>
      </c>
      <c r="C146" t="s">
        <v>527</v>
      </c>
      <c r="D146" t="s">
        <v>788</v>
      </c>
    </row>
    <row r="147" spans="1:4">
      <c r="A147" t="str">
        <f t="shared" si="2"/>
        <v>FC007 : ฮอด</v>
      </c>
      <c r="B147" t="s">
        <v>528</v>
      </c>
      <c r="C147" t="s">
        <v>529</v>
      </c>
      <c r="D147" t="s">
        <v>788</v>
      </c>
    </row>
    <row r="148" spans="1:4">
      <c r="A148" t="str">
        <f t="shared" si="2"/>
        <v>FC045 : ขาณุวรลักษบุรี</v>
      </c>
      <c r="B148" t="s">
        <v>530</v>
      </c>
      <c r="C148" t="s">
        <v>531</v>
      </c>
      <c r="D148" t="s">
        <v>788</v>
      </c>
    </row>
    <row r="149" spans="1:4">
      <c r="A149" t="str">
        <f t="shared" si="2"/>
        <v>FC048 : แม่สาย</v>
      </c>
      <c r="B149" t="s">
        <v>532</v>
      </c>
      <c r="C149" t="s">
        <v>533</v>
      </c>
      <c r="D149" t="s">
        <v>788</v>
      </c>
    </row>
    <row r="150" spans="1:4">
      <c r="A150" t="str">
        <f t="shared" si="2"/>
        <v>FC067 : ท่าตะโก</v>
      </c>
      <c r="B150" t="s">
        <v>534</v>
      </c>
      <c r="C150" t="s">
        <v>535</v>
      </c>
      <c r="D150" t="s">
        <v>788</v>
      </c>
    </row>
    <row r="151" spans="1:4">
      <c r="A151" t="str">
        <f t="shared" si="2"/>
        <v>FC101 : โพทะเล</v>
      </c>
      <c r="B151" t="s">
        <v>536</v>
      </c>
      <c r="C151" t="s">
        <v>537</v>
      </c>
      <c r="D151" t="s">
        <v>788</v>
      </c>
    </row>
    <row r="152" spans="1:4">
      <c r="A152" t="str">
        <f t="shared" si="2"/>
        <v>FC154 : ตะพานหิน</v>
      </c>
      <c r="B152" t="s">
        <v>538</v>
      </c>
      <c r="C152" t="s">
        <v>539</v>
      </c>
      <c r="D152" t="s">
        <v>788</v>
      </c>
    </row>
    <row r="153" spans="1:4">
      <c r="A153" t="str">
        <f t="shared" si="2"/>
        <v>FC211 : สากเหล็ก</v>
      </c>
      <c r="B153" t="s">
        <v>540</v>
      </c>
      <c r="C153" t="s">
        <v>541</v>
      </c>
      <c r="D153" t="s">
        <v>788</v>
      </c>
    </row>
    <row r="154" spans="1:4">
      <c r="A154" t="str">
        <f t="shared" si="2"/>
        <v>FC289 : คลองขลุง 2</v>
      </c>
      <c r="B154" t="s">
        <v>542</v>
      </c>
      <c r="C154" t="s">
        <v>543</v>
      </c>
      <c r="D154" t="s">
        <v>788</v>
      </c>
    </row>
    <row r="155" spans="1:4">
      <c r="A155" t="str">
        <f t="shared" si="2"/>
        <v>FC297 : ลี้ 2</v>
      </c>
      <c r="B155" t="s">
        <v>544</v>
      </c>
      <c r="C155" t="s">
        <v>545</v>
      </c>
      <c r="D155" t="s">
        <v>788</v>
      </c>
    </row>
    <row r="156" spans="1:4">
      <c r="A156" t="str">
        <f t="shared" si="2"/>
        <v>FC371 : แม่ใจ (Type M)</v>
      </c>
      <c r="B156" t="s">
        <v>546</v>
      </c>
      <c r="C156" t="s">
        <v>547</v>
      </c>
      <c r="D156" t="s">
        <v>788</v>
      </c>
    </row>
    <row r="157" spans="1:4">
      <c r="A157" t="str">
        <f t="shared" si="2"/>
        <v>FC331 : FC หนองกุงศรี</v>
      </c>
      <c r="B157" t="s">
        <v>548</v>
      </c>
      <c r="C157" t="s">
        <v>549</v>
      </c>
      <c r="D157" t="s">
        <v>789</v>
      </c>
    </row>
    <row r="158" spans="1:4">
      <c r="A158" t="str">
        <f t="shared" si="2"/>
        <v>FC338 : เซกา-บึงโขงหลง</v>
      </c>
      <c r="B158" t="s">
        <v>550</v>
      </c>
      <c r="C158" t="s">
        <v>551</v>
      </c>
      <c r="D158" t="s">
        <v>789</v>
      </c>
    </row>
    <row r="159" spans="1:4">
      <c r="A159" t="str">
        <f t="shared" si="2"/>
        <v>FC041 : ศรีสะเกษ</v>
      </c>
      <c r="B159" t="s">
        <v>552</v>
      </c>
      <c r="C159" t="s">
        <v>553</v>
      </c>
      <c r="D159" t="s">
        <v>789</v>
      </c>
    </row>
    <row r="160" spans="1:4">
      <c r="A160" t="str">
        <f t="shared" si="2"/>
        <v>FC089 : ท่าบ่อ</v>
      </c>
      <c r="B160" t="s">
        <v>554</v>
      </c>
      <c r="C160" t="s">
        <v>555</v>
      </c>
      <c r="D160" t="s">
        <v>789</v>
      </c>
    </row>
    <row r="161" spans="1:4">
      <c r="A161" t="str">
        <f t="shared" si="2"/>
        <v>FC157 : จักราช</v>
      </c>
      <c r="B161" t="s">
        <v>556</v>
      </c>
      <c r="C161" t="s">
        <v>557</v>
      </c>
      <c r="D161" t="s">
        <v>789</v>
      </c>
    </row>
    <row r="162" spans="1:4">
      <c r="A162" t="str">
        <f t="shared" si="2"/>
        <v>FC243 : สีชมพู</v>
      </c>
      <c r="B162" t="s">
        <v>558</v>
      </c>
      <c r="C162" t="s">
        <v>559</v>
      </c>
      <c r="D162" t="s">
        <v>789</v>
      </c>
    </row>
    <row r="163" spans="1:4">
      <c r="A163" t="str">
        <f t="shared" si="2"/>
        <v>FC260 : ศรีธาตุ</v>
      </c>
      <c r="B163" t="s">
        <v>560</v>
      </c>
      <c r="C163" t="s">
        <v>561</v>
      </c>
      <c r="D163" t="s">
        <v>789</v>
      </c>
    </row>
    <row r="164" spans="1:4">
      <c r="A164" t="str">
        <f t="shared" si="2"/>
        <v>FC286 : ภูกระดึง</v>
      </c>
      <c r="B164" t="s">
        <v>562</v>
      </c>
      <c r="C164" t="s">
        <v>563</v>
      </c>
      <c r="D164" t="s">
        <v>789</v>
      </c>
    </row>
    <row r="165" spans="1:4">
      <c r="A165" t="str">
        <f t="shared" si="2"/>
        <v>FC288 : ยางตลาด</v>
      </c>
      <c r="B165" t="s">
        <v>564</v>
      </c>
      <c r="C165" t="s">
        <v>565</v>
      </c>
      <c r="D165" t="s">
        <v>789</v>
      </c>
    </row>
    <row r="166" spans="1:4">
      <c r="A166" t="str">
        <f t="shared" si="2"/>
        <v>FC314 : ท่าอุเทน</v>
      </c>
      <c r="B166" t="s">
        <v>566</v>
      </c>
      <c r="C166" t="s">
        <v>567</v>
      </c>
      <c r="D166" t="s">
        <v>789</v>
      </c>
    </row>
    <row r="167" spans="1:4">
      <c r="A167" t="str">
        <f t="shared" si="2"/>
        <v>FC345 : สังขะ</v>
      </c>
      <c r="B167" t="s">
        <v>568</v>
      </c>
      <c r="C167" t="s">
        <v>569</v>
      </c>
      <c r="D167" t="s">
        <v>789</v>
      </c>
    </row>
    <row r="168" spans="1:4">
      <c r="A168" t="str">
        <f t="shared" si="2"/>
        <v>FC346 : โนนสะอาด</v>
      </c>
      <c r="B168" t="s">
        <v>570</v>
      </c>
      <c r="C168" t="s">
        <v>571</v>
      </c>
      <c r="D168" t="s">
        <v>789</v>
      </c>
    </row>
    <row r="169" spans="1:4">
      <c r="A169" t="str">
        <f t="shared" si="2"/>
        <v>FC018 : บึงกาฬ</v>
      </c>
      <c r="B169" t="s">
        <v>572</v>
      </c>
      <c r="C169" t="s">
        <v>573</v>
      </c>
      <c r="D169" t="s">
        <v>789</v>
      </c>
    </row>
    <row r="170" spans="1:4">
      <c r="A170" t="str">
        <f t="shared" si="2"/>
        <v>FC081 : ปราสาท</v>
      </c>
      <c r="B170" t="s">
        <v>574</v>
      </c>
      <c r="C170" t="s">
        <v>575</v>
      </c>
      <c r="D170" t="s">
        <v>789</v>
      </c>
    </row>
    <row r="171" spans="1:4">
      <c r="A171" t="str">
        <f t="shared" si="2"/>
        <v>FC147 : ลำปลายมาศ</v>
      </c>
      <c r="B171" t="s">
        <v>576</v>
      </c>
      <c r="C171" t="s">
        <v>577</v>
      </c>
      <c r="D171" t="s">
        <v>789</v>
      </c>
    </row>
    <row r="172" spans="1:4">
      <c r="A172" t="str">
        <f t="shared" si="2"/>
        <v>FC222 : เขมราฐ</v>
      </c>
      <c r="B172" t="s">
        <v>578</v>
      </c>
      <c r="C172" t="s">
        <v>579</v>
      </c>
      <c r="D172" t="s">
        <v>789</v>
      </c>
    </row>
    <row r="173" spans="1:4">
      <c r="A173" t="str">
        <f t="shared" si="2"/>
        <v>FC242 : ภูเรือ</v>
      </c>
      <c r="B173" t="s">
        <v>580</v>
      </c>
      <c r="C173" t="s">
        <v>581</v>
      </c>
      <c r="D173" t="s">
        <v>789</v>
      </c>
    </row>
    <row r="174" spans="1:4">
      <c r="A174" t="str">
        <f t="shared" si="2"/>
        <v>FC269 : ไพรบึง</v>
      </c>
      <c r="B174" t="s">
        <v>582</v>
      </c>
      <c r="C174" t="s">
        <v>583</v>
      </c>
      <c r="D174" t="s">
        <v>789</v>
      </c>
    </row>
    <row r="175" spans="1:4">
      <c r="A175" t="str">
        <f t="shared" si="2"/>
        <v>FC290 : น้ำยืน</v>
      </c>
      <c r="B175" t="s">
        <v>584</v>
      </c>
      <c r="C175" t="s">
        <v>585</v>
      </c>
      <c r="D175" t="s">
        <v>789</v>
      </c>
    </row>
    <row r="176" spans="1:4">
      <c r="A176" t="str">
        <f t="shared" si="2"/>
        <v>FC315 : กู่แก้ว</v>
      </c>
      <c r="B176" t="s">
        <v>586</v>
      </c>
      <c r="C176" t="s">
        <v>587</v>
      </c>
      <c r="D176" t="s">
        <v>789</v>
      </c>
    </row>
    <row r="177" spans="1:4">
      <c r="A177" t="str">
        <f t="shared" si="2"/>
        <v>FC318 : อากาศอำนวย</v>
      </c>
      <c r="B177" t="s">
        <v>588</v>
      </c>
      <c r="C177" t="s">
        <v>589</v>
      </c>
      <c r="D177" t="s">
        <v>789</v>
      </c>
    </row>
    <row r="178" spans="1:4">
      <c r="A178" t="str">
        <f t="shared" si="2"/>
        <v>FC320 : ประทาย</v>
      </c>
      <c r="B178" t="s">
        <v>590</v>
      </c>
      <c r="C178" t="s">
        <v>591</v>
      </c>
      <c r="D178" t="s">
        <v>789</v>
      </c>
    </row>
    <row r="179" spans="1:4">
      <c r="A179" t="str">
        <f t="shared" si="2"/>
        <v>FC358 : โพนพิสัย</v>
      </c>
      <c r="B179" t="s">
        <v>592</v>
      </c>
      <c r="C179" t="s">
        <v>593</v>
      </c>
      <c r="D179" t="s">
        <v>789</v>
      </c>
    </row>
    <row r="180" spans="1:4">
      <c r="A180" t="str">
        <f t="shared" si="2"/>
        <v>FC063 : ปากช่อง 2</v>
      </c>
      <c r="B180" t="s">
        <v>594</v>
      </c>
      <c r="C180" t="s">
        <v>595</v>
      </c>
      <c r="D180" t="s">
        <v>789</v>
      </c>
    </row>
    <row r="181" spans="1:4">
      <c r="A181" t="str">
        <f t="shared" si="2"/>
        <v>FC144 : ชุมพวง</v>
      </c>
      <c r="B181" t="s">
        <v>596</v>
      </c>
      <c r="C181" t="s">
        <v>597</v>
      </c>
      <c r="D181" t="s">
        <v>789</v>
      </c>
    </row>
    <row r="182" spans="1:4">
      <c r="A182" t="str">
        <f t="shared" si="2"/>
        <v>FC179 : บำเหน็จณรงค์</v>
      </c>
      <c r="B182" t="s">
        <v>598</v>
      </c>
      <c r="C182" t="s">
        <v>599</v>
      </c>
      <c r="D182" t="s">
        <v>789</v>
      </c>
    </row>
    <row r="183" spans="1:4">
      <c r="A183" t="str">
        <f t="shared" si="2"/>
        <v>FC189 : ตระการพืชผล</v>
      </c>
      <c r="B183" t="s">
        <v>600</v>
      </c>
      <c r="C183" t="s">
        <v>601</v>
      </c>
      <c r="D183" t="s">
        <v>789</v>
      </c>
    </row>
    <row r="184" spans="1:4">
      <c r="A184" t="str">
        <f t="shared" si="2"/>
        <v>FC225 : ศรีวิไล</v>
      </c>
      <c r="B184" t="s">
        <v>602</v>
      </c>
      <c r="C184" t="s">
        <v>603</v>
      </c>
      <c r="D184" t="s">
        <v>789</v>
      </c>
    </row>
    <row r="185" spans="1:4">
      <c r="A185" t="str">
        <f t="shared" si="2"/>
        <v>FC231 : โนนคูณ</v>
      </c>
      <c r="B185" t="s">
        <v>604</v>
      </c>
      <c r="C185" t="s">
        <v>605</v>
      </c>
      <c r="D185" t="s">
        <v>789</v>
      </c>
    </row>
    <row r="186" spans="1:4">
      <c r="A186" t="str">
        <f t="shared" si="2"/>
        <v>FC267 : พรเจริญ</v>
      </c>
      <c r="B186" t="s">
        <v>606</v>
      </c>
      <c r="C186" t="s">
        <v>607</v>
      </c>
      <c r="D186" t="s">
        <v>789</v>
      </c>
    </row>
    <row r="187" spans="1:4">
      <c r="A187" t="str">
        <f t="shared" si="2"/>
        <v>FC285 : ปทุมราชวงศา</v>
      </c>
      <c r="B187" t="s">
        <v>608</v>
      </c>
      <c r="C187" t="s">
        <v>609</v>
      </c>
      <c r="D187" t="s">
        <v>789</v>
      </c>
    </row>
    <row r="188" spans="1:4">
      <c r="A188" t="str">
        <f t="shared" si="2"/>
        <v>FC301 : FC ขุขันธ์</v>
      </c>
      <c r="B188" t="s">
        <v>610</v>
      </c>
      <c r="C188" t="s">
        <v>611</v>
      </c>
      <c r="D188" t="s">
        <v>789</v>
      </c>
    </row>
    <row r="189" spans="1:4">
      <c r="A189" t="str">
        <f t="shared" si="2"/>
        <v>FC313 : วาปีปทุม</v>
      </c>
      <c r="B189" t="s">
        <v>612</v>
      </c>
      <c r="C189" t="s">
        <v>613</v>
      </c>
      <c r="D189" t="s">
        <v>789</v>
      </c>
    </row>
    <row r="190" spans="1:4">
      <c r="A190" t="str">
        <f t="shared" si="2"/>
        <v>FC326 : หนองหิน</v>
      </c>
      <c r="B190" t="s">
        <v>614</v>
      </c>
      <c r="C190" t="s">
        <v>615</v>
      </c>
      <c r="D190" t="s">
        <v>789</v>
      </c>
    </row>
    <row r="191" spans="1:4">
      <c r="A191" t="str">
        <f t="shared" si="2"/>
        <v>FC330 : ศรีสงคราม</v>
      </c>
      <c r="B191" t="s">
        <v>616</v>
      </c>
      <c r="C191" t="s">
        <v>617</v>
      </c>
      <c r="D191" t="s">
        <v>789</v>
      </c>
    </row>
    <row r="192" spans="1:4">
      <c r="A192" t="str">
        <f t="shared" si="2"/>
        <v>FC334 : บ้านม่วง</v>
      </c>
      <c r="B192" t="s">
        <v>618</v>
      </c>
      <c r="C192" t="s">
        <v>619</v>
      </c>
      <c r="D192" t="s">
        <v>789</v>
      </c>
    </row>
    <row r="193" spans="1:4">
      <c r="A193" t="str">
        <f t="shared" si="2"/>
        <v>FC339 : คง</v>
      </c>
      <c r="B193" t="s">
        <v>620</v>
      </c>
      <c r="C193" t="s">
        <v>621</v>
      </c>
      <c r="D193" t="s">
        <v>789</v>
      </c>
    </row>
    <row r="194" spans="1:4">
      <c r="A194" t="str">
        <f t="shared" si="2"/>
        <v>FC359 : เสิงสาง</v>
      </c>
      <c r="B194" t="s">
        <v>622</v>
      </c>
      <c r="C194" t="s">
        <v>623</v>
      </c>
      <c r="D194" t="s">
        <v>789</v>
      </c>
    </row>
    <row r="195" spans="1:4">
      <c r="A195" t="str">
        <f t="shared" ref="A195:A258" si="3">B195&amp;" "&amp;":"&amp;" "&amp;C195</f>
        <v>FC090 : สุรินทร์</v>
      </c>
      <c r="B195" t="s">
        <v>624</v>
      </c>
      <c r="C195" t="s">
        <v>625</v>
      </c>
      <c r="D195" t="s">
        <v>789</v>
      </c>
    </row>
    <row r="196" spans="1:4">
      <c r="A196" t="str">
        <f t="shared" si="3"/>
        <v>FC113 : ท่าตูม</v>
      </c>
      <c r="B196" t="s">
        <v>626</v>
      </c>
      <c r="C196" t="s">
        <v>627</v>
      </c>
      <c r="D196" t="s">
        <v>789</v>
      </c>
    </row>
    <row r="197" spans="1:4">
      <c r="A197" t="str">
        <f t="shared" si="3"/>
        <v>FC141 : กาฬสินธุ์</v>
      </c>
      <c r="B197" t="s">
        <v>628</v>
      </c>
      <c r="C197" t="s">
        <v>629</v>
      </c>
      <c r="D197" t="s">
        <v>789</v>
      </c>
    </row>
    <row r="198" spans="1:4">
      <c r="A198" t="str">
        <f t="shared" si="3"/>
        <v>FC233 : หนองหาน</v>
      </c>
      <c r="B198" t="s">
        <v>630</v>
      </c>
      <c r="C198" t="s">
        <v>631</v>
      </c>
      <c r="D198" t="s">
        <v>789</v>
      </c>
    </row>
    <row r="199" spans="1:4">
      <c r="A199" t="str">
        <f t="shared" si="3"/>
        <v>FC241 : โนนสัง</v>
      </c>
      <c r="B199" t="s">
        <v>632</v>
      </c>
      <c r="C199" t="s">
        <v>633</v>
      </c>
      <c r="D199" t="s">
        <v>789</v>
      </c>
    </row>
    <row r="200" spans="1:4">
      <c r="A200" t="str">
        <f t="shared" si="3"/>
        <v>FC324 : นาเชือก</v>
      </c>
      <c r="B200" t="s">
        <v>634</v>
      </c>
      <c r="C200" t="s">
        <v>635</v>
      </c>
      <c r="D200" t="s">
        <v>789</v>
      </c>
    </row>
    <row r="201" spans="1:4">
      <c r="A201" t="str">
        <f t="shared" si="3"/>
        <v>FC335 : พนมไพร 2</v>
      </c>
      <c r="B201" t="s">
        <v>636</v>
      </c>
      <c r="C201" t="s">
        <v>637</v>
      </c>
      <c r="D201" t="s">
        <v>789</v>
      </c>
    </row>
    <row r="202" spans="1:4">
      <c r="A202" t="str">
        <f t="shared" si="3"/>
        <v xml:space="preserve">FC350 : เกษตรวิสัย </v>
      </c>
      <c r="B202" t="s">
        <v>638</v>
      </c>
      <c r="C202" t="s">
        <v>639</v>
      </c>
      <c r="D202" t="s">
        <v>789</v>
      </c>
    </row>
    <row r="203" spans="1:4">
      <c r="A203" t="str">
        <f t="shared" si="3"/>
        <v>FC001 : ชุมแพ</v>
      </c>
      <c r="B203" t="s">
        <v>640</v>
      </c>
      <c r="C203" t="s">
        <v>641</v>
      </c>
      <c r="D203" t="s">
        <v>789</v>
      </c>
    </row>
    <row r="204" spans="1:4">
      <c r="A204" t="str">
        <f t="shared" si="3"/>
        <v>FC136 : อำนาจเจริญ</v>
      </c>
      <c r="B204" t="s">
        <v>642</v>
      </c>
      <c r="C204" t="s">
        <v>643</v>
      </c>
      <c r="D204" t="s">
        <v>789</v>
      </c>
    </row>
    <row r="205" spans="1:4">
      <c r="A205" t="str">
        <f t="shared" si="3"/>
        <v>FC188 : เลิงนกทา</v>
      </c>
      <c r="B205" t="s">
        <v>644</v>
      </c>
      <c r="C205" t="s">
        <v>645</v>
      </c>
      <c r="D205" t="s">
        <v>789</v>
      </c>
    </row>
    <row r="206" spans="1:4">
      <c r="A206" t="str">
        <f t="shared" si="3"/>
        <v>FC193 : สมเด็จ</v>
      </c>
      <c r="B206" t="s">
        <v>646</v>
      </c>
      <c r="C206" t="s">
        <v>647</v>
      </c>
      <c r="D206" t="s">
        <v>789</v>
      </c>
    </row>
    <row r="207" spans="1:4">
      <c r="A207" t="str">
        <f t="shared" si="3"/>
        <v>FC232 : บ้านผือ</v>
      </c>
      <c r="B207" t="s">
        <v>648</v>
      </c>
      <c r="C207" t="s">
        <v>649</v>
      </c>
      <c r="D207" t="s">
        <v>789</v>
      </c>
    </row>
    <row r="208" spans="1:4">
      <c r="A208" t="str">
        <f t="shared" si="3"/>
        <v>FC258 : บ้านแพง</v>
      </c>
      <c r="B208" t="s">
        <v>650</v>
      </c>
      <c r="C208" t="s">
        <v>651</v>
      </c>
      <c r="D208" t="s">
        <v>789</v>
      </c>
    </row>
    <row r="209" spans="1:4">
      <c r="A209" t="str">
        <f t="shared" si="3"/>
        <v>FC264 : บ้านดุง</v>
      </c>
      <c r="B209" t="s">
        <v>652</v>
      </c>
      <c r="C209" t="s">
        <v>653</v>
      </c>
      <c r="D209" t="s">
        <v>789</v>
      </c>
    </row>
    <row r="210" spans="1:4">
      <c r="A210" t="str">
        <f t="shared" si="3"/>
        <v>FC268 : อุทุมพรพิสัย</v>
      </c>
      <c r="B210" t="s">
        <v>654</v>
      </c>
      <c r="C210" t="s">
        <v>655</v>
      </c>
      <c r="D210" t="s">
        <v>789</v>
      </c>
    </row>
    <row r="211" spans="1:4">
      <c r="A211" t="str">
        <f t="shared" si="3"/>
        <v>FC296 : ปากชม</v>
      </c>
      <c r="B211" t="s">
        <v>656</v>
      </c>
      <c r="C211" t="s">
        <v>657</v>
      </c>
      <c r="D211" t="s">
        <v>789</v>
      </c>
    </row>
    <row r="212" spans="1:4">
      <c r="A212" t="str">
        <f t="shared" si="3"/>
        <v>FC321 : แวงน้อย</v>
      </c>
      <c r="B212" t="s">
        <v>658</v>
      </c>
      <c r="C212" t="s">
        <v>659</v>
      </c>
      <c r="D212" t="s">
        <v>789</v>
      </c>
    </row>
    <row r="213" spans="1:4">
      <c r="A213" t="str">
        <f t="shared" si="3"/>
        <v>FC336 : สังคม</v>
      </c>
      <c r="B213" t="s">
        <v>660</v>
      </c>
      <c r="C213" t="s">
        <v>661</v>
      </c>
      <c r="D213" t="s">
        <v>789</v>
      </c>
    </row>
    <row r="214" spans="1:4">
      <c r="A214" t="str">
        <f t="shared" si="3"/>
        <v xml:space="preserve">FC344 : FC ปะคำ </v>
      </c>
      <c r="B214" t="s">
        <v>662</v>
      </c>
      <c r="C214" t="s">
        <v>663</v>
      </c>
      <c r="D214" t="s">
        <v>789</v>
      </c>
    </row>
    <row r="215" spans="1:4">
      <c r="A215" t="str">
        <f t="shared" si="3"/>
        <v>FC354 : ด่านขุนทด</v>
      </c>
      <c r="B215" t="s">
        <v>664</v>
      </c>
      <c r="C215" t="s">
        <v>665</v>
      </c>
      <c r="D215" t="s">
        <v>789</v>
      </c>
    </row>
    <row r="216" spans="1:4">
      <c r="A216" t="str">
        <f t="shared" si="3"/>
        <v>FC114 : สีดา</v>
      </c>
      <c r="B216" t="s">
        <v>666</v>
      </c>
      <c r="C216" t="s">
        <v>667</v>
      </c>
      <c r="D216" t="s">
        <v>789</v>
      </c>
    </row>
    <row r="217" spans="1:4">
      <c r="A217" t="str">
        <f t="shared" si="3"/>
        <v>FC160 : ปากช่อง 3</v>
      </c>
      <c r="B217" t="s">
        <v>668</v>
      </c>
      <c r="C217" t="s">
        <v>669</v>
      </c>
      <c r="D217" t="s">
        <v>789</v>
      </c>
    </row>
    <row r="218" spans="1:4">
      <c r="A218" t="str">
        <f t="shared" si="3"/>
        <v>FC181 : อำนาจเจริญ 2</v>
      </c>
      <c r="B218" t="s">
        <v>670</v>
      </c>
      <c r="C218" t="s">
        <v>671</v>
      </c>
      <c r="D218" t="s">
        <v>789</v>
      </c>
    </row>
    <row r="219" spans="1:4">
      <c r="A219" t="str">
        <f t="shared" si="3"/>
        <v>FC226 : แวงใหญ่</v>
      </c>
      <c r="B219" t="s">
        <v>672</v>
      </c>
      <c r="C219" t="s">
        <v>673</v>
      </c>
      <c r="D219" t="s">
        <v>789</v>
      </c>
    </row>
    <row r="220" spans="1:4">
      <c r="A220" t="str">
        <f t="shared" si="3"/>
        <v>FC266 : บัวใหญ่</v>
      </c>
      <c r="B220" t="s">
        <v>674</v>
      </c>
      <c r="C220" t="s">
        <v>675</v>
      </c>
      <c r="D220" t="s">
        <v>789</v>
      </c>
    </row>
    <row r="221" spans="1:4">
      <c r="A221" t="str">
        <f t="shared" si="3"/>
        <v>FC274 : บ้านแท่น</v>
      </c>
      <c r="B221" t="s">
        <v>676</v>
      </c>
      <c r="C221" t="s">
        <v>677</v>
      </c>
      <c r="D221" t="s">
        <v>789</v>
      </c>
    </row>
    <row r="222" spans="1:4">
      <c r="A222" t="str">
        <f t="shared" si="3"/>
        <v>FC283 : หนองสองห้อง</v>
      </c>
      <c r="B222" t="s">
        <v>678</v>
      </c>
      <c r="C222" t="s">
        <v>679</v>
      </c>
      <c r="D222" t="s">
        <v>789</v>
      </c>
    </row>
    <row r="223" spans="1:4">
      <c r="A223" t="str">
        <f t="shared" si="3"/>
        <v>FC292 : สุวรรณภูมิ</v>
      </c>
      <c r="B223" t="s">
        <v>680</v>
      </c>
      <c r="C223" t="s">
        <v>681</v>
      </c>
      <c r="D223" t="s">
        <v>789</v>
      </c>
    </row>
    <row r="224" spans="1:4">
      <c r="A224" t="str">
        <f t="shared" si="3"/>
        <v>FC305 : วังสามหมอ</v>
      </c>
      <c r="B224" t="s">
        <v>682</v>
      </c>
      <c r="C224" t="s">
        <v>683</v>
      </c>
      <c r="D224" t="s">
        <v>789</v>
      </c>
    </row>
    <row r="225" spans="1:4">
      <c r="A225" t="str">
        <f t="shared" si="3"/>
        <v>FC337 : M เชียงคาน</v>
      </c>
      <c r="B225" t="s">
        <v>684</v>
      </c>
      <c r="C225" t="s">
        <v>685</v>
      </c>
      <c r="D225" t="s">
        <v>789</v>
      </c>
    </row>
    <row r="226" spans="1:4">
      <c r="A226" t="str">
        <f t="shared" si="3"/>
        <v>FC361 : โพนสวรรค์</v>
      </c>
      <c r="B226" t="s">
        <v>686</v>
      </c>
      <c r="C226" t="s">
        <v>687</v>
      </c>
      <c r="D226" t="s">
        <v>789</v>
      </c>
    </row>
    <row r="227" spans="1:4">
      <c r="A227" t="str">
        <f t="shared" si="3"/>
        <v>FC363 : ศรีบุญเรือง</v>
      </c>
      <c r="B227" t="s">
        <v>688</v>
      </c>
      <c r="C227" t="s">
        <v>689</v>
      </c>
      <c r="D227" t="s">
        <v>789</v>
      </c>
    </row>
    <row r="228" spans="1:4">
      <c r="A228" t="str">
        <f t="shared" si="3"/>
        <v>FC367 : ขุขันธ์ 2</v>
      </c>
      <c r="B228" t="s">
        <v>690</v>
      </c>
      <c r="C228" t="s">
        <v>691</v>
      </c>
      <c r="D228" t="s">
        <v>789</v>
      </c>
    </row>
    <row r="229" spans="1:4">
      <c r="A229" t="str">
        <f t="shared" si="3"/>
        <v>FC014 : แก้งคร้อ</v>
      </c>
      <c r="B229" t="s">
        <v>692</v>
      </c>
      <c r="C229" t="s">
        <v>693</v>
      </c>
      <c r="D229" t="s">
        <v>789</v>
      </c>
    </row>
    <row r="230" spans="1:4">
      <c r="A230" t="str">
        <f t="shared" si="3"/>
        <v>FC031 : สีคิ้ว</v>
      </c>
      <c r="B230" t="s">
        <v>694</v>
      </c>
      <c r="C230" t="s">
        <v>695</v>
      </c>
      <c r="D230" t="s">
        <v>789</v>
      </c>
    </row>
    <row r="231" spans="1:4">
      <c r="A231" t="str">
        <f t="shared" si="3"/>
        <v>FC239 : หนองบัวแดง</v>
      </c>
      <c r="B231" t="s">
        <v>696</v>
      </c>
      <c r="C231" t="s">
        <v>697</v>
      </c>
      <c r="D231" t="s">
        <v>789</v>
      </c>
    </row>
    <row r="232" spans="1:4">
      <c r="A232" t="str">
        <f t="shared" si="3"/>
        <v>FC325 : เพ็ญ</v>
      </c>
      <c r="B232" t="s">
        <v>698</v>
      </c>
      <c r="C232" t="s">
        <v>699</v>
      </c>
      <c r="D232" t="s">
        <v>789</v>
      </c>
    </row>
    <row r="233" spans="1:4">
      <c r="A233" t="str">
        <f t="shared" si="3"/>
        <v>FC351 : โพนทอง</v>
      </c>
      <c r="B233" t="s">
        <v>700</v>
      </c>
      <c r="C233" t="s">
        <v>701</v>
      </c>
      <c r="D233" t="s">
        <v>789</v>
      </c>
    </row>
    <row r="234" spans="1:4">
      <c r="A234" t="str">
        <f t="shared" si="3"/>
        <v>FC352 : หนองคาย</v>
      </c>
      <c r="B234" t="s">
        <v>702</v>
      </c>
      <c r="C234" t="s">
        <v>703</v>
      </c>
      <c r="D234" t="s">
        <v>789</v>
      </c>
    </row>
    <row r="235" spans="1:4">
      <c r="A235" t="str">
        <f t="shared" si="3"/>
        <v>FC353 : นากลาง</v>
      </c>
      <c r="B235" t="s">
        <v>704</v>
      </c>
      <c r="C235" t="s">
        <v>705</v>
      </c>
      <c r="D235" t="s">
        <v>789</v>
      </c>
    </row>
    <row r="236" spans="1:4">
      <c r="A236" t="str">
        <f t="shared" si="3"/>
        <v>FC002 : กันทรลักษ์</v>
      </c>
      <c r="B236" t="s">
        <v>706</v>
      </c>
      <c r="C236" t="s">
        <v>707</v>
      </c>
      <c r="D236" t="s">
        <v>789</v>
      </c>
    </row>
    <row r="237" spans="1:4">
      <c r="A237" t="str">
        <f t="shared" si="3"/>
        <v>FC050 : พิมาย 2</v>
      </c>
      <c r="B237" t="s">
        <v>708</v>
      </c>
      <c r="C237" t="s">
        <v>709</v>
      </c>
      <c r="D237" t="s">
        <v>789</v>
      </c>
    </row>
    <row r="238" spans="1:4">
      <c r="A238" t="str">
        <f t="shared" si="3"/>
        <v>FC143 : ธาตุพนม</v>
      </c>
      <c r="B238" t="s">
        <v>710</v>
      </c>
      <c r="C238" t="s">
        <v>711</v>
      </c>
      <c r="D238" t="s">
        <v>789</v>
      </c>
    </row>
    <row r="239" spans="1:4">
      <c r="A239" t="str">
        <f t="shared" si="3"/>
        <v>FC156 : มัญจาคีรี</v>
      </c>
      <c r="B239" t="s">
        <v>712</v>
      </c>
      <c r="C239" t="s">
        <v>713</v>
      </c>
      <c r="D239" t="s">
        <v>789</v>
      </c>
    </row>
    <row r="240" spans="1:4">
      <c r="A240" t="str">
        <f t="shared" si="3"/>
        <v>FC192 : วานรนิวาส</v>
      </c>
      <c r="B240" t="s">
        <v>714</v>
      </c>
      <c r="C240" t="s">
        <v>715</v>
      </c>
      <c r="D240" t="s">
        <v>789</v>
      </c>
    </row>
    <row r="241" spans="1:4">
      <c r="A241" t="str">
        <f t="shared" si="3"/>
        <v>FC245 : สุรินทร์ 2</v>
      </c>
      <c r="B241" t="s">
        <v>716</v>
      </c>
      <c r="C241" t="s">
        <v>717</v>
      </c>
      <c r="D241" t="s">
        <v>789</v>
      </c>
    </row>
    <row r="242" spans="1:4">
      <c r="A242" t="str">
        <f t="shared" si="3"/>
        <v>FC291 : FC ละหานทราย</v>
      </c>
      <c r="B242" t="s">
        <v>718</v>
      </c>
      <c r="C242" t="s">
        <v>719</v>
      </c>
      <c r="D242" t="s">
        <v>789</v>
      </c>
    </row>
    <row r="243" spans="1:4">
      <c r="A243" t="str">
        <f t="shared" si="3"/>
        <v>FC329 : พยัคฆภูมิพิสัย</v>
      </c>
      <c r="B243" t="s">
        <v>720</v>
      </c>
      <c r="C243" t="s">
        <v>721</v>
      </c>
      <c r="D243" t="s">
        <v>789</v>
      </c>
    </row>
    <row r="244" spans="1:4">
      <c r="A244" t="str">
        <f t="shared" si="3"/>
        <v>31ED : FC หลวงแพ่ง</v>
      </c>
      <c r="B244" t="s">
        <v>722</v>
      </c>
      <c r="C244" t="s">
        <v>723</v>
      </c>
      <c r="D244" t="s">
        <v>784</v>
      </c>
    </row>
    <row r="245" spans="1:4">
      <c r="A245" t="str">
        <f t="shared" si="3"/>
        <v>31EF : FC นพวงศ์</v>
      </c>
      <c r="B245" t="s">
        <v>724</v>
      </c>
      <c r="C245" t="s">
        <v>725</v>
      </c>
      <c r="D245" t="s">
        <v>784</v>
      </c>
    </row>
    <row r="246" spans="1:4">
      <c r="A246" t="str">
        <f t="shared" si="3"/>
        <v>31EC : FC คลองด่าน</v>
      </c>
      <c r="B246" t="s">
        <v>726</v>
      </c>
      <c r="C246" t="s">
        <v>727</v>
      </c>
      <c r="D246" t="s">
        <v>784</v>
      </c>
    </row>
    <row r="247" spans="1:4">
      <c r="A247" t="str">
        <f t="shared" si="3"/>
        <v>31IH : บางแสน 1(FC Type X)</v>
      </c>
      <c r="B247" t="s">
        <v>728</v>
      </c>
      <c r="C247" t="s">
        <v>729</v>
      </c>
      <c r="D247" t="s">
        <v>786</v>
      </c>
    </row>
    <row r="248" spans="1:4">
      <c r="A248" t="str">
        <f t="shared" si="3"/>
        <v>3166 : FC ผาหลวงคอนกรีต 2</v>
      </c>
      <c r="B248" t="s">
        <v>730</v>
      </c>
      <c r="C248" t="s">
        <v>731</v>
      </c>
      <c r="D248" t="s">
        <v>787</v>
      </c>
    </row>
    <row r="249" spans="1:4">
      <c r="A249" t="str">
        <f t="shared" si="3"/>
        <v>3153 : FC เจ้าฟ้า 88</v>
      </c>
      <c r="B249" t="s">
        <v>732</v>
      </c>
      <c r="C249" t="s">
        <v>733</v>
      </c>
      <c r="D249" t="s">
        <v>787</v>
      </c>
    </row>
    <row r="250" spans="1:4">
      <c r="A250" t="str">
        <f t="shared" si="3"/>
        <v>3154 : FC ท่าศาลา-ศิริภัณฑ์</v>
      </c>
      <c r="B250" t="s">
        <v>734</v>
      </c>
      <c r="C250" t="s">
        <v>735</v>
      </c>
      <c r="D250" t="s">
        <v>787</v>
      </c>
    </row>
    <row r="251" spans="1:4">
      <c r="A251" t="str">
        <f t="shared" si="3"/>
        <v>3165 : FC ผาหลวงคอนกรีต</v>
      </c>
      <c r="B251" t="s">
        <v>736</v>
      </c>
      <c r="C251" t="s">
        <v>737</v>
      </c>
      <c r="D251" t="s">
        <v>787</v>
      </c>
    </row>
    <row r="252" spans="1:4">
      <c r="A252" t="str">
        <f t="shared" si="3"/>
        <v>3164 : FC ปากน้ำชุมพร</v>
      </c>
      <c r="B252" t="s">
        <v>738</v>
      </c>
      <c r="C252" t="s">
        <v>739</v>
      </c>
      <c r="D252" t="s">
        <v>787</v>
      </c>
    </row>
    <row r="253" spans="1:4">
      <c r="A253" t="str">
        <f t="shared" si="3"/>
        <v>ZZ5A : FC ทุ่งตะโก</v>
      </c>
      <c r="B253" t="s">
        <v>740</v>
      </c>
      <c r="C253" t="s">
        <v>741</v>
      </c>
      <c r="D253" t="s">
        <v>787</v>
      </c>
    </row>
    <row r="254" spans="1:4">
      <c r="A254" t="str">
        <f t="shared" si="3"/>
        <v>3168 : FC หนองขรี</v>
      </c>
      <c r="B254" t="s">
        <v>742</v>
      </c>
      <c r="C254" t="s">
        <v>743</v>
      </c>
      <c r="D254" t="s">
        <v>787</v>
      </c>
    </row>
    <row r="255" spans="1:4">
      <c r="A255" t="str">
        <f t="shared" si="3"/>
        <v>19AP : FC Co-Area แพร่-ร้องกวาง(Type N)</v>
      </c>
      <c r="B255" t="s">
        <v>744</v>
      </c>
      <c r="C255" t="s">
        <v>745</v>
      </c>
      <c r="D255" t="s">
        <v>788</v>
      </c>
    </row>
    <row r="256" spans="1:4">
      <c r="A256" t="str">
        <f t="shared" si="3"/>
        <v>ZZU3 : FC Co-Area แม่สอด-ท่าสายลวด(Type X)</v>
      </c>
      <c r="B256" t="s">
        <v>746</v>
      </c>
      <c r="C256" t="s">
        <v>747</v>
      </c>
      <c r="D256" t="s">
        <v>788</v>
      </c>
    </row>
    <row r="257" spans="1:4">
      <c r="A257" t="str">
        <f t="shared" si="3"/>
        <v>14EH : FC อุดร-มิตรภาพ3 (Type N)</v>
      </c>
      <c r="B257" t="s">
        <v>748</v>
      </c>
      <c r="C257" t="s">
        <v>749</v>
      </c>
      <c r="D257" t="s">
        <v>789</v>
      </c>
    </row>
    <row r="258" spans="1:4">
      <c r="A258" t="str">
        <f t="shared" si="3"/>
        <v>ZZP6 : FC เมืองเลย2 (Type N)</v>
      </c>
      <c r="B258" t="s">
        <v>750</v>
      </c>
      <c r="C258" t="s">
        <v>751</v>
      </c>
      <c r="D258" t="s">
        <v>789</v>
      </c>
    </row>
    <row r="259" spans="1:4">
      <c r="A259" t="str">
        <f t="shared" ref="A259:A276" si="4">B259&amp;" "&amp;":"&amp;" "&amp;C259</f>
        <v>ZZP1 : FC เขื่อนอุบลรัตน์ (Type N)</v>
      </c>
      <c r="B259" t="s">
        <v>752</v>
      </c>
      <c r="C259" t="s">
        <v>753</v>
      </c>
      <c r="D259" t="s">
        <v>789</v>
      </c>
    </row>
    <row r="260" spans="1:4">
      <c r="A260" t="str">
        <f t="shared" si="4"/>
        <v>ZZS6 : FC อุบลชยางกูร (Type N)</v>
      </c>
      <c r="B260" t="s">
        <v>754</v>
      </c>
      <c r="C260" t="s">
        <v>755</v>
      </c>
      <c r="D260" t="s">
        <v>789</v>
      </c>
    </row>
    <row r="261" spans="1:4">
      <c r="A261" t="str">
        <f t="shared" si="4"/>
        <v>31P2 : FC อุดรธานี (Type N)</v>
      </c>
      <c r="B261" t="s">
        <v>756</v>
      </c>
      <c r="C261" t="s">
        <v>757</v>
      </c>
      <c r="D261" t="s">
        <v>789</v>
      </c>
    </row>
    <row r="262" spans="1:4">
      <c r="A262" t="str">
        <f t="shared" si="4"/>
        <v>ZZP4 : FC ขอนแก่น2 (Type N)</v>
      </c>
      <c r="B262" t="s">
        <v>758</v>
      </c>
      <c r="C262" t="s">
        <v>759</v>
      </c>
      <c r="D262" t="s">
        <v>789</v>
      </c>
    </row>
    <row r="263" spans="1:4">
      <c r="A263" t="str">
        <f t="shared" si="4"/>
        <v>ZZP3 : FC ขอนแก่น1 (Type N)</v>
      </c>
      <c r="B263" t="s">
        <v>760</v>
      </c>
      <c r="C263" t="s">
        <v>761</v>
      </c>
      <c r="D263" t="s">
        <v>789</v>
      </c>
    </row>
    <row r="264" spans="1:4">
      <c r="A264" t="str">
        <f t="shared" si="4"/>
        <v>ZZS2 : FC โนนศิลา (Type N)</v>
      </c>
      <c r="B264" t="s">
        <v>762</v>
      </c>
      <c r="C264" t="s">
        <v>763</v>
      </c>
      <c r="D264" t="s">
        <v>789</v>
      </c>
    </row>
    <row r="265" spans="1:4">
      <c r="A265" t="str">
        <f t="shared" si="4"/>
        <v>ZZP8 : FC หนองเรือ (Type N)</v>
      </c>
      <c r="B265" t="s">
        <v>764</v>
      </c>
      <c r="C265" t="s">
        <v>765</v>
      </c>
      <c r="D265" t="s">
        <v>789</v>
      </c>
    </row>
    <row r="266" spans="1:4">
      <c r="A266" t="str">
        <f t="shared" si="4"/>
        <v>ZZS3 : FC  เกษตรผล อุดร 2 (Type N)</v>
      </c>
      <c r="B266" t="s">
        <v>766</v>
      </c>
      <c r="C266" t="s">
        <v>767</v>
      </c>
      <c r="D266" t="s">
        <v>789</v>
      </c>
    </row>
    <row r="267" spans="1:4">
      <c r="A267" t="str">
        <f t="shared" si="4"/>
        <v xml:space="preserve">14IU : FC พล (Type N) </v>
      </c>
      <c r="B267" t="s">
        <v>768</v>
      </c>
      <c r="C267" t="s">
        <v>769</v>
      </c>
      <c r="D267" t="s">
        <v>789</v>
      </c>
    </row>
    <row r="268" spans="1:4">
      <c r="A268" t="str">
        <f t="shared" si="4"/>
        <v>ZZS1 : FC ภูเวียง (Type N)</v>
      </c>
      <c r="B268" t="s">
        <v>770</v>
      </c>
      <c r="C268" t="s">
        <v>771</v>
      </c>
      <c r="D268" t="s">
        <v>789</v>
      </c>
    </row>
    <row r="269" spans="1:4">
      <c r="A269" t="str">
        <f t="shared" si="4"/>
        <v>ZZP2 : FC น้ำพอง (Type N)</v>
      </c>
      <c r="B269" t="s">
        <v>772</v>
      </c>
      <c r="C269" t="s">
        <v>773</v>
      </c>
      <c r="D269" t="s">
        <v>789</v>
      </c>
    </row>
    <row r="270" spans="1:4">
      <c r="A270" t="str">
        <f t="shared" si="4"/>
        <v xml:space="preserve">ZZS5 : FC อุดร - นิคมสงเคราะห์  (Type N) </v>
      </c>
      <c r="B270" t="s">
        <v>774</v>
      </c>
      <c r="C270" t="s">
        <v>775</v>
      </c>
      <c r="D270" t="s">
        <v>789</v>
      </c>
    </row>
    <row r="271" spans="1:4">
      <c r="A271" t="str">
        <f t="shared" si="4"/>
        <v xml:space="preserve">ZZS4 : FC อุดร - นาข่า  (Type N) </v>
      </c>
      <c r="B271" t="s">
        <v>776</v>
      </c>
      <c r="C271" t="s">
        <v>777</v>
      </c>
      <c r="D271" t="s">
        <v>789</v>
      </c>
    </row>
    <row r="272" spans="1:4">
      <c r="A272" t="str">
        <f t="shared" si="4"/>
        <v>ZZP9 : FC นครพนม3 (Type N)</v>
      </c>
      <c r="B272" t="s">
        <v>778</v>
      </c>
      <c r="C272" t="s">
        <v>779</v>
      </c>
      <c r="D272" t="s">
        <v>789</v>
      </c>
    </row>
    <row r="273" spans="1:4">
      <c r="A273" t="str">
        <f t="shared" si="4"/>
        <v>14EI : น้ำพองมิตรภาพ (Type N)</v>
      </c>
      <c r="B273" t="s">
        <v>780</v>
      </c>
      <c r="C273" t="s">
        <v>781</v>
      </c>
      <c r="D273" t="s">
        <v>789</v>
      </c>
    </row>
    <row r="274" spans="1:4">
      <c r="A274" t="str">
        <f t="shared" si="4"/>
        <v>ZZP5 : FC ท่าพระ (Type N)</v>
      </c>
      <c r="B274" t="s">
        <v>782</v>
      </c>
      <c r="C274" t="s">
        <v>783</v>
      </c>
      <c r="D274" t="s">
        <v>789</v>
      </c>
    </row>
    <row r="275" spans="1:4">
      <c r="A275" t="str">
        <f t="shared" si="4"/>
        <v>FC307 : มาบประชัน 2</v>
      </c>
      <c r="B275" t="s">
        <v>791</v>
      </c>
      <c r="C275" t="s">
        <v>792</v>
      </c>
      <c r="D275" t="s">
        <v>786</v>
      </c>
    </row>
    <row r="276" spans="1:4">
      <c r="A276" t="str">
        <f t="shared" si="4"/>
        <v xml:space="preserve">3167 : FC เจ้าฟ้าภูเก็ต </v>
      </c>
      <c r="B276" t="s">
        <v>793</v>
      </c>
      <c r="C276" t="s">
        <v>794</v>
      </c>
      <c r="D276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L1L2</vt:lpstr>
      <vt:lpstr>Score</vt:lpstr>
      <vt:lpstr>Sheet1</vt:lpstr>
      <vt:lpstr>ข้อมูลกิจการ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ข้อมูลพนักงานจ้างเหมา</dc:title>
  <dc:creator>Prayut Puttummarin</dc:creator>
  <cp:lastModifiedBy>Prayut Puttummarin</cp:lastModifiedBy>
  <dcterms:created xsi:type="dcterms:W3CDTF">2021-08-05T01:44:33Z</dcterms:created>
  <dcterms:modified xsi:type="dcterms:W3CDTF">2026-10-08T06:07:44Z</dcterms:modified>
</cp:coreProperties>
</file>